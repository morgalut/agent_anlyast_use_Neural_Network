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ya.Kapulsky\Downloads\"/>
    </mc:Choice>
  </mc:AlternateContent>
  <xr:revisionPtr revIDLastSave="0" documentId="8_{26873996-1653-437A-8DAC-0BEE5FF92D79}" xr6:coauthVersionLast="47" xr6:coauthVersionMax="47" xr10:uidLastSave="{00000000-0000-0000-0000-000000000000}"/>
  <bookViews>
    <workbookView xWindow="28680" yWindow="-120" windowWidth="29040" windowHeight="15840" firstSheet="1" activeTab="4" xr2:uid="{EE0F02BA-4121-6843-8F1F-C2B11D6FE8FA}"/>
  </bookViews>
  <sheets>
    <sheet name="דוח התאמה למס" sheetId="1" state="hidden" r:id="rId1"/>
    <sheet name="Income WP" sheetId="34" r:id="rId2"/>
    <sheet name="Exp By type" sheetId="21" state="hidden" r:id="rId3"/>
    <sheet name="Summary " sheetId="22" state="hidden" r:id="rId4"/>
    <sheet name="FS" sheetId="20" r:id="rId5"/>
    <sheet name="FS Notes" sheetId="18" r:id="rId6"/>
    <sheet name="BS USD CONS " sheetId="4" r:id="rId7"/>
    <sheet name="P&amp;L USD CONS" sheetId="5" r:id="rId8"/>
    <sheet name="COA LTD" sheetId="23" r:id="rId9"/>
    <sheet name="FS Notes ILS" sheetId="35" r:id="rId10"/>
    <sheet name="BS LTD USD " sheetId="6" r:id="rId11"/>
    <sheet name="P&amp;L LTD  USD" sheetId="7" r:id="rId12"/>
    <sheet name="TB LTD 12.22" sheetId="3" r:id="rId13"/>
    <sheet name="AJE 2022" sheetId="11" r:id="rId14"/>
    <sheet name="COA INC" sheetId="26" state="hidden" r:id="rId15"/>
    <sheet name="BS INC" sheetId="27" r:id="rId16"/>
    <sheet name="P&amp;L INC" sheetId="28" r:id="rId17"/>
    <sheet name="TB INC 12.22" sheetId="29" r:id="rId18"/>
    <sheet name="Tech Plant Check" sheetId="9" state="hidden" r:id="rId19"/>
    <sheet name="R&amp;D 20A" sheetId="10" state="hidden" r:id="rId20"/>
    <sheet name="COA India" sheetId="33" state="hidden" r:id="rId21"/>
    <sheet name="BS India" sheetId="30" r:id="rId22"/>
    <sheet name="P&amp;L India" sheetId="31" r:id="rId23"/>
    <sheet name="TB India 12.22" sheetId="32" r:id="rId24"/>
    <sheet name="CF FS" sheetId="17" r:id="rId25"/>
    <sheet name="CF WP" sheetId="16" r:id="rId26"/>
    <sheet name="Changes in equity" sheetId="19" r:id="rId27"/>
    <sheet name="Tech Plant Check ILS" sheetId="12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25" hidden="1">'CF WP'!$A$40:$D$57</definedName>
    <definedName name="_xlnm._FilterDatabase" localSheetId="14" hidden="1">'COA INC'!$A$1:$J$85</definedName>
    <definedName name="_xlnm._FilterDatabase" localSheetId="8" hidden="1">'COA LTD'!$A$1:$G$2067</definedName>
    <definedName name="_xlnm._FilterDatabase" localSheetId="16" hidden="1">'P&amp;L INC'!$A$20:$D$49</definedName>
    <definedName name="_xlnm._FilterDatabase" localSheetId="11" hidden="1">'P&amp;L LTD  USD'!$A$12:$L$122</definedName>
    <definedName name="_xlnm._FilterDatabase" localSheetId="17" hidden="1">'TB INC 12.22'!$A$1:$J$70</definedName>
    <definedName name="_xlnm._FilterDatabase" localSheetId="12" hidden="1">'TB LTD 12.22'!$A$1:$Z$623</definedName>
    <definedName name="_xlnm.Print_Area" localSheetId="15">'BS INC'!$B$8:$B$42</definedName>
    <definedName name="_xlnm.Print_Area" localSheetId="21">'BS India'!$B$8:$B$31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35" roundtripDataSignature="AMtx7mgLVOR3buP0+cSeuOEa24qiqHuSNg=="/>
    </ext>
  </extLst>
</workbook>
</file>

<file path=xl/calcChain.xml><?xml version="1.0" encoding="utf-8"?>
<calcChain xmlns="http://schemas.openxmlformats.org/spreadsheetml/2006/main">
  <c r="F61" i="28" l="1"/>
  <c r="D61" i="28"/>
  <c r="F60" i="28"/>
  <c r="F59" i="28"/>
  <c r="D60" i="28"/>
  <c r="D59" i="28"/>
  <c r="C60" i="28"/>
  <c r="C59" i="28"/>
  <c r="K120" i="7"/>
  <c r="H105" i="11"/>
  <c r="E120" i="7" s="1"/>
  <c r="J36" i="6"/>
  <c r="M125" i="7"/>
  <c r="H112" i="11" l="1"/>
  <c r="D36" i="6"/>
  <c r="G106" i="11"/>
  <c r="K112" i="11"/>
  <c r="J106" i="11"/>
  <c r="D22" i="35" l="1"/>
  <c r="D18" i="35"/>
  <c r="D17" i="35"/>
  <c r="D19" i="35"/>
  <c r="D6" i="35"/>
  <c r="D8" i="35"/>
  <c r="J39" i="6" l="1"/>
  <c r="D39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G109" i="11"/>
  <c r="K110" i="11"/>
  <c r="G105" i="11"/>
  <c r="H106" i="11" s="1"/>
  <c r="K106" i="11"/>
  <c r="T118" i="11" l="1"/>
  <c r="H110" i="11"/>
  <c r="E112" i="7" l="1"/>
  <c r="L17" i="6" l="1"/>
  <c r="L18" i="6"/>
  <c r="L19" i="6"/>
  <c r="L26" i="6"/>
  <c r="L28" i="6"/>
  <c r="L29" i="6"/>
  <c r="L30" i="6"/>
  <c r="L31" i="6"/>
  <c r="L43" i="6"/>
  <c r="L49" i="6"/>
  <c r="L51" i="6"/>
  <c r="L52" i="6"/>
  <c r="L53" i="6"/>
  <c r="L62" i="6"/>
  <c r="H613" i="3" l="1"/>
  <c r="J613" i="3"/>
  <c r="K613" i="3"/>
  <c r="H614" i="3"/>
  <c r="J614" i="3"/>
  <c r="K614" i="3"/>
  <c r="H615" i="3"/>
  <c r="J615" i="3"/>
  <c r="K615" i="3"/>
  <c r="H616" i="3"/>
  <c r="J616" i="3"/>
  <c r="K616" i="3"/>
  <c r="H617" i="3"/>
  <c r="J617" i="3"/>
  <c r="K617" i="3"/>
  <c r="H618" i="3"/>
  <c r="J618" i="3"/>
  <c r="K618" i="3"/>
  <c r="H619" i="3"/>
  <c r="J619" i="3"/>
  <c r="K619" i="3"/>
  <c r="H620" i="3"/>
  <c r="J620" i="3"/>
  <c r="K620" i="3"/>
  <c r="H621" i="3"/>
  <c r="J621" i="3"/>
  <c r="K621" i="3"/>
  <c r="H622" i="3"/>
  <c r="J622" i="3"/>
  <c r="K622" i="3"/>
  <c r="H623" i="3"/>
  <c r="J623" i="3"/>
  <c r="K623" i="3"/>
  <c r="K118" i="7"/>
  <c r="E118" i="7" l="1"/>
  <c r="E87" i="7"/>
  <c r="G42" i="4" l="1"/>
  <c r="E42" i="4"/>
  <c r="K87" i="7"/>
  <c r="E83" i="7"/>
  <c r="K83" i="7" l="1"/>
  <c r="K36" i="7"/>
  <c r="E57" i="7"/>
  <c r="E36" i="7"/>
  <c r="K57" i="7"/>
  <c r="D34" i="35" l="1"/>
  <c r="H610" i="3" l="1"/>
  <c r="J610" i="3"/>
  <c r="K610" i="3"/>
  <c r="H611" i="3"/>
  <c r="J611" i="3"/>
  <c r="K611" i="3"/>
  <c r="H612" i="3"/>
  <c r="J612" i="3"/>
  <c r="K612" i="3"/>
  <c r="K115" i="7" l="1"/>
  <c r="E115" i="7"/>
  <c r="J12" i="6"/>
  <c r="D12" i="6"/>
  <c r="F36" i="35" l="1"/>
  <c r="F20" i="35"/>
  <c r="F24" i="35" s="1"/>
  <c r="D20" i="35" l="1"/>
  <c r="D24" i="35" s="1"/>
  <c r="F11" i="35"/>
  <c r="D9" i="35"/>
  <c r="D34" i="17" l="1"/>
  <c r="D21" i="16"/>
  <c r="I36" i="16"/>
  <c r="K22" i="16" l="1"/>
  <c r="K21" i="16"/>
  <c r="B158" i="16"/>
  <c r="B166" i="16"/>
  <c r="G8" i="19"/>
  <c r="C84" i="16"/>
  <c r="G27" i="16"/>
  <c r="C64" i="16" s="1"/>
  <c r="C34" i="17" s="1"/>
  <c r="F31" i="19"/>
  <c r="G26" i="19"/>
  <c r="G27" i="19" l="1"/>
  <c r="E185" i="16"/>
  <c r="C193" i="16"/>
  <c r="C192" i="16"/>
  <c r="C183" i="16" l="1"/>
  <c r="C190" i="16" l="1"/>
  <c r="C181" i="16"/>
  <c r="C182" i="16"/>
  <c r="C191" i="16" s="1"/>
  <c r="C185" i="16" l="1"/>
  <c r="C195" i="16"/>
  <c r="G40" i="16"/>
  <c r="J10" i="6" l="1"/>
  <c r="J9" i="6"/>
  <c r="D91" i="16" l="1"/>
  <c r="K14" i="16"/>
  <c r="F14" i="16" s="1"/>
  <c r="C44" i="16" s="1"/>
  <c r="I23" i="16" l="1"/>
  <c r="J33" i="6" l="1"/>
  <c r="D33" i="6"/>
  <c r="K102" i="7"/>
  <c r="E102" i="7"/>
  <c r="J22" i="6"/>
  <c r="D22" i="6"/>
  <c r="D14" i="6"/>
  <c r="J14" i="6" l="1"/>
  <c r="I48" i="4" l="1"/>
  <c r="G22" i="4"/>
  <c r="O63" i="34" l="1"/>
  <c r="AC13" i="11"/>
  <c r="U48" i="11"/>
  <c r="N13" i="34"/>
  <c r="D24" i="6" l="1"/>
  <c r="K27" i="7"/>
  <c r="J24" i="6" l="1"/>
  <c r="E49" i="7"/>
  <c r="E27" i="7"/>
  <c r="K49" i="7"/>
  <c r="D9" i="6" l="1"/>
  <c r="D16" i="27"/>
  <c r="D37" i="6" l="1"/>
  <c r="J37" i="6"/>
  <c r="H19" i="5"/>
  <c r="K39" i="7"/>
  <c r="K63" i="7"/>
  <c r="P17" i="11"/>
  <c r="K86" i="7"/>
  <c r="E86" i="7"/>
  <c r="E63" i="7"/>
  <c r="E39" i="7"/>
  <c r="E16" i="7"/>
  <c r="D57" i="6"/>
  <c r="H34" i="5"/>
  <c r="J57" i="6" l="1"/>
  <c r="K16" i="7"/>
  <c r="E11" i="28"/>
  <c r="E31" i="7"/>
  <c r="E5" i="7" l="1"/>
  <c r="E39" i="28"/>
  <c r="E17" i="28"/>
  <c r="D30" i="27" s="1"/>
  <c r="K31" i="7"/>
  <c r="D15" i="27" l="1"/>
  <c r="E107" i="7" l="1"/>
  <c r="D10" i="6"/>
  <c r="K113" i="7"/>
  <c r="K107" i="7"/>
  <c r="J37" i="28"/>
  <c r="N77" i="4" l="1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51" i="4"/>
  <c r="N50" i="4"/>
  <c r="N49" i="4"/>
  <c r="N47" i="4"/>
  <c r="N46" i="4"/>
  <c r="N27" i="4"/>
  <c r="H29" i="5"/>
  <c r="H11" i="5"/>
  <c r="F13" i="5"/>
  <c r="P15" i="11" l="1"/>
  <c r="K5" i="7"/>
  <c r="H2" i="32"/>
  <c r="H3" i="32"/>
  <c r="H4" i="32"/>
  <c r="H5" i="32"/>
  <c r="H6" i="32"/>
  <c r="H7" i="32"/>
  <c r="H8" i="32"/>
  <c r="H15" i="3"/>
  <c r="H607" i="3" l="1"/>
  <c r="J607" i="3"/>
  <c r="K607" i="3"/>
  <c r="H608" i="3"/>
  <c r="J608" i="3"/>
  <c r="K608" i="3"/>
  <c r="H609" i="3"/>
  <c r="J609" i="3"/>
  <c r="K609" i="3"/>
  <c r="K24" i="16" l="1"/>
  <c r="K20" i="16"/>
  <c r="K15" i="16"/>
  <c r="K11" i="16"/>
  <c r="K10" i="16"/>
  <c r="E34" i="28" l="1"/>
  <c r="E28" i="28"/>
  <c r="E20" i="28"/>
  <c r="E44" i="28"/>
  <c r="K82" i="7"/>
  <c r="H31" i="16"/>
  <c r="B17" i="34" l="1"/>
  <c r="B16" i="34"/>
  <c r="B15" i="34"/>
  <c r="C5" i="22" l="1"/>
  <c r="C6" i="22" l="1"/>
  <c r="O13" i="34"/>
  <c r="O12" i="34"/>
  <c r="O11" i="34"/>
  <c r="O10" i="34"/>
  <c r="O9" i="34"/>
  <c r="O8" i="34"/>
  <c r="O7" i="34"/>
  <c r="O6" i="34"/>
  <c r="E7" i="21"/>
  <c r="D8" i="21"/>
  <c r="D9" i="21"/>
  <c r="D14" i="21"/>
  <c r="C7" i="21"/>
  <c r="C8" i="21"/>
  <c r="C9" i="21"/>
  <c r="C12" i="21"/>
  <c r="C13" i="21"/>
  <c r="C14" i="21"/>
  <c r="C6" i="21"/>
  <c r="H605" i="3" l="1"/>
  <c r="J605" i="3"/>
  <c r="K605" i="3"/>
  <c r="H606" i="3"/>
  <c r="J606" i="3"/>
  <c r="K606" i="3"/>
  <c r="H7" i="5"/>
  <c r="H9" i="5"/>
  <c r="F27" i="5"/>
  <c r="H27" i="5"/>
  <c r="H31" i="5"/>
  <c r="G24" i="4"/>
  <c r="G23" i="4"/>
  <c r="G21" i="4"/>
  <c r="G20" i="4"/>
  <c r="G14" i="4"/>
  <c r="G13" i="4"/>
  <c r="G12" i="4"/>
  <c r="G10" i="4"/>
  <c r="G9" i="4"/>
  <c r="G8" i="4"/>
  <c r="E56" i="4"/>
  <c r="E55" i="4"/>
  <c r="E54" i="4"/>
  <c r="E53" i="4"/>
  <c r="E52" i="4"/>
  <c r="E43" i="4"/>
  <c r="E39" i="4"/>
  <c r="E38" i="4"/>
  <c r="E37" i="4"/>
  <c r="E36" i="4"/>
  <c r="E35" i="4"/>
  <c r="E34" i="4"/>
  <c r="E25" i="4"/>
  <c r="E24" i="4"/>
  <c r="E23" i="4"/>
  <c r="E21" i="4"/>
  <c r="E20" i="4"/>
  <c r="E14" i="4"/>
  <c r="E13" i="4"/>
  <c r="E11" i="4"/>
  <c r="H603" i="3"/>
  <c r="J603" i="3"/>
  <c r="K603" i="3"/>
  <c r="H604" i="3"/>
  <c r="J604" i="3"/>
  <c r="K604" i="3"/>
  <c r="H13" i="5" l="1"/>
  <c r="G43" i="4"/>
  <c r="G41" i="4"/>
  <c r="G39" i="4"/>
  <c r="G38" i="4"/>
  <c r="G37" i="4"/>
  <c r="G34" i="4"/>
  <c r="J9" i="32"/>
  <c r="I9" i="32"/>
  <c r="H9" i="32"/>
  <c r="J8" i="32"/>
  <c r="I8" i="32"/>
  <c r="J7" i="32"/>
  <c r="I7" i="32"/>
  <c r="J6" i="32"/>
  <c r="I6" i="32"/>
  <c r="J5" i="32"/>
  <c r="I5" i="32"/>
  <c r="J4" i="32"/>
  <c r="I4" i="32"/>
  <c r="J3" i="32"/>
  <c r="I3" i="32"/>
  <c r="J2" i="32"/>
  <c r="I2" i="32"/>
  <c r="G56" i="4" s="1"/>
  <c r="C20" i="30" l="1"/>
  <c r="E20" i="30" s="1"/>
  <c r="G11" i="4" s="1"/>
  <c r="G35" i="4"/>
  <c r="G55" i="4"/>
  <c r="G36" i="4"/>
  <c r="D19" i="31"/>
  <c r="F19" i="31" s="1"/>
  <c r="G57" i="4"/>
  <c r="G25" i="4"/>
  <c r="G52" i="4"/>
  <c r="G53" i="4"/>
  <c r="G33" i="4"/>
  <c r="G54" i="4"/>
  <c r="D20" i="31"/>
  <c r="C21" i="30"/>
  <c r="D11" i="31"/>
  <c r="D15" i="31"/>
  <c r="D26" i="31"/>
  <c r="D18" i="31"/>
  <c r="C13" i="30"/>
  <c r="E13" i="30" s="1"/>
  <c r="C22" i="30" l="1"/>
  <c r="E21" i="30"/>
  <c r="E22" i="30" s="1"/>
  <c r="E24" i="30" s="1"/>
  <c r="E14" i="30"/>
  <c r="E16" i="30" s="1"/>
  <c r="G15" i="4"/>
  <c r="G16" i="4" s="1"/>
  <c r="D12" i="31"/>
  <c r="F11" i="31"/>
  <c r="F12" i="31" s="1"/>
  <c r="F20" i="31"/>
  <c r="H25" i="5"/>
  <c r="H23" i="5"/>
  <c r="F26" i="31"/>
  <c r="F18" i="31"/>
  <c r="F17" i="31" s="1"/>
  <c r="H17" i="5"/>
  <c r="F15" i="31"/>
  <c r="H15" i="5"/>
  <c r="G26" i="4"/>
  <c r="C24" i="30"/>
  <c r="G44" i="4"/>
  <c r="G45" i="4" s="1"/>
  <c r="G48" i="4" s="1"/>
  <c r="C14" i="30"/>
  <c r="C16" i="30" s="1"/>
  <c r="D14" i="31"/>
  <c r="H35" i="5" l="1"/>
  <c r="C10" i="21"/>
  <c r="F14" i="31"/>
  <c r="F21" i="31" s="1"/>
  <c r="F23" i="31" s="1"/>
  <c r="C11" i="21"/>
  <c r="F25" i="31"/>
  <c r="G28" i="4"/>
  <c r="F28" i="31" l="1"/>
  <c r="C16" i="21" s="1"/>
  <c r="C15" i="21"/>
  <c r="C17" i="21" s="1"/>
  <c r="H21" i="5"/>
  <c r="H33" i="5" s="1"/>
  <c r="D17" i="31"/>
  <c r="D25" i="31" l="1"/>
  <c r="D21" i="31" l="1"/>
  <c r="D23" i="31" s="1"/>
  <c r="D28" i="31" l="1"/>
  <c r="C28" i="30" s="1"/>
  <c r="G58" i="4" l="1"/>
  <c r="G59" i="4" s="1"/>
  <c r="G61" i="4" s="1"/>
  <c r="G63" i="4" s="1"/>
  <c r="E28" i="30"/>
  <c r="E29" i="30" s="1"/>
  <c r="E31" i="30" s="1"/>
  <c r="C29" i="30"/>
  <c r="C31" i="30" s="1"/>
  <c r="E33" i="30" l="1"/>
  <c r="E32" i="30"/>
  <c r="G62" i="4"/>
  <c r="C33" i="30"/>
  <c r="C32" i="30"/>
  <c r="H361" i="3" l="1"/>
  <c r="J361" i="3"/>
  <c r="K361" i="3"/>
  <c r="H362" i="3"/>
  <c r="J362" i="3"/>
  <c r="K362" i="3"/>
  <c r="H363" i="3"/>
  <c r="J363" i="3"/>
  <c r="K363" i="3"/>
  <c r="H364" i="3"/>
  <c r="J364" i="3"/>
  <c r="K364" i="3"/>
  <c r="H365" i="3"/>
  <c r="J365" i="3"/>
  <c r="K365" i="3"/>
  <c r="H366" i="3"/>
  <c r="J366" i="3"/>
  <c r="K366" i="3"/>
  <c r="H367" i="3"/>
  <c r="J367" i="3"/>
  <c r="K367" i="3"/>
  <c r="H368" i="3"/>
  <c r="J368" i="3"/>
  <c r="K368" i="3"/>
  <c r="H369" i="3"/>
  <c r="J369" i="3"/>
  <c r="K369" i="3"/>
  <c r="H370" i="3"/>
  <c r="J370" i="3"/>
  <c r="K370" i="3"/>
  <c r="H371" i="3"/>
  <c r="J371" i="3"/>
  <c r="K371" i="3"/>
  <c r="H372" i="3"/>
  <c r="J372" i="3"/>
  <c r="K372" i="3"/>
  <c r="H373" i="3"/>
  <c r="J373" i="3"/>
  <c r="K373" i="3"/>
  <c r="H374" i="3"/>
  <c r="J374" i="3"/>
  <c r="K374" i="3"/>
  <c r="H375" i="3"/>
  <c r="J375" i="3"/>
  <c r="K375" i="3"/>
  <c r="H376" i="3"/>
  <c r="J376" i="3"/>
  <c r="K376" i="3"/>
  <c r="H377" i="3"/>
  <c r="J377" i="3"/>
  <c r="K377" i="3"/>
  <c r="H378" i="3"/>
  <c r="J378" i="3"/>
  <c r="K378" i="3"/>
  <c r="H379" i="3"/>
  <c r="J379" i="3"/>
  <c r="K379" i="3"/>
  <c r="H380" i="3"/>
  <c r="J380" i="3"/>
  <c r="K380" i="3"/>
  <c r="H381" i="3"/>
  <c r="J381" i="3"/>
  <c r="K381" i="3"/>
  <c r="H382" i="3"/>
  <c r="J382" i="3"/>
  <c r="K382" i="3"/>
  <c r="H383" i="3"/>
  <c r="J383" i="3"/>
  <c r="K383" i="3"/>
  <c r="H384" i="3"/>
  <c r="J384" i="3"/>
  <c r="K384" i="3"/>
  <c r="H385" i="3"/>
  <c r="J385" i="3"/>
  <c r="K385" i="3"/>
  <c r="H386" i="3"/>
  <c r="J386" i="3"/>
  <c r="K386" i="3"/>
  <c r="H387" i="3"/>
  <c r="J387" i="3"/>
  <c r="K387" i="3"/>
  <c r="H388" i="3"/>
  <c r="J388" i="3"/>
  <c r="K388" i="3"/>
  <c r="H389" i="3"/>
  <c r="J389" i="3"/>
  <c r="K389" i="3"/>
  <c r="H390" i="3"/>
  <c r="J390" i="3"/>
  <c r="K390" i="3"/>
  <c r="H391" i="3"/>
  <c r="J391" i="3"/>
  <c r="K391" i="3"/>
  <c r="H392" i="3"/>
  <c r="J392" i="3"/>
  <c r="K392" i="3"/>
  <c r="H393" i="3"/>
  <c r="J393" i="3"/>
  <c r="K393" i="3"/>
  <c r="H394" i="3"/>
  <c r="J394" i="3"/>
  <c r="K394" i="3"/>
  <c r="H395" i="3"/>
  <c r="J395" i="3"/>
  <c r="K395" i="3"/>
  <c r="H396" i="3"/>
  <c r="J396" i="3"/>
  <c r="K396" i="3"/>
  <c r="H397" i="3"/>
  <c r="J397" i="3"/>
  <c r="K397" i="3"/>
  <c r="H398" i="3"/>
  <c r="J398" i="3"/>
  <c r="K398" i="3"/>
  <c r="H399" i="3"/>
  <c r="J399" i="3"/>
  <c r="K399" i="3"/>
  <c r="H400" i="3"/>
  <c r="J400" i="3"/>
  <c r="K400" i="3"/>
  <c r="H401" i="3"/>
  <c r="J401" i="3"/>
  <c r="K401" i="3"/>
  <c r="H402" i="3"/>
  <c r="J402" i="3"/>
  <c r="K402" i="3"/>
  <c r="H403" i="3"/>
  <c r="J403" i="3"/>
  <c r="K403" i="3"/>
  <c r="H404" i="3"/>
  <c r="J404" i="3"/>
  <c r="K404" i="3"/>
  <c r="H405" i="3"/>
  <c r="J405" i="3"/>
  <c r="K405" i="3"/>
  <c r="H406" i="3"/>
  <c r="J406" i="3"/>
  <c r="K406" i="3"/>
  <c r="H407" i="3"/>
  <c r="J407" i="3"/>
  <c r="K407" i="3"/>
  <c r="H408" i="3"/>
  <c r="J408" i="3"/>
  <c r="K408" i="3"/>
  <c r="H409" i="3"/>
  <c r="J409" i="3"/>
  <c r="K409" i="3"/>
  <c r="H410" i="3"/>
  <c r="J410" i="3"/>
  <c r="K410" i="3"/>
  <c r="H411" i="3"/>
  <c r="J411" i="3"/>
  <c r="K411" i="3"/>
  <c r="H412" i="3"/>
  <c r="J412" i="3"/>
  <c r="K412" i="3"/>
  <c r="H413" i="3"/>
  <c r="J413" i="3"/>
  <c r="K413" i="3"/>
  <c r="H414" i="3"/>
  <c r="J414" i="3"/>
  <c r="K414" i="3"/>
  <c r="H415" i="3"/>
  <c r="J415" i="3"/>
  <c r="K415" i="3"/>
  <c r="H416" i="3"/>
  <c r="J416" i="3"/>
  <c r="K416" i="3"/>
  <c r="H417" i="3"/>
  <c r="J417" i="3"/>
  <c r="K417" i="3"/>
  <c r="H418" i="3"/>
  <c r="J418" i="3"/>
  <c r="K418" i="3"/>
  <c r="H419" i="3"/>
  <c r="J419" i="3"/>
  <c r="K419" i="3"/>
  <c r="H420" i="3"/>
  <c r="J420" i="3"/>
  <c r="K420" i="3"/>
  <c r="H421" i="3"/>
  <c r="J421" i="3"/>
  <c r="K421" i="3"/>
  <c r="H422" i="3"/>
  <c r="J422" i="3"/>
  <c r="K422" i="3"/>
  <c r="H423" i="3"/>
  <c r="J423" i="3"/>
  <c r="K423" i="3"/>
  <c r="H424" i="3"/>
  <c r="J424" i="3"/>
  <c r="K424" i="3"/>
  <c r="H425" i="3"/>
  <c r="J425" i="3"/>
  <c r="K425" i="3"/>
  <c r="H426" i="3"/>
  <c r="J426" i="3"/>
  <c r="K426" i="3"/>
  <c r="H427" i="3"/>
  <c r="J427" i="3"/>
  <c r="K427" i="3"/>
  <c r="H428" i="3"/>
  <c r="J428" i="3"/>
  <c r="K428" i="3"/>
  <c r="H429" i="3"/>
  <c r="J429" i="3"/>
  <c r="K429" i="3"/>
  <c r="H430" i="3"/>
  <c r="J430" i="3"/>
  <c r="K430" i="3"/>
  <c r="H431" i="3"/>
  <c r="J431" i="3"/>
  <c r="K431" i="3"/>
  <c r="H432" i="3"/>
  <c r="J432" i="3"/>
  <c r="K432" i="3"/>
  <c r="H433" i="3"/>
  <c r="J433" i="3"/>
  <c r="K433" i="3"/>
  <c r="H434" i="3"/>
  <c r="J434" i="3"/>
  <c r="K434" i="3"/>
  <c r="H435" i="3"/>
  <c r="J435" i="3"/>
  <c r="K435" i="3"/>
  <c r="H436" i="3"/>
  <c r="J436" i="3"/>
  <c r="K436" i="3"/>
  <c r="H437" i="3"/>
  <c r="J437" i="3"/>
  <c r="K437" i="3"/>
  <c r="H438" i="3"/>
  <c r="J438" i="3"/>
  <c r="K438" i="3"/>
  <c r="H439" i="3"/>
  <c r="J439" i="3"/>
  <c r="K439" i="3"/>
  <c r="H440" i="3"/>
  <c r="J440" i="3"/>
  <c r="K440" i="3"/>
  <c r="H441" i="3"/>
  <c r="J441" i="3"/>
  <c r="K441" i="3"/>
  <c r="H442" i="3"/>
  <c r="J442" i="3"/>
  <c r="K442" i="3"/>
  <c r="H443" i="3"/>
  <c r="J443" i="3"/>
  <c r="K443" i="3"/>
  <c r="H444" i="3"/>
  <c r="J444" i="3"/>
  <c r="K444" i="3"/>
  <c r="H445" i="3"/>
  <c r="J445" i="3"/>
  <c r="K445" i="3"/>
  <c r="H446" i="3"/>
  <c r="J446" i="3"/>
  <c r="K446" i="3"/>
  <c r="H447" i="3"/>
  <c r="J447" i="3"/>
  <c r="K447" i="3"/>
  <c r="H448" i="3"/>
  <c r="J448" i="3"/>
  <c r="K448" i="3"/>
  <c r="H449" i="3"/>
  <c r="J449" i="3"/>
  <c r="K449" i="3"/>
  <c r="H450" i="3"/>
  <c r="J450" i="3"/>
  <c r="K450" i="3"/>
  <c r="H451" i="3"/>
  <c r="J451" i="3"/>
  <c r="K451" i="3"/>
  <c r="H452" i="3"/>
  <c r="J452" i="3"/>
  <c r="K452" i="3"/>
  <c r="H453" i="3"/>
  <c r="J453" i="3"/>
  <c r="K453" i="3"/>
  <c r="H454" i="3"/>
  <c r="J454" i="3"/>
  <c r="K454" i="3"/>
  <c r="H455" i="3"/>
  <c r="J455" i="3"/>
  <c r="K455" i="3"/>
  <c r="H456" i="3"/>
  <c r="J456" i="3"/>
  <c r="K456" i="3"/>
  <c r="H457" i="3"/>
  <c r="J457" i="3"/>
  <c r="K457" i="3"/>
  <c r="H458" i="3"/>
  <c r="J458" i="3"/>
  <c r="K458" i="3"/>
  <c r="H459" i="3"/>
  <c r="J459" i="3"/>
  <c r="K459" i="3"/>
  <c r="H460" i="3"/>
  <c r="J460" i="3"/>
  <c r="K460" i="3"/>
  <c r="H461" i="3"/>
  <c r="J461" i="3"/>
  <c r="K461" i="3"/>
  <c r="H462" i="3"/>
  <c r="J462" i="3"/>
  <c r="K462" i="3"/>
  <c r="H463" i="3"/>
  <c r="J463" i="3"/>
  <c r="K463" i="3"/>
  <c r="H464" i="3"/>
  <c r="J464" i="3"/>
  <c r="K464" i="3"/>
  <c r="H465" i="3"/>
  <c r="J465" i="3"/>
  <c r="K465" i="3"/>
  <c r="H466" i="3"/>
  <c r="J466" i="3"/>
  <c r="K466" i="3"/>
  <c r="H467" i="3"/>
  <c r="J467" i="3"/>
  <c r="K467" i="3"/>
  <c r="H468" i="3"/>
  <c r="J468" i="3"/>
  <c r="K468" i="3"/>
  <c r="H469" i="3"/>
  <c r="J469" i="3"/>
  <c r="K469" i="3"/>
  <c r="H470" i="3"/>
  <c r="J470" i="3"/>
  <c r="K470" i="3"/>
  <c r="H471" i="3"/>
  <c r="J471" i="3"/>
  <c r="K471" i="3"/>
  <c r="H472" i="3"/>
  <c r="J472" i="3"/>
  <c r="K472" i="3"/>
  <c r="H473" i="3"/>
  <c r="J473" i="3"/>
  <c r="K473" i="3"/>
  <c r="H474" i="3"/>
  <c r="J474" i="3"/>
  <c r="K474" i="3"/>
  <c r="H475" i="3"/>
  <c r="J475" i="3"/>
  <c r="K475" i="3"/>
  <c r="H476" i="3"/>
  <c r="J476" i="3"/>
  <c r="K476" i="3"/>
  <c r="H477" i="3"/>
  <c r="J477" i="3"/>
  <c r="K477" i="3"/>
  <c r="H478" i="3"/>
  <c r="J478" i="3"/>
  <c r="K478" i="3"/>
  <c r="H479" i="3"/>
  <c r="J479" i="3"/>
  <c r="K479" i="3"/>
  <c r="H480" i="3"/>
  <c r="J480" i="3"/>
  <c r="K480" i="3"/>
  <c r="H481" i="3"/>
  <c r="J481" i="3"/>
  <c r="K481" i="3"/>
  <c r="H482" i="3"/>
  <c r="J482" i="3"/>
  <c r="K482" i="3"/>
  <c r="H483" i="3"/>
  <c r="J483" i="3"/>
  <c r="K483" i="3"/>
  <c r="H484" i="3"/>
  <c r="J484" i="3"/>
  <c r="K484" i="3"/>
  <c r="H485" i="3"/>
  <c r="J485" i="3"/>
  <c r="K485" i="3"/>
  <c r="H486" i="3"/>
  <c r="J486" i="3"/>
  <c r="K486" i="3"/>
  <c r="H487" i="3"/>
  <c r="J487" i="3"/>
  <c r="K487" i="3"/>
  <c r="H488" i="3"/>
  <c r="J488" i="3"/>
  <c r="K488" i="3"/>
  <c r="H489" i="3"/>
  <c r="J489" i="3"/>
  <c r="K489" i="3"/>
  <c r="H490" i="3"/>
  <c r="J490" i="3"/>
  <c r="K490" i="3"/>
  <c r="H491" i="3"/>
  <c r="J491" i="3"/>
  <c r="K491" i="3"/>
  <c r="H492" i="3"/>
  <c r="J492" i="3"/>
  <c r="K492" i="3"/>
  <c r="H493" i="3"/>
  <c r="J493" i="3"/>
  <c r="K493" i="3"/>
  <c r="H494" i="3"/>
  <c r="J494" i="3"/>
  <c r="K494" i="3"/>
  <c r="H495" i="3"/>
  <c r="J495" i="3"/>
  <c r="K495" i="3"/>
  <c r="H496" i="3"/>
  <c r="J496" i="3"/>
  <c r="K496" i="3"/>
  <c r="H497" i="3"/>
  <c r="J497" i="3"/>
  <c r="K497" i="3"/>
  <c r="H498" i="3"/>
  <c r="J498" i="3"/>
  <c r="K498" i="3"/>
  <c r="H499" i="3"/>
  <c r="J499" i="3"/>
  <c r="K499" i="3"/>
  <c r="H500" i="3"/>
  <c r="J500" i="3"/>
  <c r="K500" i="3"/>
  <c r="H501" i="3"/>
  <c r="J501" i="3"/>
  <c r="K501" i="3"/>
  <c r="H502" i="3"/>
  <c r="J502" i="3"/>
  <c r="K502" i="3"/>
  <c r="H503" i="3"/>
  <c r="J503" i="3"/>
  <c r="K503" i="3"/>
  <c r="H504" i="3"/>
  <c r="J504" i="3"/>
  <c r="K504" i="3"/>
  <c r="H505" i="3"/>
  <c r="J505" i="3"/>
  <c r="K505" i="3"/>
  <c r="H506" i="3"/>
  <c r="J506" i="3"/>
  <c r="K506" i="3"/>
  <c r="H507" i="3"/>
  <c r="J507" i="3"/>
  <c r="K507" i="3"/>
  <c r="H508" i="3"/>
  <c r="J508" i="3"/>
  <c r="K508" i="3"/>
  <c r="H509" i="3"/>
  <c r="J509" i="3"/>
  <c r="K509" i="3"/>
  <c r="H510" i="3"/>
  <c r="J510" i="3"/>
  <c r="K510" i="3"/>
  <c r="H511" i="3"/>
  <c r="J511" i="3"/>
  <c r="K511" i="3"/>
  <c r="H512" i="3"/>
  <c r="J512" i="3"/>
  <c r="K512" i="3"/>
  <c r="H513" i="3"/>
  <c r="J513" i="3"/>
  <c r="K513" i="3"/>
  <c r="H514" i="3"/>
  <c r="J514" i="3"/>
  <c r="K514" i="3"/>
  <c r="H515" i="3"/>
  <c r="J515" i="3"/>
  <c r="K515" i="3"/>
  <c r="H516" i="3"/>
  <c r="J516" i="3"/>
  <c r="K516" i="3"/>
  <c r="H517" i="3"/>
  <c r="J517" i="3"/>
  <c r="K517" i="3"/>
  <c r="H518" i="3"/>
  <c r="J518" i="3"/>
  <c r="K518" i="3"/>
  <c r="H519" i="3"/>
  <c r="J519" i="3"/>
  <c r="K519" i="3"/>
  <c r="H520" i="3"/>
  <c r="J520" i="3"/>
  <c r="K520" i="3"/>
  <c r="H521" i="3"/>
  <c r="J521" i="3"/>
  <c r="K521" i="3"/>
  <c r="H522" i="3"/>
  <c r="J522" i="3"/>
  <c r="K522" i="3"/>
  <c r="H523" i="3"/>
  <c r="J523" i="3"/>
  <c r="K523" i="3"/>
  <c r="H524" i="3"/>
  <c r="J524" i="3"/>
  <c r="K524" i="3"/>
  <c r="H525" i="3"/>
  <c r="J525" i="3"/>
  <c r="K525" i="3"/>
  <c r="H526" i="3"/>
  <c r="J526" i="3"/>
  <c r="K526" i="3"/>
  <c r="H527" i="3"/>
  <c r="J527" i="3"/>
  <c r="K527" i="3"/>
  <c r="H528" i="3"/>
  <c r="J528" i="3"/>
  <c r="K528" i="3"/>
  <c r="H529" i="3"/>
  <c r="J529" i="3"/>
  <c r="K529" i="3"/>
  <c r="H530" i="3"/>
  <c r="J530" i="3"/>
  <c r="K530" i="3"/>
  <c r="H531" i="3"/>
  <c r="J531" i="3"/>
  <c r="K531" i="3"/>
  <c r="H532" i="3"/>
  <c r="J532" i="3"/>
  <c r="K532" i="3"/>
  <c r="H533" i="3"/>
  <c r="J533" i="3"/>
  <c r="K533" i="3"/>
  <c r="H534" i="3"/>
  <c r="J534" i="3"/>
  <c r="K534" i="3"/>
  <c r="H535" i="3"/>
  <c r="J535" i="3"/>
  <c r="K535" i="3"/>
  <c r="H536" i="3"/>
  <c r="J536" i="3"/>
  <c r="K536" i="3"/>
  <c r="H537" i="3"/>
  <c r="J537" i="3"/>
  <c r="K537" i="3"/>
  <c r="H538" i="3"/>
  <c r="J538" i="3"/>
  <c r="K538" i="3"/>
  <c r="H539" i="3"/>
  <c r="J539" i="3"/>
  <c r="K539" i="3"/>
  <c r="H540" i="3"/>
  <c r="J540" i="3"/>
  <c r="K540" i="3"/>
  <c r="H541" i="3"/>
  <c r="J541" i="3"/>
  <c r="K541" i="3"/>
  <c r="H542" i="3"/>
  <c r="J542" i="3"/>
  <c r="K542" i="3"/>
  <c r="H543" i="3"/>
  <c r="J543" i="3"/>
  <c r="K543" i="3"/>
  <c r="H544" i="3"/>
  <c r="J544" i="3"/>
  <c r="K544" i="3"/>
  <c r="H545" i="3"/>
  <c r="J545" i="3"/>
  <c r="K545" i="3"/>
  <c r="H546" i="3"/>
  <c r="J546" i="3"/>
  <c r="K546" i="3"/>
  <c r="H547" i="3"/>
  <c r="J547" i="3"/>
  <c r="K547" i="3"/>
  <c r="H548" i="3"/>
  <c r="J548" i="3"/>
  <c r="K548" i="3"/>
  <c r="H549" i="3"/>
  <c r="J549" i="3"/>
  <c r="K549" i="3"/>
  <c r="H550" i="3"/>
  <c r="J550" i="3"/>
  <c r="K550" i="3"/>
  <c r="H551" i="3"/>
  <c r="J551" i="3"/>
  <c r="K551" i="3"/>
  <c r="H552" i="3"/>
  <c r="J552" i="3"/>
  <c r="K552" i="3"/>
  <c r="H553" i="3"/>
  <c r="J553" i="3"/>
  <c r="K553" i="3"/>
  <c r="H554" i="3"/>
  <c r="J554" i="3"/>
  <c r="K554" i="3"/>
  <c r="H555" i="3"/>
  <c r="J555" i="3"/>
  <c r="K555" i="3"/>
  <c r="H556" i="3"/>
  <c r="J556" i="3"/>
  <c r="K556" i="3"/>
  <c r="H557" i="3"/>
  <c r="J557" i="3"/>
  <c r="K557" i="3"/>
  <c r="H558" i="3"/>
  <c r="J558" i="3"/>
  <c r="K558" i="3"/>
  <c r="H559" i="3"/>
  <c r="J559" i="3"/>
  <c r="K559" i="3"/>
  <c r="H560" i="3"/>
  <c r="J560" i="3"/>
  <c r="K560" i="3"/>
  <c r="H561" i="3"/>
  <c r="J561" i="3"/>
  <c r="K561" i="3"/>
  <c r="H562" i="3"/>
  <c r="J562" i="3"/>
  <c r="K562" i="3"/>
  <c r="H563" i="3"/>
  <c r="J563" i="3"/>
  <c r="K563" i="3"/>
  <c r="H564" i="3"/>
  <c r="J564" i="3"/>
  <c r="K564" i="3"/>
  <c r="H565" i="3"/>
  <c r="J565" i="3"/>
  <c r="K565" i="3"/>
  <c r="H566" i="3"/>
  <c r="J566" i="3"/>
  <c r="K566" i="3"/>
  <c r="H567" i="3"/>
  <c r="J567" i="3"/>
  <c r="K567" i="3"/>
  <c r="H568" i="3"/>
  <c r="J568" i="3"/>
  <c r="K568" i="3"/>
  <c r="H569" i="3"/>
  <c r="J569" i="3"/>
  <c r="K569" i="3"/>
  <c r="H570" i="3"/>
  <c r="J570" i="3"/>
  <c r="K570" i="3"/>
  <c r="H571" i="3"/>
  <c r="J571" i="3"/>
  <c r="K571" i="3"/>
  <c r="H572" i="3"/>
  <c r="J572" i="3"/>
  <c r="K572" i="3"/>
  <c r="H573" i="3"/>
  <c r="J573" i="3"/>
  <c r="K573" i="3"/>
  <c r="H574" i="3"/>
  <c r="J574" i="3"/>
  <c r="K574" i="3"/>
  <c r="H575" i="3"/>
  <c r="J575" i="3"/>
  <c r="K575" i="3"/>
  <c r="H576" i="3"/>
  <c r="J576" i="3"/>
  <c r="K576" i="3"/>
  <c r="H577" i="3"/>
  <c r="J577" i="3"/>
  <c r="K577" i="3"/>
  <c r="H578" i="3"/>
  <c r="J578" i="3"/>
  <c r="K578" i="3"/>
  <c r="H579" i="3"/>
  <c r="J579" i="3"/>
  <c r="K579" i="3"/>
  <c r="H580" i="3"/>
  <c r="J580" i="3"/>
  <c r="K580" i="3"/>
  <c r="H581" i="3"/>
  <c r="J581" i="3"/>
  <c r="K581" i="3"/>
  <c r="H582" i="3"/>
  <c r="J582" i="3"/>
  <c r="K582" i="3"/>
  <c r="H583" i="3"/>
  <c r="J583" i="3"/>
  <c r="K583" i="3"/>
  <c r="H584" i="3"/>
  <c r="J584" i="3"/>
  <c r="K584" i="3"/>
  <c r="H585" i="3"/>
  <c r="J585" i="3"/>
  <c r="K585" i="3"/>
  <c r="H586" i="3"/>
  <c r="J586" i="3"/>
  <c r="K586" i="3"/>
  <c r="H587" i="3"/>
  <c r="J587" i="3"/>
  <c r="K587" i="3"/>
  <c r="H588" i="3"/>
  <c r="J588" i="3"/>
  <c r="K588" i="3"/>
  <c r="H589" i="3"/>
  <c r="J589" i="3"/>
  <c r="K589" i="3"/>
  <c r="H590" i="3"/>
  <c r="J590" i="3"/>
  <c r="K590" i="3"/>
  <c r="H591" i="3"/>
  <c r="J591" i="3"/>
  <c r="K591" i="3"/>
  <c r="H592" i="3"/>
  <c r="J592" i="3"/>
  <c r="K592" i="3"/>
  <c r="H593" i="3"/>
  <c r="J593" i="3"/>
  <c r="K593" i="3"/>
  <c r="H594" i="3"/>
  <c r="J594" i="3"/>
  <c r="K594" i="3"/>
  <c r="H595" i="3"/>
  <c r="J595" i="3"/>
  <c r="K595" i="3"/>
  <c r="H596" i="3"/>
  <c r="J596" i="3"/>
  <c r="K596" i="3"/>
  <c r="H597" i="3"/>
  <c r="J597" i="3"/>
  <c r="K597" i="3"/>
  <c r="H598" i="3"/>
  <c r="J598" i="3"/>
  <c r="K598" i="3"/>
  <c r="H599" i="3"/>
  <c r="J599" i="3"/>
  <c r="K599" i="3"/>
  <c r="H600" i="3"/>
  <c r="J600" i="3"/>
  <c r="K600" i="3"/>
  <c r="H601" i="3"/>
  <c r="J601" i="3"/>
  <c r="K601" i="3"/>
  <c r="H602" i="3"/>
  <c r="J602" i="3"/>
  <c r="K602" i="3"/>
  <c r="C22" i="27" l="1"/>
  <c r="E22" i="27" s="1"/>
  <c r="E22" i="4" s="1"/>
  <c r="D37" i="28"/>
  <c r="F37" i="28" s="1"/>
  <c r="C13" i="27"/>
  <c r="E13" i="27" s="1"/>
  <c r="D12" i="28"/>
  <c r="D23" i="28"/>
  <c r="F23" i="28" s="1"/>
  <c r="D29" i="28"/>
  <c r="D38" i="28"/>
  <c r="C28" i="27"/>
  <c r="E28" i="27" s="1"/>
  <c r="E33" i="4" s="1"/>
  <c r="D13" i="28"/>
  <c r="F13" i="28" s="1"/>
  <c r="D24" i="28"/>
  <c r="F24" i="28" s="1"/>
  <c r="D30" i="28"/>
  <c r="F30" i="28" s="1"/>
  <c r="D6" i="21" s="1"/>
  <c r="D39" i="28"/>
  <c r="C14" i="27"/>
  <c r="E14" i="27" s="1"/>
  <c r="E9" i="4" s="1"/>
  <c r="D14" i="28"/>
  <c r="F14" i="28" s="1"/>
  <c r="D25" i="28"/>
  <c r="F25" i="28" s="1"/>
  <c r="D31" i="28"/>
  <c r="F31" i="28" s="1"/>
  <c r="D45" i="28"/>
  <c r="F45" i="28" s="1"/>
  <c r="C15" i="27"/>
  <c r="E15" i="27" s="1"/>
  <c r="D15" i="28"/>
  <c r="F15" i="28" s="1"/>
  <c r="D32" i="28"/>
  <c r="F32" i="28" s="1"/>
  <c r="D46" i="28"/>
  <c r="F46" i="28" s="1"/>
  <c r="E12" i="4"/>
  <c r="C29" i="27"/>
  <c r="E29" i="27" s="1"/>
  <c r="E44" i="4" s="1"/>
  <c r="D16" i="28"/>
  <c r="F16" i="28" s="1"/>
  <c r="D47" i="28"/>
  <c r="F47" i="28" s="1"/>
  <c r="C166" i="16" s="1"/>
  <c r="K9" i="16" s="1"/>
  <c r="C16" i="27"/>
  <c r="E16" i="27" s="1"/>
  <c r="E15" i="4" s="1"/>
  <c r="C30" i="27"/>
  <c r="F31" i="27" s="1"/>
  <c r="D17" i="28"/>
  <c r="D35" i="28"/>
  <c r="D48" i="28"/>
  <c r="F48" i="28" s="1"/>
  <c r="C38" i="27"/>
  <c r="E38" i="27" s="1"/>
  <c r="D21" i="28"/>
  <c r="D36" i="28"/>
  <c r="F36" i="28" s="1"/>
  <c r="D49" i="28"/>
  <c r="D11" i="28"/>
  <c r="D22" i="28"/>
  <c r="F22" i="28" s="1"/>
  <c r="K36" i="16" l="1"/>
  <c r="C47" i="16" s="1"/>
  <c r="C75" i="16"/>
  <c r="D56" i="28"/>
  <c r="D57" i="28"/>
  <c r="H39" i="28"/>
  <c r="F11" i="28"/>
  <c r="F44" i="28"/>
  <c r="D65" i="28"/>
  <c r="F12" i="28"/>
  <c r="D64" i="28"/>
  <c r="F49" i="28"/>
  <c r="F31" i="5" s="1"/>
  <c r="J31" i="5" s="1"/>
  <c r="F38" i="28"/>
  <c r="J14" i="28" s="1"/>
  <c r="J36" i="28"/>
  <c r="D13" i="21"/>
  <c r="D34" i="28"/>
  <c r="F23" i="5"/>
  <c r="J23" i="5" s="1"/>
  <c r="F29" i="28"/>
  <c r="F35" i="28"/>
  <c r="F72" i="28" s="1"/>
  <c r="E8" i="4"/>
  <c r="E57" i="4"/>
  <c r="I57" i="4" s="1"/>
  <c r="C31" i="27"/>
  <c r="C34" i="27" s="1"/>
  <c r="F21" i="28"/>
  <c r="C17" i="27"/>
  <c r="C24" i="27" s="1"/>
  <c r="D12" i="21" l="1"/>
  <c r="F56" i="28"/>
  <c r="E70" i="28"/>
  <c r="F70" i="28" s="1"/>
  <c r="G49" i="28"/>
  <c r="F57" i="28"/>
  <c r="F9" i="5"/>
  <c r="J9" i="5" s="1"/>
  <c r="F34" i="28"/>
  <c r="G34" i="28" s="1"/>
  <c r="E72" i="28"/>
  <c r="F17" i="5"/>
  <c r="J17" i="5" s="1"/>
  <c r="O17" i="5" s="1"/>
  <c r="E71" i="28"/>
  <c r="F71" i="28" s="1"/>
  <c r="F15" i="5"/>
  <c r="J15" i="5" s="1"/>
  <c r="D7" i="21"/>
  <c r="F7" i="21" s="1"/>
  <c r="C16" i="22" s="1"/>
  <c r="D10" i="21"/>
  <c r="E30" i="27"/>
  <c r="E31" i="27" s="1"/>
  <c r="E34" i="27" s="1"/>
  <c r="D11" i="21"/>
  <c r="F28" i="28"/>
  <c r="F58" i="28" s="1"/>
  <c r="F20" i="28"/>
  <c r="D44" i="28"/>
  <c r="G39" i="28" l="1"/>
  <c r="I39" i="28" s="1"/>
  <c r="J19" i="5"/>
  <c r="F35" i="5"/>
  <c r="D16" i="21"/>
  <c r="E41" i="4"/>
  <c r="D15" i="21"/>
  <c r="F17" i="28"/>
  <c r="J11" i="28" s="1"/>
  <c r="D20" i="28"/>
  <c r="J22" i="28" l="1"/>
  <c r="F64" i="28"/>
  <c r="H17" i="28"/>
  <c r="G5" i="7"/>
  <c r="D17" i="21"/>
  <c r="D28" i="28"/>
  <c r="D58" i="28" s="1"/>
  <c r="D62" i="28" s="1"/>
  <c r="D66" i="28"/>
  <c r="D18" i="28" l="1"/>
  <c r="D40" i="28"/>
  <c r="D26" i="28" l="1"/>
  <c r="D42" i="28" s="1"/>
  <c r="D51" i="28" s="1"/>
  <c r="C39" i="27" s="1"/>
  <c r="D54" i="28" l="1"/>
  <c r="C40" i="27" l="1"/>
  <c r="C42" i="27" s="1"/>
  <c r="C44" i="27" s="1"/>
  <c r="C43" i="27" l="1"/>
  <c r="J360" i="3"/>
  <c r="H360" i="3"/>
  <c r="J359" i="3"/>
  <c r="H359" i="3"/>
  <c r="J358" i="3"/>
  <c r="H358" i="3"/>
  <c r="J357" i="3"/>
  <c r="H357" i="3"/>
  <c r="J356" i="3"/>
  <c r="H356" i="3"/>
  <c r="J355" i="3"/>
  <c r="H355" i="3"/>
  <c r="J354" i="3"/>
  <c r="H354" i="3"/>
  <c r="J353" i="3"/>
  <c r="H353" i="3"/>
  <c r="J352" i="3"/>
  <c r="H352" i="3"/>
  <c r="J351" i="3"/>
  <c r="H351" i="3"/>
  <c r="J350" i="3"/>
  <c r="H350" i="3"/>
  <c r="J349" i="3"/>
  <c r="H349" i="3"/>
  <c r="J348" i="3"/>
  <c r="H348" i="3"/>
  <c r="J347" i="3"/>
  <c r="H347" i="3"/>
  <c r="J346" i="3"/>
  <c r="H346" i="3"/>
  <c r="J345" i="3"/>
  <c r="H345" i="3"/>
  <c r="J344" i="3"/>
  <c r="H344" i="3"/>
  <c r="J343" i="3"/>
  <c r="H343" i="3"/>
  <c r="J342" i="3"/>
  <c r="H342" i="3"/>
  <c r="J341" i="3"/>
  <c r="H341" i="3"/>
  <c r="J340" i="3"/>
  <c r="H340" i="3"/>
  <c r="J339" i="3"/>
  <c r="H339" i="3"/>
  <c r="J338" i="3"/>
  <c r="H338" i="3"/>
  <c r="J337" i="3"/>
  <c r="H337" i="3"/>
  <c r="J336" i="3"/>
  <c r="H336" i="3"/>
  <c r="J335" i="3"/>
  <c r="H335" i="3"/>
  <c r="J334" i="3"/>
  <c r="H334" i="3"/>
  <c r="J333" i="3"/>
  <c r="H333" i="3"/>
  <c r="J332" i="3"/>
  <c r="H332" i="3"/>
  <c r="J331" i="3"/>
  <c r="H331" i="3"/>
  <c r="J330" i="3"/>
  <c r="H330" i="3"/>
  <c r="J329" i="3"/>
  <c r="H329" i="3"/>
  <c r="J328" i="3"/>
  <c r="H328" i="3"/>
  <c r="J327" i="3"/>
  <c r="H327" i="3"/>
  <c r="J326" i="3"/>
  <c r="H326" i="3"/>
  <c r="J325" i="3"/>
  <c r="H325" i="3"/>
  <c r="J324" i="3"/>
  <c r="H324" i="3"/>
  <c r="J323" i="3"/>
  <c r="H323" i="3"/>
  <c r="J322" i="3"/>
  <c r="H322" i="3"/>
  <c r="J321" i="3"/>
  <c r="H321" i="3"/>
  <c r="J320" i="3"/>
  <c r="H320" i="3"/>
  <c r="J319" i="3"/>
  <c r="H319" i="3"/>
  <c r="J318" i="3"/>
  <c r="H318" i="3"/>
  <c r="J317" i="3"/>
  <c r="H317" i="3"/>
  <c r="J316" i="3"/>
  <c r="H316" i="3"/>
  <c r="J315" i="3"/>
  <c r="H315" i="3"/>
  <c r="J314" i="3"/>
  <c r="H314" i="3"/>
  <c r="J313" i="3"/>
  <c r="H313" i="3"/>
  <c r="J312" i="3"/>
  <c r="H312" i="3"/>
  <c r="J311" i="3"/>
  <c r="H311" i="3"/>
  <c r="J310" i="3"/>
  <c r="H310" i="3"/>
  <c r="J309" i="3"/>
  <c r="H309" i="3"/>
  <c r="J308" i="3"/>
  <c r="H308" i="3"/>
  <c r="J307" i="3"/>
  <c r="H307" i="3"/>
  <c r="J306" i="3"/>
  <c r="H306" i="3"/>
  <c r="J305" i="3"/>
  <c r="H305" i="3"/>
  <c r="J304" i="3"/>
  <c r="H304" i="3"/>
  <c r="J303" i="3"/>
  <c r="H303" i="3"/>
  <c r="J302" i="3"/>
  <c r="H302" i="3"/>
  <c r="J301" i="3"/>
  <c r="H301" i="3"/>
  <c r="J300" i="3"/>
  <c r="H300" i="3"/>
  <c r="J299" i="3"/>
  <c r="H299" i="3"/>
  <c r="J298" i="3"/>
  <c r="H298" i="3"/>
  <c r="J297" i="3"/>
  <c r="H297" i="3"/>
  <c r="J296" i="3"/>
  <c r="H296" i="3"/>
  <c r="J295" i="3"/>
  <c r="H295" i="3"/>
  <c r="J294" i="3"/>
  <c r="H294" i="3"/>
  <c r="J293" i="3"/>
  <c r="H293" i="3"/>
  <c r="J292" i="3"/>
  <c r="H292" i="3"/>
  <c r="J291" i="3"/>
  <c r="H291" i="3"/>
  <c r="J290" i="3"/>
  <c r="H290" i="3"/>
  <c r="J289" i="3"/>
  <c r="H289" i="3"/>
  <c r="J288" i="3"/>
  <c r="H288" i="3"/>
  <c r="J287" i="3"/>
  <c r="H287" i="3"/>
  <c r="J286" i="3"/>
  <c r="H286" i="3"/>
  <c r="J285" i="3"/>
  <c r="H285" i="3"/>
  <c r="J284" i="3"/>
  <c r="H284" i="3"/>
  <c r="J283" i="3"/>
  <c r="H283" i="3"/>
  <c r="J282" i="3"/>
  <c r="H282" i="3"/>
  <c r="J281" i="3"/>
  <c r="H281" i="3"/>
  <c r="J280" i="3"/>
  <c r="H280" i="3"/>
  <c r="J279" i="3"/>
  <c r="H279" i="3"/>
  <c r="J278" i="3"/>
  <c r="H278" i="3"/>
  <c r="J277" i="3"/>
  <c r="H277" i="3"/>
  <c r="J276" i="3"/>
  <c r="H276" i="3"/>
  <c r="J275" i="3"/>
  <c r="H275" i="3"/>
  <c r="J274" i="3"/>
  <c r="H274" i="3"/>
  <c r="J273" i="3"/>
  <c r="H273" i="3"/>
  <c r="J272" i="3"/>
  <c r="H272" i="3"/>
  <c r="J271" i="3"/>
  <c r="H271" i="3"/>
  <c r="J270" i="3"/>
  <c r="H270" i="3"/>
  <c r="J269" i="3"/>
  <c r="H269" i="3"/>
  <c r="J268" i="3"/>
  <c r="H268" i="3"/>
  <c r="J267" i="3"/>
  <c r="H267" i="3"/>
  <c r="J266" i="3"/>
  <c r="H266" i="3"/>
  <c r="J265" i="3"/>
  <c r="H265" i="3"/>
  <c r="J264" i="3"/>
  <c r="H264" i="3"/>
  <c r="J263" i="3"/>
  <c r="H263" i="3"/>
  <c r="J262" i="3"/>
  <c r="H262" i="3"/>
  <c r="J261" i="3"/>
  <c r="H261" i="3"/>
  <c r="J260" i="3"/>
  <c r="H260" i="3"/>
  <c r="J259" i="3"/>
  <c r="H259" i="3"/>
  <c r="J258" i="3"/>
  <c r="H258" i="3"/>
  <c r="J257" i="3"/>
  <c r="H257" i="3"/>
  <c r="J256" i="3"/>
  <c r="H256" i="3"/>
  <c r="J255" i="3"/>
  <c r="H255" i="3"/>
  <c r="J254" i="3"/>
  <c r="H254" i="3"/>
  <c r="J253" i="3"/>
  <c r="H253" i="3"/>
  <c r="J252" i="3"/>
  <c r="H252" i="3"/>
  <c r="J251" i="3"/>
  <c r="H251" i="3"/>
  <c r="J250" i="3"/>
  <c r="H250" i="3"/>
  <c r="J249" i="3"/>
  <c r="H249" i="3"/>
  <c r="J248" i="3"/>
  <c r="H248" i="3"/>
  <c r="J247" i="3"/>
  <c r="H247" i="3"/>
  <c r="J246" i="3"/>
  <c r="H246" i="3"/>
  <c r="J245" i="3"/>
  <c r="H245" i="3"/>
  <c r="J244" i="3"/>
  <c r="H244" i="3"/>
  <c r="J243" i="3"/>
  <c r="H243" i="3"/>
  <c r="J242" i="3"/>
  <c r="H242" i="3"/>
  <c r="J241" i="3"/>
  <c r="H241" i="3"/>
  <c r="J240" i="3"/>
  <c r="H240" i="3"/>
  <c r="J239" i="3"/>
  <c r="H239" i="3"/>
  <c r="J238" i="3"/>
  <c r="H238" i="3"/>
  <c r="J237" i="3"/>
  <c r="H237" i="3"/>
  <c r="J236" i="3"/>
  <c r="H236" i="3"/>
  <c r="J235" i="3"/>
  <c r="H235" i="3"/>
  <c r="J234" i="3"/>
  <c r="H234" i="3"/>
  <c r="J233" i="3"/>
  <c r="H233" i="3"/>
  <c r="J232" i="3"/>
  <c r="H232" i="3"/>
  <c r="J231" i="3"/>
  <c r="H231" i="3"/>
  <c r="J230" i="3"/>
  <c r="H230" i="3"/>
  <c r="J229" i="3"/>
  <c r="H229" i="3"/>
  <c r="J228" i="3"/>
  <c r="H228" i="3"/>
  <c r="J227" i="3"/>
  <c r="H227" i="3"/>
  <c r="J226" i="3"/>
  <c r="H226" i="3"/>
  <c r="J225" i="3"/>
  <c r="H225" i="3"/>
  <c r="J224" i="3"/>
  <c r="H224" i="3"/>
  <c r="J223" i="3"/>
  <c r="H223" i="3"/>
  <c r="J222" i="3"/>
  <c r="H222" i="3"/>
  <c r="J221" i="3"/>
  <c r="H221" i="3"/>
  <c r="J220" i="3"/>
  <c r="H220" i="3"/>
  <c r="J219" i="3"/>
  <c r="H219" i="3"/>
  <c r="J218" i="3"/>
  <c r="H218" i="3"/>
  <c r="J217" i="3"/>
  <c r="H217" i="3"/>
  <c r="J216" i="3"/>
  <c r="H216" i="3"/>
  <c r="J215" i="3"/>
  <c r="H215" i="3"/>
  <c r="J214" i="3"/>
  <c r="H214" i="3"/>
  <c r="J213" i="3"/>
  <c r="H213" i="3"/>
  <c r="J212" i="3"/>
  <c r="H212" i="3"/>
  <c r="J211" i="3"/>
  <c r="H211" i="3"/>
  <c r="J210" i="3"/>
  <c r="H210" i="3"/>
  <c r="J209" i="3"/>
  <c r="H209" i="3"/>
  <c r="J208" i="3"/>
  <c r="H208" i="3"/>
  <c r="J207" i="3"/>
  <c r="H207" i="3"/>
  <c r="J206" i="3"/>
  <c r="H206" i="3"/>
  <c r="J205" i="3"/>
  <c r="H205" i="3"/>
  <c r="J204" i="3"/>
  <c r="H204" i="3"/>
  <c r="J203" i="3"/>
  <c r="H203" i="3"/>
  <c r="J202" i="3"/>
  <c r="H202" i="3"/>
  <c r="J201" i="3"/>
  <c r="H201" i="3"/>
  <c r="J200" i="3"/>
  <c r="H200" i="3"/>
  <c r="J199" i="3"/>
  <c r="H199" i="3"/>
  <c r="J198" i="3"/>
  <c r="H198" i="3"/>
  <c r="J197" i="3"/>
  <c r="H197" i="3"/>
  <c r="J196" i="3"/>
  <c r="H196" i="3"/>
  <c r="J195" i="3"/>
  <c r="H195" i="3"/>
  <c r="J194" i="3"/>
  <c r="H194" i="3"/>
  <c r="J193" i="3"/>
  <c r="H193" i="3"/>
  <c r="J192" i="3"/>
  <c r="H192" i="3"/>
  <c r="J191" i="3"/>
  <c r="H191" i="3"/>
  <c r="J190" i="3"/>
  <c r="H190" i="3"/>
  <c r="J189" i="3"/>
  <c r="H189" i="3"/>
  <c r="J188" i="3"/>
  <c r="H188" i="3"/>
  <c r="J187" i="3"/>
  <c r="H187" i="3"/>
  <c r="J186" i="3"/>
  <c r="H186" i="3"/>
  <c r="J185" i="3"/>
  <c r="H185" i="3"/>
  <c r="J184" i="3"/>
  <c r="H184" i="3"/>
  <c r="J183" i="3"/>
  <c r="H183" i="3"/>
  <c r="J182" i="3"/>
  <c r="H182" i="3"/>
  <c r="J181" i="3"/>
  <c r="H181" i="3"/>
  <c r="J180" i="3"/>
  <c r="H180" i="3"/>
  <c r="J179" i="3"/>
  <c r="H179" i="3"/>
  <c r="J178" i="3"/>
  <c r="H178" i="3"/>
  <c r="J177" i="3"/>
  <c r="H177" i="3"/>
  <c r="J176" i="3"/>
  <c r="H176" i="3"/>
  <c r="J175" i="3"/>
  <c r="H175" i="3"/>
  <c r="J174" i="3"/>
  <c r="H174" i="3"/>
  <c r="J173" i="3"/>
  <c r="H173" i="3"/>
  <c r="J172" i="3"/>
  <c r="H172" i="3"/>
  <c r="J171" i="3"/>
  <c r="H171" i="3"/>
  <c r="J170" i="3"/>
  <c r="H170" i="3"/>
  <c r="J169" i="3"/>
  <c r="H169" i="3"/>
  <c r="J168" i="3"/>
  <c r="H168" i="3"/>
  <c r="J167" i="3"/>
  <c r="H167" i="3"/>
  <c r="J166" i="3"/>
  <c r="H166" i="3"/>
  <c r="J165" i="3"/>
  <c r="H165" i="3"/>
  <c r="J164" i="3"/>
  <c r="H164" i="3"/>
  <c r="J163" i="3"/>
  <c r="H163" i="3"/>
  <c r="J162" i="3"/>
  <c r="H162" i="3"/>
  <c r="J161" i="3"/>
  <c r="H161" i="3"/>
  <c r="J160" i="3"/>
  <c r="H160" i="3"/>
  <c r="J159" i="3"/>
  <c r="H159" i="3"/>
  <c r="J158" i="3"/>
  <c r="H158" i="3"/>
  <c r="J157" i="3"/>
  <c r="H157" i="3"/>
  <c r="J156" i="3"/>
  <c r="H156" i="3"/>
  <c r="J155" i="3"/>
  <c r="H155" i="3"/>
  <c r="J154" i="3"/>
  <c r="H154" i="3"/>
  <c r="J153" i="3"/>
  <c r="H153" i="3"/>
  <c r="J152" i="3"/>
  <c r="H152" i="3"/>
  <c r="J151" i="3"/>
  <c r="H151" i="3"/>
  <c r="J150" i="3"/>
  <c r="H150" i="3"/>
  <c r="J149" i="3"/>
  <c r="H149" i="3"/>
  <c r="J148" i="3"/>
  <c r="H148" i="3"/>
  <c r="J147" i="3"/>
  <c r="H147" i="3"/>
  <c r="J146" i="3"/>
  <c r="H146" i="3"/>
  <c r="J145" i="3"/>
  <c r="H145" i="3"/>
  <c r="J144" i="3"/>
  <c r="H144" i="3"/>
  <c r="J143" i="3"/>
  <c r="H143" i="3"/>
  <c r="J142" i="3"/>
  <c r="H142" i="3"/>
  <c r="J141" i="3"/>
  <c r="H141" i="3"/>
  <c r="J140" i="3"/>
  <c r="H140" i="3"/>
  <c r="J139" i="3"/>
  <c r="H139" i="3"/>
  <c r="J138" i="3"/>
  <c r="H138" i="3"/>
  <c r="J137" i="3"/>
  <c r="H137" i="3"/>
  <c r="J136" i="3"/>
  <c r="H136" i="3"/>
  <c r="J135" i="3"/>
  <c r="H135" i="3"/>
  <c r="J134" i="3"/>
  <c r="H134" i="3"/>
  <c r="J133" i="3"/>
  <c r="H133" i="3"/>
  <c r="J132" i="3"/>
  <c r="H132" i="3"/>
  <c r="J131" i="3"/>
  <c r="H131" i="3"/>
  <c r="J130" i="3"/>
  <c r="H130" i="3"/>
  <c r="J129" i="3"/>
  <c r="H129" i="3"/>
  <c r="J128" i="3"/>
  <c r="H128" i="3"/>
  <c r="J127" i="3"/>
  <c r="H127" i="3"/>
  <c r="J126" i="3"/>
  <c r="H126" i="3"/>
  <c r="J125" i="3"/>
  <c r="H125" i="3"/>
  <c r="J124" i="3"/>
  <c r="H124" i="3"/>
  <c r="J123" i="3"/>
  <c r="H123" i="3"/>
  <c r="J122" i="3"/>
  <c r="H122" i="3"/>
  <c r="J121" i="3"/>
  <c r="H121" i="3"/>
  <c r="J120" i="3"/>
  <c r="H120" i="3"/>
  <c r="J119" i="3"/>
  <c r="H119" i="3"/>
  <c r="J118" i="3"/>
  <c r="H118" i="3"/>
  <c r="J117" i="3"/>
  <c r="H117" i="3"/>
  <c r="J116" i="3"/>
  <c r="H116" i="3"/>
  <c r="J115" i="3"/>
  <c r="H115" i="3"/>
  <c r="J114" i="3"/>
  <c r="H114" i="3"/>
  <c r="J113" i="3"/>
  <c r="H113" i="3"/>
  <c r="J76" i="3"/>
  <c r="H76" i="3"/>
  <c r="J86" i="3"/>
  <c r="H86" i="3"/>
  <c r="J93" i="3"/>
  <c r="H93" i="3"/>
  <c r="J55" i="3"/>
  <c r="H55" i="3"/>
  <c r="J21" i="3"/>
  <c r="H21" i="3"/>
  <c r="J81" i="3"/>
  <c r="H81" i="3"/>
  <c r="J54" i="3"/>
  <c r="H54" i="3"/>
  <c r="J49" i="3"/>
  <c r="H49" i="3"/>
  <c r="J63" i="3"/>
  <c r="H63" i="3"/>
  <c r="J92" i="3"/>
  <c r="H92" i="3"/>
  <c r="J106" i="3"/>
  <c r="H106" i="3"/>
  <c r="J110" i="3"/>
  <c r="H110" i="3"/>
  <c r="J66" i="3"/>
  <c r="H66" i="3"/>
  <c r="J53" i="3"/>
  <c r="H53" i="3"/>
  <c r="J70" i="3"/>
  <c r="H70" i="3"/>
  <c r="J74" i="3"/>
  <c r="H74" i="3"/>
  <c r="J73" i="3"/>
  <c r="H73" i="3"/>
  <c r="J98" i="3"/>
  <c r="H98" i="3"/>
  <c r="J94" i="3"/>
  <c r="H94" i="3"/>
  <c r="J65" i="3"/>
  <c r="H65" i="3"/>
  <c r="J72" i="3"/>
  <c r="H72" i="3"/>
  <c r="J79" i="3"/>
  <c r="H79" i="3"/>
  <c r="J71" i="3"/>
  <c r="H71" i="3"/>
  <c r="J46" i="3"/>
  <c r="H46" i="3"/>
  <c r="J20" i="3"/>
  <c r="H20" i="3"/>
  <c r="J102" i="3"/>
  <c r="H102" i="3"/>
  <c r="J45" i="3"/>
  <c r="H45" i="3"/>
  <c r="J111" i="3"/>
  <c r="H111" i="3"/>
  <c r="J47" i="3"/>
  <c r="H47" i="3"/>
  <c r="J69" i="3"/>
  <c r="H69" i="3"/>
  <c r="J90" i="3"/>
  <c r="H90" i="3"/>
  <c r="J68" i="3"/>
  <c r="H68" i="3"/>
  <c r="J84" i="3"/>
  <c r="H84" i="3"/>
  <c r="J105" i="3"/>
  <c r="H105" i="3"/>
  <c r="J91" i="3"/>
  <c r="H91" i="3"/>
  <c r="J85" i="3"/>
  <c r="H85" i="3"/>
  <c r="J101" i="3"/>
  <c r="H101" i="3"/>
  <c r="J59" i="3"/>
  <c r="H59" i="3"/>
  <c r="J83" i="3"/>
  <c r="H83" i="3"/>
  <c r="J61" i="3"/>
  <c r="H61" i="3"/>
  <c r="J11" i="3"/>
  <c r="H11" i="3"/>
  <c r="J78" i="3"/>
  <c r="H78" i="3"/>
  <c r="J100" i="3"/>
  <c r="H100" i="3"/>
  <c r="J97" i="3"/>
  <c r="H97" i="3"/>
  <c r="J99" i="3"/>
  <c r="H99" i="3"/>
  <c r="J48" i="3"/>
  <c r="H48" i="3"/>
  <c r="J23" i="3"/>
  <c r="H23" i="3"/>
  <c r="J51" i="3"/>
  <c r="H51" i="3"/>
  <c r="J108" i="3"/>
  <c r="H108" i="3"/>
  <c r="J103" i="3"/>
  <c r="H103" i="3"/>
  <c r="J64" i="3"/>
  <c r="H64" i="3"/>
  <c r="J80" i="3"/>
  <c r="H80" i="3"/>
  <c r="J88" i="3"/>
  <c r="H88" i="3"/>
  <c r="J18" i="3"/>
  <c r="H18" i="3"/>
  <c r="J62" i="3"/>
  <c r="H62" i="3"/>
  <c r="J75" i="3"/>
  <c r="H75" i="3"/>
  <c r="J112" i="3"/>
  <c r="H112" i="3"/>
  <c r="J82" i="3"/>
  <c r="H82" i="3"/>
  <c r="J87" i="3"/>
  <c r="H87" i="3"/>
  <c r="J95" i="3"/>
  <c r="H95" i="3"/>
  <c r="J58" i="3"/>
  <c r="H58" i="3"/>
  <c r="J52" i="3"/>
  <c r="H52" i="3"/>
  <c r="J89" i="3"/>
  <c r="H89" i="3"/>
  <c r="J109" i="3"/>
  <c r="H109" i="3"/>
  <c r="J67" i="3"/>
  <c r="H67" i="3"/>
  <c r="J107" i="3"/>
  <c r="H107" i="3"/>
  <c r="J104" i="3"/>
  <c r="H104" i="3"/>
  <c r="J56" i="3"/>
  <c r="H56" i="3"/>
  <c r="J44" i="3"/>
  <c r="H44" i="3"/>
  <c r="J43" i="3"/>
  <c r="H43" i="3"/>
  <c r="J42" i="3"/>
  <c r="H42" i="3"/>
  <c r="J41" i="3"/>
  <c r="H41" i="3"/>
  <c r="J40" i="3"/>
  <c r="H40" i="3"/>
  <c r="J39" i="3"/>
  <c r="H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50" i="3"/>
  <c r="H50" i="3"/>
  <c r="J60" i="3"/>
  <c r="H60" i="3"/>
  <c r="J22" i="3"/>
  <c r="H22" i="3"/>
  <c r="J96" i="3"/>
  <c r="H96" i="3"/>
  <c r="J19" i="3"/>
  <c r="H19" i="3"/>
  <c r="J57" i="3"/>
  <c r="H57" i="3"/>
  <c r="J17" i="3"/>
  <c r="H17" i="3"/>
  <c r="J16" i="3"/>
  <c r="H16" i="3"/>
  <c r="J15" i="3"/>
  <c r="J14" i="3"/>
  <c r="H14" i="3"/>
  <c r="J13" i="3"/>
  <c r="H13" i="3"/>
  <c r="J12" i="3"/>
  <c r="H12" i="3"/>
  <c r="J77" i="3"/>
  <c r="H77" i="3"/>
  <c r="J10" i="3"/>
  <c r="H10" i="3"/>
  <c r="J9" i="3"/>
  <c r="H9" i="3"/>
  <c r="J8" i="3"/>
  <c r="H8" i="3"/>
  <c r="J7" i="3"/>
  <c r="H7" i="3"/>
  <c r="J6" i="3"/>
  <c r="H6" i="3"/>
  <c r="J5" i="3"/>
  <c r="H5" i="3"/>
  <c r="J4" i="3"/>
  <c r="H4" i="3"/>
  <c r="J3" i="3"/>
  <c r="H3" i="3"/>
  <c r="J2" i="3"/>
  <c r="I2" i="3"/>
  <c r="I39" i="6" s="1"/>
  <c r="H2" i="3"/>
  <c r="F18" i="12"/>
  <c r="F17" i="12"/>
  <c r="C39" i="6" l="1"/>
  <c r="D119" i="7"/>
  <c r="F119" i="7" s="1"/>
  <c r="J119" i="7"/>
  <c r="L119" i="7" s="1"/>
  <c r="I45" i="6"/>
  <c r="K45" i="6" s="1"/>
  <c r="C45" i="6"/>
  <c r="E45" i="6" s="1"/>
  <c r="C40" i="4" s="1"/>
  <c r="K40" i="4" s="1"/>
  <c r="I38" i="6"/>
  <c r="K38" i="6" s="1"/>
  <c r="C38" i="6"/>
  <c r="E38" i="6" s="1"/>
  <c r="C42" i="4" s="1"/>
  <c r="K42" i="4" s="1"/>
  <c r="C126" i="16"/>
  <c r="J102" i="7"/>
  <c r="L102" i="7" s="1"/>
  <c r="D102" i="7"/>
  <c r="F102" i="7" s="1"/>
  <c r="I21" i="6"/>
  <c r="K21" i="6" s="1"/>
  <c r="C21" i="6"/>
  <c r="E21" i="6" s="1"/>
  <c r="C22" i="4" s="1"/>
  <c r="K22" i="4" s="1"/>
  <c r="C41" i="6"/>
  <c r="E41" i="6" s="1"/>
  <c r="C38" i="4" s="1"/>
  <c r="I41" i="6"/>
  <c r="K41" i="6" s="1"/>
  <c r="I35" i="6"/>
  <c r="I36" i="6"/>
  <c r="K36" i="6" s="1"/>
  <c r="C36" i="6"/>
  <c r="E36" i="6" s="1"/>
  <c r="C37" i="4" s="1"/>
  <c r="D5" i="7"/>
  <c r="J107" i="7"/>
  <c r="L107" i="7" s="1"/>
  <c r="D30" i="7"/>
  <c r="F30" i="7" s="1"/>
  <c r="D31" i="7"/>
  <c r="G70" i="28" s="1"/>
  <c r="J9" i="7"/>
  <c r="L9" i="7" s="1"/>
  <c r="D9" i="7"/>
  <c r="F9" i="7" s="1"/>
  <c r="J115" i="7"/>
  <c r="L115" i="7" s="1"/>
  <c r="J71" i="7"/>
  <c r="L71" i="7" s="1"/>
  <c r="J63" i="7"/>
  <c r="L63" i="7" s="1"/>
  <c r="D69" i="7"/>
  <c r="F69" i="7" s="1"/>
  <c r="D61" i="7"/>
  <c r="F61" i="7" s="1"/>
  <c r="J41" i="7"/>
  <c r="L41" i="7" s="1"/>
  <c r="D42" i="7"/>
  <c r="F42" i="7" s="1"/>
  <c r="J20" i="7"/>
  <c r="L20" i="7" s="1"/>
  <c r="D21" i="7"/>
  <c r="F21" i="7" s="1"/>
  <c r="J70" i="7"/>
  <c r="L70" i="7" s="1"/>
  <c r="J62" i="7"/>
  <c r="L62" i="7" s="1"/>
  <c r="D68" i="7"/>
  <c r="F68" i="7" s="1"/>
  <c r="D60" i="7"/>
  <c r="F60" i="7" s="1"/>
  <c r="J40" i="7"/>
  <c r="L40" i="7" s="1"/>
  <c r="D41" i="7"/>
  <c r="F41" i="7" s="1"/>
  <c r="J19" i="7"/>
  <c r="L19" i="7" s="1"/>
  <c r="D20" i="7"/>
  <c r="F20" i="7" s="1"/>
  <c r="D115" i="7"/>
  <c r="F115" i="7" s="1"/>
  <c r="J86" i="7"/>
  <c r="L86" i="7" s="1"/>
  <c r="J69" i="7"/>
  <c r="L69" i="7" s="1"/>
  <c r="J61" i="7"/>
  <c r="L61" i="7" s="1"/>
  <c r="D67" i="7"/>
  <c r="F67" i="7" s="1"/>
  <c r="D59" i="7"/>
  <c r="F59" i="7" s="1"/>
  <c r="J39" i="7"/>
  <c r="L39" i="7" s="1"/>
  <c r="D40" i="7"/>
  <c r="F40" i="7" s="1"/>
  <c r="J18" i="7"/>
  <c r="L18" i="7" s="1"/>
  <c r="D19" i="7"/>
  <c r="F19" i="7" s="1"/>
  <c r="J85" i="7"/>
  <c r="L85" i="7" s="1"/>
  <c r="J68" i="7"/>
  <c r="L68" i="7" s="1"/>
  <c r="J60" i="7"/>
  <c r="L60" i="7" s="1"/>
  <c r="D66" i="7"/>
  <c r="F66" i="7" s="1"/>
  <c r="D58" i="7"/>
  <c r="F58" i="7" s="1"/>
  <c r="J38" i="7"/>
  <c r="L38" i="7" s="1"/>
  <c r="D39" i="7"/>
  <c r="F39" i="7" s="1"/>
  <c r="J17" i="7"/>
  <c r="L17" i="7" s="1"/>
  <c r="D18" i="7"/>
  <c r="J67" i="7"/>
  <c r="L67" i="7" s="1"/>
  <c r="J59" i="7"/>
  <c r="L59" i="7" s="1"/>
  <c r="D65" i="7"/>
  <c r="F65" i="7" s="1"/>
  <c r="J45" i="7"/>
  <c r="L45" i="7" s="1"/>
  <c r="J37" i="7"/>
  <c r="L37" i="7" s="1"/>
  <c r="D38" i="7"/>
  <c r="F38" i="7" s="1"/>
  <c r="J16" i="7"/>
  <c r="L16" i="7" s="1"/>
  <c r="D17" i="7"/>
  <c r="F17" i="7" s="1"/>
  <c r="J84" i="7"/>
  <c r="L84" i="7" s="1"/>
  <c r="D86" i="7"/>
  <c r="F86" i="7" s="1"/>
  <c r="J66" i="7"/>
  <c r="L66" i="7" s="1"/>
  <c r="J58" i="7"/>
  <c r="L58" i="7" s="1"/>
  <c r="D64" i="7"/>
  <c r="F64" i="7" s="1"/>
  <c r="J44" i="7"/>
  <c r="L44" i="7" s="1"/>
  <c r="D45" i="7"/>
  <c r="F45" i="7" s="1"/>
  <c r="D37" i="7"/>
  <c r="F37" i="7" s="1"/>
  <c r="J15" i="7"/>
  <c r="L15" i="7" s="1"/>
  <c r="D16" i="7"/>
  <c r="D85" i="7"/>
  <c r="F85" i="7" s="1"/>
  <c r="J65" i="7"/>
  <c r="L65" i="7" s="1"/>
  <c r="D71" i="7"/>
  <c r="F71" i="7" s="1"/>
  <c r="D63" i="7"/>
  <c r="F63" i="7" s="1"/>
  <c r="J43" i="7"/>
  <c r="L43" i="7" s="1"/>
  <c r="D44" i="7"/>
  <c r="F44" i="7" s="1"/>
  <c r="J22" i="7"/>
  <c r="L22" i="7" s="1"/>
  <c r="J14" i="7"/>
  <c r="L14" i="7" s="1"/>
  <c r="D15" i="7"/>
  <c r="F15" i="7" s="1"/>
  <c r="D84" i="7"/>
  <c r="F84" i="7" s="1"/>
  <c r="J64" i="7"/>
  <c r="L64" i="7" s="1"/>
  <c r="D70" i="7"/>
  <c r="F70" i="7" s="1"/>
  <c r="D62" i="7"/>
  <c r="F62" i="7" s="1"/>
  <c r="J42" i="7"/>
  <c r="L42" i="7" s="1"/>
  <c r="D43" i="7"/>
  <c r="F43" i="7" s="1"/>
  <c r="J21" i="7"/>
  <c r="L21" i="7" s="1"/>
  <c r="D22" i="7"/>
  <c r="F22" i="7" s="1"/>
  <c r="D14" i="7"/>
  <c r="F14" i="7" s="1"/>
  <c r="I22" i="6"/>
  <c r="I11" i="6"/>
  <c r="K11" i="6" s="1"/>
  <c r="C11" i="6"/>
  <c r="E11" i="6" s="1"/>
  <c r="F16" i="12"/>
  <c r="F19" i="12"/>
  <c r="N40" i="4" l="1"/>
  <c r="M40" i="4"/>
  <c r="L41" i="6"/>
  <c r="M21" i="6"/>
  <c r="L21" i="6"/>
  <c r="L36" i="6"/>
  <c r="M11" i="6"/>
  <c r="L11" i="6"/>
  <c r="M38" i="6"/>
  <c r="L38" i="6"/>
  <c r="M45" i="6"/>
  <c r="L45" i="6"/>
  <c r="M36" i="6"/>
  <c r="N36" i="6"/>
  <c r="O36" i="6" s="1"/>
  <c r="N42" i="4"/>
  <c r="M42" i="4"/>
  <c r="L16" i="16"/>
  <c r="G16" i="16" s="1"/>
  <c r="N22" i="4"/>
  <c r="M22" i="4"/>
  <c r="G28" i="19"/>
  <c r="G31" i="19" s="1"/>
  <c r="D126" i="7"/>
  <c r="J126" i="7"/>
  <c r="E13" i="21"/>
  <c r="F13" i="21" s="1"/>
  <c r="C10" i="22" s="1"/>
  <c r="E6" i="21"/>
  <c r="F6" i="21" s="1"/>
  <c r="C9" i="22" s="1"/>
  <c r="F18" i="7"/>
  <c r="F16" i="7"/>
  <c r="L126" i="7"/>
  <c r="E16" i="12"/>
  <c r="E15" i="12"/>
  <c r="D15" i="12"/>
  <c r="C63" i="16" l="1"/>
  <c r="G36" i="16"/>
  <c r="E9" i="21"/>
  <c r="F9" i="21" s="1"/>
  <c r="F126" i="7"/>
  <c r="D63" i="16" l="1"/>
  <c r="D33" i="17" s="1"/>
  <c r="C33" i="17"/>
  <c r="D26" i="17"/>
  <c r="C26" i="17"/>
  <c r="B26" i="17"/>
  <c r="B24" i="17"/>
  <c r="B22" i="17"/>
  <c r="B21" i="17"/>
  <c r="B19" i="17"/>
  <c r="B51" i="16"/>
  <c r="B20" i="17" s="1"/>
  <c r="B48" i="16"/>
  <c r="B17" i="17" s="1"/>
  <c r="J11" i="19" l="1"/>
  <c r="H29" i="19"/>
  <c r="J29" i="19" s="1"/>
  <c r="H11" i="19"/>
  <c r="H13" i="19" s="1"/>
  <c r="B55" i="17"/>
  <c r="B54" i="17"/>
  <c r="B53" i="17"/>
  <c r="C83" i="16" l="1"/>
  <c r="D83" i="16" l="1"/>
  <c r="D54" i="17"/>
  <c r="B69" i="16" l="1"/>
  <c r="B52" i="17" l="1"/>
  <c r="D31" i="19" l="1"/>
  <c r="E27" i="19"/>
  <c r="E31" i="19" l="1"/>
  <c r="C31" i="19"/>
  <c r="C34" i="19"/>
  <c r="J27" i="19"/>
  <c r="M17" i="6" l="1"/>
  <c r="M18" i="6"/>
  <c r="M19" i="6"/>
  <c r="M26" i="6"/>
  <c r="M28" i="6"/>
  <c r="M29" i="6"/>
  <c r="M30" i="6"/>
  <c r="M31" i="6"/>
  <c r="M49" i="6"/>
  <c r="M51" i="6"/>
  <c r="M52" i="6"/>
  <c r="M53" i="6"/>
  <c r="M62" i="6"/>
  <c r="D48" i="6" l="1"/>
  <c r="C81" i="16" l="1"/>
  <c r="C174" i="16"/>
  <c r="D52" i="17" l="1"/>
  <c r="D81" i="16"/>
  <c r="C54" i="16" l="1"/>
  <c r="B54" i="16"/>
  <c r="B23" i="17" s="1"/>
  <c r="D54" i="16" l="1"/>
  <c r="D23" i="17" s="1"/>
  <c r="C23" i="17"/>
  <c r="K39" i="6" l="1"/>
  <c r="J32" i="6"/>
  <c r="M39" i="6" l="1"/>
  <c r="K22" i="6"/>
  <c r="M22" i="6" l="1"/>
  <c r="F28" i="18"/>
  <c r="D15" i="18" l="1"/>
  <c r="D27" i="18" l="1"/>
  <c r="D48" i="18"/>
  <c r="D38" i="18" l="1"/>
  <c r="G10" i="19" l="1"/>
  <c r="J10" i="19" s="1"/>
  <c r="F31" i="16"/>
  <c r="K56" i="7"/>
  <c r="K35" i="7"/>
  <c r="D25" i="5"/>
  <c r="K108" i="7" l="1"/>
  <c r="J35" i="6"/>
  <c r="C24" i="4"/>
  <c r="K24" i="4" s="1"/>
  <c r="E56" i="7" l="1"/>
  <c r="E35" i="7"/>
  <c r="K112" i="7" l="1"/>
  <c r="D61" i="18"/>
  <c r="D59" i="18"/>
  <c r="D60" i="18"/>
  <c r="D58" i="18"/>
  <c r="D57" i="18"/>
  <c r="D56" i="18"/>
  <c r="D55" i="18"/>
  <c r="D54" i="18"/>
  <c r="F62" i="18"/>
  <c r="D49" i="18"/>
  <c r="D47" i="18"/>
  <c r="D46" i="18"/>
  <c r="D45" i="18"/>
  <c r="F50" i="18"/>
  <c r="D40" i="18"/>
  <c r="D37" i="18"/>
  <c r="D39" i="18"/>
  <c r="D36" i="18"/>
  <c r="D35" i="18"/>
  <c r="D62" i="18" l="1"/>
  <c r="D50" i="18"/>
  <c r="D34" i="18" l="1"/>
  <c r="D41" i="18" s="1"/>
  <c r="F41" i="18"/>
  <c r="D25" i="18"/>
  <c r="D26" i="18"/>
  <c r="D23" i="18"/>
  <c r="D24" i="18"/>
  <c r="D28" i="18" l="1"/>
  <c r="D13" i="18"/>
  <c r="D12" i="18"/>
  <c r="D11" i="18"/>
  <c r="D10" i="18"/>
  <c r="F14" i="18"/>
  <c r="F16" i="18" s="1"/>
  <c r="G9" i="19"/>
  <c r="F13" i="19"/>
  <c r="E13" i="19"/>
  <c r="D13" i="19"/>
  <c r="C13" i="19"/>
  <c r="J9" i="19" l="1"/>
  <c r="G13" i="19"/>
  <c r="D14" i="18"/>
  <c r="D16" i="18" s="1"/>
  <c r="D31" i="17" l="1"/>
  <c r="C31" i="17"/>
  <c r="C138" i="16"/>
  <c r="C45" i="16"/>
  <c r="C124" i="16"/>
  <c r="D112" i="16"/>
  <c r="A110" i="16"/>
  <c r="D101" i="16"/>
  <c r="A99" i="16"/>
  <c r="G14" i="16"/>
  <c r="C62" i="16" s="1"/>
  <c r="D90" i="16"/>
  <c r="A88" i="16"/>
  <c r="C76" i="16"/>
  <c r="D76" i="16" s="1"/>
  <c r="D47" i="17" s="1"/>
  <c r="C46" i="17"/>
  <c r="D68" i="16"/>
  <c r="B49" i="16"/>
  <c r="B18" i="17" s="1"/>
  <c r="A31" i="16"/>
  <c r="A28" i="16"/>
  <c r="D114" i="16" l="1"/>
  <c r="H26" i="16" s="1"/>
  <c r="D103" i="16"/>
  <c r="H25" i="16" s="1"/>
  <c r="D84" i="16"/>
  <c r="D55" i="17"/>
  <c r="D44" i="16"/>
  <c r="D12" i="17" s="1"/>
  <c r="D75" i="16"/>
  <c r="D46" i="17" s="1"/>
  <c r="C133" i="16"/>
  <c r="D96" i="16"/>
  <c r="D37" i="16"/>
  <c r="C47" i="17"/>
  <c r="C12" i="17"/>
  <c r="C13" i="17"/>
  <c r="D45" i="16"/>
  <c r="D13" i="17" s="1"/>
  <c r="C32" i="17"/>
  <c r="D107" i="16" l="1"/>
  <c r="C70" i="16"/>
  <c r="D70" i="16" s="1"/>
  <c r="D41" i="17" s="1"/>
  <c r="D118" i="16"/>
  <c r="D47" i="16"/>
  <c r="D15" i="17" s="1"/>
  <c r="C175" i="16"/>
  <c r="D64" i="16"/>
  <c r="C66" i="16"/>
  <c r="C41" i="17" l="1"/>
  <c r="C15" i="17"/>
  <c r="D62" i="16"/>
  <c r="D32" i="17" s="1"/>
  <c r="C35" i="17" l="1"/>
  <c r="D66" i="16"/>
  <c r="D35" i="17" s="1"/>
  <c r="H70" i="12" l="1"/>
  <c r="G69" i="12"/>
  <c r="I69" i="12" s="1"/>
  <c r="E69" i="12"/>
  <c r="G68" i="12"/>
  <c r="G70" i="12" s="1"/>
  <c r="E68" i="12"/>
  <c r="E70" i="12" s="1"/>
  <c r="D68" i="12"/>
  <c r="D70" i="12" s="1"/>
  <c r="C68" i="12"/>
  <c r="C70" i="12" s="1"/>
  <c r="I67" i="12"/>
  <c r="D67" i="12"/>
  <c r="I66" i="12"/>
  <c r="I65" i="12"/>
  <c r="D65" i="12"/>
  <c r="C65" i="12"/>
  <c r="I64" i="12"/>
  <c r="I63" i="12"/>
  <c r="G62" i="12"/>
  <c r="I62" i="12" s="1"/>
  <c r="E62" i="12"/>
  <c r="D62" i="12"/>
  <c r="I61" i="12"/>
  <c r="E56" i="12"/>
  <c r="C56" i="12"/>
  <c r="H48" i="12"/>
  <c r="H49" i="12" s="1"/>
  <c r="G48" i="12"/>
  <c r="E48" i="12"/>
  <c r="E49" i="12" s="1"/>
  <c r="D48" i="12"/>
  <c r="C48" i="12"/>
  <c r="H47" i="12"/>
  <c r="G47" i="12"/>
  <c r="E47" i="12"/>
  <c r="D47" i="12"/>
  <c r="H38" i="12"/>
  <c r="G37" i="12"/>
  <c r="I37" i="12" s="1"/>
  <c r="E37" i="12"/>
  <c r="G36" i="12"/>
  <c r="I36" i="12" s="1"/>
  <c r="E36" i="12"/>
  <c r="E38" i="12" s="1"/>
  <c r="D36" i="12"/>
  <c r="D38" i="12" s="1"/>
  <c r="C36" i="12"/>
  <c r="C38" i="12" s="1"/>
  <c r="I35" i="12"/>
  <c r="D35" i="12"/>
  <c r="C35" i="12"/>
  <c r="C37" i="12" s="1"/>
  <c r="K34" i="12"/>
  <c r="K38" i="12" s="1"/>
  <c r="I34" i="12"/>
  <c r="I33" i="12"/>
  <c r="D33" i="12"/>
  <c r="C33" i="12"/>
  <c r="I32" i="12"/>
  <c r="I31" i="12"/>
  <c r="G30" i="12"/>
  <c r="I30" i="12" s="1"/>
  <c r="E30" i="12"/>
  <c r="D30" i="12"/>
  <c r="I29" i="12"/>
  <c r="K27" i="12"/>
  <c r="K29" i="12" s="1"/>
  <c r="E26" i="12"/>
  <c r="E24" i="12"/>
  <c r="C24" i="12"/>
  <c r="J14" i="12"/>
  <c r="K14" i="12" s="1"/>
  <c r="D4" i="12"/>
  <c r="C4" i="12"/>
  <c r="C5" i="12" s="1"/>
  <c r="D2" i="12" s="1"/>
  <c r="G3" i="12"/>
  <c r="E3" i="12"/>
  <c r="C20" i="10"/>
  <c r="C19" i="10"/>
  <c r="C18" i="10"/>
  <c r="G8" i="10"/>
  <c r="F8" i="10"/>
  <c r="E8" i="10"/>
  <c r="F7" i="10"/>
  <c r="E7" i="10"/>
  <c r="D7" i="10"/>
  <c r="C6" i="10"/>
  <c r="D6" i="10" s="1"/>
  <c r="E6" i="10" s="1"/>
  <c r="C5" i="10"/>
  <c r="D5" i="10" s="1"/>
  <c r="B5" i="10"/>
  <c r="E1" i="10"/>
  <c r="F1" i="10" s="1"/>
  <c r="G1" i="10" s="1"/>
  <c r="H1" i="10" s="1"/>
  <c r="I1" i="10" s="1"/>
  <c r="D1" i="10"/>
  <c r="I69" i="9"/>
  <c r="H69" i="9"/>
  <c r="G69" i="9"/>
  <c r="E69" i="9"/>
  <c r="I68" i="9"/>
  <c r="G68" i="9"/>
  <c r="E68" i="9"/>
  <c r="G67" i="9"/>
  <c r="I67" i="9" s="1"/>
  <c r="E67" i="9"/>
  <c r="D67" i="9"/>
  <c r="D69" i="9" s="1"/>
  <c r="C67" i="9"/>
  <c r="C69" i="9" s="1"/>
  <c r="I66" i="9"/>
  <c r="D66" i="9"/>
  <c r="I65" i="9"/>
  <c r="I64" i="9"/>
  <c r="D64" i="9"/>
  <c r="D68" i="9" s="1"/>
  <c r="C64" i="9"/>
  <c r="I63" i="9"/>
  <c r="I62" i="9"/>
  <c r="G61" i="9"/>
  <c r="I61" i="9" s="1"/>
  <c r="E61" i="9"/>
  <c r="D61" i="9"/>
  <c r="I60" i="9"/>
  <c r="E55" i="9"/>
  <c r="C55" i="9"/>
  <c r="I47" i="9"/>
  <c r="I48" i="9" s="1"/>
  <c r="H47" i="9"/>
  <c r="H48" i="9" s="1"/>
  <c r="G47" i="9"/>
  <c r="G49" i="9" s="1"/>
  <c r="E47" i="9"/>
  <c r="D47" i="9"/>
  <c r="D48" i="9" s="1"/>
  <c r="C47" i="9"/>
  <c r="H46" i="9"/>
  <c r="G46" i="9"/>
  <c r="I46" i="9" s="1"/>
  <c r="E46" i="9"/>
  <c r="E57" i="9" s="1"/>
  <c r="D46" i="9"/>
  <c r="E49" i="9" s="1"/>
  <c r="H37" i="9"/>
  <c r="D37" i="9"/>
  <c r="C37" i="9"/>
  <c r="I36" i="9"/>
  <c r="G36" i="9"/>
  <c r="E36" i="9"/>
  <c r="G35" i="9"/>
  <c r="G37" i="9" s="1"/>
  <c r="I37" i="9" s="1"/>
  <c r="E35" i="9"/>
  <c r="E37" i="9" s="1"/>
  <c r="D35" i="9"/>
  <c r="C35" i="9"/>
  <c r="I34" i="9"/>
  <c r="D34" i="9"/>
  <c r="C34" i="9"/>
  <c r="C36" i="9" s="1"/>
  <c r="K33" i="9"/>
  <c r="K37" i="9" s="1"/>
  <c r="I33" i="9"/>
  <c r="I32" i="9"/>
  <c r="D32" i="9"/>
  <c r="D36" i="9" s="1"/>
  <c r="C32" i="9"/>
  <c r="I31" i="9"/>
  <c r="I30" i="9"/>
  <c r="I29" i="9"/>
  <c r="G29" i="9"/>
  <c r="E29" i="9"/>
  <c r="D29" i="9"/>
  <c r="K28" i="9"/>
  <c r="I28" i="9"/>
  <c r="K26" i="9"/>
  <c r="E25" i="9"/>
  <c r="E23" i="9"/>
  <c r="C23" i="9"/>
  <c r="J18" i="9"/>
  <c r="E16" i="9"/>
  <c r="E15" i="9"/>
  <c r="D15" i="9"/>
  <c r="J14" i="9"/>
  <c r="K14" i="9" s="1"/>
  <c r="C5" i="9"/>
  <c r="D2" i="9" s="1"/>
  <c r="D5" i="9" s="1"/>
  <c r="E2" i="9" s="1"/>
  <c r="E5" i="9" s="1"/>
  <c r="G2" i="9" s="1"/>
  <c r="G5" i="9" s="1"/>
  <c r="D4" i="9"/>
  <c r="C4" i="9"/>
  <c r="G3" i="9"/>
  <c r="E3" i="9"/>
  <c r="J48" i="6"/>
  <c r="K60" i="4"/>
  <c r="K38" i="4"/>
  <c r="C11" i="4"/>
  <c r="K11" i="4" s="1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76" i="3"/>
  <c r="K86" i="3"/>
  <c r="K93" i="3"/>
  <c r="K55" i="3"/>
  <c r="K21" i="3"/>
  <c r="K81" i="3"/>
  <c r="K54" i="3"/>
  <c r="K49" i="3"/>
  <c r="K63" i="3"/>
  <c r="K92" i="3"/>
  <c r="K106" i="3"/>
  <c r="K110" i="3"/>
  <c r="K66" i="3"/>
  <c r="K53" i="3"/>
  <c r="K70" i="3"/>
  <c r="K74" i="3"/>
  <c r="K73" i="3"/>
  <c r="K98" i="3"/>
  <c r="K94" i="3"/>
  <c r="K65" i="3"/>
  <c r="K72" i="3"/>
  <c r="K79" i="3"/>
  <c r="K71" i="3"/>
  <c r="K46" i="3"/>
  <c r="K20" i="3"/>
  <c r="K102" i="3"/>
  <c r="K45" i="3"/>
  <c r="K111" i="3"/>
  <c r="K47" i="3"/>
  <c r="K69" i="3"/>
  <c r="K90" i="3"/>
  <c r="K68" i="3"/>
  <c r="K84" i="3"/>
  <c r="K105" i="3"/>
  <c r="K91" i="3"/>
  <c r="K85" i="3"/>
  <c r="K101" i="3"/>
  <c r="K59" i="3"/>
  <c r="K83" i="3"/>
  <c r="K61" i="3"/>
  <c r="K11" i="3"/>
  <c r="K78" i="3"/>
  <c r="K100" i="3"/>
  <c r="K97" i="3"/>
  <c r="K99" i="3"/>
  <c r="K48" i="3"/>
  <c r="K23" i="3"/>
  <c r="K51" i="3"/>
  <c r="K108" i="3"/>
  <c r="K103" i="3"/>
  <c r="K64" i="3"/>
  <c r="K80" i="3"/>
  <c r="K88" i="3"/>
  <c r="K18" i="3"/>
  <c r="K62" i="3"/>
  <c r="K75" i="3"/>
  <c r="K112" i="3"/>
  <c r="K82" i="3"/>
  <c r="K87" i="3"/>
  <c r="K95" i="3"/>
  <c r="K58" i="3"/>
  <c r="K52" i="3"/>
  <c r="K89" i="3"/>
  <c r="K109" i="3"/>
  <c r="K67" i="3"/>
  <c r="K107" i="3"/>
  <c r="K104" i="3"/>
  <c r="K56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50" i="3"/>
  <c r="K60" i="3"/>
  <c r="K22" i="3"/>
  <c r="K96" i="3"/>
  <c r="K19" i="3"/>
  <c r="K57" i="3"/>
  <c r="K17" i="3"/>
  <c r="K16" i="3"/>
  <c r="K15" i="3"/>
  <c r="K14" i="3"/>
  <c r="K13" i="3"/>
  <c r="K12" i="3"/>
  <c r="K77" i="3"/>
  <c r="K10" i="3"/>
  <c r="K9" i="3"/>
  <c r="K8" i="3"/>
  <c r="K7" i="3"/>
  <c r="K6" i="3"/>
  <c r="K5" i="3"/>
  <c r="K4" i="3"/>
  <c r="K3" i="3"/>
  <c r="K2" i="3"/>
  <c r="O36" i="1"/>
  <c r="D36" i="1"/>
  <c r="C36" i="1"/>
  <c r="D35" i="1"/>
  <c r="D34" i="1"/>
  <c r="S29" i="1"/>
  <c r="S28" i="1"/>
  <c r="S27" i="1"/>
  <c r="S26" i="1"/>
  <c r="S25" i="1"/>
  <c r="S30" i="1" s="1"/>
  <c r="E21" i="1"/>
  <c r="E20" i="1"/>
  <c r="E29" i="1" s="1"/>
  <c r="E19" i="1"/>
  <c r="A17" i="1"/>
  <c r="E16" i="1" s="1"/>
  <c r="E15" i="1"/>
  <c r="E14" i="1"/>
  <c r="E13" i="1"/>
  <c r="E12" i="1"/>
  <c r="E11" i="1"/>
  <c r="O40" i="1" s="1"/>
  <c r="E10" i="1"/>
  <c r="N38" i="4" l="1"/>
  <c r="L22" i="16"/>
  <c r="M22" i="16" s="1"/>
  <c r="M60" i="4"/>
  <c r="N60" i="4"/>
  <c r="D117" i="7"/>
  <c r="F117" i="7" s="1"/>
  <c r="J117" i="7"/>
  <c r="L117" i="7" s="1"/>
  <c r="D13" i="7"/>
  <c r="I33" i="6"/>
  <c r="K33" i="6" s="1"/>
  <c r="C33" i="6"/>
  <c r="E33" i="6" s="1"/>
  <c r="I14" i="6"/>
  <c r="K14" i="6" s="1"/>
  <c r="C14" i="6"/>
  <c r="E14" i="6" s="1"/>
  <c r="C14" i="4" s="1"/>
  <c r="K14" i="4" s="1"/>
  <c r="N14" i="4" s="1"/>
  <c r="M24" i="4"/>
  <c r="C27" i="20" s="1"/>
  <c r="L17" i="16"/>
  <c r="F17" i="16" s="1"/>
  <c r="C22" i="6"/>
  <c r="C32" i="6"/>
  <c r="E32" i="6" s="1"/>
  <c r="C54" i="6"/>
  <c r="C23" i="6"/>
  <c r="E23" i="6" s="1"/>
  <c r="C20" i="6"/>
  <c r="C35" i="6"/>
  <c r="E35" i="6" s="1"/>
  <c r="C34" i="6"/>
  <c r="E34" i="6" s="1"/>
  <c r="C59" i="6"/>
  <c r="E59" i="6" s="1"/>
  <c r="C58" i="6"/>
  <c r="E58" i="6" s="1"/>
  <c r="C57" i="6"/>
  <c r="C56" i="6"/>
  <c r="E56" i="6" s="1"/>
  <c r="C55" i="6"/>
  <c r="E55" i="6" s="1"/>
  <c r="D54" i="7"/>
  <c r="F54" i="7" s="1"/>
  <c r="D48" i="7"/>
  <c r="F48" i="7" s="1"/>
  <c r="D37" i="12"/>
  <c r="G49" i="12"/>
  <c r="D69" i="12"/>
  <c r="I70" i="12"/>
  <c r="D5" i="12"/>
  <c r="E2" i="12" s="1"/>
  <c r="E5" i="12" s="1"/>
  <c r="G2" i="12" s="1"/>
  <c r="G5" i="12" s="1"/>
  <c r="G58" i="12"/>
  <c r="K16" i="12"/>
  <c r="G50" i="12"/>
  <c r="G38" i="12"/>
  <c r="I38" i="12" s="1"/>
  <c r="G51" i="12"/>
  <c r="J52" i="12" s="1"/>
  <c r="I68" i="12"/>
  <c r="H51" i="12"/>
  <c r="I48" i="12"/>
  <c r="D49" i="12"/>
  <c r="I47" i="12"/>
  <c r="E50" i="12"/>
  <c r="C37" i="6"/>
  <c r="E37" i="6" s="1"/>
  <c r="N37" i="6" s="1"/>
  <c r="I37" i="6"/>
  <c r="M11" i="4"/>
  <c r="E26" i="4"/>
  <c r="O41" i="1"/>
  <c r="C46" i="20"/>
  <c r="D94" i="7"/>
  <c r="F94" i="7" s="1"/>
  <c r="M38" i="4"/>
  <c r="C8" i="6"/>
  <c r="I10" i="6"/>
  <c r="I23" i="6"/>
  <c r="K23" i="6" s="1"/>
  <c r="I40" i="6"/>
  <c r="K40" i="6" s="1"/>
  <c r="D24" i="7"/>
  <c r="F24" i="7" s="1"/>
  <c r="D28" i="7"/>
  <c r="J31" i="7"/>
  <c r="L31" i="7" s="1"/>
  <c r="J46" i="7"/>
  <c r="L46" i="7" s="1"/>
  <c r="J50" i="7"/>
  <c r="L50" i="7" s="1"/>
  <c r="J54" i="7"/>
  <c r="L54" i="7" s="1"/>
  <c r="J73" i="7"/>
  <c r="L73" i="7" s="1"/>
  <c r="J77" i="7"/>
  <c r="L77" i="7" s="1"/>
  <c r="J89" i="7"/>
  <c r="L89" i="7" s="1"/>
  <c r="J93" i="7"/>
  <c r="L93" i="7" s="1"/>
  <c r="D105" i="7"/>
  <c r="F105" i="7" s="1"/>
  <c r="D103" i="7"/>
  <c r="F103" i="7" s="1"/>
  <c r="D101" i="7"/>
  <c r="F101" i="7" s="1"/>
  <c r="D99" i="7"/>
  <c r="F99" i="7" s="1"/>
  <c r="D97" i="7"/>
  <c r="F97" i="7" s="1"/>
  <c r="D95" i="7"/>
  <c r="F95" i="7" s="1"/>
  <c r="D93" i="7"/>
  <c r="F93" i="7" s="1"/>
  <c r="D91" i="7"/>
  <c r="F91" i="7" s="1"/>
  <c r="D89" i="7"/>
  <c r="F89" i="7" s="1"/>
  <c r="D87" i="7"/>
  <c r="F87" i="7" s="1"/>
  <c r="D79" i="7"/>
  <c r="F79" i="7" s="1"/>
  <c r="D77" i="7"/>
  <c r="F77" i="7" s="1"/>
  <c r="D75" i="7"/>
  <c r="F75" i="7" s="1"/>
  <c r="D73" i="7"/>
  <c r="F73" i="7" s="1"/>
  <c r="D57" i="7"/>
  <c r="F57" i="7" s="1"/>
  <c r="D52" i="7"/>
  <c r="F52" i="7" s="1"/>
  <c r="D50" i="7"/>
  <c r="F50" i="7" s="1"/>
  <c r="D46" i="7"/>
  <c r="F46" i="7" s="1"/>
  <c r="J29" i="7"/>
  <c r="L29" i="7" s="1"/>
  <c r="J27" i="7"/>
  <c r="L27" i="7" s="1"/>
  <c r="J25" i="7"/>
  <c r="L25" i="7" s="1"/>
  <c r="J23" i="7"/>
  <c r="L23" i="7" s="1"/>
  <c r="J8" i="7"/>
  <c r="L8" i="7" s="1"/>
  <c r="J6" i="7"/>
  <c r="L6" i="7" s="1"/>
  <c r="I58" i="6"/>
  <c r="K58" i="6" s="1"/>
  <c r="I56" i="6"/>
  <c r="K56" i="6" s="1"/>
  <c r="I54" i="6"/>
  <c r="C47" i="6"/>
  <c r="E47" i="6" s="1"/>
  <c r="C44" i="6"/>
  <c r="C40" i="6"/>
  <c r="E40" i="6" s="1"/>
  <c r="C15" i="6"/>
  <c r="E15" i="6" s="1"/>
  <c r="C12" i="6"/>
  <c r="E12" i="6" s="1"/>
  <c r="I9" i="6"/>
  <c r="K9" i="6" s="1"/>
  <c r="D120" i="7"/>
  <c r="D116" i="7"/>
  <c r="F116" i="7" s="1"/>
  <c r="D113" i="7"/>
  <c r="J106" i="7"/>
  <c r="J121" i="7"/>
  <c r="J104" i="7"/>
  <c r="L104" i="7" s="1"/>
  <c r="J100" i="7"/>
  <c r="L100" i="7" s="1"/>
  <c r="J98" i="7"/>
  <c r="L98" i="7" s="1"/>
  <c r="J118" i="7"/>
  <c r="L118" i="7" s="1"/>
  <c r="J114" i="7"/>
  <c r="L114" i="7" s="1"/>
  <c r="J30" i="7"/>
  <c r="L30" i="7" s="1"/>
  <c r="I20" i="6"/>
  <c r="D106" i="7"/>
  <c r="D104" i="7"/>
  <c r="F104" i="7" s="1"/>
  <c r="D107" i="7"/>
  <c r="G72" i="28" s="1"/>
  <c r="D100" i="7"/>
  <c r="F100" i="7" s="1"/>
  <c r="D98" i="7"/>
  <c r="F98" i="7" s="1"/>
  <c r="D96" i="7"/>
  <c r="F96" i="7" s="1"/>
  <c r="D121" i="7"/>
  <c r="D118" i="7"/>
  <c r="F118" i="7" s="1"/>
  <c r="D114" i="7"/>
  <c r="J105" i="7"/>
  <c r="L105" i="7" s="1"/>
  <c r="J103" i="7"/>
  <c r="L103" i="7" s="1"/>
  <c r="J101" i="7"/>
  <c r="L101" i="7" s="1"/>
  <c r="J99" i="7"/>
  <c r="L99" i="7" s="1"/>
  <c r="J97" i="7"/>
  <c r="L97" i="7" s="1"/>
  <c r="J120" i="7"/>
  <c r="L120" i="7" s="1"/>
  <c r="J116" i="7"/>
  <c r="L116" i="7" s="1"/>
  <c r="M116" i="7" s="1"/>
  <c r="J113" i="7"/>
  <c r="I47" i="6"/>
  <c r="K47" i="6" s="1"/>
  <c r="I8" i="6"/>
  <c r="I12" i="6"/>
  <c r="K12" i="6" s="1"/>
  <c r="C24" i="6"/>
  <c r="E24" i="6" s="1"/>
  <c r="C23" i="4" s="1"/>
  <c r="K23" i="4" s="1"/>
  <c r="I55" i="6"/>
  <c r="K55" i="6" s="1"/>
  <c r="I59" i="6"/>
  <c r="J5" i="7"/>
  <c r="L5" i="7" s="1"/>
  <c r="J24" i="7"/>
  <c r="L24" i="7" s="1"/>
  <c r="J28" i="7"/>
  <c r="L28" i="7" s="1"/>
  <c r="D47" i="7"/>
  <c r="F47" i="7" s="1"/>
  <c r="D51" i="7"/>
  <c r="F51" i="7" s="1"/>
  <c r="D74" i="7"/>
  <c r="F74" i="7" s="1"/>
  <c r="D78" i="7"/>
  <c r="F78" i="7" s="1"/>
  <c r="D83" i="7"/>
  <c r="D90" i="7"/>
  <c r="F90" i="7" s="1"/>
  <c r="J94" i="7"/>
  <c r="L94" i="7" s="1"/>
  <c r="I50" i="12"/>
  <c r="I24" i="6"/>
  <c r="K24" i="6" s="1"/>
  <c r="I32" i="6"/>
  <c r="D6" i="7"/>
  <c r="F6" i="7" s="1"/>
  <c r="O17" i="34" s="1"/>
  <c r="D25" i="7"/>
  <c r="F25" i="7" s="1"/>
  <c r="D29" i="7"/>
  <c r="F29" i="7" s="1"/>
  <c r="J47" i="7"/>
  <c r="L47" i="7" s="1"/>
  <c r="J51" i="7"/>
  <c r="L51" i="7" s="1"/>
  <c r="J74" i="7"/>
  <c r="L74" i="7" s="1"/>
  <c r="J78" i="7"/>
  <c r="L78" i="7" s="1"/>
  <c r="J83" i="7"/>
  <c r="J90" i="7"/>
  <c r="L90" i="7" s="1"/>
  <c r="J95" i="7"/>
  <c r="L95" i="7" s="1"/>
  <c r="C9" i="6"/>
  <c r="E9" i="6" s="1"/>
  <c r="C13" i="6"/>
  <c r="E13" i="6" s="1"/>
  <c r="I34" i="6"/>
  <c r="K34" i="6" s="1"/>
  <c r="I44" i="6"/>
  <c r="D7" i="7"/>
  <c r="F7" i="7" s="1"/>
  <c r="O16" i="34" s="1"/>
  <c r="D26" i="7"/>
  <c r="F26" i="7" s="1"/>
  <c r="J48" i="7"/>
  <c r="L48" i="7" s="1"/>
  <c r="J52" i="7"/>
  <c r="L52" i="7" s="1"/>
  <c r="J57" i="7"/>
  <c r="J75" i="7"/>
  <c r="L75" i="7" s="1"/>
  <c r="J79" i="7"/>
  <c r="L79" i="7" s="1"/>
  <c r="J87" i="7"/>
  <c r="L87" i="7" s="1"/>
  <c r="J91" i="7"/>
  <c r="L91" i="7" s="1"/>
  <c r="J96" i="7"/>
  <c r="L96" i="7" s="1"/>
  <c r="C10" i="6"/>
  <c r="E10" i="6" s="1"/>
  <c r="O10" i="6" s="1"/>
  <c r="I13" i="6"/>
  <c r="K13" i="6" s="1"/>
  <c r="C46" i="6"/>
  <c r="E46" i="6" s="1"/>
  <c r="I57" i="6"/>
  <c r="K57" i="6" s="1"/>
  <c r="J7" i="7"/>
  <c r="L7" i="7" s="1"/>
  <c r="J13" i="7"/>
  <c r="L13" i="7" s="1"/>
  <c r="J26" i="7"/>
  <c r="L26" i="7" s="1"/>
  <c r="D36" i="7"/>
  <c r="D49" i="7"/>
  <c r="F49" i="7" s="1"/>
  <c r="D53" i="7"/>
  <c r="F53" i="7" s="1"/>
  <c r="D72" i="7"/>
  <c r="F72" i="7" s="1"/>
  <c r="D76" i="7"/>
  <c r="F76" i="7" s="1"/>
  <c r="D80" i="7"/>
  <c r="G71" i="28" s="1"/>
  <c r="D88" i="7"/>
  <c r="D127" i="7" s="1"/>
  <c r="D92" i="7"/>
  <c r="F92" i="7" s="1"/>
  <c r="I15" i="6"/>
  <c r="K15" i="6" s="1"/>
  <c r="K35" i="6"/>
  <c r="I46" i="6"/>
  <c r="D8" i="7"/>
  <c r="F8" i="7" s="1"/>
  <c r="O15" i="34" s="1"/>
  <c r="D23" i="7"/>
  <c r="F23" i="7" s="1"/>
  <c r="D27" i="7"/>
  <c r="F27" i="7" s="1"/>
  <c r="J36" i="7"/>
  <c r="J49" i="7"/>
  <c r="L49" i="7" s="1"/>
  <c r="J53" i="7"/>
  <c r="L53" i="7" s="1"/>
  <c r="J72" i="7"/>
  <c r="L72" i="7" s="1"/>
  <c r="J76" i="7"/>
  <c r="L76" i="7" s="1"/>
  <c r="J80" i="7"/>
  <c r="L80" i="7" s="1"/>
  <c r="J88" i="7"/>
  <c r="J92" i="7"/>
  <c r="L92" i="7" s="1"/>
  <c r="H49" i="9"/>
  <c r="G57" i="9"/>
  <c r="E58" i="12"/>
  <c r="I35" i="9"/>
  <c r="I49" i="9"/>
  <c r="H50" i="12"/>
  <c r="E48" i="9"/>
  <c r="G50" i="9"/>
  <c r="J51" i="9" s="1"/>
  <c r="K16" i="9"/>
  <c r="G48" i="9"/>
  <c r="H50" i="9"/>
  <c r="C66" i="9"/>
  <c r="C68" i="9" s="1"/>
  <c r="C67" i="12"/>
  <c r="C69" i="12" s="1"/>
  <c r="M120" i="7" l="1"/>
  <c r="N120" i="7"/>
  <c r="J112" i="7"/>
  <c r="D112" i="7"/>
  <c r="L14" i="6"/>
  <c r="G32" i="19"/>
  <c r="G33" i="19" s="1"/>
  <c r="M35" i="6"/>
  <c r="L35" i="6"/>
  <c r="N24" i="6"/>
  <c r="O24" i="6" s="1"/>
  <c r="L24" i="6"/>
  <c r="M34" i="6"/>
  <c r="L34" i="6"/>
  <c r="L40" i="6"/>
  <c r="M33" i="6"/>
  <c r="D32" i="35" s="1"/>
  <c r="L33" i="6"/>
  <c r="M23" i="6"/>
  <c r="D25" i="35" s="1"/>
  <c r="L23" i="6"/>
  <c r="M56" i="6"/>
  <c r="L56" i="6"/>
  <c r="M12" i="6"/>
  <c r="L12" i="6"/>
  <c r="M9" i="6"/>
  <c r="L9" i="6"/>
  <c r="M58" i="6"/>
  <c r="L58" i="6"/>
  <c r="M13" i="6"/>
  <c r="L13" i="6"/>
  <c r="M55" i="6"/>
  <c r="L55" i="6"/>
  <c r="M15" i="6"/>
  <c r="L15" i="6"/>
  <c r="M47" i="6"/>
  <c r="L47" i="6"/>
  <c r="M14" i="6"/>
  <c r="D7" i="35"/>
  <c r="D11" i="35" s="1"/>
  <c r="C39" i="20"/>
  <c r="C40" i="20"/>
  <c r="K59" i="6"/>
  <c r="L12" i="7"/>
  <c r="E39" i="6"/>
  <c r="C39" i="4" s="1"/>
  <c r="E22" i="6"/>
  <c r="K46" i="6"/>
  <c r="O19" i="34"/>
  <c r="O64" i="34" s="1"/>
  <c r="L15" i="16"/>
  <c r="F15" i="16" s="1"/>
  <c r="C46" i="16" s="1"/>
  <c r="N23" i="4"/>
  <c r="J82" i="7"/>
  <c r="D82" i="7"/>
  <c r="F88" i="7"/>
  <c r="F127" i="7" s="1"/>
  <c r="L88" i="7"/>
  <c r="J127" i="7"/>
  <c r="F114" i="7"/>
  <c r="C82" i="16"/>
  <c r="M24" i="6"/>
  <c r="F28" i="7"/>
  <c r="M57" i="6"/>
  <c r="C16" i="6"/>
  <c r="C34" i="4"/>
  <c r="K34" i="4" s="1"/>
  <c r="M23" i="4"/>
  <c r="C28" i="20" s="1"/>
  <c r="M14" i="4"/>
  <c r="C11" i="22"/>
  <c r="C54" i="4"/>
  <c r="C53" i="4"/>
  <c r="C43" i="4"/>
  <c r="K43" i="4" s="1"/>
  <c r="N43" i="4" s="1"/>
  <c r="C12" i="4"/>
  <c r="K12" i="4" s="1"/>
  <c r="N12" i="4" s="1"/>
  <c r="C13" i="4"/>
  <c r="K13" i="4" s="1"/>
  <c r="C35" i="4"/>
  <c r="K35" i="4" s="1"/>
  <c r="N35" i="4" s="1"/>
  <c r="C25" i="4"/>
  <c r="K25" i="4" s="1"/>
  <c r="C36" i="4"/>
  <c r="K36" i="4" s="1"/>
  <c r="C9" i="4"/>
  <c r="K9" i="4" s="1"/>
  <c r="C25" i="6"/>
  <c r="C48" i="6"/>
  <c r="C42" i="6"/>
  <c r="C44" i="4"/>
  <c r="K44" i="4" s="1"/>
  <c r="C15" i="4"/>
  <c r="K15" i="4" s="1"/>
  <c r="C52" i="16"/>
  <c r="C21" i="17" s="1"/>
  <c r="F19" i="5"/>
  <c r="I49" i="12"/>
  <c r="C56" i="4"/>
  <c r="K56" i="4" s="1"/>
  <c r="N56" i="4" s="1"/>
  <c r="C57" i="4"/>
  <c r="E57" i="6"/>
  <c r="L57" i="6" s="1"/>
  <c r="H32" i="19" s="1"/>
  <c r="H33" i="19" s="1"/>
  <c r="L113" i="7"/>
  <c r="L112" i="7" s="1"/>
  <c r="I25" i="6"/>
  <c r="D10" i="7"/>
  <c r="F13" i="7"/>
  <c r="D12" i="7"/>
  <c r="I16" i="6"/>
  <c r="K8" i="6"/>
  <c r="J12" i="7"/>
  <c r="F113" i="7"/>
  <c r="F112" i="7" s="1"/>
  <c r="D129" i="7"/>
  <c r="J10" i="7"/>
  <c r="E44" i="6"/>
  <c r="F80" i="7"/>
  <c r="E54" i="6"/>
  <c r="L57" i="7"/>
  <c r="J56" i="7"/>
  <c r="I48" i="6"/>
  <c r="K44" i="6"/>
  <c r="L83" i="7"/>
  <c r="F83" i="7"/>
  <c r="D56" i="7"/>
  <c r="K32" i="6"/>
  <c r="I42" i="6"/>
  <c r="K54" i="6"/>
  <c r="L36" i="7"/>
  <c r="J35" i="7"/>
  <c r="D35" i="7"/>
  <c r="F36" i="7"/>
  <c r="F35" i="7" s="1"/>
  <c r="D13" i="5" s="1"/>
  <c r="L13" i="5" s="1"/>
  <c r="E8" i="6"/>
  <c r="C8" i="4" s="1"/>
  <c r="K8" i="4" s="1"/>
  <c r="N8" i="4" s="1"/>
  <c r="N44" i="4" l="1"/>
  <c r="L35" i="7"/>
  <c r="F14" i="12" s="1"/>
  <c r="G18" i="12" s="1"/>
  <c r="N112" i="7"/>
  <c r="L127" i="7"/>
  <c r="L56" i="7"/>
  <c r="N12" i="7"/>
  <c r="N14" i="6"/>
  <c r="D12" i="35" s="1"/>
  <c r="L44" i="6"/>
  <c r="M54" i="6"/>
  <c r="N54" i="6" s="1"/>
  <c r="L54" i="6"/>
  <c r="M46" i="6"/>
  <c r="L46" i="6"/>
  <c r="C21" i="4"/>
  <c r="K21" i="4" s="1"/>
  <c r="N21" i="4" s="1"/>
  <c r="L22" i="6"/>
  <c r="M32" i="6"/>
  <c r="L32" i="6"/>
  <c r="M8" i="6"/>
  <c r="L8" i="6"/>
  <c r="E42" i="6"/>
  <c r="L39" i="6"/>
  <c r="M59" i="6"/>
  <c r="L59" i="6"/>
  <c r="K57" i="4"/>
  <c r="N34" i="4"/>
  <c r="K39" i="4"/>
  <c r="D23" i="5"/>
  <c r="L23" i="5" s="1"/>
  <c r="L11" i="16"/>
  <c r="F11" i="16" s="1"/>
  <c r="N15" i="4"/>
  <c r="L24" i="16"/>
  <c r="F24" i="16" s="1"/>
  <c r="N36" i="4"/>
  <c r="L14" i="16"/>
  <c r="N25" i="4"/>
  <c r="L10" i="16"/>
  <c r="F10" i="16" s="1"/>
  <c r="N9" i="4"/>
  <c r="M8" i="4"/>
  <c r="L9" i="16"/>
  <c r="E8" i="21"/>
  <c r="F8" i="21" s="1"/>
  <c r="C17" i="22" s="1"/>
  <c r="E14" i="21"/>
  <c r="F14" i="21" s="1"/>
  <c r="H71" i="28"/>
  <c r="E11" i="21"/>
  <c r="F11" i="21" s="1"/>
  <c r="N13" i="5"/>
  <c r="K53" i="4"/>
  <c r="K54" i="4"/>
  <c r="M13" i="4"/>
  <c r="C19" i="20" s="1"/>
  <c r="M34" i="4"/>
  <c r="E48" i="6"/>
  <c r="D82" i="16"/>
  <c r="D53" i="17"/>
  <c r="J28" i="19"/>
  <c r="K48" i="6"/>
  <c r="M44" i="6"/>
  <c r="M15" i="16"/>
  <c r="M43" i="4"/>
  <c r="M15" i="4"/>
  <c r="C20" i="20" s="1"/>
  <c r="M12" i="4"/>
  <c r="C55" i="4"/>
  <c r="C27" i="6"/>
  <c r="C50" i="6"/>
  <c r="D108" i="7"/>
  <c r="L32" i="16"/>
  <c r="M32" i="16" s="1"/>
  <c r="M56" i="4"/>
  <c r="C57" i="20" s="1"/>
  <c r="M36" i="4"/>
  <c r="C38" i="20" s="1"/>
  <c r="M17" i="16"/>
  <c r="D52" i="16"/>
  <c r="D21" i="17" s="1"/>
  <c r="D32" i="7"/>
  <c r="F56" i="7"/>
  <c r="D15" i="5" s="1"/>
  <c r="L15" i="5" s="1"/>
  <c r="C33" i="4"/>
  <c r="K33" i="4" s="1"/>
  <c r="C17" i="10"/>
  <c r="C21" i="10" s="1"/>
  <c r="I9" i="10" s="1"/>
  <c r="J108" i="7"/>
  <c r="C52" i="4"/>
  <c r="K52" i="4" s="1"/>
  <c r="J32" i="7"/>
  <c r="I50" i="6"/>
  <c r="I27" i="6"/>
  <c r="N35" i="7" l="1"/>
  <c r="N52" i="4"/>
  <c r="L23" i="16"/>
  <c r="F23" i="16" s="1"/>
  <c r="N57" i="4"/>
  <c r="N56" i="7"/>
  <c r="L33" i="16"/>
  <c r="M33" i="16" s="1"/>
  <c r="L13" i="16"/>
  <c r="F13" i="16" s="1"/>
  <c r="M48" i="6"/>
  <c r="L48" i="6"/>
  <c r="M21" i="4"/>
  <c r="C26" i="20" s="1"/>
  <c r="M57" i="4"/>
  <c r="J9" i="16"/>
  <c r="M39" i="4"/>
  <c r="C44" i="20" s="1"/>
  <c r="N39" i="4"/>
  <c r="M54" i="4"/>
  <c r="C55" i="20" s="1"/>
  <c r="N54" i="4"/>
  <c r="M53" i="4"/>
  <c r="C54" i="20" s="1"/>
  <c r="N53" i="4"/>
  <c r="L20" i="16"/>
  <c r="N33" i="4"/>
  <c r="M24" i="16"/>
  <c r="L30" i="16"/>
  <c r="M30" i="16" s="1"/>
  <c r="L29" i="16"/>
  <c r="M29" i="16" s="1"/>
  <c r="N23" i="5"/>
  <c r="N15" i="5"/>
  <c r="F14" i="9"/>
  <c r="F18" i="9" s="1"/>
  <c r="H20" i="20"/>
  <c r="I20" i="20" s="1"/>
  <c r="K55" i="4"/>
  <c r="M25" i="4"/>
  <c r="C25" i="20" s="1"/>
  <c r="C45" i="20"/>
  <c r="M35" i="4"/>
  <c r="C37" i="20" s="1"/>
  <c r="M25" i="16"/>
  <c r="D108" i="16"/>
  <c r="C49" i="16"/>
  <c r="C18" i="17" s="1"/>
  <c r="M10" i="16"/>
  <c r="M14" i="16"/>
  <c r="D97" i="16"/>
  <c r="M9" i="4"/>
  <c r="C18" i="20" s="1"/>
  <c r="M23" i="16"/>
  <c r="C196" i="16"/>
  <c r="C14" i="17"/>
  <c r="D46" i="16"/>
  <c r="D14" i="17" s="1"/>
  <c r="L106" i="7"/>
  <c r="F106" i="7"/>
  <c r="D110" i="7"/>
  <c r="D122" i="7" s="1"/>
  <c r="D124" i="7" s="1"/>
  <c r="H9" i="10"/>
  <c r="G9" i="10"/>
  <c r="F9" i="10"/>
  <c r="J110" i="7"/>
  <c r="J122" i="7" s="1"/>
  <c r="J124" i="7" s="1"/>
  <c r="C55" i="16" l="1"/>
  <c r="M13" i="16"/>
  <c r="C186" i="16"/>
  <c r="C29" i="20"/>
  <c r="L31" i="16"/>
  <c r="M31" i="16" s="1"/>
  <c r="N55" i="4"/>
  <c r="L82" i="7"/>
  <c r="C53" i="16"/>
  <c r="C22" i="17" s="1"/>
  <c r="M55" i="4"/>
  <c r="H34" i="20"/>
  <c r="I34" i="20" s="1"/>
  <c r="H23" i="20"/>
  <c r="I23" i="20" s="1"/>
  <c r="I60" i="6"/>
  <c r="D49" i="16"/>
  <c r="D18" i="17" s="1"/>
  <c r="C16" i="20"/>
  <c r="J18" i="12"/>
  <c r="D55" i="16"/>
  <c r="D24" i="17" s="1"/>
  <c r="C24" i="17"/>
  <c r="J36" i="16"/>
  <c r="K12" i="7"/>
  <c r="C60" i="6"/>
  <c r="D119" i="16"/>
  <c r="C47" i="20"/>
  <c r="L28" i="16"/>
  <c r="H28" i="16" s="1"/>
  <c r="M52" i="4"/>
  <c r="C53" i="20" s="1"/>
  <c r="F20" i="16"/>
  <c r="M33" i="4"/>
  <c r="C36" i="20" s="1"/>
  <c r="E9" i="1"/>
  <c r="E23" i="1" s="1"/>
  <c r="E6" i="1"/>
  <c r="L108" i="7" l="1"/>
  <c r="N82" i="7"/>
  <c r="G14" i="19"/>
  <c r="G15" i="19" s="1"/>
  <c r="C139" i="16"/>
  <c r="H36" i="16"/>
  <c r="C50" i="16"/>
  <c r="C134" i="16"/>
  <c r="C61" i="6"/>
  <c r="C63" i="6" s="1"/>
  <c r="C65" i="6" s="1"/>
  <c r="D53" i="16"/>
  <c r="D22" i="17" s="1"/>
  <c r="C56" i="20"/>
  <c r="E10" i="21"/>
  <c r="F10" i="21" s="1"/>
  <c r="C18" i="22" s="1"/>
  <c r="M9" i="16"/>
  <c r="M26" i="16"/>
  <c r="E27" i="1"/>
  <c r="D33" i="1" s="1"/>
  <c r="C33" i="1" s="1"/>
  <c r="I61" i="6"/>
  <c r="N108" i="7" l="1"/>
  <c r="C19" i="17"/>
  <c r="M20" i="16"/>
  <c r="C64" i="6"/>
  <c r="I63" i="6"/>
  <c r="I64" i="6" s="1"/>
  <c r="F29" i="1"/>
  <c r="F27" i="1"/>
  <c r="D50" i="16" l="1"/>
  <c r="D19" i="17" s="1"/>
  <c r="I65" i="6"/>
  <c r="E45" i="4" l="1"/>
  <c r="E48" i="4" s="1"/>
  <c r="M44" i="4" l="1"/>
  <c r="E10" i="7" l="1"/>
  <c r="F5" i="7"/>
  <c r="J34" i="28" l="1"/>
  <c r="J23" i="28"/>
  <c r="J24" i="28" s="1"/>
  <c r="J26" i="28" s="1"/>
  <c r="G6" i="7"/>
  <c r="L10" i="7"/>
  <c r="K10" i="7"/>
  <c r="K32" i="7" s="1"/>
  <c r="J16" i="6"/>
  <c r="K10" i="6"/>
  <c r="F10" i="7"/>
  <c r="C7" i="22"/>
  <c r="C13" i="22" s="1"/>
  <c r="N10" i="7" l="1"/>
  <c r="P10" i="6"/>
  <c r="L10" i="6"/>
  <c r="K110" i="7"/>
  <c r="L32" i="7"/>
  <c r="L110" i="7" s="1"/>
  <c r="F13" i="12"/>
  <c r="D7" i="5"/>
  <c r="K16" i="6"/>
  <c r="M10" i="6"/>
  <c r="N10" i="6" s="1"/>
  <c r="C14" i="22"/>
  <c r="M16" i="6" l="1"/>
  <c r="N32" i="7"/>
  <c r="G17" i="12"/>
  <c r="G19" i="12" s="1"/>
  <c r="H19" i="12" s="1"/>
  <c r="F15" i="12"/>
  <c r="M11" i="16"/>
  <c r="C48" i="16"/>
  <c r="N110" i="7" l="1"/>
  <c r="Q116" i="7"/>
  <c r="D48" i="16"/>
  <c r="D17" i="17" s="1"/>
  <c r="C17" i="17"/>
  <c r="D42" i="6" l="1"/>
  <c r="D50" i="6" s="1"/>
  <c r="J42" i="6"/>
  <c r="J50" i="6" s="1"/>
  <c r="K37" i="6"/>
  <c r="O37" i="6" l="1"/>
  <c r="L37" i="6"/>
  <c r="M37" i="6"/>
  <c r="D33" i="35" l="1"/>
  <c r="E50" i="6"/>
  <c r="C41" i="4"/>
  <c r="K41" i="4" s="1"/>
  <c r="F120" i="7"/>
  <c r="K37" i="4"/>
  <c r="N37" i="4" s="1"/>
  <c r="F129" i="7" l="1"/>
  <c r="E16" i="21" s="1"/>
  <c r="L21" i="16"/>
  <c r="F21" i="16" s="1"/>
  <c r="F36" i="16" s="1"/>
  <c r="M41" i="4"/>
  <c r="N41" i="4"/>
  <c r="E12" i="21"/>
  <c r="D31" i="5"/>
  <c r="L31" i="5" s="1"/>
  <c r="C45" i="4"/>
  <c r="M21" i="16" l="1"/>
  <c r="E15" i="21"/>
  <c r="E17" i="21" s="1"/>
  <c r="F12" i="21"/>
  <c r="K45" i="4"/>
  <c r="C48" i="4"/>
  <c r="C51" i="16"/>
  <c r="C57" i="16" s="1"/>
  <c r="M37" i="4"/>
  <c r="C41" i="20" s="1"/>
  <c r="C42" i="20" s="1"/>
  <c r="F38" i="16" l="1"/>
  <c r="M45" i="4"/>
  <c r="N45" i="4"/>
  <c r="F15" i="21"/>
  <c r="H42" i="20"/>
  <c r="I42" i="20" s="1"/>
  <c r="N31" i="5"/>
  <c r="K48" i="4"/>
  <c r="C20" i="22"/>
  <c r="C49" i="20"/>
  <c r="C20" i="17"/>
  <c r="D51" i="16"/>
  <c r="D20" i="17" s="1"/>
  <c r="M48" i="4" l="1"/>
  <c r="N48" i="4"/>
  <c r="C27" i="17" l="1"/>
  <c r="D57" i="16"/>
  <c r="D27" i="17" s="1"/>
  <c r="E12" i="7" l="1"/>
  <c r="F31" i="7"/>
  <c r="E32" i="7" l="1"/>
  <c r="F12" i="7"/>
  <c r="F32" i="7" s="1"/>
  <c r="H70" i="28"/>
  <c r="D9" i="5" l="1"/>
  <c r="D16" i="6"/>
  <c r="L9" i="5" l="1"/>
  <c r="H16" i="20" s="1"/>
  <c r="I16" i="20" s="1"/>
  <c r="D11" i="5"/>
  <c r="E16" i="6"/>
  <c r="C10" i="4"/>
  <c r="C16" i="4" s="1"/>
  <c r="N9" i="5"/>
  <c r="E82" i="7"/>
  <c r="F107" i="7"/>
  <c r="L16" i="6" l="1"/>
  <c r="E108" i="7"/>
  <c r="F82" i="7"/>
  <c r="F108" i="7" s="1"/>
  <c r="F110" i="7" s="1"/>
  <c r="H72" i="28"/>
  <c r="H74" i="28" s="1"/>
  <c r="E110" i="7" l="1"/>
  <c r="D17" i="5"/>
  <c r="D21" i="5"/>
  <c r="L17" i="5" l="1"/>
  <c r="L19" i="5" s="1"/>
  <c r="D35" i="5"/>
  <c r="L35" i="5"/>
  <c r="D19" i="5"/>
  <c r="N17" i="5" l="1"/>
  <c r="N19" i="5" s="1"/>
  <c r="H26" i="20"/>
  <c r="I26" i="20" s="1"/>
  <c r="H30" i="20"/>
  <c r="I30" i="20" s="1"/>
  <c r="E40" i="28" l="1"/>
  <c r="F39" i="28"/>
  <c r="J12" i="28" s="1"/>
  <c r="E17" i="27"/>
  <c r="E24" i="27" s="1"/>
  <c r="E10" i="4"/>
  <c r="J13" i="28" l="1"/>
  <c r="J15" i="28" s="1"/>
  <c r="J33" i="28"/>
  <c r="J35" i="28" s="1"/>
  <c r="J39" i="28" s="1"/>
  <c r="J41" i="28" s="1"/>
  <c r="F65" i="28"/>
  <c r="G65" i="28" s="1"/>
  <c r="F25" i="5"/>
  <c r="J25" i="5" s="1"/>
  <c r="F40" i="28"/>
  <c r="K10" i="4"/>
  <c r="E16" i="4"/>
  <c r="F66" i="28" l="1"/>
  <c r="K16" i="4"/>
  <c r="E28" i="4"/>
  <c r="M10" i="4"/>
  <c r="C17" i="20" s="1"/>
  <c r="C21" i="20" s="1"/>
  <c r="C31" i="20" s="1"/>
  <c r="L12" i="16"/>
  <c r="L19" i="16" l="1"/>
  <c r="M12" i="16"/>
  <c r="L25" i="5"/>
  <c r="M16" i="4"/>
  <c r="N16" i="4"/>
  <c r="N25" i="5" l="1"/>
  <c r="H36" i="20"/>
  <c r="I36" i="20" s="1"/>
  <c r="E18" i="28" l="1"/>
  <c r="E26" i="28" s="1"/>
  <c r="E42" i="28" s="1"/>
  <c r="F18" i="28" l="1"/>
  <c r="F62" i="28"/>
  <c r="D39" i="27"/>
  <c r="E39" i="27" s="1"/>
  <c r="K121" i="7" s="1"/>
  <c r="L121" i="7" s="1"/>
  <c r="E51" i="28"/>
  <c r="J20" i="6" l="1"/>
  <c r="J60" i="6" s="1"/>
  <c r="K122" i="7"/>
  <c r="F26" i="28"/>
  <c r="F42" i="28" s="1"/>
  <c r="F7" i="5"/>
  <c r="E58" i="4"/>
  <c r="I58" i="4" s="1"/>
  <c r="E40" i="27"/>
  <c r="E42" i="27" s="1"/>
  <c r="L122" i="7" l="1"/>
  <c r="N121" i="7"/>
  <c r="K20" i="6"/>
  <c r="J25" i="6"/>
  <c r="J27" i="6" s="1"/>
  <c r="J7" i="5"/>
  <c r="J11" i="5" s="1"/>
  <c r="J21" i="5" s="1"/>
  <c r="J29" i="5" s="1"/>
  <c r="F51" i="28"/>
  <c r="G42" i="28"/>
  <c r="F11" i="5"/>
  <c r="F21" i="5" s="1"/>
  <c r="F29" i="5" s="1"/>
  <c r="F33" i="5" s="1"/>
  <c r="E43" i="27"/>
  <c r="E44" i="27"/>
  <c r="E59" i="4"/>
  <c r="E61" i="4" s="1"/>
  <c r="L128" i="7" l="1"/>
  <c r="M124" i="7"/>
  <c r="K132" i="7"/>
  <c r="K133" i="7" s="1"/>
  <c r="N122" i="7"/>
  <c r="Q122" i="7"/>
  <c r="F54" i="28"/>
  <c r="D20" i="6"/>
  <c r="E121" i="7"/>
  <c r="K25" i="6"/>
  <c r="M20" i="6"/>
  <c r="K60" i="6"/>
  <c r="J61" i="6"/>
  <c r="L124" i="7"/>
  <c r="F34" i="5"/>
  <c r="L7" i="5"/>
  <c r="L11" i="5" s="1"/>
  <c r="L21" i="5" s="1"/>
  <c r="J33" i="5"/>
  <c r="E62" i="4"/>
  <c r="E63" i="4"/>
  <c r="F121" i="7" l="1"/>
  <c r="E122" i="7"/>
  <c r="D60" i="6"/>
  <c r="D25" i="6"/>
  <c r="D27" i="6" s="1"/>
  <c r="E20" i="6"/>
  <c r="J63" i="6"/>
  <c r="J65" i="6" s="1"/>
  <c r="K61" i="6"/>
  <c r="M60" i="6"/>
  <c r="N59" i="6" s="1"/>
  <c r="I30" i="19"/>
  <c r="K27" i="6"/>
  <c r="M25" i="6"/>
  <c r="H32" i="20"/>
  <c r="I32" i="20" s="1"/>
  <c r="H17" i="20"/>
  <c r="I17" i="20" s="1"/>
  <c r="H14" i="20"/>
  <c r="I14" i="20" s="1"/>
  <c r="N7" i="5"/>
  <c r="N11" i="5" s="1"/>
  <c r="N21" i="5" s="1"/>
  <c r="F13" i="9"/>
  <c r="E25" i="6" l="1"/>
  <c r="C20" i="4"/>
  <c r="L20" i="6"/>
  <c r="D61" i="6"/>
  <c r="D63" i="6" s="1"/>
  <c r="D64" i="6" s="1"/>
  <c r="E60" i="6"/>
  <c r="D27" i="5"/>
  <c r="F122" i="7"/>
  <c r="M27" i="6"/>
  <c r="M61" i="6"/>
  <c r="J30" i="19"/>
  <c r="I31" i="19"/>
  <c r="J31" i="19" s="1"/>
  <c r="J64" i="6"/>
  <c r="F17" i="9"/>
  <c r="F19" i="9" s="1"/>
  <c r="G19" i="9" s="1"/>
  <c r="F16" i="9"/>
  <c r="F15" i="9"/>
  <c r="L27" i="5" l="1"/>
  <c r="D29" i="5"/>
  <c r="D33" i="5" s="1"/>
  <c r="D34" i="5" s="1"/>
  <c r="D65" i="6"/>
  <c r="E61" i="6"/>
  <c r="F60" i="6"/>
  <c r="L60" i="6"/>
  <c r="I20" i="4"/>
  <c r="I26" i="4" s="1"/>
  <c r="I28" i="4" s="1"/>
  <c r="C26" i="4"/>
  <c r="C28" i="4" s="1"/>
  <c r="C58" i="4"/>
  <c r="F124" i="7"/>
  <c r="E27" i="6"/>
  <c r="L27" i="6" s="1"/>
  <c r="L25" i="6"/>
  <c r="J32" i="19"/>
  <c r="E63" i="6" l="1"/>
  <c r="L61" i="6"/>
  <c r="C59" i="4"/>
  <c r="C61" i="4" s="1"/>
  <c r="K58" i="4"/>
  <c r="K20" i="4"/>
  <c r="N27" i="5"/>
  <c r="N29" i="5" s="1"/>
  <c r="N33" i="5" s="1"/>
  <c r="H38" i="20"/>
  <c r="I38" i="20" s="1"/>
  <c r="L29" i="5"/>
  <c r="H40" i="20" l="1"/>
  <c r="I40" i="20" s="1"/>
  <c r="L33" i="5"/>
  <c r="H44" i="20" s="1"/>
  <c r="I44" i="20" s="1"/>
  <c r="N36" i="5"/>
  <c r="I12" i="19"/>
  <c r="K26" i="4"/>
  <c r="M20" i="4"/>
  <c r="N58" i="4"/>
  <c r="L34" i="16"/>
  <c r="K59" i="4"/>
  <c r="M58" i="4"/>
  <c r="C58" i="20" s="1"/>
  <c r="C59" i="20" s="1"/>
  <c r="C61" i="20" s="1"/>
  <c r="C64" i="20" s="1"/>
  <c r="C63" i="4"/>
  <c r="K63" i="4" s="1"/>
  <c r="C62" i="4"/>
  <c r="E64" i="6"/>
  <c r="E65" i="6"/>
  <c r="L36" i="16" l="1"/>
  <c r="L37" i="16" s="1"/>
  <c r="E34" i="16"/>
  <c r="M26" i="4"/>
  <c r="N26" i="4"/>
  <c r="K28" i="4"/>
  <c r="I13" i="19"/>
  <c r="J13" i="19" s="1"/>
  <c r="J12" i="19"/>
  <c r="M63" i="4"/>
  <c r="N63" i="4"/>
  <c r="N59" i="4"/>
  <c r="K61" i="4"/>
  <c r="M59" i="4"/>
  <c r="K42" i="6"/>
  <c r="M41" i="6"/>
  <c r="L42" i="6" l="1"/>
  <c r="K13" i="19"/>
  <c r="N28" i="4"/>
  <c r="M28" i="4"/>
  <c r="N61" i="4"/>
  <c r="M61" i="4"/>
  <c r="K62" i="4"/>
  <c r="C41" i="16"/>
  <c r="E36" i="16"/>
  <c r="M34" i="16"/>
  <c r="K50" i="6"/>
  <c r="M42" i="6"/>
  <c r="M40" i="6"/>
  <c r="N33" i="6" s="1"/>
  <c r="L50" i="6" l="1"/>
  <c r="C59" i="16"/>
  <c r="C10" i="17"/>
  <c r="D41" i="16"/>
  <c r="D10" i="17" s="1"/>
  <c r="N62" i="4"/>
  <c r="M62" i="4"/>
  <c r="D36" i="35"/>
  <c r="K63" i="6"/>
  <c r="L63" i="6" s="1"/>
  <c r="M50" i="6"/>
  <c r="C29" i="17" l="1"/>
  <c r="D59" i="16"/>
  <c r="D29" i="17" s="1"/>
  <c r="D37" i="35"/>
  <c r="M63" i="6"/>
  <c r="K64" i="6"/>
  <c r="K65" i="6"/>
  <c r="M16" i="16"/>
  <c r="G38" i="16"/>
  <c r="M27" i="16"/>
  <c r="M28" i="16"/>
  <c r="C69" i="16"/>
  <c r="C40" i="17" s="1"/>
  <c r="M65" i="6" l="1"/>
  <c r="L65" i="6"/>
  <c r="M64" i="6"/>
  <c r="L64" i="6"/>
  <c r="C140" i="16"/>
  <c r="C141" i="16" s="1"/>
  <c r="D69" i="16"/>
  <c r="D40" i="17" s="1"/>
  <c r="D42" i="17" s="1"/>
  <c r="C71" i="16"/>
  <c r="H38" i="16" s="1"/>
  <c r="M36" i="16" l="1"/>
  <c r="F46" i="16"/>
  <c r="D71" i="16"/>
  <c r="C42" i="17"/>
  <c r="C74" i="16"/>
  <c r="C45" i="17" l="1"/>
  <c r="D74" i="16"/>
  <c r="D45" i="17" s="1"/>
  <c r="C77" i="16"/>
  <c r="C79" i="16" s="1"/>
  <c r="C48" i="17" l="1"/>
  <c r="D77" i="16"/>
  <c r="D48" i="17" s="1"/>
  <c r="C50" i="17" l="1"/>
  <c r="D5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1" authorId="0" shapeId="0" xr:uid="{00000000-0006-0000-0800-000005000000}">
      <text>
        <r>
          <rPr>
            <sz val="10"/>
            <color rgb="FF000000"/>
            <rFont val="Arial"/>
            <family val="2"/>
            <scheme val="minor"/>
          </rPr>
          <t>======
ID#AAAAZPJ2Ldc
Roi Levy    (2022-05-10 10:49:33)
GTS</t>
        </r>
      </text>
    </comment>
    <comment ref="E21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======
ID#AAAAZPUbPGA
Roi Levy    (2022-05-10 10:49:33)
NFX SAFE+HW Ventures Seed round</t>
        </r>
      </text>
    </comment>
    <comment ref="H47" authorId="0" shapeId="0" xr:uid="{00000000-0006-0000-0800-000004000000}">
      <text>
        <r>
          <rPr>
            <sz val="10"/>
            <color rgb="FF000000"/>
            <rFont val="Arial"/>
            <family val="2"/>
            <scheme val="minor"/>
          </rPr>
          <t>======
ID#AAAAZPUbPF4
Mika Peled    (2022-05-10 10:49:33)
- bonus</t>
        </r>
      </text>
    </comment>
    <comment ref="C53" authorId="0" shapeId="0" xr:uid="{00000000-0006-0000-0800-000003000000}">
      <text>
        <r>
          <rPr>
            <sz val="10"/>
            <color rgb="FF000000"/>
            <rFont val="Arial"/>
            <family val="2"/>
            <scheme val="minor"/>
          </rPr>
          <t>======
ID#AAAAZPJ2Ldg
Roi Levy    (2022-05-10 10:49:33)
GTS</t>
        </r>
      </text>
    </comment>
    <comment ref="E53" authorId="0" shapeId="0" xr:uid="{00000000-0006-0000-0800-000002000000}">
      <text>
        <r>
          <rPr>
            <sz val="10"/>
            <color rgb="FF000000"/>
            <rFont val="Arial"/>
            <family val="2"/>
            <scheme val="minor"/>
          </rPr>
          <t>======
ID#AAAAZPUbPF8
Roi Levy    (2022-05-10 10:49:33)
NFX SAFE+HW Ventures Seed round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OT8gJEn68NBQpk91CdsMK2dA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2" authorId="0" shapeId="0" xr:uid="{00000000-0006-0000-0B00-000002000000}">
      <text>
        <r>
          <rPr>
            <sz val="10"/>
            <color rgb="FF000000"/>
            <rFont val="Arial"/>
            <family val="2"/>
            <scheme val="minor"/>
          </rPr>
          <t>======
ID#AAAAZoidHq0
Roi Levy    (2022-05-10 10:49:33)
GTS</t>
        </r>
      </text>
    </comment>
    <comment ref="E22" authorId="0" shapeId="0" xr:uid="{00000000-0006-0000-0B00-000004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ID#AAAAZoidHqw
</t>
        </r>
        <r>
          <rPr>
            <sz val="10"/>
            <color rgb="FF000000"/>
            <rFont val="Arial"/>
            <family val="2"/>
          </rPr>
          <t xml:space="preserve">Roi Levy    (2022-05-10 10:49:33)
</t>
        </r>
        <r>
          <rPr>
            <sz val="10"/>
            <color rgb="FF000000"/>
            <rFont val="Arial"/>
            <family val="2"/>
          </rPr>
          <t>NFX SAFE+HW Ventures Seed round</t>
        </r>
      </text>
    </comment>
    <comment ref="H48" authorId="0" shapeId="0" xr:uid="{00000000-0006-0000-0B00-000005000000}">
      <text>
        <r>
          <rPr>
            <sz val="10"/>
            <color rgb="FF000000"/>
            <rFont val="Arial"/>
            <family val="2"/>
            <scheme val="minor"/>
          </rPr>
          <t>======
ID#AAAAZoidHqs
Mika Peled    (2022-05-10 10:49:33)
- bonus</t>
        </r>
      </text>
    </comment>
    <comment ref="C54" authorId="0" shapeId="0" xr:uid="{00000000-0006-0000-0B00-000003000000}">
      <text>
        <r>
          <rPr>
            <sz val="10"/>
            <color rgb="FF000000"/>
            <rFont val="Arial"/>
            <family val="2"/>
            <scheme val="minor"/>
          </rPr>
          <t>======
ID#AAAAZoidHqk
Roi Levy    (2022-05-10 10:49:33)
GTS</t>
        </r>
      </text>
    </comment>
    <comment ref="E54" authorId="0" shapeId="0" xr:uid="{00000000-0006-0000-0B00-000001000000}">
      <text>
        <r>
          <rPr>
            <sz val="10"/>
            <color rgb="FF000000"/>
            <rFont val="Arial"/>
            <family val="2"/>
            <scheme val="minor"/>
          </rPr>
          <t>======
ID#AAAAZoidHqo
Roi Levy    (2022-05-10 10:49:33)
NFX SAFE+HW Ventures Seed round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Qo6TFUqJ7fCM7Dzl7qhRzNtCgSA=="/>
    </ext>
  </extLst>
</comments>
</file>

<file path=xl/sharedStrings.xml><?xml version="1.0" encoding="utf-8"?>
<sst xmlns="http://schemas.openxmlformats.org/spreadsheetml/2006/main" count="8066" uniqueCount="1748">
  <si>
    <t>Papaya Gaming LTD</t>
  </si>
  <si>
    <t xml:space="preserve">דוח התאמה 2021 </t>
  </si>
  <si>
    <t>רווח לפני מס 2021</t>
  </si>
  <si>
    <t>תיאום הוצאות עודפות:</t>
  </si>
  <si>
    <t xml:space="preserve">מחקר ופיתוח - דחיית הוצאות </t>
  </si>
  <si>
    <t xml:space="preserve">פריסה על פני 3 שנים </t>
  </si>
  <si>
    <t>מחקר ופיתוח - הכרה בהוצאות ש"ק</t>
  </si>
  <si>
    <t>בגין הוצאות שמקורן ב 2018-2019</t>
  </si>
  <si>
    <t>הוצאות בגין תשלום מבוסס מניות</t>
  </si>
  <si>
    <t>גידול בהפרשה לחופשה</t>
  </si>
  <si>
    <t>גידול בהפרשה להבראה</t>
  </si>
  <si>
    <t>ארוחות</t>
  </si>
  <si>
    <t xml:space="preserve"> 100% מתואם </t>
  </si>
  <si>
    <t xml:space="preserve">כיבודים </t>
  </si>
  <si>
    <t>עודפות</t>
  </si>
  <si>
    <t>רווחי אקוויטי</t>
  </si>
  <si>
    <t>תרומות</t>
  </si>
  <si>
    <t xml:space="preserve">קנסות </t>
  </si>
  <si>
    <t xml:space="preserve">קנסות תנועה + מוסדות </t>
  </si>
  <si>
    <t xml:space="preserve">כרטיס </t>
  </si>
  <si>
    <t xml:space="preserve">תאור </t>
  </si>
  <si>
    <t xml:space="preserve">סה"כ הוצאה </t>
  </si>
  <si>
    <t>שויים</t>
  </si>
  <si>
    <t xml:space="preserve">הוצאה עודפת </t>
  </si>
  <si>
    <t>הפסד מועבר משנת 2019</t>
  </si>
  <si>
    <t>מצרכים וכיבודים</t>
  </si>
  <si>
    <t>#REF!</t>
  </si>
  <si>
    <t>מתנות</t>
  </si>
  <si>
    <t>הפסד לצרכי מס - מועבר לשנת 2021</t>
  </si>
  <si>
    <t>אירוע חברה</t>
  </si>
  <si>
    <t>תרומה להעברה לשנים הבאות לשם קבלת הזיכוי</t>
  </si>
  <si>
    <t>מתנות לעובדים חד פעמי</t>
  </si>
  <si>
    <t>USD</t>
  </si>
  <si>
    <t>NIS</t>
  </si>
  <si>
    <t>שיעור המס לפי מפעל טכנולוגי מועדף (גישה שמרנית)</t>
  </si>
  <si>
    <t>נכס מס נדחה בגין הפסד להעברה</t>
  </si>
  <si>
    <t>נכס מס נדחה בגין הפרשה לחופשה</t>
  </si>
  <si>
    <t>התאמת מו"פ</t>
  </si>
  <si>
    <t>נכס מס נדחה בגין הפרשה להבראה</t>
  </si>
  <si>
    <t>הוצאות מו״פ שנדחו</t>
  </si>
  <si>
    <t>הוצאות מו"פ</t>
  </si>
  <si>
    <t>הוצאות הפרשה להבראה מופ</t>
  </si>
  <si>
    <t>הוצאות חופשה מופ</t>
  </si>
  <si>
    <t>SBC Expenses R&amp;D</t>
  </si>
  <si>
    <t>כותרת ראשית;</t>
  </si>
  <si>
    <t>כותרת משנה;</t>
  </si>
  <si>
    <t>סעיף;</t>
  </si>
  <si>
    <t>חשבון</t>
  </si>
  <si>
    <t>תאור חשבון</t>
  </si>
  <si>
    <t>BS</t>
  </si>
  <si>
    <t xml:space="preserve">Cash </t>
  </si>
  <si>
    <t>Account receivable</t>
  </si>
  <si>
    <t>Applovin</t>
  </si>
  <si>
    <t>Other accounts receivable</t>
  </si>
  <si>
    <t>Deferred tax assets</t>
  </si>
  <si>
    <t>Other accounts payable</t>
  </si>
  <si>
    <t>הכנסות נדחות - מאזני</t>
  </si>
  <si>
    <t>Fixed assets, net</t>
  </si>
  <si>
    <t>אמירים הפצה</t>
  </si>
  <si>
    <t>Trade payables</t>
  </si>
  <si>
    <t>אוריאל בכר - ספק יעוץ</t>
  </si>
  <si>
    <t>תן ביס - ביס קו אי</t>
  </si>
  <si>
    <t>עיריית תל אביב</t>
  </si>
  <si>
    <t>קסלמן קסלמן PWC</t>
  </si>
  <si>
    <t>ביי מי - תווי שי</t>
  </si>
  <si>
    <t>פריוריטי סופטוור</t>
  </si>
  <si>
    <t>אטיאס אופיס קולקשיין בע״מ</t>
  </si>
  <si>
    <t>גט טקסי סירוויס</t>
  </si>
  <si>
    <t>חברת חשמל</t>
  </si>
  <si>
    <t>טי אם מובייל 2014 בע"מ</t>
  </si>
  <si>
    <t>העמותה למען עתיד טבעוני</t>
  </si>
  <si>
    <t>גיים בוסט - איתמר כהן</t>
  </si>
  <si>
    <t>ריסקיפייד בע"מ</t>
  </si>
  <si>
    <t>ארפילאי בע"מ</t>
  </si>
  <si>
    <t>אמנון גור סוכנות לביטוח 2000 בע"מ</t>
  </si>
  <si>
    <t>מי אביבים 2010 בע"מ</t>
  </si>
  <si>
    <t>אלפא א. מחשבים בע"מ</t>
  </si>
  <si>
    <t>סיקס נוטס בע"מ</t>
  </si>
  <si>
    <t>מיתר עורכי דין</t>
  </si>
  <si>
    <t>שבלת ושות'</t>
  </si>
  <si>
    <t>דבוסקין ייעוץ בע"מ</t>
  </si>
  <si>
    <t>קופרמן ייזום והשקעות</t>
  </si>
  <si>
    <t>זיו שרון ושות' עורכי דין</t>
  </si>
  <si>
    <t>יאנג מדיה בע"מ</t>
  </si>
  <si>
    <t>א.פ ויז'ן</t>
  </si>
  <si>
    <t>בלו סקיי</t>
  </si>
  <si>
    <t>אומגה פתרונות בע"מ</t>
  </si>
  <si>
    <t>האנצ' פתרונות בע"מ</t>
  </si>
  <si>
    <t>חברת פרטנר תקשורת בע"מ</t>
  </si>
  <si>
    <t>אינטרפלנט בע"מ</t>
  </si>
  <si>
    <t>אחים וקסמן תעשיות בע"מ</t>
  </si>
  <si>
    <t>יונייטד סיטס בע"מ</t>
  </si>
  <si>
    <t>סוויטק בע״מ</t>
  </si>
  <si>
    <t>KPMG</t>
  </si>
  <si>
    <t>מטריקס אי.טי. קלאודזון</t>
  </si>
  <si>
    <t>מאגרי בניה בע״מ</t>
  </si>
  <si>
    <t>דני.אל תקשורת בע״מ</t>
  </si>
  <si>
    <t>גונון בת קול בע״מ</t>
  </si>
  <si>
    <t>AdAction Interactive LLC</t>
  </si>
  <si>
    <t>Snap inc</t>
  </si>
  <si>
    <t>Zendesk Inc.</t>
  </si>
  <si>
    <t>Twilio</t>
  </si>
  <si>
    <t>JetBrains s.r.o.</t>
  </si>
  <si>
    <t>SignNow</t>
  </si>
  <si>
    <t>Opsgenie</t>
  </si>
  <si>
    <t>Alan Mensa-Wilmot</t>
  </si>
  <si>
    <t>Loan-Long term</t>
  </si>
  <si>
    <t>Loan-Short term</t>
  </si>
  <si>
    <t>Shareholders' loan</t>
  </si>
  <si>
    <t>Shareholders</t>
  </si>
  <si>
    <t>Related Party</t>
  </si>
  <si>
    <t>Share capital - Ordinary Shares</t>
  </si>
  <si>
    <t>Homeward Ventures Limited</t>
  </si>
  <si>
    <t>Share premium</t>
  </si>
  <si>
    <t>NFX Capital Fund I, LP</t>
  </si>
  <si>
    <t>A.A.D Argaman Ltd.</t>
  </si>
  <si>
    <t>Cloud Nine Ltd.</t>
  </si>
  <si>
    <t>Ohad Ravid</t>
  </si>
  <si>
    <t>Oren Weisenstern</t>
  </si>
  <si>
    <t>Shaul Eyal</t>
  </si>
  <si>
    <t>Dror Ben Ari</t>
  </si>
  <si>
    <t>Eran Price</t>
  </si>
  <si>
    <t>PGF Synergy Limited Partnership</t>
  </si>
  <si>
    <t>ISV Capital</t>
  </si>
  <si>
    <t>NOA.TW LLC</t>
  </si>
  <si>
    <t>DKFS, LLC</t>
  </si>
  <si>
    <t>Rainfall Ventures I, LP</t>
  </si>
  <si>
    <t>Bonale Foundation</t>
  </si>
  <si>
    <t>Michael Vainshtein</t>
  </si>
  <si>
    <t>Daniel Sirota</t>
  </si>
  <si>
    <t>Amos Peled</t>
  </si>
  <si>
    <t>BOAZ BEN HAROSH</t>
  </si>
  <si>
    <t>OREN BAR-NIR GAYER</t>
  </si>
  <si>
    <t>ORIEL BACHAR</t>
  </si>
  <si>
    <t>Alex Liakhovetsky</t>
  </si>
  <si>
    <t>Andrey Birman</t>
  </si>
  <si>
    <t>קניית מניות</t>
  </si>
  <si>
    <t>Investment</t>
  </si>
  <si>
    <t>מימוש אופציות/מניות</t>
  </si>
  <si>
    <t>Share capital - Preferred Seed-1</t>
  </si>
  <si>
    <t>קרן הון תשלום מבוסס מניות</t>
  </si>
  <si>
    <t>Share capital - Preferred Seed</t>
  </si>
  <si>
    <t>Accumulated deficit</t>
  </si>
  <si>
    <t>Receivables for shares issued</t>
  </si>
  <si>
    <t>PL</t>
  </si>
  <si>
    <t>Revenues</t>
  </si>
  <si>
    <t xml:space="preserve">ads revenue </t>
  </si>
  <si>
    <t>Cost of revenues</t>
  </si>
  <si>
    <t xml:space="preserve">Salary </t>
  </si>
  <si>
    <t>Marketing expenses</t>
  </si>
  <si>
    <t>withdrawals</t>
  </si>
  <si>
    <t>Research and development expenses, net</t>
  </si>
  <si>
    <t>General and administrative expenses</t>
  </si>
  <si>
    <t xml:space="preserve">Softwere subscription </t>
  </si>
  <si>
    <t>Upwork</t>
  </si>
  <si>
    <t>Digital River</t>
  </si>
  <si>
    <t>User Acquisition</t>
  </si>
  <si>
    <t>Rent and related</t>
  </si>
  <si>
    <t>Other expenses</t>
  </si>
  <si>
    <t>insurance</t>
  </si>
  <si>
    <t>Welfare</t>
  </si>
  <si>
    <t>Conferences and seminars</t>
  </si>
  <si>
    <t>recruitment</t>
  </si>
  <si>
    <t>Financial expenses, net</t>
  </si>
  <si>
    <t>Loan interest</t>
  </si>
  <si>
    <t>הפרשי שער</t>
  </si>
  <si>
    <t xml:space="preserve">Exchange rate </t>
  </si>
  <si>
    <t>Software subscription R&amp;D</t>
  </si>
  <si>
    <t>Fee</t>
  </si>
  <si>
    <t>Convertible Loan</t>
  </si>
  <si>
    <t>Contract liability</t>
  </si>
  <si>
    <t xml:space="preserve">Net Cash </t>
  </si>
  <si>
    <t xml:space="preserve">option expenses </t>
  </si>
  <si>
    <t>הוצאות אופציות מחקר ופיתוח</t>
  </si>
  <si>
    <t>deposit</t>
  </si>
  <si>
    <t>א.צ. ניהול ואחזקה בע"מ</t>
  </si>
  <si>
    <t>דלל רם שרותי נקיון ושמ</t>
  </si>
  <si>
    <t>Robert Pavrey &amp; Associates</t>
  </si>
  <si>
    <t>Adobe.com NIS</t>
  </si>
  <si>
    <t>TubeScience USA, Inc</t>
  </si>
  <si>
    <t>Loan-Short Term</t>
  </si>
  <si>
    <t>PR</t>
  </si>
  <si>
    <t>Tax expenses</t>
  </si>
  <si>
    <t xml:space="preserve">IC expenses </t>
  </si>
  <si>
    <t>Papaya Gaming INC</t>
  </si>
  <si>
    <t>פאפאייה גיימינג בע"מ</t>
  </si>
  <si>
    <t>הראל בטוח-י</t>
  </si>
  <si>
    <t>פון פלוס בע"מ</t>
  </si>
  <si>
    <t>הרצוג,פוקס,נאמן ושות'</t>
  </si>
  <si>
    <t>שחם יואב</t>
  </si>
  <si>
    <t>Goodbay Technologies, Inc</t>
  </si>
  <si>
    <t>Digital Turbine Media, Inc.</t>
  </si>
  <si>
    <t>איקון פרסום ושווק בע"מ</t>
  </si>
  <si>
    <t>Vungle Inc.</t>
  </si>
  <si>
    <t>איירונסורס מובייל בע"מ</t>
  </si>
  <si>
    <t>וואלט אנטרפריזס ישראל</t>
  </si>
  <si>
    <t>ווייד אופס בע"מ</t>
  </si>
  <si>
    <t>סומך חייקין</t>
  </si>
  <si>
    <t>אלקטרו קובי בע"מ</t>
  </si>
  <si>
    <t>אל.פי.סי פתרונות מחשוב</t>
  </si>
  <si>
    <t>שלמה פסגה בע"מ</t>
  </si>
  <si>
    <t>ודיע מאנה בע"מ</t>
  </si>
  <si>
    <t>Linkedin-NIS</t>
  </si>
  <si>
    <t>בשניים (ע"ר)</t>
  </si>
  <si>
    <t>לוינסקי מרקט</t>
  </si>
  <si>
    <t>Slack</t>
  </si>
  <si>
    <t>Unity Technologies SF</t>
  </si>
  <si>
    <t>Monday.com LTD</t>
  </si>
  <si>
    <t>Applovin Corporation</t>
  </si>
  <si>
    <t>Linkedin-$</t>
  </si>
  <si>
    <t>Skype.com</t>
  </si>
  <si>
    <t>Zoom</t>
  </si>
  <si>
    <t>PCH-publishers clearing hous</t>
  </si>
  <si>
    <t>Adcolony Inc</t>
  </si>
  <si>
    <t>Expensify</t>
  </si>
  <si>
    <t>The Penny Pincher Media LLC</t>
  </si>
  <si>
    <t>Grammarly.com</t>
  </si>
  <si>
    <t>Liftoff Mobile, Inc</t>
  </si>
  <si>
    <t>Memery Crystal Office Account GBP</t>
  </si>
  <si>
    <t>Prodege, LLC</t>
  </si>
  <si>
    <t>Chatfuel</t>
  </si>
  <si>
    <t>Apple Distribution International Ltd</t>
  </si>
  <si>
    <t>YouAppi INC</t>
  </si>
  <si>
    <t>Testgorilla Amsterdam NL</t>
  </si>
  <si>
    <t>Sentry HTTPSSENTRY.I US</t>
  </si>
  <si>
    <t>Lusha US</t>
  </si>
  <si>
    <t>Linktree</t>
  </si>
  <si>
    <t>Bloomberg.com</t>
  </si>
  <si>
    <t>TokenEx</t>
  </si>
  <si>
    <t xml:space="preserve">Gift to Users </t>
  </si>
  <si>
    <t>Copywriting expenses</t>
  </si>
  <si>
    <t>טוטאל פינאנס בע"מ</t>
  </si>
  <si>
    <t>ויאו-תוכן קריאטיב וידאו בע"מ</t>
  </si>
  <si>
    <t>פיקסר מעבדות בע"מ</t>
  </si>
  <si>
    <t>GoDaddy com</t>
  </si>
  <si>
    <t>שטראוס מים בע"מ-תמי 4</t>
  </si>
  <si>
    <t>אפספלייר בע"מ</t>
  </si>
  <si>
    <t>Box UK</t>
  </si>
  <si>
    <t>Fluent</t>
  </si>
  <si>
    <t>Gurock</t>
  </si>
  <si>
    <t>Holestein Brusa</t>
  </si>
  <si>
    <t>MSFT-microsoft</t>
  </si>
  <si>
    <t>GitHub, Inc.</t>
  </si>
  <si>
    <t>Atlassian Pty Ltd</t>
  </si>
  <si>
    <t>Team Viewer</t>
  </si>
  <si>
    <t>Motive Interactive</t>
  </si>
  <si>
    <t>Comeet</t>
  </si>
  <si>
    <t>ביגה ביד מדיה בע"מ</t>
  </si>
  <si>
    <t>BLS*Ongage</t>
  </si>
  <si>
    <t>Esther Hasky de Brown</t>
  </si>
  <si>
    <t>Dla Piper LLP</t>
  </si>
  <si>
    <t>Sensor Tower INC</t>
  </si>
  <si>
    <t>ספוט - נט</t>
  </si>
  <si>
    <t>Docusign</t>
  </si>
  <si>
    <t>Shardul Amarchand Mangaldas And CO</t>
  </si>
  <si>
    <t>Oracle Corporation UK Limited</t>
  </si>
  <si>
    <t>Whatagraph Amsterdam</t>
  </si>
  <si>
    <t>Avoxi</t>
  </si>
  <si>
    <t>Launch Potato or  Media Solutions LLC(Buzzery)</t>
  </si>
  <si>
    <t>רמי לוי</t>
  </si>
  <si>
    <t>מיטב ציוד משרדי</t>
  </si>
  <si>
    <t>היי פלור בע"מ</t>
  </si>
  <si>
    <t>תלמה שלמה טראוול סולושיינס</t>
  </si>
  <si>
    <t>זווית מכשירי כתיבה</t>
  </si>
  <si>
    <t>SendGrid</t>
  </si>
  <si>
    <t>Strattic Inc</t>
  </si>
  <si>
    <t>אפלאוז איכות אפליקציות</t>
  </si>
  <si>
    <t>מוניות אפי שלום</t>
  </si>
  <si>
    <t>ה.ס.פ. - הסעות ושליחויות</t>
  </si>
  <si>
    <t>CSM Sport and Entertainment LLP</t>
  </si>
  <si>
    <t>AK INFORMATICA DI AK BOSS SRL E C. S.A.S.</t>
  </si>
  <si>
    <t>פרי-פיט בע"מ</t>
  </si>
  <si>
    <t>Morgan Lewis Stamford LL</t>
  </si>
  <si>
    <t>ליניאד מדיה בע"מ</t>
  </si>
  <si>
    <t>Equity</t>
  </si>
  <si>
    <t>תאור החשבון</t>
  </si>
  <si>
    <t>יתרה בשקלים</t>
  </si>
  <si>
    <t>יתרה בדולרים</t>
  </si>
  <si>
    <t xml:space="preserve">סוג דוח </t>
  </si>
  <si>
    <t xml:space="preserve">מחלקה </t>
  </si>
  <si>
    <t xml:space="preserve">תת מחלקה </t>
  </si>
  <si>
    <t>פקדון כנגד שעבוד זמן ארוך (לטובת מסגרת כ״א)</t>
  </si>
  <si>
    <t>Facebook (Meta Platforms)</t>
  </si>
  <si>
    <t>LTD</t>
  </si>
  <si>
    <t>INC</t>
  </si>
  <si>
    <t>Consolidated</t>
  </si>
  <si>
    <t>CURRENT ASSETS</t>
  </si>
  <si>
    <t>Reserve - Wordpay</t>
  </si>
  <si>
    <t>Related Party-AP</t>
  </si>
  <si>
    <t>Deposit</t>
  </si>
  <si>
    <t>NON-CURRENT ASSETS</t>
  </si>
  <si>
    <t xml:space="preserve">Total Assets </t>
  </si>
  <si>
    <t>CURRENT LIABILITIES</t>
  </si>
  <si>
    <t>Loan-Long Term</t>
  </si>
  <si>
    <t xml:space="preserve">Total liabilities  </t>
  </si>
  <si>
    <t>SHAREHOLDERS' EQUITY</t>
  </si>
  <si>
    <t xml:space="preserve">Cons </t>
  </si>
  <si>
    <t xml:space="preserve">Gross loss (profit) </t>
  </si>
  <si>
    <t xml:space="preserve">Operating expenses </t>
  </si>
  <si>
    <t>Operating loss (pprofit)</t>
  </si>
  <si>
    <t>TP Expenses</t>
  </si>
  <si>
    <t>loss before taxes</t>
  </si>
  <si>
    <t>Net loss ( profit )</t>
  </si>
  <si>
    <t xml:space="preserve">USD -LTD </t>
  </si>
  <si>
    <t xml:space="preserve">ILS -LTD </t>
  </si>
  <si>
    <t>JE</t>
  </si>
  <si>
    <t xml:space="preserve">AJE </t>
  </si>
  <si>
    <t xml:space="preserve">Total libiliaties </t>
  </si>
  <si>
    <t>ILS -LTD</t>
  </si>
  <si>
    <t>Overheads</t>
  </si>
  <si>
    <t>Payroll</t>
  </si>
  <si>
    <t>Options</t>
  </si>
  <si>
    <t xml:space="preserve">Ua </t>
  </si>
  <si>
    <t>Financial expenses</t>
  </si>
  <si>
    <t>Taxes</t>
  </si>
  <si>
    <t>Assets</t>
  </si>
  <si>
    <t>Other Accounts Receivable</t>
  </si>
  <si>
    <t>Income tax payable</t>
  </si>
  <si>
    <t>Retained Earnings</t>
  </si>
  <si>
    <t>FEE</t>
  </si>
  <si>
    <t xml:space="preserve">Total inc income </t>
  </si>
  <si>
    <t xml:space="preserve">Total LTD income </t>
  </si>
  <si>
    <t>Opening Balance</t>
  </si>
  <si>
    <t>Expected Loss (Revenue)</t>
  </si>
  <si>
    <t>Carryforward losses</t>
  </si>
  <si>
    <t>Ending Balance</t>
  </si>
  <si>
    <t xml:space="preserve"> </t>
  </si>
  <si>
    <t>Requirements</t>
  </si>
  <si>
    <t>R&amp;D Expenses test (7%/75M NIS)</t>
  </si>
  <si>
    <t xml:space="preserve">missing </t>
  </si>
  <si>
    <t>R&amp;D Expenses</t>
  </si>
  <si>
    <t>R&amp;D Expenses\Revenues Ratio</t>
  </si>
  <si>
    <t>R&amp;D Expenses\Revenues Ratio - 3Y AVG</t>
  </si>
  <si>
    <t>Missing R&amp;D Expenses to reach the ratio</t>
  </si>
  <si>
    <t>R&amp;D Expenses Non GAAP</t>
  </si>
  <si>
    <t>Break even point</t>
  </si>
  <si>
    <t>Net Income in 2022</t>
  </si>
  <si>
    <t xml:space="preserve">missing exp </t>
  </si>
  <si>
    <t>Above this point Its better to Increase our R&amp;D Spend to reach the ratio</t>
  </si>
  <si>
    <t>Investment from VC in USD</t>
  </si>
  <si>
    <t>AVERAGE NIS/USD Exchange rate</t>
  </si>
  <si>
    <t>Investment - 8M NIS investment from VC</t>
  </si>
  <si>
    <t xml:space="preserve">ספטמבר R&amp;D </t>
  </si>
  <si>
    <t>25% Increase in AVG revenues Yearly</t>
  </si>
  <si>
    <t xml:space="preserve">founder Bonus </t>
  </si>
  <si>
    <t xml:space="preserve">Emp Bonus </t>
  </si>
  <si>
    <t>25% Increase in AVG number of employees + at least 50 employees</t>
  </si>
  <si>
    <t>Number of employees</t>
  </si>
  <si>
    <t>HC Increase ratio</t>
  </si>
  <si>
    <t>רועי</t>
  </si>
  <si>
    <t>20% of the Company's employees expenses listed as R&amp;D or At least 200 Employees</t>
  </si>
  <si>
    <t>יולי  V2</t>
  </si>
  <si>
    <t>R&amp;D Payroll</t>
  </si>
  <si>
    <t>R&amp;D HC</t>
  </si>
  <si>
    <t xml:space="preserve">הערכה </t>
  </si>
  <si>
    <t>Total Payroll</t>
  </si>
  <si>
    <t>Total HC</t>
  </si>
  <si>
    <t>R&amp;D Payroll expenses ratio</t>
  </si>
  <si>
    <t>R&amp;D HC ratio</t>
  </si>
  <si>
    <t>סה״כ RD</t>
  </si>
  <si>
    <t>מפעל מועדף - תנאים</t>
  </si>
  <si>
    <t>מפעל תעשייתי - בית תכנה נחשב מפעל תעשייתי</t>
  </si>
  <si>
    <t>מפעל בר תחרות - רוב ההכנסות נובעות מייצוא</t>
  </si>
  <si>
    <t>2021 - ytd 9.21</t>
  </si>
  <si>
    <t>Oct-Dec 2021 estimeted</t>
  </si>
  <si>
    <t>Total 2021</t>
  </si>
  <si>
    <t>פריסת הוצאות מו"פ</t>
  </si>
  <si>
    <t xml:space="preserve">סך הוצאה </t>
  </si>
  <si>
    <t>RND Expenses Adjustments</t>
  </si>
  <si>
    <t xml:space="preserve">INC </t>
  </si>
  <si>
    <t>Cash Flow</t>
  </si>
  <si>
    <t>Papaya Gaming Ltd</t>
  </si>
  <si>
    <t>Consolidated staements of cash flows</t>
  </si>
  <si>
    <t>$</t>
  </si>
  <si>
    <t>Profit</t>
  </si>
  <si>
    <t>Operating activities</t>
  </si>
  <si>
    <t>Investing activities</t>
  </si>
  <si>
    <t>Financing activities</t>
  </si>
  <si>
    <t>Transfers</t>
  </si>
  <si>
    <t>Cash Change</t>
  </si>
  <si>
    <t>Check</t>
  </si>
  <si>
    <t>Cash</t>
  </si>
  <si>
    <t>O.B</t>
  </si>
  <si>
    <t>Purchases</t>
  </si>
  <si>
    <t>Disposals</t>
  </si>
  <si>
    <t>Depreciation</t>
  </si>
  <si>
    <t>C.B</t>
  </si>
  <si>
    <t>Shareholders loan</t>
  </si>
  <si>
    <t>Liabilities and Shareholders equity</t>
  </si>
  <si>
    <t>Net Profit</t>
  </si>
  <si>
    <t>התאמה בגין הוצאות שלא במזומן</t>
  </si>
  <si>
    <t>Share based compensation</t>
  </si>
  <si>
    <t>Deffered tax liabilities</t>
  </si>
  <si>
    <t>Trade payables change</t>
  </si>
  <si>
    <t>Contract liability change</t>
  </si>
  <si>
    <t>Net cash provieded by (used in) operating activities</t>
  </si>
  <si>
    <t>Purchase of property and equipment</t>
  </si>
  <si>
    <t>Proceeds from issuance of Ordinary Shares</t>
  </si>
  <si>
    <t>Repayment of long term loan</t>
  </si>
  <si>
    <t>Cash O.B</t>
  </si>
  <si>
    <t>Cash C.B</t>
  </si>
  <si>
    <t>Deferred tax liability</t>
  </si>
  <si>
    <t>Additional loan</t>
  </si>
  <si>
    <t>Payments</t>
  </si>
  <si>
    <t>Options exercised</t>
  </si>
  <si>
    <t>USD in thousands</t>
  </si>
  <si>
    <t>3 years revenues</t>
  </si>
  <si>
    <t>3 years rnd expenses</t>
  </si>
  <si>
    <t>rate</t>
  </si>
  <si>
    <t>Financial expenses (Fx)</t>
  </si>
  <si>
    <t>Ref</t>
  </si>
  <si>
    <t>FX change</t>
  </si>
  <si>
    <t>Interest received</t>
  </si>
  <si>
    <t>Cash FX Change</t>
  </si>
  <si>
    <t>Notes:</t>
  </si>
  <si>
    <t>FA. Roll Froward</t>
  </si>
  <si>
    <t>Short-Term Loan Roll Froward</t>
  </si>
  <si>
    <t>Long-Term Loan Roll Froward</t>
  </si>
  <si>
    <t>FX</t>
  </si>
  <si>
    <t>Additional paid in capital Roll Forward</t>
  </si>
  <si>
    <t>Ordinary Shares Roll Forward</t>
  </si>
  <si>
    <t xml:space="preserve">$ In thousands </t>
  </si>
  <si>
    <t>Preferred shares</t>
  </si>
  <si>
    <t>Ordinary Shares</t>
  </si>
  <si>
    <t>Number of shares</t>
  </si>
  <si>
    <t xml:space="preserve">Amount </t>
  </si>
  <si>
    <t>Additional paid- in capital</t>
  </si>
  <si>
    <t xml:space="preserve">Total </t>
  </si>
  <si>
    <t>*</t>
  </si>
  <si>
    <t xml:space="preserve">Issuance of Ordinary shares upon exerise of options </t>
  </si>
  <si>
    <t xml:space="preserve">Net Profit </t>
  </si>
  <si>
    <t>Balance as of December 31, 2021</t>
  </si>
  <si>
    <t>Changes ion equity</t>
  </si>
  <si>
    <t>FS Notes</t>
  </si>
  <si>
    <t>Note 3 - Property and Equipment, Net</t>
  </si>
  <si>
    <t xml:space="preserve">Group </t>
  </si>
  <si>
    <t xml:space="preserve">Computers and electronic equipment </t>
  </si>
  <si>
    <t>Vehicles</t>
  </si>
  <si>
    <t>Office furniture and equipment</t>
  </si>
  <si>
    <t>Leasehold improvements</t>
  </si>
  <si>
    <t>Less – accumulated depreciation</t>
  </si>
  <si>
    <t>Total property and equipment, net</t>
  </si>
  <si>
    <t>Note 5 - Other current Liabilities</t>
  </si>
  <si>
    <t>Stock base compensation</t>
  </si>
  <si>
    <t>Payroll and related expenses</t>
  </si>
  <si>
    <t>Accrued expenses</t>
  </si>
  <si>
    <t>Other</t>
  </si>
  <si>
    <t>SVB Commission</t>
  </si>
  <si>
    <t>WorldPay Commission</t>
  </si>
  <si>
    <t>James Kong</t>
  </si>
  <si>
    <t>Entity</t>
  </si>
  <si>
    <t>Account</t>
  </si>
  <si>
    <t>WHT</t>
  </si>
  <si>
    <t>Other current liabilities INC</t>
  </si>
  <si>
    <t>Note 11 - Supplementary statements of operation information</t>
  </si>
  <si>
    <t>Computer Maintenance</t>
  </si>
  <si>
    <t>Professional consulting</t>
  </si>
  <si>
    <t>Share-based compensation</t>
  </si>
  <si>
    <t>Hosting and Servers</t>
  </si>
  <si>
    <t>Software subscription</t>
  </si>
  <si>
    <t>b. Marketing expenses:</t>
  </si>
  <si>
    <t>Marketing and Advertising</t>
  </si>
  <si>
    <t>c. General and administrative expenses:</t>
  </si>
  <si>
    <t>a. Research and development expenses:</t>
  </si>
  <si>
    <t>Legal expenses</t>
  </si>
  <si>
    <t>Professional services</t>
  </si>
  <si>
    <t>Rent and maintenance</t>
  </si>
  <si>
    <t>Including Allocation</t>
  </si>
  <si>
    <t>Signed FS</t>
  </si>
  <si>
    <t xml:space="preserve">Option </t>
  </si>
  <si>
    <t xml:space="preserve">Net cash </t>
  </si>
  <si>
    <t xml:space="preserve">Check </t>
  </si>
  <si>
    <t xml:space="preserve">ROA Assets </t>
  </si>
  <si>
    <t>ROA Liability</t>
  </si>
  <si>
    <t xml:space="preserve">FS </t>
  </si>
  <si>
    <t>Total Equity</t>
  </si>
  <si>
    <t>Total revenue</t>
  </si>
  <si>
    <t xml:space="preserve">Ua Indirect </t>
  </si>
  <si>
    <t>Sales Tax</t>
  </si>
  <si>
    <t>Revenues from commissions</t>
  </si>
  <si>
    <t>Total revenues</t>
  </si>
  <si>
    <t>UA- Direct</t>
  </si>
  <si>
    <t>UA -Indirect</t>
  </si>
  <si>
    <t>Total Marketing</t>
  </si>
  <si>
    <t>GP</t>
  </si>
  <si>
    <t>%</t>
  </si>
  <si>
    <t>Clearing fees</t>
  </si>
  <si>
    <t>OverHeads</t>
  </si>
  <si>
    <t>EBITDA (Loss)</t>
  </si>
  <si>
    <t>Financial Expenses</t>
  </si>
  <si>
    <t>Interest</t>
  </si>
  <si>
    <t>Accrued Expenses</t>
  </si>
  <si>
    <t>Operating lease ROU assets and liabilities, net</t>
  </si>
  <si>
    <t>ADJ</t>
  </si>
  <si>
    <t>Property and equipment, net</t>
  </si>
  <si>
    <t>ILS</t>
  </si>
  <si>
    <t>Changes in operating assets and liabilities:</t>
  </si>
  <si>
    <t>Ltd:</t>
  </si>
  <si>
    <t>Inc:</t>
  </si>
  <si>
    <t>Total Revenues</t>
  </si>
  <si>
    <t>ASC842</t>
  </si>
  <si>
    <t>ROU Asset</t>
  </si>
  <si>
    <t>Adoption</t>
  </si>
  <si>
    <t>ROU Liabilities</t>
  </si>
  <si>
    <t>Tax Paid</t>
  </si>
  <si>
    <t>ASC842 Adoption</t>
  </si>
  <si>
    <t>Interest (Accrual)</t>
  </si>
  <si>
    <t>Interest Paid</t>
  </si>
  <si>
    <t xml:space="preserve">Shareholders </t>
  </si>
  <si>
    <t>Receivables on account of shares</t>
  </si>
  <si>
    <t xml:space="preserve">Adjustment </t>
  </si>
  <si>
    <t>Operating loss (profit)</t>
  </si>
  <si>
    <t>Prepaid exepnses and other current assets</t>
  </si>
  <si>
    <t>Account payables</t>
  </si>
  <si>
    <t>Other accounts payable and accrued expenses</t>
  </si>
  <si>
    <t>Current maurities of short term loan</t>
  </si>
  <si>
    <t>Prepaid expenses and other current assets</t>
  </si>
  <si>
    <t>Warrant liability</t>
  </si>
  <si>
    <t>Leumi  IL 568400</t>
  </si>
  <si>
    <t xml:space="preserve">cash </t>
  </si>
  <si>
    <t>Leumi  $ 568400</t>
  </si>
  <si>
    <t>Leumi  GBP 568400</t>
  </si>
  <si>
    <t>Leumi EURO 568400</t>
  </si>
  <si>
    <t>SVB LTD</t>
  </si>
  <si>
    <t>Bank Paypal LTD-USD</t>
  </si>
  <si>
    <t>Vat D/C</t>
  </si>
  <si>
    <t>VAT input</t>
  </si>
  <si>
    <t>VAT Input FA</t>
  </si>
  <si>
    <t>VAT Customs Duty</t>
  </si>
  <si>
    <t>Other Debtors-Hekzev</t>
  </si>
  <si>
    <t>Oriel Bachar D/C</t>
  </si>
  <si>
    <t>Oriel Bachar</t>
  </si>
  <si>
    <t>Prepaid Expenses</t>
  </si>
  <si>
    <t>Post Credit Card 0190 -Mika</t>
  </si>
  <si>
    <t>Post Credit Card 5740 -Lilach</t>
  </si>
  <si>
    <t>Investment in Papyagaming Inc</t>
  </si>
  <si>
    <t>Furniture</t>
  </si>
  <si>
    <t>Leasehold Improvements</t>
  </si>
  <si>
    <t>Equipment IT</t>
  </si>
  <si>
    <t>Computers and Hardware</t>
  </si>
  <si>
    <t>Depreciation accumulated Depreciation accumulate</t>
  </si>
  <si>
    <t>Depreciation accumulated Furniture</t>
  </si>
  <si>
    <t>Depreciation accumulated Leasehold Improvements</t>
  </si>
  <si>
    <t>Depreciation accumulated Equipment IT</t>
  </si>
  <si>
    <t>Depreciation accumulated Computers and Hardware</t>
  </si>
  <si>
    <t>Tax provision 2022</t>
  </si>
  <si>
    <t>Sureplus 2017</t>
  </si>
  <si>
    <t>Sureplus 2018</t>
  </si>
  <si>
    <t>Sureplus 2019</t>
  </si>
  <si>
    <t>Sureplus 2020</t>
  </si>
  <si>
    <t>Sureplus 2021</t>
  </si>
  <si>
    <t>Advances tax 2022</t>
  </si>
  <si>
    <t>Net cash balance</t>
  </si>
  <si>
    <t>First loan SVB 800K$</t>
  </si>
  <si>
    <t>Second loan SVB 800K$</t>
  </si>
  <si>
    <t>לין זורי</t>
  </si>
  <si>
    <t>Amazon NIS</t>
  </si>
  <si>
    <t>פיק גיוס ומשאבי אנוש</t>
  </si>
  <si>
    <t>אל-על</t>
  </si>
  <si>
    <t>מיטב דש בנפיטס בע"מ</t>
  </si>
  <si>
    <t>אילון פישמן</t>
  </si>
  <si>
    <t>מולטי טרנס בע"מ</t>
  </si>
  <si>
    <t>סושיאל גול תל אביב</t>
  </si>
  <si>
    <t>חסד מנחם מנדל ע"ש א דמור רבי מנחם</t>
  </si>
  <si>
    <t>צבירן ייעוץ וסקרים בע"מ</t>
  </si>
  <si>
    <t>י. אלדאג מהנדסים</t>
  </si>
  <si>
    <t>איל ניב מהנדסים ויועצים</t>
  </si>
  <si>
    <t>Unity*Paypal-RD</t>
  </si>
  <si>
    <t>Dickinson Wright LLP</t>
  </si>
  <si>
    <t>Invalid-EDPO-European Data Protection Office</t>
  </si>
  <si>
    <t>Papayagaming Inc</t>
  </si>
  <si>
    <t>Papayagaming INC D/C</t>
  </si>
  <si>
    <t>Credit Card Viza 8214 IL</t>
  </si>
  <si>
    <t>Credit Card Viza 3711 IL</t>
  </si>
  <si>
    <t>Credit Card Viza 3612 IL</t>
  </si>
  <si>
    <t>Credit Card Viza 3612 $</t>
  </si>
  <si>
    <t>Credit Card Viza 3711 $</t>
  </si>
  <si>
    <t>Credit Card Viza 8214 $</t>
  </si>
  <si>
    <t>Provision for auditing deductions</t>
  </si>
  <si>
    <t>WHT Vendors</t>
  </si>
  <si>
    <t>GTS payable</t>
  </si>
  <si>
    <t>Accrued Expenses IL</t>
  </si>
  <si>
    <t>Accrued Expenses -USD</t>
  </si>
  <si>
    <t>Accrued Expenses UA</t>
  </si>
  <si>
    <t>Employees Pension Payable</t>
  </si>
  <si>
    <t>Employees Social security</t>
  </si>
  <si>
    <t>Employees Tax Deduction</t>
  </si>
  <si>
    <t>Employee Advance-Yael</t>
  </si>
  <si>
    <t>Vacation Provision</t>
  </si>
  <si>
    <t>Recuperation Provision</t>
  </si>
  <si>
    <t>Accrued Bonus annual</t>
  </si>
  <si>
    <t>Deferred tax liabilities</t>
  </si>
  <si>
    <t>First loan SVB 800K$-1100493372</t>
  </si>
  <si>
    <t>Second loan SVB 800K$-1100501685</t>
  </si>
  <si>
    <t>Third Loan SVB 1100514309 16M$</t>
  </si>
  <si>
    <t>Premium</t>
  </si>
  <si>
    <t>Capital reserve for share-based Payment</t>
  </si>
  <si>
    <t>Revenue  - Revenue Worldpay IC</t>
  </si>
  <si>
    <t>Revenue  - Revenue Paypal  IL IC</t>
  </si>
  <si>
    <t>Revenue  - Revenue Paypal  US IC</t>
  </si>
  <si>
    <t>Revenue  - Revenue Cyber Source IC</t>
  </si>
  <si>
    <t>Revenue  - Revenue Braintree IC</t>
  </si>
  <si>
    <t>Revenue  - Israeli Customer</t>
  </si>
  <si>
    <t>Revenue  - Advertising  income</t>
  </si>
  <si>
    <t>Revenue  - Advertising income- VAT</t>
  </si>
  <si>
    <t>Revenue  - Net cash Balance</t>
  </si>
  <si>
    <t>Revenue  - Self invoice Debit</t>
  </si>
  <si>
    <t>Revenue  - Self invoice Credit</t>
  </si>
  <si>
    <t>Revenue  - Withdrawals</t>
  </si>
  <si>
    <t>Withdrawals</t>
  </si>
  <si>
    <t>Revenue  - Revenue Worldpay Receiveable</t>
  </si>
  <si>
    <t>Revenue  - Revenue Paypal  IL Receiveable</t>
  </si>
  <si>
    <t>Revenue  - Revenue Paypal  US  Receiveable</t>
  </si>
  <si>
    <t>Revenue  - Revenue Paypal Cyber Source Receiveab</t>
  </si>
  <si>
    <t>Revenue  - Revenue Advertising Receiveable</t>
  </si>
  <si>
    <t>;</t>
  </si>
  <si>
    <t>Tax - Tax expenses current period</t>
  </si>
  <si>
    <t>Operations Support- Base salary</t>
  </si>
  <si>
    <t>Operations</t>
  </si>
  <si>
    <t>Operations Support- Contractors as employees Sup</t>
  </si>
  <si>
    <t>Operations Support- Options</t>
  </si>
  <si>
    <t>Operations Support- Bonus provision</t>
  </si>
  <si>
    <t>Operations Support- Bonus-subcontractors</t>
  </si>
  <si>
    <t>Operations Support- vacation  provision</t>
  </si>
  <si>
    <t>Operations Support- Social security</t>
  </si>
  <si>
    <t>Operations Support- Pension</t>
  </si>
  <si>
    <t>Operations Support- Education fund</t>
  </si>
  <si>
    <t>Operations Support- Recuperation</t>
  </si>
  <si>
    <t>Operations Support- Severance</t>
  </si>
  <si>
    <t>Operations Support- Pension Value D</t>
  </si>
  <si>
    <t>Operations Support- Pension Value C</t>
  </si>
  <si>
    <t>Operations Support- Loss of ability to work valu</t>
  </si>
  <si>
    <t>Operations Support- Meal value D</t>
  </si>
  <si>
    <t>Operations Support- Meal value C</t>
  </si>
  <si>
    <t>Operations Support- Professional Services</t>
  </si>
  <si>
    <t xml:space="preserve"> Professional Services</t>
  </si>
  <si>
    <t>Operations - Recruitment</t>
  </si>
  <si>
    <t>Operations Support- Saas</t>
  </si>
  <si>
    <t>Operations - rent</t>
  </si>
  <si>
    <t>Operations - management fee</t>
  </si>
  <si>
    <t>Operations - arnona</t>
  </si>
  <si>
    <t>Operations - Depreciation</t>
  </si>
  <si>
    <t>Operations - Company events</t>
  </si>
  <si>
    <t xml:space="preserve"> Company events</t>
  </si>
  <si>
    <t>Operations - Benefits</t>
  </si>
  <si>
    <t>Benefits</t>
  </si>
  <si>
    <t>Operations - Refreshments &amp; Meals</t>
  </si>
  <si>
    <t>Refreshments &amp; Meals</t>
  </si>
  <si>
    <t>Operations - Conferences and seminars</t>
  </si>
  <si>
    <t>Operations - Donation</t>
  </si>
  <si>
    <t>Donation</t>
  </si>
  <si>
    <t>Operations Support- Hosting Production</t>
  </si>
  <si>
    <t>hosting</t>
  </si>
  <si>
    <t>Operations - Elementary</t>
  </si>
  <si>
    <t>Operations - IC expenses</t>
  </si>
  <si>
    <t>RnD Analytics- Base salary</t>
  </si>
  <si>
    <t>RnD Analytics- Options</t>
  </si>
  <si>
    <t>RnD Analytics- Bonus provision</t>
  </si>
  <si>
    <t>RnD Analytics- vacation  provision</t>
  </si>
  <si>
    <t>RnD Analytics- Social security</t>
  </si>
  <si>
    <t>RnD Analytics- Pension</t>
  </si>
  <si>
    <t>RnD Analytics- Education fund</t>
  </si>
  <si>
    <t>RnD Analytics- Recuperation</t>
  </si>
  <si>
    <t>RnD Analytics- Severance</t>
  </si>
  <si>
    <t>RnD Analytics- Pension Value D</t>
  </si>
  <si>
    <t>RnD Analytics- Pension Value C</t>
  </si>
  <si>
    <t>RnD Analytics- Loss of ability to work value D</t>
  </si>
  <si>
    <t>RnD Analytics- Loss of ability to work value C</t>
  </si>
  <si>
    <t>RnD Analytics- Meal value D</t>
  </si>
  <si>
    <t>RnD Analytics- Meal value C</t>
  </si>
  <si>
    <t>RnD Art- Base salary</t>
  </si>
  <si>
    <t>RnD Art- Contractors as employees Support</t>
  </si>
  <si>
    <t>RnD Art- Options</t>
  </si>
  <si>
    <t>RnD Art- Bonus provision</t>
  </si>
  <si>
    <t>RnD Art- vacation  provision</t>
  </si>
  <si>
    <t>RnD Art- Social security</t>
  </si>
  <si>
    <t>RnD Art- Pension</t>
  </si>
  <si>
    <t>RnD Art- Education fund</t>
  </si>
  <si>
    <t>RnD Art- Recuperation</t>
  </si>
  <si>
    <t>RnD Art- Severance</t>
  </si>
  <si>
    <t>RnD Art- Pension Value D</t>
  </si>
  <si>
    <t>RnD Art- Pension Value C</t>
  </si>
  <si>
    <t>RnD Art- Meal value D</t>
  </si>
  <si>
    <t>RnD Art- Meal value C</t>
  </si>
  <si>
    <t>RnD Product- Base salary</t>
  </si>
  <si>
    <t>RnD Product- Options</t>
  </si>
  <si>
    <t>RnD Product- Bonus provision</t>
  </si>
  <si>
    <t>RnD Product- vacation  provision</t>
  </si>
  <si>
    <t>RnD Product- Social security</t>
  </si>
  <si>
    <t>RnD Product- Pension</t>
  </si>
  <si>
    <t>RnD Product- Education fund</t>
  </si>
  <si>
    <t>RnD Product- Recuperation</t>
  </si>
  <si>
    <t>RnD Product- Severance</t>
  </si>
  <si>
    <t>RnD Product- Pension Value D</t>
  </si>
  <si>
    <t>RnD Product- Pension Value C</t>
  </si>
  <si>
    <t>RnD Product- Loss of ability to work value D</t>
  </si>
  <si>
    <t>RnD Product- Loss of ability to work value C</t>
  </si>
  <si>
    <t>RnD Product- Meal value D</t>
  </si>
  <si>
    <t>RnD Product- Meal value C</t>
  </si>
  <si>
    <t>RnD Monetization- Base salary</t>
  </si>
  <si>
    <t>RnD Monetization- Options</t>
  </si>
  <si>
    <t>RnD Monetization- Bonus provision</t>
  </si>
  <si>
    <t>RnD Monetization- vacation  provision</t>
  </si>
  <si>
    <t>RnD Monetization- Social security</t>
  </si>
  <si>
    <t>RnD Monetization- Pension</t>
  </si>
  <si>
    <t>RnD Monetization- Education fund</t>
  </si>
  <si>
    <t>RnD Monetization- Recuperation</t>
  </si>
  <si>
    <t>RnD Monetization- Severance</t>
  </si>
  <si>
    <t>RnD Monetization- Pension Value D</t>
  </si>
  <si>
    <t>RnD Monetization- Pension Value C</t>
  </si>
  <si>
    <t>RnD Monetization- Loss of ability to work value</t>
  </si>
  <si>
    <t>RnD Monetization- Meal value D</t>
  </si>
  <si>
    <t>RnD Monetization- Meal value C</t>
  </si>
  <si>
    <t>RnD Development- Base salary</t>
  </si>
  <si>
    <t>RnD Development- Contractors as employees</t>
  </si>
  <si>
    <t>RnD Development- Options</t>
  </si>
  <si>
    <t>RnD Development- Bonus provision</t>
  </si>
  <si>
    <t>RnD Development- vacation  provision</t>
  </si>
  <si>
    <t>RnD Development- Social security</t>
  </si>
  <si>
    <t>RnD Development- Pension</t>
  </si>
  <si>
    <t>RnD Development- Education fund</t>
  </si>
  <si>
    <t>RnD Development- Recuperation</t>
  </si>
  <si>
    <t>RnD Development- Severance</t>
  </si>
  <si>
    <t>RnD Development- Reserve refund</t>
  </si>
  <si>
    <t>RnD Development- Pension Value D</t>
  </si>
  <si>
    <t>RnD Development- Pension Value C</t>
  </si>
  <si>
    <t>RnD Development- Loss of ability to work value D</t>
  </si>
  <si>
    <t>RnD Development- Loss of ability to work value C</t>
  </si>
  <si>
    <t>RnD Development- Meal value D</t>
  </si>
  <si>
    <t>RnD Development- Meal value C</t>
  </si>
  <si>
    <t>RnD RnD- Bonus-subcontractors</t>
  </si>
  <si>
    <t>RnD Art- Professional Services</t>
  </si>
  <si>
    <t>RnD Product- Professional Services</t>
  </si>
  <si>
    <t>RnD Development- Professional Services</t>
  </si>
  <si>
    <t>RnD IT- Professional Services</t>
  </si>
  <si>
    <t>RnD Security- Professional Services</t>
  </si>
  <si>
    <t>RnD RnD- Professional Services</t>
  </si>
  <si>
    <t>RnD - Recruitment</t>
  </si>
  <si>
    <t>Recruitment</t>
  </si>
  <si>
    <t>RnD Analytics- Saas</t>
  </si>
  <si>
    <t>RnD Product- Saas</t>
  </si>
  <si>
    <t>RnD Development- Saas</t>
  </si>
  <si>
    <t>RnD IT- Saas</t>
  </si>
  <si>
    <t>RnD RnD- Saas</t>
  </si>
  <si>
    <t>RnD - rent</t>
  </si>
  <si>
    <t>RnD - management fee</t>
  </si>
  <si>
    <t>RnD - arnona</t>
  </si>
  <si>
    <t>RnD - Depreciation</t>
  </si>
  <si>
    <t>RnD - Company events</t>
  </si>
  <si>
    <t>RnD - Benefits</t>
  </si>
  <si>
    <t>RnD - Refreshments &amp; Meals</t>
  </si>
  <si>
    <t>RnD - Conferences and seminars</t>
  </si>
  <si>
    <t>RnD - Donation</t>
  </si>
  <si>
    <t>RnD RnD- Hosting  Corp</t>
  </si>
  <si>
    <t>RnD - Elementary</t>
  </si>
  <si>
    <t>S&amp;M Vip- Base salary</t>
  </si>
  <si>
    <t>S&amp;M Vip- Options</t>
  </si>
  <si>
    <t>S&amp;M Vip- Bonus provision</t>
  </si>
  <si>
    <t>S&amp;M Vip- vacation  provision</t>
  </si>
  <si>
    <t>S&amp;M Vip- Social security</t>
  </si>
  <si>
    <t>S&amp;M Vip- Pension</t>
  </si>
  <si>
    <t>S&amp;M Vip- Education fund</t>
  </si>
  <si>
    <t>S&amp;M Vip- Recuperation</t>
  </si>
  <si>
    <t>S&amp;M Vip- Severance</t>
  </si>
  <si>
    <t>S&amp;M Vip- Meal value D</t>
  </si>
  <si>
    <t>S&amp;M Vip- Meal value C</t>
  </si>
  <si>
    <t>S&amp;M Marketing- Base salary</t>
  </si>
  <si>
    <t>S&amp;M Marketing- Options</t>
  </si>
  <si>
    <t>S&amp;M Marketing- Bonus</t>
  </si>
  <si>
    <t>S&amp;M Marketing- Bonus provision</t>
  </si>
  <si>
    <t>S&amp;M Marketing- vacation  provision</t>
  </si>
  <si>
    <t>S&amp;M Marketing- Social security</t>
  </si>
  <si>
    <t>S&amp;M Marketing- Pension</t>
  </si>
  <si>
    <t>S&amp;M Marketing- Education fund</t>
  </si>
  <si>
    <t>S&amp;M Marketing- Recuperation</t>
  </si>
  <si>
    <t>S&amp;M Marketing- Severance</t>
  </si>
  <si>
    <t>S&amp;M Marketing- Pension Value D</t>
  </si>
  <si>
    <t>S&amp;M Marketing- Pension Value C</t>
  </si>
  <si>
    <t>S&amp;M Marketing- Meal value D</t>
  </si>
  <si>
    <t>S&amp;M Marketing- Meal value C</t>
  </si>
  <si>
    <t>S&amp;M Marketing- Professional Services</t>
  </si>
  <si>
    <t>S&amp;M - Recruitment</t>
  </si>
  <si>
    <t>S&amp;M Marketing- Saas</t>
  </si>
  <si>
    <t>S&amp;M - rent</t>
  </si>
  <si>
    <t>S&amp;M - management fee</t>
  </si>
  <si>
    <t>S&amp;M - arnona</t>
  </si>
  <si>
    <t>S&amp;M - Depreciation</t>
  </si>
  <si>
    <t>S&amp;M - Company events</t>
  </si>
  <si>
    <t>S&amp;M - Benefits</t>
  </si>
  <si>
    <t>S&amp;M - Refreshments &amp; Meals</t>
  </si>
  <si>
    <t>S&amp;M - Conferences and seminars</t>
  </si>
  <si>
    <t>S&amp;M - Donation</t>
  </si>
  <si>
    <t>S&amp;M - Elementary</t>
  </si>
  <si>
    <t>S&amp;M Marketing- UA Direct</t>
  </si>
  <si>
    <t>S&amp;M Marketing- UA Indirect Networks</t>
  </si>
  <si>
    <t>S&amp;M Marketing- UA Indirect PR</t>
  </si>
  <si>
    <t>S&amp;M Marketing- UA Indirect Productions</t>
  </si>
  <si>
    <t>S&amp;M Marketing- UA Indirect Systems</t>
  </si>
  <si>
    <t>S&amp;M Marketing- UA Indirect Users Gifts</t>
  </si>
  <si>
    <t>S&amp;M Marketing- UA Direct IC  Expenses</t>
  </si>
  <si>
    <t>S&amp;M Marketing- UA Indirect IC Expenses</t>
  </si>
  <si>
    <t>G&amp;A Finance- Base salary</t>
  </si>
  <si>
    <t>G&amp;A Finance- Options</t>
  </si>
  <si>
    <t>G&amp;A Finance- Bonus provision</t>
  </si>
  <si>
    <t>G&amp;A Finance- vacation  provision</t>
  </si>
  <si>
    <t>G&amp;A Finance- Social security</t>
  </si>
  <si>
    <t>G&amp;A Finance- Pension</t>
  </si>
  <si>
    <t>G&amp;A Finance- Education fund</t>
  </si>
  <si>
    <t>G&amp;A Finance- Recuperation</t>
  </si>
  <si>
    <t>G&amp;A Finance- Severance</t>
  </si>
  <si>
    <t>G&amp;A Finance- Pension Value D</t>
  </si>
  <si>
    <t>G&amp;A Finance- Pension Value C</t>
  </si>
  <si>
    <t>G&amp;A Finance- Meal value D</t>
  </si>
  <si>
    <t>G&amp;A Finance- Meal value C</t>
  </si>
  <si>
    <t>G&amp;A HR- Base salary</t>
  </si>
  <si>
    <t>G&amp;A HR- Options</t>
  </si>
  <si>
    <t>G&amp;A HR- Bonus provision</t>
  </si>
  <si>
    <t>G&amp;A HR- vacation  provision</t>
  </si>
  <si>
    <t>G&amp;A HR- Social security</t>
  </si>
  <si>
    <t>G&amp;A HR- Pension</t>
  </si>
  <si>
    <t>G&amp;A HR- Education fund</t>
  </si>
  <si>
    <t>G&amp;A HR- Recuperation</t>
  </si>
  <si>
    <t>G&amp;A HR- Severance</t>
  </si>
  <si>
    <t>G&amp;A HR- Pension Value D</t>
  </si>
  <si>
    <t>G&amp;A HR- Pension Value C</t>
  </si>
  <si>
    <t>G&amp;A HR- Loss of ability to work value D</t>
  </si>
  <si>
    <t>G&amp;A HR- Loss of ability to work value C</t>
  </si>
  <si>
    <t>G&amp;A HR- Meal value D</t>
  </si>
  <si>
    <t>G&amp;A HR- Meal value C</t>
  </si>
  <si>
    <t>G&amp;A HR- Car Value D</t>
  </si>
  <si>
    <t>G&amp;A HR- Car Value C</t>
  </si>
  <si>
    <t>G&amp;A G&amp;A- Base salary</t>
  </si>
  <si>
    <t>G&amp;A G&amp;A- Contractors as employees Support</t>
  </si>
  <si>
    <t>G&amp;A G&amp;A- Bonus-subcontractors</t>
  </si>
  <si>
    <t>G&amp;A G&amp;A- vacation  provision</t>
  </si>
  <si>
    <t>G&amp;A G&amp;A- Social security</t>
  </si>
  <si>
    <t>G&amp;A G&amp;A- Recuperation</t>
  </si>
  <si>
    <t>G&amp;A Finance- Professional Services</t>
  </si>
  <si>
    <t>G&amp;A Finance- Tax Consulting</t>
  </si>
  <si>
    <t>G&amp;A Finance- Accounting services</t>
  </si>
  <si>
    <t>G&amp;A HR- Professional Services</t>
  </si>
  <si>
    <t>G&amp;A G&amp;A- Professional Services</t>
  </si>
  <si>
    <t>G&amp;A Legal- Corporate</t>
  </si>
  <si>
    <t>Legal</t>
  </si>
  <si>
    <t>G&amp;A Finance- Saas</t>
  </si>
  <si>
    <t>G&amp;A HR- Saas</t>
  </si>
  <si>
    <t>G&amp;A - rent</t>
  </si>
  <si>
    <t>G&amp;A - management fee</t>
  </si>
  <si>
    <t>G&amp;A - arnona</t>
  </si>
  <si>
    <t>G&amp;A - Office</t>
  </si>
  <si>
    <t>Office exp</t>
  </si>
  <si>
    <t>G&amp;A - Depreciation</t>
  </si>
  <si>
    <t>G&amp;A - Company events</t>
  </si>
  <si>
    <t>Company events</t>
  </si>
  <si>
    <t>G&amp;A - Benefits</t>
  </si>
  <si>
    <t>G&amp;A - Refreshments &amp; Meals</t>
  </si>
  <si>
    <t>G&amp;A - Conferences and seminars</t>
  </si>
  <si>
    <t>G&amp;A - Donation</t>
  </si>
  <si>
    <t>G&amp;A - Elementary</t>
  </si>
  <si>
    <t>G&amp;A - IC expenses</t>
  </si>
  <si>
    <t>Allocation - rent</t>
  </si>
  <si>
    <t>Allocation</t>
  </si>
  <si>
    <t>Allocation - management fee</t>
  </si>
  <si>
    <t>Allocation - arnona</t>
  </si>
  <si>
    <t>Allocation - Depreciation of vehicles</t>
  </si>
  <si>
    <t>Allocation - Depreciation computers</t>
  </si>
  <si>
    <t>Allocation - Depreciation electronic equipment</t>
  </si>
  <si>
    <t>Allocation - Depreciation Furniture</t>
  </si>
  <si>
    <t>Allocation - Depreciation Leasehold improvements</t>
  </si>
  <si>
    <t>Allocation - Company events</t>
  </si>
  <si>
    <t>Allocation - Benefits</t>
  </si>
  <si>
    <t>Allocation - Refreshments &amp; Meals</t>
  </si>
  <si>
    <t>Allocation - Conferences and seminars</t>
  </si>
  <si>
    <t>Allocation - Donation</t>
  </si>
  <si>
    <t>Allocation - Elementary</t>
  </si>
  <si>
    <t>Financial exp - Bank fees</t>
  </si>
  <si>
    <t>Bank fees</t>
  </si>
  <si>
    <t>Financial exp - Loan interest SVB 800K-$ (110049</t>
  </si>
  <si>
    <t>Financial exp - Loan interest SVB 800K-$ (110050</t>
  </si>
  <si>
    <t>Financial exp - Loan interest SVB 3M-NIS (110051</t>
  </si>
  <si>
    <t>Financial exp - Currency difference</t>
  </si>
  <si>
    <t>Financial exp - Cancellation balances</t>
  </si>
  <si>
    <t>אי אן סטודיו בע"מ</t>
  </si>
  <si>
    <t>בוריס מושייב</t>
  </si>
  <si>
    <t>סער א.ת. יזמות ומסחר</t>
  </si>
  <si>
    <t>וויקס.קום בע"מ</t>
  </si>
  <si>
    <t>פירות השדרה</t>
  </si>
  <si>
    <t>אלקטרה קמעונאות בע"מ-מחסני חשמל</t>
  </si>
  <si>
    <t>Ranjan Periwal</t>
  </si>
  <si>
    <t>באג מולטיסיסטם בע"מ</t>
  </si>
  <si>
    <t>פרומתאוס ייעוץ כלכלי בעמ</t>
  </si>
  <si>
    <t>דלג'ן בע"מ</t>
  </si>
  <si>
    <t>דרורי אור</t>
  </si>
  <si>
    <t>פלאפון תקשורת בע"מ</t>
  </si>
  <si>
    <t>סודקסו פאס ישראל בע"מ</t>
  </si>
  <si>
    <t>סימילרווב בע"מ</t>
  </si>
  <si>
    <t>ליאני לירן</t>
  </si>
  <si>
    <t>מ.ע.נ.י.ד. בע"מ</t>
  </si>
  <si>
    <t>Sunsama</t>
  </si>
  <si>
    <t>Paddle.com Market Limite-Tower</t>
  </si>
  <si>
    <t>HBR subscription</t>
  </si>
  <si>
    <t>Krida Legal</t>
  </si>
  <si>
    <t>Opera Event,Inc</t>
  </si>
  <si>
    <t>Employees Payroll Payable</t>
  </si>
  <si>
    <t>SVB-MMA **6735</t>
  </si>
  <si>
    <t>Operations Support- Reserve refund</t>
  </si>
  <si>
    <t>RnD Analytics- Professional Services</t>
  </si>
  <si>
    <t>RnD - Office</t>
  </si>
  <si>
    <t>RnD - Team bulilding</t>
  </si>
  <si>
    <t>G&amp;A Finance- Audit</t>
  </si>
  <si>
    <t>G&amp;A - Hekzev expenses</t>
  </si>
  <si>
    <t>G&amp;A - Team bulilding</t>
  </si>
  <si>
    <t>G&amp;A G&amp;A- DnO</t>
  </si>
  <si>
    <t>Allocation - electricity</t>
  </si>
  <si>
    <t>Allocation - Parking</t>
  </si>
  <si>
    <t>Allocation - Office</t>
  </si>
  <si>
    <t>Allocation - Transportation</t>
  </si>
  <si>
    <t>Vat Output</t>
  </si>
  <si>
    <t>לאבס תל אביב בע"מ</t>
  </si>
  <si>
    <t>שיפינג טו.גו. בע"מ</t>
  </si>
  <si>
    <t>היי ביז בע"מ</t>
  </si>
  <si>
    <t>פיתוח ארגוני פיאוסידי</t>
  </si>
  <si>
    <t>איוונטהנדלר בע"מ</t>
  </si>
  <si>
    <t>נחמקין שאול</t>
  </si>
  <si>
    <t>SonarCloud</t>
  </si>
  <si>
    <t>Flexi-evoicemail</t>
  </si>
  <si>
    <t>WORDTUNE</t>
  </si>
  <si>
    <t>ZoomInfo</t>
  </si>
  <si>
    <t>Employee D/C</t>
  </si>
  <si>
    <t>Operations Support- Gifts Value D</t>
  </si>
  <si>
    <t xml:space="preserve">salary </t>
  </si>
  <si>
    <t>Operations Support- Gifts Value C</t>
  </si>
  <si>
    <t>RnD Analytics- Gifts Value D</t>
  </si>
  <si>
    <t>RnD Analytics- Gifts Value C</t>
  </si>
  <si>
    <t>RnD Art- Gifts Value D</t>
  </si>
  <si>
    <t>RnD Art- Gifts Value C</t>
  </si>
  <si>
    <t>RnD Product- Gifts Value D</t>
  </si>
  <si>
    <t>RnD Product- Gifts Value C</t>
  </si>
  <si>
    <t>RnD Monetization- Gifts Value D</t>
  </si>
  <si>
    <t>RnD Monetization- Gifts Value C</t>
  </si>
  <si>
    <t>RnD Development- Gifts Value D</t>
  </si>
  <si>
    <t>RnD Development- Gifts Value C</t>
  </si>
  <si>
    <t>RnD Security- Base salary</t>
  </si>
  <si>
    <t>RnD Security- Bonus provision</t>
  </si>
  <si>
    <t>RnD Security- vacation  provision</t>
  </si>
  <si>
    <t>RnD Security- Social security</t>
  </si>
  <si>
    <t>RnD Security- Recuperation</t>
  </si>
  <si>
    <t>S&amp;M Vip- Gifts Value D</t>
  </si>
  <si>
    <t>S&amp;M Vip- Gifts Value C</t>
  </si>
  <si>
    <t>S&amp;M Marketing- Gifts Value D</t>
  </si>
  <si>
    <t>S&amp;M Marketing- Gifts Value C</t>
  </si>
  <si>
    <t>S&amp;M - Parking</t>
  </si>
  <si>
    <t>G&amp;A Finance- Gifts Value D</t>
  </si>
  <si>
    <t>G&amp;A Finance- Gifts Value C</t>
  </si>
  <si>
    <t>G&amp;A HR- Gifts Value D</t>
  </si>
  <si>
    <t>G&amp;A HR- Gifts Value C</t>
  </si>
  <si>
    <t>G&amp;A G&amp;A- Bonus provision</t>
  </si>
  <si>
    <t>G&amp;A G&amp;A- Gifts Value D</t>
  </si>
  <si>
    <t>G&amp;A G&amp;A- Gifts Value C</t>
  </si>
  <si>
    <t>G&amp;A - Parking</t>
  </si>
  <si>
    <t>G&amp;A - Transportation</t>
  </si>
  <si>
    <t>Financial exp - Interest Income</t>
  </si>
  <si>
    <t>דפוס אופסט ראובן</t>
  </si>
  <si>
    <t>Operations - electricity</t>
  </si>
  <si>
    <t>Operations - Parking</t>
  </si>
  <si>
    <t>Operations - Office</t>
  </si>
  <si>
    <t>Operations - Transportation</t>
  </si>
  <si>
    <t>RnD - electricity</t>
  </si>
  <si>
    <t>RnD - Parking</t>
  </si>
  <si>
    <t>RnD - Transportation</t>
  </si>
  <si>
    <t>S&amp;M - electricity</t>
  </si>
  <si>
    <t>S&amp;M - Office</t>
  </si>
  <si>
    <t>S&amp;M - Transportation</t>
  </si>
  <si>
    <t>G&amp;A - electricity</t>
  </si>
  <si>
    <t>RnD Art- Saas</t>
  </si>
  <si>
    <t>אליהו ליאור</t>
  </si>
  <si>
    <t>פוקסיה הפקות בע"מ</t>
  </si>
  <si>
    <t>בוניבר בוריס</t>
  </si>
  <si>
    <t>זינגר מרגריטה</t>
  </si>
  <si>
    <t>פליטר ליאור</t>
  </si>
  <si>
    <t>ברדיצבסקי דניאל</t>
  </si>
  <si>
    <t>סנטרל פארק בע"מ</t>
  </si>
  <si>
    <t>כהן-גוטספלד הילדה</t>
  </si>
  <si>
    <t>צח כהן בע"מ</t>
  </si>
  <si>
    <t>וולביז בע"מ</t>
  </si>
  <si>
    <t>מזל טוב רוני-ישראקופטר</t>
  </si>
  <si>
    <t>Maxon computer</t>
  </si>
  <si>
    <t>Logic IT Solutions (Nicolai Vovk- Upwork)</t>
  </si>
  <si>
    <t>Specialty Answering Service</t>
  </si>
  <si>
    <t>Financial exp - Paypal FX</t>
  </si>
  <si>
    <t>Post Card -Rotem</t>
  </si>
  <si>
    <t>Papayagaming India</t>
  </si>
  <si>
    <t>Related Party India</t>
  </si>
  <si>
    <t>Revenue  - Revenue Hekzev</t>
  </si>
  <si>
    <t>Hekzev</t>
  </si>
  <si>
    <t>RnD Analytics- Reserve refund</t>
  </si>
  <si>
    <t>RnD Security- Cyber security - Insurance</t>
  </si>
  <si>
    <t>RnD RnD- Flight</t>
  </si>
  <si>
    <t>travel</t>
  </si>
  <si>
    <t>S&amp;M Marketing- Flight</t>
  </si>
  <si>
    <t>S&amp;M Marketing- Hotel</t>
  </si>
  <si>
    <t>S&amp;M Marketing- Other</t>
  </si>
  <si>
    <t>G&amp;A Finance- Reserve refund</t>
  </si>
  <si>
    <t>G&amp;A - Recruitment</t>
  </si>
  <si>
    <t>גיא אונגר-לעדכן</t>
  </si>
  <si>
    <t>Revenue  - Revenue Hekzev-NO VAT</t>
  </si>
  <si>
    <t>RnD Security- Pension</t>
  </si>
  <si>
    <t>RnD Security- Education fund</t>
  </si>
  <si>
    <t>RnD Security- Severance</t>
  </si>
  <si>
    <t>RnD Security- Pension Value D</t>
  </si>
  <si>
    <t>RnD Security- Pension Value C</t>
  </si>
  <si>
    <t>RnD Security- Meal value D</t>
  </si>
  <si>
    <t>RnD Security- Meal value C</t>
  </si>
  <si>
    <t>גילו אירועי קונספט בע"מ</t>
  </si>
  <si>
    <t>לוי אלעד</t>
  </si>
  <si>
    <t>זלצמן סידי יזמות בע"מ</t>
  </si>
  <si>
    <t>אמירים דקור בע"מ</t>
  </si>
  <si>
    <t>טריאפודי בע"מ</t>
  </si>
  <si>
    <t>קוקורוזה הפקה ותוכן בעמ</t>
  </si>
  <si>
    <t>גאיה פיתוח אירגוני עם חזון</t>
  </si>
  <si>
    <t>ט.מ.ל מערכות מידע בע"מ</t>
  </si>
  <si>
    <t>Luna LABS LIMITED</t>
  </si>
  <si>
    <t>Deloitte LLP</t>
  </si>
  <si>
    <t>Gold Standard Digital, LLC-JoyWallet</t>
  </si>
  <si>
    <t>The New York Times</t>
  </si>
  <si>
    <t>Remerge GmbH</t>
  </si>
  <si>
    <t>DataSeat Ltd</t>
  </si>
  <si>
    <t>Bidease Inc</t>
  </si>
  <si>
    <t>InMobi PTE Ltd</t>
  </si>
  <si>
    <t>Financial exp - Loan fees</t>
  </si>
  <si>
    <t>בנק SVB-ספק</t>
  </si>
  <si>
    <t>Amazon $</t>
  </si>
  <si>
    <t>Accrued Bonus founders</t>
  </si>
  <si>
    <t>מיז דיגיטל</t>
  </si>
  <si>
    <t>דוטל יועצים בע"מ</t>
  </si>
  <si>
    <t>טנגו סיירה בע"מ</t>
  </si>
  <si>
    <t>בן עזרא גבריאל ועסיס-דידיז</t>
  </si>
  <si>
    <t>זויסה לירן דב-קולירני</t>
  </si>
  <si>
    <t>קליר זכוכית 2007 בע"מ</t>
  </si>
  <si>
    <t>גוסלקר יניב</t>
  </si>
  <si>
    <t>שיא קופי (1986 ) בע"מ</t>
  </si>
  <si>
    <t>מוגרבי תומר יצחק</t>
  </si>
  <si>
    <t>בצוותא חוויה יהודית (ע"ר)</t>
  </si>
  <si>
    <t>גרינברג טראוריג, פי.אי</t>
  </si>
  <si>
    <t>Google $</t>
  </si>
  <si>
    <t>Popsql.com</t>
  </si>
  <si>
    <t>Localize Direct AB</t>
  </si>
  <si>
    <t>Me-Team LTD</t>
  </si>
  <si>
    <t>KnowBe4</t>
  </si>
  <si>
    <t>Aisa LLC (341182)</t>
  </si>
  <si>
    <t>Operations - Team bulilding</t>
  </si>
  <si>
    <t>RnD Security- Audit</t>
  </si>
  <si>
    <t>RnD Security- Saas</t>
  </si>
  <si>
    <t>S&amp;M - Team bulilding</t>
  </si>
  <si>
    <t>S&amp;M Marketing- UA Indirect Events</t>
  </si>
  <si>
    <t>G&amp;A Finance- Local tax</t>
  </si>
  <si>
    <t>G&amp;A Finance- International tax US</t>
  </si>
  <si>
    <t>G&amp;A Finance- TP</t>
  </si>
  <si>
    <t>G&amp;A Finance- VAT/Sales tax</t>
  </si>
  <si>
    <t>G&amp;A Finance- Due diligence</t>
  </si>
  <si>
    <t>G&amp;A Finance- Valuations</t>
  </si>
  <si>
    <t>G&amp;A Finance- Accounting memos</t>
  </si>
  <si>
    <t>G&amp;A Finance- US tax reporting</t>
  </si>
  <si>
    <t>G&amp;A Finance- Compliance</t>
  </si>
  <si>
    <t>G&amp;A Legal- Commercial</t>
  </si>
  <si>
    <t>Allocation - water</t>
  </si>
  <si>
    <t>פרשקובסקי פרו בע"מ</t>
  </si>
  <si>
    <t>Operations - water</t>
  </si>
  <si>
    <t>RnD - water</t>
  </si>
  <si>
    <t>S&amp;M - water</t>
  </si>
  <si>
    <t>G&amp;A - water</t>
  </si>
  <si>
    <t>G&amp;A Legal- Compliance</t>
  </si>
  <si>
    <t>Mesh</t>
  </si>
  <si>
    <t>טרופיקו</t>
  </si>
  <si>
    <t>אימיוז אי.וי בע"מ</t>
  </si>
  <si>
    <t>אי.אס.או מהנדסים בע"מ</t>
  </si>
  <si>
    <t>אינובייט בע"מ</t>
  </si>
  <si>
    <t>קומסק בע"מ</t>
  </si>
  <si>
    <t>General vendors ILS</t>
  </si>
  <si>
    <t>TMI Associates</t>
  </si>
  <si>
    <t>G&amp;A G&amp;A- Meal value D</t>
  </si>
  <si>
    <t>G&amp;A G&amp;A- Meal value C</t>
  </si>
  <si>
    <t>RnD Art- Bonus</t>
  </si>
  <si>
    <t>RnD Development- Bonus</t>
  </si>
  <si>
    <t>אייבורי</t>
  </si>
  <si>
    <t>בלוני אכפת לי</t>
  </si>
  <si>
    <t>דרוך אנטון</t>
  </si>
  <si>
    <t>מיקסין תוכנה בע"מ</t>
  </si>
  <si>
    <t>חיסונים פיננסים בע"מ</t>
  </si>
  <si>
    <t>רנעד טק בע"מ</t>
  </si>
  <si>
    <t>אקסקלוסיב אור ועיצוב</t>
  </si>
  <si>
    <t>מיתוגון בע"מ</t>
  </si>
  <si>
    <t>מי דסק בע"מ</t>
  </si>
  <si>
    <t>שלום יעקב</t>
  </si>
  <si>
    <t>בלאקבורד אנימציה ועיצוב</t>
  </si>
  <si>
    <t>יעל פתרונות משולבים בעמ</t>
  </si>
  <si>
    <t>רום שירי</t>
  </si>
  <si>
    <t>סידה אלון</t>
  </si>
  <si>
    <t>חשבים ה.פ.ס. מידע עסקי</t>
  </si>
  <si>
    <t>קולדר חברה לקירור אוור (Mesh)</t>
  </si>
  <si>
    <t>Noam Yankelevich</t>
  </si>
  <si>
    <t>Grytics-SAS</t>
  </si>
  <si>
    <t>Embroker Insurance Services LLC</t>
  </si>
  <si>
    <t>General vendors $</t>
  </si>
  <si>
    <t>Moloco, Inc</t>
  </si>
  <si>
    <t>Taylor Wessing LLP EURO</t>
  </si>
  <si>
    <t>Triana Studios (Sauce)</t>
  </si>
  <si>
    <t>Customer Audiences</t>
  </si>
  <si>
    <t>Flex Marketing Group, LLC</t>
  </si>
  <si>
    <t>Allocation - Fees and fines</t>
  </si>
  <si>
    <t>איזי גזיבו בע"מ (Mesh)</t>
  </si>
  <si>
    <t>Agorapulse SAS</t>
  </si>
  <si>
    <t>G&amp;A G&amp;A- Rebate - Cash back</t>
  </si>
  <si>
    <t>Cash  Back</t>
  </si>
  <si>
    <t>G&amp;A Legal- vacation  provision</t>
  </si>
  <si>
    <t>G&amp;A Legal- Recuperation</t>
  </si>
  <si>
    <t>G&amp;A Legal- Base salary</t>
  </si>
  <si>
    <t>G&amp;A Legal- Social security</t>
  </si>
  <si>
    <t>G&amp;A Legal- Pension</t>
  </si>
  <si>
    <t>G&amp;A Legal- Education fund</t>
  </si>
  <si>
    <t>G&amp;A Legal- Severance</t>
  </si>
  <si>
    <t>G&amp;A Legal- Pension Value D</t>
  </si>
  <si>
    <t>G&amp;A Legal- Pension Value C</t>
  </si>
  <si>
    <t>G&amp;A Legal- Meal value D</t>
  </si>
  <si>
    <t>G&amp;A Legal- Meal value C</t>
  </si>
  <si>
    <t>IC Revenue Receivable-Sales tax</t>
  </si>
  <si>
    <t>Revenue  - Revenue Braintree Receiveable</t>
  </si>
  <si>
    <t>Unity Technologies</t>
  </si>
  <si>
    <t>מעגל נשים אשקלון</t>
  </si>
  <si>
    <t>Employee Advance-Adi Sabag</t>
  </si>
  <si>
    <t>Employee Advance-Loan</t>
  </si>
  <si>
    <t>Revenue  - Revenue Sales Tax</t>
  </si>
  <si>
    <t>Operations - Fees and fines</t>
  </si>
  <si>
    <t>Fees and fines</t>
  </si>
  <si>
    <t>RnD - Fees and fines</t>
  </si>
  <si>
    <t>S&amp;M - Fees and fines</t>
  </si>
  <si>
    <t>G&amp;A - Fees and fines</t>
  </si>
  <si>
    <t>פרומן סורסינג ודיגיטל בע"מ</t>
  </si>
  <si>
    <t>חסון דוד-לוג אי.טי.</t>
  </si>
  <si>
    <t>ח. חמזה עבודות נגרות</t>
  </si>
  <si>
    <t>ברכה שלמה-הסעות</t>
  </si>
  <si>
    <t>אביקזר שלום</t>
  </si>
  <si>
    <t>גלובל דומוס ישראל בע"מ</t>
  </si>
  <si>
    <t>מזרחי דוד</t>
  </si>
  <si>
    <t>אפ אין אפ בע"מ</t>
  </si>
  <si>
    <t>ספא פלוס אתרים בע"מ</t>
  </si>
  <si>
    <t>הרמוני רהיטים בע"מ</t>
  </si>
  <si>
    <t>Goat Solutions Ltd</t>
  </si>
  <si>
    <t>Liquid and Grit, LLC</t>
  </si>
  <si>
    <t>Mazars USA LLP</t>
  </si>
  <si>
    <t>S&amp;M Marketing- Reserve refund</t>
  </si>
  <si>
    <t>Roschier Brands, Attorneys Ltd.</t>
  </si>
  <si>
    <t>Arnesen IP Advokatfirma</t>
  </si>
  <si>
    <t>Aragon Advertising, LLC</t>
  </si>
  <si>
    <t>Employee Advance-Reut Shuster</t>
  </si>
  <si>
    <t>RnD Art- Loss of ability to work value D</t>
  </si>
  <si>
    <t>RnD Art- Loss of ability to work value C</t>
  </si>
  <si>
    <t>G&amp;A G&amp;A- Pension</t>
  </si>
  <si>
    <t>G&amp;A G&amp;A- Education fund</t>
  </si>
  <si>
    <t>G&amp;A G&amp;A- Severance</t>
  </si>
  <si>
    <t>Miller Thomson LLP</t>
  </si>
  <si>
    <t>Net cash balance GBP</t>
  </si>
  <si>
    <t>Financial exp - Currency difference GBP</t>
  </si>
  <si>
    <t>ירוק חברתי בע״מ</t>
  </si>
  <si>
    <t>אופן טי. בי. אי. בע"מ</t>
  </si>
  <si>
    <t>מרחב אפשרויות בע"מ</t>
  </si>
  <si>
    <t>Lost Files Media LLC</t>
  </si>
  <si>
    <t>AW MEDIA LLC</t>
  </si>
  <si>
    <t>G&amp;A G&amp;A- Flight</t>
  </si>
  <si>
    <t>השתתפויות בנכסים</t>
  </si>
  <si>
    <t>כרמל רנן</t>
  </si>
  <si>
    <t>Bank SVB-COLLATERAL MMA **7997</t>
  </si>
  <si>
    <t>Employee Advance-Tali Buskila</t>
  </si>
  <si>
    <t>RnD Security- Gifts Value D</t>
  </si>
  <si>
    <t>RnD Security- Gifts Value C</t>
  </si>
  <si>
    <t>S&amp;M Vip- Pension Value D</t>
  </si>
  <si>
    <t>S&amp;M Vip- Pension Value C</t>
  </si>
  <si>
    <t>G&amp;A Legal- Gifts Value D</t>
  </si>
  <si>
    <t>G&amp;A Legal- Gifts Value C</t>
  </si>
  <si>
    <t>ווידיגאיט בע"מ</t>
  </si>
  <si>
    <t>ברנד קונקשן בע"מ</t>
  </si>
  <si>
    <t>Niederer Kraft Frey AG</t>
  </si>
  <si>
    <t>Johnathan Lower (A Guy and a Golden)</t>
  </si>
  <si>
    <t>Apple Store</t>
  </si>
  <si>
    <t>G&amp;A G&amp;A- Business meals</t>
  </si>
  <si>
    <t>שטרנברג יונתן חיים</t>
  </si>
  <si>
    <t>רוכסאר טל</t>
  </si>
  <si>
    <t>סטודיו יובי בע"מ</t>
  </si>
  <si>
    <t>י.מ. אולברייט יעוץ וני</t>
  </si>
  <si>
    <t>סלמא אליאן ושות</t>
  </si>
  <si>
    <t>G&amp;A G&amp;A- Authority fees</t>
  </si>
  <si>
    <t xml:space="preserve"> Income -interest</t>
  </si>
  <si>
    <t>קוסמוס טורס בע"מ</t>
  </si>
  <si>
    <t>אורי סבר תכלית חקירות</t>
  </si>
  <si>
    <t>מזרחי גיא זיפתי אבי-לליס הפקות</t>
  </si>
  <si>
    <t>י.ש רשת יזמות בע"מ</t>
  </si>
  <si>
    <t>קוסט פורר גבאי את קסיר</t>
  </si>
  <si>
    <t>פייבר אינטרנשיונל בע"מ</t>
  </si>
  <si>
    <t>Crunchbase, INC</t>
  </si>
  <si>
    <t>Tableau International (SFDC Ireland Limited)</t>
  </si>
  <si>
    <t>Appier Pte. Ltd.</t>
  </si>
  <si>
    <t>Reddit, Inc</t>
  </si>
  <si>
    <t>אלכסיט בע"מ</t>
  </si>
  <si>
    <t>קומפיט הר בע"מ</t>
  </si>
  <si>
    <t>אדוט טל</t>
  </si>
  <si>
    <t>בזק החברה הישראלית</t>
  </si>
  <si>
    <t>The Blonde Brewer LLC</t>
  </si>
  <si>
    <t>Momentive Europe UC(formerly SurveyMonkey Europe</t>
  </si>
  <si>
    <t>MinterEllison</t>
  </si>
  <si>
    <t>The Celebrity Sauce Co. Ltd</t>
  </si>
  <si>
    <t>EY-Ernst &amp; Young Australia</t>
  </si>
  <si>
    <t>G&amp;A Finance- Loss of ability to work value D</t>
  </si>
  <si>
    <t>G&amp;A Finance- Loss of ability to work value C</t>
  </si>
  <si>
    <t>הוט</t>
  </si>
  <si>
    <t>היי בוב בע"מ</t>
  </si>
  <si>
    <t>Advances tax Australia</t>
  </si>
  <si>
    <t>G&amp;A Finance- International tax ROW</t>
  </si>
  <si>
    <t>טכנולוגיות שווי בע"מ</t>
  </si>
  <si>
    <t>גריי מרק</t>
  </si>
  <si>
    <t>12 ביי פרומושיין בע"מ</t>
  </si>
  <si>
    <t>קלאודקום אפליקיישן</t>
  </si>
  <si>
    <t>אדג' פתרונות בע"מ</t>
  </si>
  <si>
    <t>גלעדי רינה</t>
  </si>
  <si>
    <t>בן-ישי בר</t>
  </si>
  <si>
    <t>קבוצת גולף א. ק. בע"מ</t>
  </si>
  <si>
    <t>ערד אאוטלט בע"מ</t>
  </si>
  <si>
    <t>Dentons Canada LLP</t>
  </si>
  <si>
    <t>Viral Nation Inc-Lyanna Kea</t>
  </si>
  <si>
    <t>Deposit bank leumi USD</t>
  </si>
  <si>
    <t>ביטק אלקטרוניקה בע"מ</t>
  </si>
  <si>
    <t>חשמל אוטו ל.י. בע"מ</t>
  </si>
  <si>
    <t>פרייסווטרהאוסקופרס (PWC)</t>
  </si>
  <si>
    <t>לייב ניישן ישראל בע"מ</t>
  </si>
  <si>
    <t>שקם דיוטי (לעדכן!!*</t>
  </si>
  <si>
    <t>רן זלכה בע"מ לעדכן!!</t>
  </si>
  <si>
    <t>זרה (Barburit) לעדכן!!</t>
  </si>
  <si>
    <t>Take IT (Barburit)</t>
  </si>
  <si>
    <t>Ashatiah Haadom (Barburit)</t>
  </si>
  <si>
    <t>No Land Home (Barburit)</t>
  </si>
  <si>
    <t>Levizon(Barburit)</t>
  </si>
  <si>
    <t>אם איקס אקסטרים בע"מ (MESH)</t>
  </si>
  <si>
    <t>I D M LTD(Barburit)</t>
  </si>
  <si>
    <t>Fox Home (Barburit)</t>
  </si>
  <si>
    <t>Electric Pompa (Barburit)</t>
  </si>
  <si>
    <t>עמינח רשתות שיווק בע"מ (MESH)</t>
  </si>
  <si>
    <t>ברקאי דותן</t>
  </si>
  <si>
    <t>קלמנדס יזמות בע"מ</t>
  </si>
  <si>
    <t>בריטמן אלמגור זוהר</t>
  </si>
  <si>
    <t>יהלומיס</t>
  </si>
  <si>
    <t>אייל המהיר - גרר בע"מ</t>
  </si>
  <si>
    <t>Operations Support- Salary Advance</t>
  </si>
  <si>
    <t>Allocation - Design</t>
  </si>
  <si>
    <t>Toolmens (Barburit)</t>
  </si>
  <si>
    <t>Samsung Electronics Australia</t>
  </si>
  <si>
    <t>S&amp;M Marketing- UA Indirect Royalties</t>
  </si>
  <si>
    <t>Par (Barburit)</t>
  </si>
  <si>
    <t>Operations - Design</t>
  </si>
  <si>
    <t>Design</t>
  </si>
  <si>
    <t>RnD - Design</t>
  </si>
  <si>
    <t>S&amp;M - Design</t>
  </si>
  <si>
    <t>G&amp;A - Design</t>
  </si>
  <si>
    <t>G&amp;A Finance- Tax Audit</t>
  </si>
  <si>
    <t>מילטון חוויה במטבח בע"מ</t>
  </si>
  <si>
    <t>לין פוליאק</t>
  </si>
  <si>
    <t>סייברקיס בע"מ</t>
  </si>
  <si>
    <t>סקייפרו בע"מ</t>
  </si>
  <si>
    <t>מוגרבי מדפים ופתרונות</t>
  </si>
  <si>
    <t>שי גולדברג בע"מ</t>
  </si>
  <si>
    <t>Inboxroad</t>
  </si>
  <si>
    <t>FastSpring</t>
  </si>
  <si>
    <t>GameRefinery Oy</t>
  </si>
  <si>
    <t>Khaitan &amp; Co LLP</t>
  </si>
  <si>
    <t>Deposit bank leumi NIS (SKY)</t>
  </si>
  <si>
    <t>פרל כהן צדק לצר ברץ</t>
  </si>
  <si>
    <t>עתודות" - קרן פנסיה</t>
  </si>
  <si>
    <t>כלל חברה לביטוח בע"מ</t>
  </si>
  <si>
    <t>כלל פנסיה וגמל בע"מ</t>
  </si>
  <si>
    <t>ישראלי אברהם</t>
  </si>
  <si>
    <t>עו"ד עודד אונגר</t>
  </si>
  <si>
    <t>סיגמא טאלנטס בע"מ</t>
  </si>
  <si>
    <t>ניט אבליואיישן בע"מ</t>
  </si>
  <si>
    <t>קובי חן עיצוב פסקול</t>
  </si>
  <si>
    <t>TRAKLIN ELECTRIC MESH</t>
  </si>
  <si>
    <t>Oakvale Capital LLP</t>
  </si>
  <si>
    <t>Motel Trading Company</t>
  </si>
  <si>
    <t>Goodwin Procter</t>
  </si>
  <si>
    <t>Aviv Benn</t>
  </si>
  <si>
    <t>IPQualityScore LLC</t>
  </si>
  <si>
    <t>WH Partners</t>
  </si>
  <si>
    <t>Liteup Media UG</t>
  </si>
  <si>
    <t>Operations- WHT audit provision</t>
  </si>
  <si>
    <t>RnD- WHT audit provision</t>
  </si>
  <si>
    <t>S&amp;M Marketing- Loss of ability to work value D</t>
  </si>
  <si>
    <t>S&amp;M Marketing- Loss of ability to work value C</t>
  </si>
  <si>
    <t>S&amp;M- WHT audit provision</t>
  </si>
  <si>
    <t>G&amp;A- WHT audit provision</t>
  </si>
  <si>
    <t>G&amp;A G&amp;A- Hotel</t>
  </si>
  <si>
    <t>G&amp;A G&amp;A- Other</t>
  </si>
  <si>
    <t>S&amp;M- UA Indirect PR-Boost campaign spend</t>
  </si>
  <si>
    <t>S&amp;M- UA Indirect PR-Partnerships/Sponsered PR</t>
  </si>
  <si>
    <t>G&amp;A Legal- General Compliance</t>
  </si>
  <si>
    <t>Miller Malone &amp; Tellefson, PS Inc</t>
  </si>
  <si>
    <t>Sales taxFees and fines</t>
  </si>
  <si>
    <t>G&amp;A - Sales tax -Fees and fines</t>
  </si>
  <si>
    <t>Consolidated staements of cash flows 31/12/2022</t>
  </si>
  <si>
    <t>SBC Employees 2022</t>
  </si>
  <si>
    <t>SBC Non Employees 2022</t>
  </si>
  <si>
    <t>Balance as of December 31, 2022</t>
  </si>
  <si>
    <t>Assets.1**</t>
  </si>
  <si>
    <t>Cash and Cash equivalent.10*</t>
  </si>
  <si>
    <t>Banks.100</t>
  </si>
  <si>
    <t>Bank Leumi  IL 568400</t>
  </si>
  <si>
    <t>Bank Leumi  $ 568400</t>
  </si>
  <si>
    <t>Bank Leumi  GBP 568400</t>
  </si>
  <si>
    <t>Bank SVB LTD **3838</t>
  </si>
  <si>
    <t>Bank SVB-MMA **6735</t>
  </si>
  <si>
    <t>Deposit.101</t>
  </si>
  <si>
    <t>E-Wallet.102</t>
  </si>
  <si>
    <t>Trade receivable.11*</t>
  </si>
  <si>
    <t>Account receivable.111</t>
  </si>
  <si>
    <t>Related party receivable.12*</t>
  </si>
  <si>
    <t>IC  receivable.120</t>
  </si>
  <si>
    <t>Other receivable.13*</t>
  </si>
  <si>
    <t>Authorities.130</t>
  </si>
  <si>
    <t>Other.131</t>
  </si>
  <si>
    <t>Prepaid Expenses.14*</t>
  </si>
  <si>
    <t>Prepaid Expenses.140</t>
  </si>
  <si>
    <t>Long Term Assets.2**</t>
  </si>
  <si>
    <t>Investment in Subsidiaries.25*</t>
  </si>
  <si>
    <t>Investment in Subsidiaries- INC.250</t>
  </si>
  <si>
    <t>Property plant and equipment.27*</t>
  </si>
  <si>
    <t>Cost.270</t>
  </si>
  <si>
    <t>Depreciation accumulated.271</t>
  </si>
  <si>
    <t>Depreciation accum Depreciation accum Vehicles</t>
  </si>
  <si>
    <t>Liabilities.3**</t>
  </si>
  <si>
    <t>Tax provision.30*</t>
  </si>
  <si>
    <t>Tax provision.300</t>
  </si>
  <si>
    <t>Prepaid taxes.31*</t>
  </si>
  <si>
    <t>Prepaid taxes.310</t>
  </si>
  <si>
    <t>Sales Tax.311</t>
  </si>
  <si>
    <t>Sales tax Fees and fines</t>
  </si>
  <si>
    <t>Client liability.32*</t>
  </si>
  <si>
    <t>Client liability.320</t>
  </si>
  <si>
    <t>Net cash balance $</t>
  </si>
  <si>
    <t>Account payables.34*</t>
  </si>
  <si>
    <t>AP Local.340</t>
  </si>
  <si>
    <t>מטריקס אי.טי. קלאודזון(MESH)</t>
  </si>
  <si>
    <t>טרקלין חשמל - מוצרי צריכה בע"מ</t>
  </si>
  <si>
    <t>AP  foreign.341</t>
  </si>
  <si>
    <t>Liftoff Mobile, Inc (VUNGLE SEA PTE)</t>
  </si>
  <si>
    <t>Aisa LLC (Ratpack)</t>
  </si>
  <si>
    <t>Twitter International Unlimited Company</t>
  </si>
  <si>
    <t>Related party payable.35*</t>
  </si>
  <si>
    <t>IC  payable.350</t>
  </si>
  <si>
    <t>Other payables and accouted liabilittis.36*</t>
  </si>
  <si>
    <t>Credit Card.360</t>
  </si>
  <si>
    <t>Other payables.361</t>
  </si>
  <si>
    <t>Accrued Expenses.37*</t>
  </si>
  <si>
    <t>Accrued Expenses.371</t>
  </si>
  <si>
    <t>Accrued Expenses -UA.372</t>
  </si>
  <si>
    <t>Employees Liabilities.38*</t>
  </si>
  <si>
    <t>Social Benefit.381</t>
  </si>
  <si>
    <t>Tax Authority.382</t>
  </si>
  <si>
    <t>D/C Employees.383</t>
  </si>
  <si>
    <t>Vacation Employees.384</t>
  </si>
  <si>
    <t>Recuperation Employees.385</t>
  </si>
  <si>
    <t>Accrued Bonus.386</t>
  </si>
  <si>
    <t>Deferred tax liabilities.39*</t>
  </si>
  <si>
    <t>Deferred tax liabilities.390</t>
  </si>
  <si>
    <t>Equity.5**</t>
  </si>
  <si>
    <t>Share capital.50*</t>
  </si>
  <si>
    <t>Share capital.500</t>
  </si>
  <si>
    <t>Share premium.51*</t>
  </si>
  <si>
    <t>Preferred Share premium.510</t>
  </si>
  <si>
    <t>Option fund.511</t>
  </si>
  <si>
    <t>Additional paid-in capital.512</t>
  </si>
  <si>
    <t>Share based payment.53*</t>
  </si>
  <si>
    <t>Share based payment.530</t>
  </si>
  <si>
    <t>Accumulated deficit.54*</t>
  </si>
  <si>
    <t>Accumulated deficit.540</t>
  </si>
  <si>
    <t>Revenue.6**</t>
  </si>
  <si>
    <t>Revenue.60*</t>
  </si>
  <si>
    <t>Revenue  Revenue.60R</t>
  </si>
  <si>
    <t>Revenue  Revenue.60T</t>
  </si>
  <si>
    <t>Revenue  - Revenue Hekzev (VAT)</t>
  </si>
  <si>
    <t>Revenue  - Revenue Hekzev-NOT for PCN</t>
  </si>
  <si>
    <t>Revenue  Revenue Receiveable.60U</t>
  </si>
  <si>
    <t>Revenue  - Revenue Cyber Source Receiveable</t>
  </si>
  <si>
    <t>Taxes.7**</t>
  </si>
  <si>
    <t>Taxes.70*</t>
  </si>
  <si>
    <t>Tax Expenses.70L</t>
  </si>
  <si>
    <t>Department.8**</t>
  </si>
  <si>
    <t>Operations.80*</t>
  </si>
  <si>
    <t>Operations Payroll.80A</t>
  </si>
  <si>
    <t>Operations Professional Services.80B</t>
  </si>
  <si>
    <t>Operations Saas.80C</t>
  </si>
  <si>
    <t>Operations Building.80D</t>
  </si>
  <si>
    <t>Operations Depreciation&amp; Amortization.80E</t>
  </si>
  <si>
    <t>Operations Welfare.80F</t>
  </si>
  <si>
    <t>Operations Hosting.80G</t>
  </si>
  <si>
    <t>Operations Insurance.80H</t>
  </si>
  <si>
    <t>Operations Professional Services.80R</t>
  </si>
  <si>
    <t>R&amp;D.81*</t>
  </si>
  <si>
    <t>RnD Payroll.81A</t>
  </si>
  <si>
    <t>RnD Art- Contractors as employees</t>
  </si>
  <si>
    <t>RnD Professional Services.81B</t>
  </si>
  <si>
    <t>RnD Saas.81C</t>
  </si>
  <si>
    <t>RnD Building.81D</t>
  </si>
  <si>
    <t>RnD Depreciation&amp; Amortization.81E</t>
  </si>
  <si>
    <t>RnD Welfare.81F</t>
  </si>
  <si>
    <t>RnD Hosting.81G</t>
  </si>
  <si>
    <t>RnD Insurance.81H</t>
  </si>
  <si>
    <t>RnD Travel.81J</t>
  </si>
  <si>
    <t>S&amp;M.82*</t>
  </si>
  <si>
    <t>S&amp;M Payroll.82A</t>
  </si>
  <si>
    <t>S&amp;M Professional Services.82B</t>
  </si>
  <si>
    <t>S&amp;M Saas.82C</t>
  </si>
  <si>
    <t>S&amp;M Building.82D</t>
  </si>
  <si>
    <t>S&amp;M Depreciation&amp; Amortization.82E</t>
  </si>
  <si>
    <t>S&amp;M Welfare.82F</t>
  </si>
  <si>
    <t>S&amp;M Insurance.82H</t>
  </si>
  <si>
    <t>S&amp;M UA.82I</t>
  </si>
  <si>
    <t>S&amp;M Marketing- UA Indirect PR Users Gifts</t>
  </si>
  <si>
    <t>S&amp;M Travel.82J</t>
  </si>
  <si>
    <t>S&amp;M UA.82R</t>
  </si>
  <si>
    <t>G&amp;A.83*</t>
  </si>
  <si>
    <t>G&amp;A Payroll.83A</t>
  </si>
  <si>
    <t>G&amp;A G&amp;A- Contractors as employees</t>
  </si>
  <si>
    <t>G&amp;A Professional Services.83B</t>
  </si>
  <si>
    <t>G&amp;A Saas.83C</t>
  </si>
  <si>
    <t>G&amp;A Building.83D</t>
  </si>
  <si>
    <t>G&amp;A Depreciation&amp; Amortization.83E</t>
  </si>
  <si>
    <t>G&amp;A Welfare.83F</t>
  </si>
  <si>
    <t>G&amp;A Insurance.83H</t>
  </si>
  <si>
    <t>G&amp;A Travel.83J</t>
  </si>
  <si>
    <t>G&amp;A Professional Services.83R</t>
  </si>
  <si>
    <t>.84*</t>
  </si>
  <si>
    <t>Allocation Building.84D</t>
  </si>
  <si>
    <t>Allocation Depreciation&amp; Amortization.84E</t>
  </si>
  <si>
    <t>Allocation Welfare.84F</t>
  </si>
  <si>
    <t>Allocation Insurance.84H</t>
  </si>
  <si>
    <t>.85*</t>
  </si>
  <si>
    <t>Allocation Building.85D</t>
  </si>
  <si>
    <t>Allocation Depreciation&amp; Amortization.85E</t>
  </si>
  <si>
    <t>Allocation Welfare.85F</t>
  </si>
  <si>
    <t>Allocation Insurance.85H</t>
  </si>
  <si>
    <t>Financial Expenses.9**</t>
  </si>
  <si>
    <t>Financial Expenses.90*</t>
  </si>
  <si>
    <t>Financial exp.90K</t>
  </si>
  <si>
    <t>Financial exp - Loan interest SVB 800K-$ (3372)</t>
  </si>
  <si>
    <t>Financial exp - Loan interest SVB 800K-$ (1685)</t>
  </si>
  <si>
    <t>Financial exp - Loan interest SVB 3M-NIS (14309)</t>
  </si>
  <si>
    <t>Bank SVB 80025</t>
  </si>
  <si>
    <t>Reserve Worldpay</t>
  </si>
  <si>
    <t>Bank Paypal INC</t>
  </si>
  <si>
    <t>Due to/from Papaya Ltd</t>
  </si>
  <si>
    <t>Tax provision 2021</t>
  </si>
  <si>
    <t>Prepaid tax 2022</t>
  </si>
  <si>
    <t>Samsung</t>
  </si>
  <si>
    <t>Google</t>
  </si>
  <si>
    <t>Cybersource</t>
  </si>
  <si>
    <t>D Young CO LLP</t>
  </si>
  <si>
    <t>LexOrbis</t>
  </si>
  <si>
    <t>Credit Card SVB Master Card</t>
  </si>
  <si>
    <t>Accrued Expenses USD</t>
  </si>
  <si>
    <t>Revenue   -IC revenue</t>
  </si>
  <si>
    <t>Revenue   -Revenue Worldpay</t>
  </si>
  <si>
    <t>Revenue   -Revenue Paypal  IL</t>
  </si>
  <si>
    <t>Revenue   -Revenue Paypal  US</t>
  </si>
  <si>
    <t>Revenue   -Revenue Cyber Source</t>
  </si>
  <si>
    <t>Tax  -Tax expenses current period</t>
  </si>
  <si>
    <t>Operations  -Worldpay fees</t>
  </si>
  <si>
    <t>Worldpay fees</t>
  </si>
  <si>
    <t>Operations  -Paypal fees</t>
  </si>
  <si>
    <t>Paypal fees</t>
  </si>
  <si>
    <t>Operations  -Paypal US fees</t>
  </si>
  <si>
    <t>Paypal US fees</t>
  </si>
  <si>
    <t>Operations  -Cybersource SVB fees</t>
  </si>
  <si>
    <t>Cybersource SVB fees</t>
  </si>
  <si>
    <t>Operations  -IR VAT</t>
  </si>
  <si>
    <t xml:space="preserve">Vat </t>
  </si>
  <si>
    <t>Operations  - Worldpay CHB</t>
  </si>
  <si>
    <t>Worldpay CHB</t>
  </si>
  <si>
    <t>Operations  - Paypal CHB</t>
  </si>
  <si>
    <t>Paypal CHB</t>
  </si>
  <si>
    <t>Operations  - SVB CHB</t>
  </si>
  <si>
    <t>SVB CHB</t>
  </si>
  <si>
    <t>Operations  -IC expenses (Revenues)</t>
  </si>
  <si>
    <t>Operations  -IC expenses-Israeli customer (Reven</t>
  </si>
  <si>
    <t>S&amp;M Marketing -UA Direct</t>
  </si>
  <si>
    <t>S&amp;M Marketing -UA Indirect</t>
  </si>
  <si>
    <t>S&amp;M Marketing -UA Indirect TM</t>
  </si>
  <si>
    <t>Professional Services</t>
  </si>
  <si>
    <t>S&amp;M Marketing -UA Indirect IC Expenses</t>
  </si>
  <si>
    <t>G&amp;A Legal -Corporate</t>
  </si>
  <si>
    <t>Financial exp  -Bank fees</t>
  </si>
  <si>
    <t>Financial exp  -epricing exp</t>
  </si>
  <si>
    <t>The Yard</t>
  </si>
  <si>
    <t>VLP Law Group LLP</t>
  </si>
  <si>
    <t>Keystone Law</t>
  </si>
  <si>
    <t>CITY-YUWA PARTNERS</t>
  </si>
  <si>
    <t>Tozzini, Freire, Teixeira e Silva</t>
  </si>
  <si>
    <t>Revenue   -Revenue Braintree</t>
  </si>
  <si>
    <t>Revenue   - Braintree</t>
  </si>
  <si>
    <t>Allocation  -rent</t>
  </si>
  <si>
    <t>Financial exp  -Paypal Currency difference</t>
  </si>
  <si>
    <t>Operations  -Braintree fees</t>
  </si>
  <si>
    <t>Braintree fees</t>
  </si>
  <si>
    <t>Operations  - Paypal US CHB</t>
  </si>
  <si>
    <t>Paypal US CHB</t>
  </si>
  <si>
    <t>G&amp;A Finance -Tax Consulting</t>
  </si>
  <si>
    <t>Bank SVB MMA 6754</t>
  </si>
  <si>
    <t>Bank Paypal INC-Transfer</t>
  </si>
  <si>
    <t>Bryan Aarflot</t>
  </si>
  <si>
    <t>Khaitan &amp; Co</t>
  </si>
  <si>
    <t>Operations  - Braintree CHB</t>
  </si>
  <si>
    <t>Braintree CHB</t>
  </si>
  <si>
    <t>Financial exp  -Interest Income</t>
  </si>
  <si>
    <t>ZwillGen PLLC</t>
  </si>
  <si>
    <t>Operations - Proccesing fees</t>
  </si>
  <si>
    <t>G&amp;A Finance -Compliance</t>
  </si>
  <si>
    <t>G&amp;A Legal -Compliance</t>
  </si>
  <si>
    <t>Revenue -Sales tax</t>
  </si>
  <si>
    <t xml:space="preserve">Revenue Sales Tax </t>
  </si>
  <si>
    <t xml:space="preserve">Sales Tax Provision </t>
  </si>
  <si>
    <t>G&amp;A Legal -Commercial</t>
  </si>
  <si>
    <t>Bank SVB COLLATERAL MMA 7982</t>
  </si>
  <si>
    <t>Envato</t>
  </si>
  <si>
    <t>Poindexter Associates INC</t>
  </si>
  <si>
    <t>Gaming Laboratories International</t>
  </si>
  <si>
    <t>Tax  -Tax expenses  Previous  Years</t>
  </si>
  <si>
    <t>S&amp;M Marketing -UA Indirect PR</t>
  </si>
  <si>
    <t>IC exo</t>
  </si>
  <si>
    <t xml:space="preserve">Marketing </t>
  </si>
  <si>
    <t>G&amp;A</t>
  </si>
  <si>
    <t xml:space="preserve">COGs </t>
  </si>
  <si>
    <t>Operating profit</t>
  </si>
  <si>
    <t>Gross profit</t>
  </si>
  <si>
    <t xml:space="preserve">Total income </t>
  </si>
  <si>
    <t>Bank SVB *7345</t>
  </si>
  <si>
    <t>Revenues.6**</t>
  </si>
  <si>
    <t>Revenues.60*</t>
  </si>
  <si>
    <t>*61.הוצאות יצור</t>
  </si>
  <si>
    <t>Revenue  Revenue.61T</t>
  </si>
  <si>
    <t>Tax.7**</t>
  </si>
  <si>
    <t>Tax Expenses.70*</t>
  </si>
  <si>
    <t>Operations Processing Fees.80M</t>
  </si>
  <si>
    <t>Operations - Proccesing fees-Cybersourse</t>
  </si>
  <si>
    <t>Operations IR VAT.80N</t>
  </si>
  <si>
    <t>Operations CHB.80O</t>
  </si>
  <si>
    <t>.9**</t>
  </si>
  <si>
    <t>.90*</t>
  </si>
  <si>
    <t>India</t>
  </si>
  <si>
    <t xml:space="preserve">India </t>
  </si>
  <si>
    <t>\</t>
  </si>
  <si>
    <t>יתרה ברופיה הודית</t>
  </si>
  <si>
    <t>Papayagaming LTD ($) D/C</t>
  </si>
  <si>
    <t>HYPAETHRAL MEDIA PVT. LTD.</t>
  </si>
  <si>
    <t>Papayagaming LTD</t>
  </si>
  <si>
    <t>Should Be</t>
  </si>
  <si>
    <t xml:space="preserve">Books </t>
  </si>
  <si>
    <t xml:space="preserve">Cogs </t>
  </si>
  <si>
    <t>S&amp;M</t>
  </si>
  <si>
    <t>G&amp;n</t>
  </si>
  <si>
    <t xml:space="preserve">Diff </t>
  </si>
  <si>
    <t xml:space="preserve">JE </t>
  </si>
  <si>
    <t xml:space="preserve">Papaya gaming INC </t>
  </si>
  <si>
    <t xml:space="preserve">Papaya gaming India  </t>
  </si>
  <si>
    <t xml:space="preserve">Revenue  </t>
  </si>
  <si>
    <t>.15*</t>
  </si>
  <si>
    <t>Warrant liability.152</t>
  </si>
  <si>
    <t>Sales tax Provision</t>
  </si>
  <si>
    <t>Cons</t>
  </si>
  <si>
    <t>Cons Company</t>
  </si>
  <si>
    <t>יהונתן בכור אחזקות בע"מ</t>
  </si>
  <si>
    <t>S&amp;M- UA Indirect PR-Creatives performance</t>
  </si>
  <si>
    <t>G&amp;A Legal- Bonus provision</t>
  </si>
  <si>
    <t>G&amp;A Legal- Litigation</t>
  </si>
  <si>
    <t>G&amp;A Legal- Legal opinions</t>
  </si>
  <si>
    <t>G&amp;A Legal- IP/TM</t>
  </si>
  <si>
    <t>Allocation Professional Services.84B</t>
  </si>
  <si>
    <t>Allocation - Recruitment</t>
  </si>
  <si>
    <t>Allocation Professional Services.85B</t>
  </si>
  <si>
    <t xml:space="preserve">חו״ז </t>
  </si>
  <si>
    <t>IC expenses G&amp;N</t>
  </si>
  <si>
    <t>End of 2022</t>
  </si>
  <si>
    <t>Average 2022</t>
  </si>
  <si>
    <t xml:space="preserve">January </t>
  </si>
  <si>
    <t xml:space="preserve">februay </t>
  </si>
  <si>
    <t xml:space="preserve">march </t>
  </si>
  <si>
    <t>April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</si>
  <si>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</si>
  <si>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</si>
  <si>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</si>
  <si>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</si>
  <si>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</si>
  <si>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October  </t>
  </si>
  <si>
    <t xml:space="preserve">November </t>
  </si>
  <si>
    <t xml:space="preserve">December </t>
  </si>
  <si>
    <t xml:space="preserve">Net revenue </t>
  </si>
  <si>
    <t>Books</t>
  </si>
  <si>
    <t xml:space="preserve">direct Sales tax </t>
  </si>
  <si>
    <t xml:space="preserve">FX paypal </t>
  </si>
  <si>
    <t xml:space="preserve">עדכון sales Tax </t>
  </si>
  <si>
    <t xml:space="preserve">Sales tax Provision </t>
  </si>
  <si>
    <t xml:space="preserve">   IC Revenues</t>
  </si>
  <si>
    <t>תיקון פקודת איחוד</t>
  </si>
  <si>
    <t>Other accounts receivable and prepaid expenses</t>
  </si>
  <si>
    <t xml:space="preserve">הוצאת חשבונית </t>
  </si>
  <si>
    <t>חו״ ז</t>
  </si>
  <si>
    <t xml:space="preserve">IC exp </t>
  </si>
  <si>
    <t xml:space="preserve">תיקון משיכת sales tax </t>
  </si>
  <si>
    <t>Operations - Maintenance</t>
  </si>
  <si>
    <t>RnD - Maintenance</t>
  </si>
  <si>
    <t>S&amp;M - Maintenance</t>
  </si>
  <si>
    <t>G&amp;A - Maintenance</t>
  </si>
  <si>
    <t>Allocation - Maintenance</t>
  </si>
  <si>
    <t>קופיטליטי בע"מ</t>
  </si>
  <si>
    <t>Vehicles -1</t>
  </si>
  <si>
    <t>Furniture -2</t>
  </si>
  <si>
    <t>Leasehold Improvements -3</t>
  </si>
  <si>
    <t>Equipment IT -4</t>
  </si>
  <si>
    <t>Computers and Hardware -5</t>
  </si>
  <si>
    <t>יתרה בדולרים $</t>
  </si>
  <si>
    <t>יתרה בדולר USD</t>
  </si>
  <si>
    <t>Vat D/C (חו״ז מע״מ)</t>
  </si>
  <si>
    <t>VAT input (מע״מ תשומות)</t>
  </si>
  <si>
    <t>VAT Input FA (מע״מ נכסים)</t>
  </si>
  <si>
    <t xml:space="preserve">PAPAYA GAMING INC חוז </t>
  </si>
  <si>
    <t>Deposit bank leumi USD 30M</t>
  </si>
  <si>
    <t xml:space="preserve">FX </t>
  </si>
  <si>
    <t xml:space="preserve">סה״כ הוצאות IC ecp </t>
  </si>
  <si>
    <t xml:space="preserve">סה״כ הכנסות בישראל </t>
  </si>
  <si>
    <t xml:space="preserve">סה״כהכנסות אינק </t>
  </si>
  <si>
    <t>I.M</t>
  </si>
  <si>
    <t xml:space="preserve">GAP </t>
  </si>
  <si>
    <t xml:space="preserve">FX בישראל מופיע בהכנסות באינק בהוצ מימון </t>
  </si>
  <si>
    <t xml:space="preserve">VAT באינק מופיע בהוצ בישראל לא </t>
  </si>
  <si>
    <t xml:space="preserve">צריך להיות </t>
  </si>
  <si>
    <t xml:space="preserve">רשום </t>
  </si>
  <si>
    <t xml:space="preserve">סה״כ הוצ באינק- כנגד משיכת הכנסה </t>
  </si>
  <si>
    <t>VaT</t>
  </si>
  <si>
    <t xml:space="preserve">IC revenure </t>
  </si>
  <si>
    <t xml:space="preserve">משיכת הוצ מימון + TAX B2B </t>
  </si>
  <si>
    <t xml:space="preserve">finance exp </t>
  </si>
  <si>
    <t>Accumulated deficit-Odfot</t>
  </si>
  <si>
    <t xml:space="preserve">הוצ אופציות הנה״כ </t>
  </si>
  <si>
    <t xml:space="preserve">הוצ אופציות מו״פ </t>
  </si>
  <si>
    <t xml:space="preserve">הוצאות אופציות operation </t>
  </si>
  <si>
    <t xml:space="preserve">הוצאות אופציות מרקטינג </t>
  </si>
  <si>
    <t xml:space="preserve">קרן הון תמ״מ </t>
  </si>
  <si>
    <t xml:space="preserve">תיקון הוצ  אופציות  </t>
  </si>
  <si>
    <t xml:space="preserve">העברת התחייבות למס לישראל </t>
  </si>
  <si>
    <t xml:space="preserve">חוז </t>
  </si>
  <si>
    <t xml:space="preserve">התחייבות sales tax - העברה לישראל </t>
  </si>
  <si>
    <t xml:space="preserve">העברת  הכנסות לקבל לישראל </t>
  </si>
  <si>
    <t xml:space="preserve">העברת הכנסות לקבל - לישרא </t>
  </si>
  <si>
    <t xml:space="preserve">עדכון מס נדחה </t>
  </si>
  <si>
    <t>Tax provision</t>
  </si>
  <si>
    <t xml:space="preserve">עדכון הוצ מס </t>
  </si>
  <si>
    <t xml:space="preserve">hosting r&amp;d </t>
  </si>
  <si>
    <t xml:space="preserve">hosting Operetion </t>
  </si>
  <si>
    <t xml:space="preserve">TP משיכת הוצ מימון + TAX B2B </t>
  </si>
  <si>
    <t>העברה של 11% נוספים של הוסטנג למו״פ .</t>
  </si>
  <si>
    <t xml:space="preserve">העברת הוצ לשלם של העמלות של הסולקים </t>
  </si>
  <si>
    <t xml:space="preserve"> Restricted </t>
  </si>
  <si>
    <t>i/m</t>
  </si>
  <si>
    <t>Non CURRENT ASSETS</t>
  </si>
  <si>
    <t xml:space="preserve"> Restricted LT deposit  </t>
  </si>
  <si>
    <t xml:space="preserve">Short term deposit </t>
  </si>
  <si>
    <t>ROA Asset</t>
  </si>
  <si>
    <t>ROA Liabillity</t>
  </si>
  <si>
    <t>Debit</t>
  </si>
  <si>
    <t>Credit</t>
  </si>
  <si>
    <t>Rent Expenses</t>
  </si>
  <si>
    <t>העברת פקודות יומן של חכירות סקיי טאוור + איסרליש</t>
  </si>
  <si>
    <t>Legal LAWSUIT</t>
  </si>
  <si>
    <t>Acc expenses</t>
  </si>
  <si>
    <t>סגירת תביעה משפטית</t>
  </si>
  <si>
    <t>Legal Law Suit</t>
  </si>
  <si>
    <t>Linkedin-$ HR</t>
  </si>
  <si>
    <t xml:space="preserve">Restricted LT deposit  </t>
  </si>
  <si>
    <t>פחת איסרליש</t>
  </si>
  <si>
    <t>פחת סקיי טאוור</t>
  </si>
  <si>
    <t>Warrant Liability</t>
  </si>
  <si>
    <t>Consolidated - K$</t>
  </si>
  <si>
    <t>Note 3 - חייבים ויתרות חובה</t>
  </si>
  <si>
    <t>מוסדות ממשלתיים</t>
  </si>
  <si>
    <t>הוצאות מראש</t>
  </si>
  <si>
    <t>חייבים על חשבון מניות</t>
  </si>
  <si>
    <t>סה״כ</t>
  </si>
  <si>
    <t>חייבים בגין הקצב</t>
  </si>
  <si>
    <t>מחשבים וציוד אלקטרוני</t>
  </si>
  <si>
    <t>ריהוט וציוד משרדי</t>
  </si>
  <si>
    <t>שיפורים במושכר</t>
  </si>
  <si>
    <t>בניכוי פחת שנצבר</t>
  </si>
  <si>
    <t>הוצאות פחת</t>
  </si>
  <si>
    <t>Note 4 - רכוש קבוע נטו</t>
  </si>
  <si>
    <t>Note 4 - זכאים ויתרות זכות</t>
  </si>
  <si>
    <t>הוצאות לשלם</t>
  </si>
  <si>
    <t>מיסים לשלם</t>
  </si>
  <si>
    <t>שכר</t>
  </si>
  <si>
    <t xml:space="preserve">הכנסות ריבית לקבל </t>
  </si>
  <si>
    <t>פקדון</t>
  </si>
  <si>
    <t>Vat Audit Provision</t>
  </si>
  <si>
    <t>G&amp;A Legal- Investment/IPO</t>
  </si>
  <si>
    <t>מיון שכר של אוריאל 33%</t>
  </si>
  <si>
    <t>ח. הוצ שכר מופ</t>
  </si>
  <si>
    <t xml:space="preserve">ז. הוצ שכר הנה״כ </t>
  </si>
  <si>
    <t xml:space="preserve">מיון שכר של  מוניטיזציה </t>
  </si>
  <si>
    <t xml:space="preserve">ח. הוצ מרקטינג </t>
  </si>
  <si>
    <t>Employees payables</t>
  </si>
  <si>
    <t>ROA Liability ST</t>
  </si>
  <si>
    <t>ROA Liability LT</t>
  </si>
  <si>
    <t xml:space="preserve">חובה דולר </t>
  </si>
  <si>
    <t xml:space="preserve">זכות דולר </t>
  </si>
  <si>
    <t xml:space="preserve">חובה שקל </t>
  </si>
  <si>
    <t xml:space="preserve">זכות שקל </t>
  </si>
  <si>
    <t>new 1</t>
  </si>
  <si>
    <t xml:space="preserve">הכנסות לקבל פקדון 30M גלור </t>
  </si>
  <si>
    <t xml:space="preserve">איפה שהשכר של אנדרי ואלכס </t>
  </si>
  <si>
    <t>ז הוצ שכר מיון  מו״ פ</t>
  </si>
  <si>
    <t xml:space="preserve">new 2 </t>
  </si>
  <si>
    <t xml:space="preserve">new 3 </t>
  </si>
  <si>
    <t xml:space="preserve">איפה שרשום ההוצאות שכר של אוריאת </t>
  </si>
  <si>
    <t xml:space="preserve">Revenue  - Revenue general </t>
  </si>
  <si>
    <t>new</t>
  </si>
  <si>
    <t>ROA Liability.151</t>
  </si>
  <si>
    <t>ROU Assets</t>
  </si>
  <si>
    <t>Revenue  - Revenue general Receiveable</t>
  </si>
  <si>
    <t>.61*</t>
  </si>
  <si>
    <t>Revenue Receivable ST.61U</t>
  </si>
  <si>
    <t>RnD RnD Option</t>
  </si>
  <si>
    <t>הוצ מרקטינג</t>
  </si>
  <si>
    <t>הוצ שכר מיון  מו״ פ</t>
  </si>
  <si>
    <t>G&amp;A G&amp;A- Options</t>
  </si>
  <si>
    <t>G&amp;A Legal- LAWSUIT</t>
  </si>
  <si>
    <t>IC Expenses-Financail exp</t>
  </si>
  <si>
    <t>Revenue - Revenue Interest Receiveable</t>
  </si>
  <si>
    <t>IC Expenses</t>
  </si>
  <si>
    <t>עדכון הפרשה למס לאחר כל הפקודות הנוספות</t>
  </si>
  <si>
    <t>עדכון הפרשה למס בגין 2021</t>
  </si>
  <si>
    <t>ז׳ - הוצאות מס</t>
  </si>
  <si>
    <t>ח׳ - הפרשה למס</t>
  </si>
  <si>
    <t xml:space="preserve">ח׳ - הוצ מס שנים קודמות </t>
  </si>
  <si>
    <t xml:space="preserve">ז. הפרשה למס </t>
  </si>
  <si>
    <t xml:space="preserve">הפרשי שער </t>
  </si>
  <si>
    <t xml:space="preserve">מס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</si>
</sst>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 * #,##0.00_ ;_ * \-#,##0.00_ ;_ * &quot;-&quot;??_ ;_ @_ "/>
    <numFmt numFmtId="164" formatCode="_(* #,##0.00_);_(* \(#,##0.00\);_(* &quot;-&quot;??_);_(@_)"/>
    <numFmt numFmtId="165" formatCode="_-* #,##0.00\ &quot;₪&quot;_-;\-* #,##0.00\ &quot;₪&quot;_-;_-* &quot;-&quot;??\ &quot;₪&quot;_-;_-@_-"/>
    <numFmt numFmtId="166" formatCode="_-* #,##0.00_-;\-* #,##0.00_-;_-* &quot;-&quot;??_-;_-@_-"/>
    <numFmt numFmtId="167" formatCode="?????"/>
    <numFmt numFmtId="168" formatCode="??,??0.00"/>
    <numFmt numFmtId="169" formatCode="_(* #,##0_);_(* \(#,##0\);_(* &quot;-&quot;??_);_(@_)"/>
    <numFmt numFmtId="170" formatCode="?0.00"/>
    <numFmt numFmtId="171" formatCode="??0.00"/>
    <numFmt numFmtId="172" formatCode="?,??0.00"/>
    <numFmt numFmtId="173" formatCode="_(* #,##0.000_);_(* \(#,##0.000\);_(* &quot;-&quot;??_);_(@_)"/>
    <numFmt numFmtId="174" formatCode="_ * #,##0_ ;_ * \-#,##0_ ;_ * &quot;-&quot;??_ ;_ @_ "/>
    <numFmt numFmtId="175" formatCode="_-* #,##0\ &quot;₪&quot;_-;\-* #,##0\ &quot;₪&quot;_-;_-* &quot;-&quot;??\ &quot;₪&quot;_-;_-@"/>
    <numFmt numFmtId="176" formatCode="_-* #,##0_-;\-* #,##0_-;_-* &quot;-&quot;??_-;_-@"/>
    <numFmt numFmtId="177" formatCode="_-* #,##0.00\ _₪_-;\-* #,##0.00\ _₪_-;_-* &quot;-&quot;??\ _₪_-;_-@"/>
    <numFmt numFmtId="178" formatCode="_([$$-409]* #,##0_);_([$$-409]* \(#,##0\);_([$$-409]* &quot;-&quot;??_);_(@_)"/>
    <numFmt numFmtId="179" formatCode="_([$$-409]* #,##0.00_);_([$$-409]* \(#,##0.00\);_([$$-409]* &quot;-&quot;??_);_(@_)"/>
    <numFmt numFmtId="180" formatCode="_(&quot;₪&quot;* #,##0_);_(&quot;₪&quot;* \(#,##0\);_(&quot;₪&quot;* &quot;-&quot;??_);_(@_)"/>
    <numFmt numFmtId="181" formatCode="_-[$$-409]* #,##0.00_ ;_-[$$-409]* \-#,##0.00\ ;_-[$$-409]* &quot;-&quot;??_ ;_-@_ "/>
    <numFmt numFmtId="182" formatCode="_-* #,##0.00\ &quot;₪&quot;_-;\-* #,##0.00\ &quot;₪&quot;_-;_-* &quot;-&quot;??\ &quot;₪&quot;_-;_-@"/>
    <numFmt numFmtId="183" formatCode="0.000000%"/>
    <numFmt numFmtId="184" formatCode="_-* #,##0_-;\-* #,##0_-;_-* &quot;-&quot;??_-;_-@_-"/>
    <numFmt numFmtId="185" formatCode="_-[$$-409]* #,##0_ ;_-[$$-409]* \-#,##0\ ;_-[$$-409]* &quot;-&quot;??_ ;_-@_ "/>
    <numFmt numFmtId="186" formatCode="_-* #,##0.00\ _₪_-;\-* #,##0.00\ _₪_-;_-* &quot;-&quot;??\ _₪_-;_-@_-"/>
    <numFmt numFmtId="187" formatCode="0.0%"/>
    <numFmt numFmtId="188" formatCode="#,##0.00\ _€"/>
    <numFmt numFmtId="189" formatCode="_-* #,##0\ &quot;₪&quot;_-;\-* #,##0\ &quot;₪&quot;_-;_-* &quot;-&quot;??\ &quot;₪&quot;_-;_-@_-"/>
  </numFmts>
  <fonts count="7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2E4049"/>
      <name val="Arial"/>
      <family val="2"/>
    </font>
    <font>
      <sz val="10"/>
      <color theme="1"/>
      <name val="Arial"/>
      <family val="2"/>
    </font>
    <font>
      <sz val="10"/>
      <color rgb="FF000000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2E75B5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FF0000"/>
      <name val="Calibri"/>
      <family val="2"/>
    </font>
    <font>
      <b/>
      <u/>
      <sz val="11"/>
      <color theme="1"/>
      <name val="Calibri"/>
      <family val="2"/>
    </font>
    <font>
      <sz val="10"/>
      <color rgb="FF2E4049"/>
      <name val="Arial"/>
      <family val="2"/>
    </font>
    <font>
      <b/>
      <sz val="15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David"/>
      <family val="2"/>
    </font>
    <font>
      <sz val="11"/>
      <color theme="1"/>
      <name val="David"/>
      <family val="2"/>
    </font>
    <font>
      <b/>
      <u/>
      <sz val="11"/>
      <color theme="1"/>
      <name val="David"/>
      <family val="2"/>
    </font>
    <font>
      <sz val="10"/>
      <color rgb="FF000000"/>
      <name val="Arial"/>
      <family val="2"/>
      <scheme val="minor"/>
    </font>
    <font>
      <sz val="11"/>
      <color rgb="FF000000"/>
      <name val="David"/>
      <family val="2"/>
    </font>
    <font>
      <b/>
      <sz val="11"/>
      <color rgb="FF000000"/>
      <name val="David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FF0000"/>
      <name val="David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Calibri (Body)"/>
    </font>
    <font>
      <b/>
      <sz val="10"/>
      <color rgb="FFFF0000"/>
      <name val="Arial"/>
      <family val="2"/>
      <scheme val="minor"/>
    </font>
    <font>
      <sz val="12"/>
      <color rgb="FF2E4049"/>
      <name val="Arial"/>
      <family val="2"/>
      <scheme val="minor"/>
    </font>
    <font>
      <sz val="9"/>
      <color rgb="FF4472C4"/>
      <name val="Calibri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David"/>
      <family val="2"/>
    </font>
    <font>
      <sz val="10"/>
      <color rgb="FF000000"/>
      <name val="Arial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charset val="177"/>
    </font>
    <font>
      <sz val="11"/>
      <color theme="3"/>
      <name val="Calibri"/>
      <family val="2"/>
      <charset val="177"/>
    </font>
    <font>
      <sz val="10"/>
      <color rgb="FFFF0000"/>
      <name val="Arial"/>
      <family val="2"/>
    </font>
    <font>
      <b/>
      <sz val="17"/>
      <color theme="1"/>
      <name val="Calibri"/>
      <family val="2"/>
    </font>
    <font>
      <sz val="10"/>
      <color theme="1"/>
      <name val="Arial"/>
      <family val="2"/>
      <charset val="177"/>
    </font>
    <font>
      <sz val="11"/>
      <color rgb="FFFF0000"/>
      <name val="Calibri"/>
      <family val="2"/>
      <charset val="177"/>
    </font>
    <font>
      <sz val="11"/>
      <color theme="1"/>
      <name val="Calibri"/>
      <family val="2"/>
      <charset val="177"/>
    </font>
    <font>
      <b/>
      <sz val="8"/>
      <color indexed="8"/>
      <name val="Arial"/>
      <family val="2"/>
    </font>
    <font>
      <b/>
      <sz val="10"/>
      <color rgb="FFFF0000"/>
      <name val="Arial"/>
      <family val="2"/>
      <charset val="177"/>
    </font>
    <font>
      <b/>
      <sz val="12"/>
      <color rgb="FFFF0000"/>
      <name val="Arial"/>
      <family val="2"/>
      <charset val="177"/>
    </font>
    <font>
      <b/>
      <sz val="11"/>
      <color rgb="FFFF0000"/>
      <name val="Calibri"/>
      <family val="2"/>
      <charset val="177"/>
    </font>
    <font>
      <b/>
      <sz val="12"/>
      <name val="Arial"/>
      <family val="2"/>
    </font>
    <font>
      <sz val="14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8"/>
      <color rgb="FF000000"/>
      <name val="Arial"/>
      <family val="2"/>
    </font>
    <font>
      <sz val="20"/>
      <color rgb="FF000000"/>
      <name val="Arial"/>
      <family val="2"/>
    </font>
    <font>
      <sz val="10"/>
      <color rgb="FF000000"/>
      <name val="Arial"/>
      <family val="2"/>
      <charset val="177"/>
    </font>
    <font>
      <sz val="10"/>
      <color theme="1"/>
      <name val="Calibri"/>
      <family val="2"/>
      <charset val="177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  <charset val="177"/>
    </font>
    <font>
      <sz val="10"/>
      <name val="Arial"/>
      <family val="2"/>
      <scheme val="minor"/>
    </font>
    <font>
      <sz val="10"/>
      <color rgb="FF2E4049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4.9989318521683403E-2"/>
        <bgColor rgb="FFDEEAF6"/>
      </patternFill>
    </fill>
    <fill>
      <patternFill patternType="solid">
        <fgColor theme="4" tint="0.79998168889431442"/>
        <bgColor rgb="FFDEEAF6"/>
      </patternFill>
    </fill>
    <fill>
      <patternFill patternType="solid">
        <fgColor rgb="FFFF58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2" fillId="0" borderId="19"/>
    <xf numFmtId="164" fontId="30" fillId="0" borderId="19" applyFont="0" applyFill="0" applyBorder="0" applyAlignment="0" applyProtection="0"/>
    <xf numFmtId="0" fontId="30" fillId="0" borderId="19"/>
    <xf numFmtId="164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41" fillId="0" borderId="19"/>
    <xf numFmtId="166" fontId="41" fillId="0" borderId="19" applyFont="0" applyFill="0" applyBorder="0" applyAlignment="0" applyProtection="0"/>
    <xf numFmtId="0" fontId="2" fillId="0" borderId="19"/>
    <xf numFmtId="164" fontId="2" fillId="0" borderId="19" applyFont="0" applyFill="0" applyBorder="0" applyAlignment="0" applyProtection="0"/>
    <xf numFmtId="165" fontId="53" fillId="0" borderId="0" applyFont="0" applyFill="0" applyBorder="0" applyAlignment="0" applyProtection="0"/>
    <xf numFmtId="0" fontId="54" fillId="0" borderId="19"/>
    <xf numFmtId="9" fontId="2" fillId="0" borderId="19" applyFont="0" applyFill="0" applyBorder="0" applyAlignment="0" applyProtection="0"/>
  </cellStyleXfs>
  <cellXfs count="7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6" fillId="0" borderId="0" xfId="0" applyFont="1"/>
    <xf numFmtId="167" fontId="7" fillId="0" borderId="0" xfId="0" applyNumberFormat="1" applyFont="1" applyAlignment="1">
      <alignment horizontal="right" vertical="top"/>
    </xf>
    <xf numFmtId="167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/>
    <xf numFmtId="167" fontId="10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right" readingOrder="2"/>
    </xf>
    <xf numFmtId="168" fontId="7" fillId="0" borderId="0" xfId="0" applyNumberFormat="1" applyFont="1" applyAlignment="1">
      <alignment horizontal="right" vertical="top"/>
    </xf>
    <xf numFmtId="3" fontId="1" fillId="0" borderId="1" xfId="0" applyNumberFormat="1" applyFont="1" applyBorder="1"/>
    <xf numFmtId="168" fontId="7" fillId="0" borderId="1" xfId="0" applyNumberFormat="1" applyFont="1" applyBorder="1" applyAlignment="1">
      <alignment horizontal="right" vertical="top"/>
    </xf>
    <xf numFmtId="0" fontId="1" fillId="0" borderId="1" xfId="0" applyFont="1" applyBorder="1"/>
    <xf numFmtId="169" fontId="4" fillId="0" borderId="0" xfId="0" applyNumberFormat="1" applyFont="1"/>
    <xf numFmtId="169" fontId="1" fillId="0" borderId="0" xfId="0" applyNumberFormat="1" applyFont="1"/>
    <xf numFmtId="3" fontId="1" fillId="2" borderId="2" xfId="0" applyNumberFormat="1" applyFont="1" applyFill="1" applyBorder="1"/>
    <xf numFmtId="164" fontId="1" fillId="0" borderId="0" xfId="0" applyNumberFormat="1" applyFont="1"/>
    <xf numFmtId="170" fontId="7" fillId="0" borderId="0" xfId="0" applyNumberFormat="1" applyFont="1" applyAlignment="1">
      <alignment horizontal="right" vertical="top"/>
    </xf>
    <xf numFmtId="0" fontId="1" fillId="2" borderId="3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9" fontId="1" fillId="2" borderId="7" xfId="0" applyNumberFormat="1" applyFont="1" applyFill="1" applyBorder="1"/>
    <xf numFmtId="9" fontId="1" fillId="2" borderId="7" xfId="0" applyNumberFormat="1" applyFont="1" applyFill="1" applyBorder="1"/>
    <xf numFmtId="0" fontId="1" fillId="2" borderId="8" xfId="0" applyFont="1" applyFill="1" applyBorder="1"/>
    <xf numFmtId="171" fontId="7" fillId="0" borderId="0" xfId="0" applyNumberFormat="1" applyFont="1" applyAlignment="1">
      <alignment horizontal="right" vertical="top"/>
    </xf>
    <xf numFmtId="0" fontId="1" fillId="2" borderId="9" xfId="0" applyFont="1" applyFill="1" applyBorder="1"/>
    <xf numFmtId="169" fontId="1" fillId="2" borderId="10" xfId="0" applyNumberFormat="1" applyFont="1" applyFill="1" applyBorder="1"/>
    <xf numFmtId="9" fontId="1" fillId="2" borderId="10" xfId="0" applyNumberFormat="1" applyFont="1" applyFill="1" applyBorder="1"/>
    <xf numFmtId="0" fontId="1" fillId="2" borderId="11" xfId="0" applyFont="1" applyFill="1" applyBorder="1"/>
    <xf numFmtId="172" fontId="7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3" fontId="1" fillId="0" borderId="12" xfId="0" applyNumberFormat="1" applyFont="1" applyBorder="1"/>
    <xf numFmtId="0" fontId="2" fillId="0" borderId="0" xfId="0" applyFont="1" applyAlignment="1">
      <alignment horizontal="right" readingOrder="2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3" fillId="0" borderId="0" xfId="0" applyFont="1"/>
    <xf numFmtId="1" fontId="1" fillId="0" borderId="0" xfId="0" applyNumberFormat="1" applyFont="1"/>
    <xf numFmtId="14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 readingOrder="2"/>
    </xf>
    <xf numFmtId="169" fontId="2" fillId="0" borderId="0" xfId="0" applyNumberFormat="1" applyFont="1"/>
    <xf numFmtId="174" fontId="1" fillId="0" borderId="0" xfId="0" applyNumberFormat="1" applyFont="1"/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74" fontId="1" fillId="0" borderId="1" xfId="0" applyNumberFormat="1" applyFont="1" applyBorder="1"/>
    <xf numFmtId="174" fontId="4" fillId="0" borderId="0" xfId="0" applyNumberFormat="1" applyFont="1"/>
    <xf numFmtId="169" fontId="1" fillId="0" borderId="0" xfId="0" applyNumberFormat="1" applyFont="1" applyAlignment="1">
      <alignment horizontal="center"/>
    </xf>
    <xf numFmtId="174" fontId="6" fillId="0" borderId="0" xfId="0" applyNumberFormat="1" applyFont="1"/>
    <xf numFmtId="0" fontId="6" fillId="0" borderId="0" xfId="0" applyFont="1" applyAlignment="1">
      <alignment horizontal="left" vertical="center" wrapText="1"/>
    </xf>
    <xf numFmtId="9" fontId="19" fillId="0" borderId="0" xfId="0" applyNumberFormat="1" applyFont="1"/>
    <xf numFmtId="9" fontId="1" fillId="0" borderId="0" xfId="0" applyNumberFormat="1" applyFont="1"/>
    <xf numFmtId="169" fontId="1" fillId="5" borderId="1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15" xfId="0" applyFont="1" applyFill="1" applyBorder="1" applyAlignment="1">
      <alignment horizontal="left" vertical="center" wrapText="1"/>
    </xf>
    <xf numFmtId="169" fontId="1" fillId="0" borderId="0" xfId="0" applyNumberFormat="1" applyFont="1" applyAlignment="1">
      <alignment horizontal="left" vertical="center" wrapText="1"/>
    </xf>
    <xf numFmtId="169" fontId="1" fillId="5" borderId="15" xfId="0" applyNumberFormat="1" applyFont="1" applyFill="1" applyBorder="1" applyAlignment="1">
      <alignment horizontal="left" vertical="center" wrapText="1"/>
    </xf>
    <xf numFmtId="169" fontId="6" fillId="0" borderId="0" xfId="0" applyNumberFormat="1" applyFont="1" applyAlignment="1">
      <alignment horizontal="left" vertical="center" wrapText="1"/>
    </xf>
    <xf numFmtId="169" fontId="1" fillId="4" borderId="16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9" fontId="6" fillId="4" borderId="14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" fillId="7" borderId="7" xfId="0" applyFont="1" applyFill="1" applyBorder="1"/>
    <xf numFmtId="1" fontId="1" fillId="7" borderId="7" xfId="0" applyNumberFormat="1" applyFont="1" applyFill="1" applyBorder="1"/>
    <xf numFmtId="14" fontId="6" fillId="0" borderId="0" xfId="0" applyNumberFormat="1" applyFont="1"/>
    <xf numFmtId="14" fontId="6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7" borderId="7" xfId="0" applyNumberFormat="1" applyFont="1" applyFill="1" applyBorder="1"/>
    <xf numFmtId="0" fontId="6" fillId="0" borderId="0" xfId="0" applyFont="1" applyAlignment="1">
      <alignment horizontal="center"/>
    </xf>
    <xf numFmtId="0" fontId="1" fillId="7" borderId="7" xfId="0" applyFont="1" applyFill="1" applyBorder="1"/>
    <xf numFmtId="1" fontId="1" fillId="7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74" fontId="1" fillId="7" borderId="7" xfId="0" applyNumberFormat="1" applyFont="1" applyFill="1" applyBorder="1"/>
    <xf numFmtId="175" fontId="2" fillId="0" borderId="0" xfId="0" applyNumberFormat="1" applyFont="1"/>
    <xf numFmtId="174" fontId="6" fillId="7" borderId="7" xfId="0" applyNumberFormat="1" applyFont="1" applyFill="1" applyBorder="1"/>
    <xf numFmtId="0" fontId="6" fillId="5" borderId="7" xfId="0" applyFont="1" applyFill="1" applyBorder="1" applyAlignment="1">
      <alignment horizontal="left" vertical="center"/>
    </xf>
    <xf numFmtId="174" fontId="1" fillId="5" borderId="7" xfId="0" applyNumberFormat="1" applyFont="1" applyFill="1" applyBorder="1"/>
    <xf numFmtId="174" fontId="3" fillId="0" borderId="0" xfId="0" applyNumberFormat="1" applyFont="1"/>
    <xf numFmtId="174" fontId="3" fillId="7" borderId="7" xfId="0" applyNumberFormat="1" applyFont="1" applyFill="1" applyBorder="1"/>
    <xf numFmtId="0" fontId="2" fillId="0" borderId="0" xfId="0" applyFont="1" applyAlignment="1">
      <alignment horizontal="left" readingOrder="2"/>
    </xf>
    <xf numFmtId="0" fontId="13" fillId="0" borderId="0" xfId="0" applyFont="1" applyAlignment="1">
      <alignment horizontal="left" readingOrder="2"/>
    </xf>
    <xf numFmtId="174" fontId="1" fillId="0" borderId="13" xfId="0" applyNumberFormat="1" applyFont="1" applyBorder="1"/>
    <xf numFmtId="4" fontId="11" fillId="0" borderId="0" xfId="0" applyNumberFormat="1" applyFont="1"/>
    <xf numFmtId="4" fontId="11" fillId="7" borderId="7" xfId="0" applyNumberFormat="1" applyFont="1" applyFill="1" applyBorder="1"/>
    <xf numFmtId="164" fontId="1" fillId="7" borderId="7" xfId="0" applyNumberFormat="1" applyFont="1" applyFill="1" applyBorder="1"/>
    <xf numFmtId="1" fontId="1" fillId="8" borderId="7" xfId="0" applyNumberFormat="1" applyFont="1" applyFill="1" applyBorder="1"/>
    <xf numFmtId="14" fontId="6" fillId="8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74" fontId="1" fillId="8" borderId="7" xfId="0" applyNumberFormat="1" applyFont="1" applyFill="1" applyBorder="1"/>
    <xf numFmtId="174" fontId="6" fillId="8" borderId="7" xfId="0" applyNumberFormat="1" applyFont="1" applyFill="1" applyBorder="1"/>
    <xf numFmtId="0" fontId="8" fillId="0" borderId="0" xfId="0" applyFont="1"/>
    <xf numFmtId="174" fontId="1" fillId="0" borderId="20" xfId="0" applyNumberFormat="1" applyFont="1" applyBorder="1"/>
    <xf numFmtId="174" fontId="2" fillId="0" borderId="0" xfId="0" applyNumberFormat="1" applyFont="1"/>
    <xf numFmtId="174" fontId="6" fillId="0" borderId="21" xfId="0" applyNumberFormat="1" applyFont="1" applyBorder="1"/>
    <xf numFmtId="176" fontId="2" fillId="0" borderId="0" xfId="0" applyNumberFormat="1" applyFont="1"/>
    <xf numFmtId="176" fontId="2" fillId="8" borderId="7" xfId="0" applyNumberFormat="1" applyFont="1" applyFill="1" applyBorder="1"/>
    <xf numFmtId="176" fontId="22" fillId="0" borderId="0" xfId="0" applyNumberFormat="1" applyFont="1"/>
    <xf numFmtId="176" fontId="22" fillId="8" borderId="7" xfId="0" applyNumberFormat="1" applyFont="1" applyFill="1" applyBorder="1"/>
    <xf numFmtId="4" fontId="11" fillId="8" borderId="7" xfId="0" applyNumberFormat="1" applyFont="1" applyFill="1" applyBorder="1"/>
    <xf numFmtId="4" fontId="20" fillId="0" borderId="0" xfId="0" applyNumberFormat="1" applyFont="1"/>
    <xf numFmtId="4" fontId="20" fillId="8" borderId="7" xfId="0" applyNumberFormat="1" applyFont="1" applyFill="1" applyBorder="1"/>
    <xf numFmtId="169" fontId="1" fillId="8" borderId="7" xfId="0" applyNumberFormat="1" applyFont="1" applyFill="1" applyBorder="1"/>
    <xf numFmtId="177" fontId="2" fillId="0" borderId="0" xfId="0" applyNumberFormat="1" applyFont="1"/>
    <xf numFmtId="0" fontId="2" fillId="0" borderId="25" xfId="0" applyFont="1" applyBorder="1"/>
    <xf numFmtId="0" fontId="2" fillId="0" borderId="26" xfId="0" applyFont="1" applyBorder="1"/>
    <xf numFmtId="0" fontId="2" fillId="0" borderId="28" xfId="0" applyFont="1" applyBorder="1"/>
    <xf numFmtId="0" fontId="17" fillId="0" borderId="0" xfId="0" applyFont="1"/>
    <xf numFmtId="0" fontId="24" fillId="2" borderId="7" xfId="0" applyFont="1" applyFill="1" applyBorder="1" applyAlignment="1">
      <alignment horizontal="center"/>
    </xf>
    <xf numFmtId="178" fontId="17" fillId="0" borderId="0" xfId="0" applyNumberFormat="1" applyFont="1"/>
    <xf numFmtId="0" fontId="17" fillId="0" borderId="20" xfId="0" applyFont="1" applyBorder="1"/>
    <xf numFmtId="178" fontId="17" fillId="0" borderId="20" xfId="0" applyNumberFormat="1" applyFont="1" applyBorder="1"/>
    <xf numFmtId="0" fontId="25" fillId="0" borderId="0" xfId="0" applyFont="1"/>
    <xf numFmtId="0" fontId="24" fillId="0" borderId="0" xfId="0" applyFont="1" applyAlignment="1">
      <alignment horizontal="center"/>
    </xf>
    <xf numFmtId="16" fontId="24" fillId="0" borderId="0" xfId="0" applyNumberFormat="1" applyFont="1" applyAlignment="1">
      <alignment horizontal="center"/>
    </xf>
    <xf numFmtId="0" fontId="26" fillId="0" borderId="0" xfId="0" applyFont="1"/>
    <xf numFmtId="179" fontId="26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9" fontId="13" fillId="0" borderId="0" xfId="0" applyNumberFormat="1" applyFont="1"/>
    <xf numFmtId="179" fontId="17" fillId="0" borderId="0" xfId="0" applyNumberFormat="1" applyFont="1"/>
    <xf numFmtId="178" fontId="2" fillId="0" borderId="0" xfId="0" applyNumberFormat="1" applyFont="1"/>
    <xf numFmtId="9" fontId="26" fillId="0" borderId="0" xfId="0" applyNumberFormat="1" applyFont="1"/>
    <xf numFmtId="180" fontId="2" fillId="0" borderId="0" xfId="0" applyNumberFormat="1" applyFont="1"/>
    <xf numFmtId="181" fontId="2" fillId="0" borderId="0" xfId="0" applyNumberFormat="1" applyFont="1"/>
    <xf numFmtId="169" fontId="17" fillId="0" borderId="30" xfId="0" applyNumberFormat="1" applyFont="1" applyBorder="1"/>
    <xf numFmtId="0" fontId="17" fillId="0" borderId="31" xfId="0" applyFont="1" applyBorder="1"/>
    <xf numFmtId="169" fontId="17" fillId="0" borderId="0" xfId="0" applyNumberFormat="1" applyFont="1"/>
    <xf numFmtId="0" fontId="24" fillId="0" borderId="0" xfId="0" applyFont="1"/>
    <xf numFmtId="180" fontId="17" fillId="0" borderId="0" xfId="0" applyNumberFormat="1" applyFont="1"/>
    <xf numFmtId="0" fontId="17" fillId="0" borderId="24" xfId="0" applyFont="1" applyBorder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1" fontId="17" fillId="0" borderId="27" xfId="0" applyNumberFormat="1" applyFont="1" applyBorder="1"/>
    <xf numFmtId="1" fontId="17" fillId="0" borderId="29" xfId="0" applyNumberFormat="1" applyFont="1" applyBorder="1"/>
    <xf numFmtId="0" fontId="17" fillId="0" borderId="32" xfId="0" applyFont="1" applyBorder="1"/>
    <xf numFmtId="164" fontId="8" fillId="0" borderId="27" xfId="0" applyNumberFormat="1" applyFont="1" applyBorder="1" applyAlignment="1">
      <alignment horizontal="center" vertical="center" wrapText="1"/>
    </xf>
    <xf numFmtId="1" fontId="17" fillId="0" borderId="0" xfId="0" applyNumberFormat="1" applyFont="1"/>
    <xf numFmtId="177" fontId="17" fillId="0" borderId="29" xfId="0" applyNumberFormat="1" applyFont="1" applyBorder="1"/>
    <xf numFmtId="9" fontId="17" fillId="0" borderId="0" xfId="0" applyNumberFormat="1" applyFont="1"/>
    <xf numFmtId="0" fontId="17" fillId="7" borderId="7" xfId="0" applyFont="1" applyFill="1" applyBorder="1"/>
    <xf numFmtId="16" fontId="24" fillId="2" borderId="7" xfId="0" applyNumberFormat="1" applyFont="1" applyFill="1" applyBorder="1" applyAlignment="1">
      <alignment horizontal="center"/>
    </xf>
    <xf numFmtId="175" fontId="2" fillId="6" borderId="7" xfId="0" applyNumberFormat="1" applyFont="1" applyFill="1" applyBorder="1"/>
    <xf numFmtId="178" fontId="17" fillId="6" borderId="7" xfId="0" applyNumberFormat="1" applyFont="1" applyFill="1" applyBorder="1"/>
    <xf numFmtId="0" fontId="27" fillId="0" borderId="0" xfId="0" applyFont="1"/>
    <xf numFmtId="0" fontId="6" fillId="0" borderId="1" xfId="0" applyFont="1" applyBorder="1"/>
    <xf numFmtId="167" fontId="7" fillId="0" borderId="1" xfId="0" applyNumberFormat="1" applyFont="1" applyBorder="1" applyAlignment="1">
      <alignment horizontal="right" vertical="top"/>
    </xf>
    <xf numFmtId="3" fontId="1" fillId="0" borderId="33" xfId="0" applyNumberFormat="1" applyFont="1" applyBorder="1"/>
    <xf numFmtId="3" fontId="1" fillId="9" borderId="7" xfId="0" applyNumberFormat="1" applyFont="1" applyFill="1" applyBorder="1"/>
    <xf numFmtId="17" fontId="6" fillId="0" borderId="0" xfId="0" applyNumberFormat="1" applyFont="1"/>
    <xf numFmtId="17" fontId="6" fillId="0" borderId="1" xfId="0" applyNumberFormat="1" applyFont="1" applyBorder="1"/>
    <xf numFmtId="169" fontId="2" fillId="6" borderId="7" xfId="0" applyNumberFormat="1" applyFont="1" applyFill="1" applyBorder="1"/>
    <xf numFmtId="2" fontId="2" fillId="0" borderId="0" xfId="0" applyNumberFormat="1" applyFont="1"/>
    <xf numFmtId="0" fontId="28" fillId="0" borderId="0" xfId="0" applyFont="1"/>
    <xf numFmtId="169" fontId="20" fillId="0" borderId="0" xfId="0" applyNumberFormat="1" applyFont="1"/>
    <xf numFmtId="0" fontId="2" fillId="10" borderId="7" xfId="0" applyFont="1" applyFill="1" applyBorder="1"/>
    <xf numFmtId="0" fontId="29" fillId="0" borderId="0" xfId="0" applyFont="1" applyAlignment="1">
      <alignment horizontal="center"/>
    </xf>
    <xf numFmtId="0" fontId="2" fillId="0" borderId="24" xfId="0" applyFont="1" applyBorder="1"/>
    <xf numFmtId="0" fontId="1" fillId="0" borderId="25" xfId="0" applyFont="1" applyBorder="1" applyAlignment="1">
      <alignment horizontal="left"/>
    </xf>
    <xf numFmtId="0" fontId="2" fillId="0" borderId="27" xfId="0" applyFont="1" applyBorder="1"/>
    <xf numFmtId="0" fontId="2" fillId="0" borderId="29" xfId="0" applyFont="1" applyBorder="1"/>
    <xf numFmtId="0" fontId="2" fillId="0" borderId="21" xfId="0" applyFont="1" applyBorder="1"/>
    <xf numFmtId="4" fontId="1" fillId="0" borderId="21" xfId="0" applyNumberFormat="1" applyFont="1" applyBorder="1" applyAlignment="1">
      <alignment horizontal="left"/>
    </xf>
    <xf numFmtId="0" fontId="2" fillId="0" borderId="32" xfId="0" applyFont="1" applyBorder="1"/>
    <xf numFmtId="175" fontId="17" fillId="0" borderId="0" xfId="0" applyNumberFormat="1" applyFont="1"/>
    <xf numFmtId="182" fontId="2" fillId="0" borderId="0" xfId="0" applyNumberFormat="1" applyFont="1"/>
    <xf numFmtId="0" fontId="2" fillId="10" borderId="19" xfId="0" applyFont="1" applyFill="1" applyBorder="1"/>
    <xf numFmtId="14" fontId="31" fillId="0" borderId="19" xfId="1" applyNumberFormat="1" applyFont="1" applyAlignment="1">
      <alignment horizontal="left"/>
    </xf>
    <xf numFmtId="0" fontId="32" fillId="0" borderId="19" xfId="1" applyFont="1"/>
    <xf numFmtId="0" fontId="31" fillId="0" borderId="19" xfId="1" applyFont="1"/>
    <xf numFmtId="0" fontId="33" fillId="0" borderId="19" xfId="1" applyFont="1"/>
    <xf numFmtId="0" fontId="32" fillId="0" borderId="19" xfId="1" applyFont="1" applyAlignment="1">
      <alignment horizontal="center"/>
    </xf>
    <xf numFmtId="0" fontId="31" fillId="12" borderId="12" xfId="1" applyFont="1" applyFill="1" applyBorder="1" applyAlignment="1">
      <alignment horizontal="center"/>
    </xf>
    <xf numFmtId="14" fontId="31" fillId="12" borderId="12" xfId="1" applyNumberFormat="1" applyFont="1" applyFill="1" applyBorder="1" applyAlignment="1">
      <alignment horizontal="center"/>
    </xf>
    <xf numFmtId="0" fontId="31" fillId="0" borderId="19" xfId="1" applyFont="1" applyAlignment="1">
      <alignment horizontal="center"/>
    </xf>
    <xf numFmtId="0" fontId="31" fillId="0" borderId="24" xfId="1" applyFont="1" applyBorder="1"/>
    <xf numFmtId="0" fontId="31" fillId="0" borderId="25" xfId="1" applyFont="1" applyBorder="1"/>
    <xf numFmtId="0" fontId="32" fillId="0" borderId="26" xfId="1" applyFont="1" applyBorder="1"/>
    <xf numFmtId="0" fontId="31" fillId="0" borderId="34" xfId="1" applyFont="1" applyBorder="1"/>
    <xf numFmtId="0" fontId="32" fillId="0" borderId="35" xfId="1" applyFont="1" applyBorder="1"/>
    <xf numFmtId="0" fontId="31" fillId="13" borderId="23" xfId="1" applyFont="1" applyFill="1" applyBorder="1"/>
    <xf numFmtId="0" fontId="32" fillId="13" borderId="23" xfId="1" applyFont="1" applyFill="1" applyBorder="1"/>
    <xf numFmtId="0" fontId="32" fillId="0" borderId="27" xfId="1" applyFont="1" applyBorder="1"/>
    <xf numFmtId="0" fontId="32" fillId="0" borderId="28" xfId="1" applyFont="1" applyBorder="1"/>
    <xf numFmtId="0" fontId="32" fillId="0" borderId="36" xfId="1" applyFont="1" applyBorder="1"/>
    <xf numFmtId="0" fontId="32" fillId="0" borderId="37" xfId="1" applyFont="1" applyBorder="1"/>
    <xf numFmtId="169" fontId="32" fillId="0" borderId="19" xfId="2" applyNumberFormat="1" applyFont="1" applyBorder="1"/>
    <xf numFmtId="3" fontId="32" fillId="0" borderId="19" xfId="1" applyNumberFormat="1" applyFont="1"/>
    <xf numFmtId="0" fontId="31" fillId="0" borderId="27" xfId="1" applyFont="1" applyBorder="1"/>
    <xf numFmtId="0" fontId="31" fillId="0" borderId="29" xfId="1" applyFont="1" applyBorder="1"/>
    <xf numFmtId="0" fontId="31" fillId="0" borderId="21" xfId="1" applyFont="1" applyBorder="1"/>
    <xf numFmtId="3" fontId="32" fillId="0" borderId="32" xfId="1" applyNumberFormat="1" applyFont="1" applyBorder="1"/>
    <xf numFmtId="3" fontId="32" fillId="0" borderId="22" xfId="1" applyNumberFormat="1" applyFont="1" applyBorder="1"/>
    <xf numFmtId="0" fontId="32" fillId="0" borderId="19" xfId="1" applyFont="1" applyAlignment="1">
      <alignment vertical="top" wrapText="1"/>
    </xf>
    <xf numFmtId="3" fontId="32" fillId="0" borderId="15" xfId="1" applyNumberFormat="1" applyFont="1" applyBorder="1"/>
    <xf numFmtId="0" fontId="32" fillId="0" borderId="19" xfId="1" applyFont="1" applyAlignment="1">
      <alignment wrapText="1"/>
    </xf>
    <xf numFmtId="174" fontId="1" fillId="7" borderId="19" xfId="0" applyNumberFormat="1" applyFont="1" applyFill="1" applyBorder="1"/>
    <xf numFmtId="169" fontId="32" fillId="0" borderId="19" xfId="2" applyNumberFormat="1" applyFont="1" applyFill="1" applyBorder="1"/>
    <xf numFmtId="169" fontId="1" fillId="0" borderId="19" xfId="0" applyNumberFormat="1" applyFont="1" applyBorder="1"/>
    <xf numFmtId="174" fontId="1" fillId="0" borderId="19" xfId="0" applyNumberFormat="1" applyFont="1" applyBorder="1"/>
    <xf numFmtId="0" fontId="0" fillId="0" borderId="19" xfId="0" applyBorder="1"/>
    <xf numFmtId="169" fontId="32" fillId="0" borderId="37" xfId="2" applyNumberFormat="1" applyFont="1" applyFill="1" applyBorder="1"/>
    <xf numFmtId="0" fontId="35" fillId="0" borderId="19" xfId="1" applyFont="1" applyAlignment="1">
      <alignment horizontal="left"/>
    </xf>
    <xf numFmtId="0" fontId="32" fillId="0" borderId="19" xfId="1" applyFont="1" applyAlignment="1">
      <alignment horizontal="left" vertical="center"/>
    </xf>
    <xf numFmtId="0" fontId="32" fillId="0" borderId="19" xfId="1" applyFont="1" applyAlignment="1">
      <alignment vertical="center"/>
    </xf>
    <xf numFmtId="0" fontId="35" fillId="0" borderId="19" xfId="1" applyFont="1"/>
    <xf numFmtId="0" fontId="35" fillId="0" borderId="19" xfId="1" applyFont="1" applyAlignment="1">
      <alignment readingOrder="2"/>
    </xf>
    <xf numFmtId="0" fontId="32" fillId="0" borderId="19" xfId="1" applyFont="1" applyAlignment="1">
      <alignment readingOrder="2"/>
    </xf>
    <xf numFmtId="3" fontId="32" fillId="0" borderId="28" xfId="1" applyNumberFormat="1" applyFont="1" applyBorder="1"/>
    <xf numFmtId="3" fontId="32" fillId="0" borderId="38" xfId="1" applyNumberFormat="1" applyFont="1" applyBorder="1"/>
    <xf numFmtId="14" fontId="2" fillId="0" borderId="0" xfId="0" applyNumberFormat="1" applyFont="1" applyAlignment="1">
      <alignment horizontal="left"/>
    </xf>
    <xf numFmtId="0" fontId="31" fillId="0" borderId="36" xfId="1" applyFont="1" applyBorder="1"/>
    <xf numFmtId="0" fontId="31" fillId="0" borderId="39" xfId="1" applyFont="1" applyBorder="1"/>
    <xf numFmtId="10" fontId="17" fillId="0" borderId="0" xfId="5" applyNumberFormat="1" applyFont="1"/>
    <xf numFmtId="183" fontId="17" fillId="0" borderId="0" xfId="5" applyNumberFormat="1" applyFont="1"/>
    <xf numFmtId="164" fontId="17" fillId="0" borderId="0" xfId="4" applyFont="1"/>
    <xf numFmtId="0" fontId="39" fillId="0" borderId="19" xfId="1" applyFont="1"/>
    <xf numFmtId="169" fontId="35" fillId="0" borderId="19" xfId="2" applyNumberFormat="1" applyFont="1" applyBorder="1"/>
    <xf numFmtId="0" fontId="39" fillId="0" borderId="19" xfId="1" applyFont="1" applyAlignment="1">
      <alignment horizontal="center"/>
    </xf>
    <xf numFmtId="169" fontId="32" fillId="0" borderId="19" xfId="1" applyNumberFormat="1" applyFont="1"/>
    <xf numFmtId="169" fontId="32" fillId="13" borderId="23" xfId="2" applyNumberFormat="1" applyFont="1" applyFill="1" applyBorder="1"/>
    <xf numFmtId="169" fontId="35" fillId="0" borderId="19" xfId="2" applyNumberFormat="1" applyFont="1" applyFill="1" applyBorder="1"/>
    <xf numFmtId="169" fontId="32" fillId="0" borderId="22" xfId="2" applyNumberFormat="1" applyFont="1" applyBorder="1"/>
    <xf numFmtId="169" fontId="35" fillId="0" borderId="19" xfId="1" applyNumberFormat="1" applyFont="1"/>
    <xf numFmtId="3" fontId="35" fillId="0" borderId="19" xfId="1" applyNumberFormat="1" applyFont="1"/>
    <xf numFmtId="0" fontId="30" fillId="0" borderId="19" xfId="3"/>
    <xf numFmtId="0" fontId="35" fillId="0" borderId="19" xfId="3" applyFont="1"/>
    <xf numFmtId="0" fontId="31" fillId="0" borderId="41" xfId="1" applyFont="1" applyBorder="1"/>
    <xf numFmtId="3" fontId="32" fillId="0" borderId="37" xfId="1" applyNumberFormat="1" applyFont="1" applyBorder="1"/>
    <xf numFmtId="3" fontId="32" fillId="0" borderId="44" xfId="1" applyNumberFormat="1" applyFont="1" applyBorder="1"/>
    <xf numFmtId="0" fontId="31" fillId="0" borderId="42" xfId="1" applyFont="1" applyBorder="1"/>
    <xf numFmtId="3" fontId="32" fillId="0" borderId="40" xfId="1" applyNumberFormat="1" applyFont="1" applyBorder="1"/>
    <xf numFmtId="0" fontId="37" fillId="0" borderId="19" xfId="3" applyFont="1"/>
    <xf numFmtId="0" fontId="36" fillId="0" borderId="19" xfId="1" applyFont="1"/>
    <xf numFmtId="169" fontId="32" fillId="0" borderId="40" xfId="2" applyNumberFormat="1" applyFont="1" applyFill="1" applyBorder="1"/>
    <xf numFmtId="0" fontId="37" fillId="0" borderId="43" xfId="3" applyFont="1" applyBorder="1" applyAlignment="1">
      <alignment horizontal="center"/>
    </xf>
    <xf numFmtId="169" fontId="0" fillId="0" borderId="19" xfId="2" applyNumberFormat="1" applyFont="1" applyAlignment="1"/>
    <xf numFmtId="169" fontId="0" fillId="0" borderId="43" xfId="2" applyNumberFormat="1" applyFont="1" applyBorder="1" applyAlignment="1"/>
    <xf numFmtId="0" fontId="32" fillId="0" borderId="23" xfId="1" applyFont="1" applyBorder="1"/>
    <xf numFmtId="0" fontId="2" fillId="0" borderId="41" xfId="0" applyFont="1" applyBorder="1"/>
    <xf numFmtId="0" fontId="2" fillId="0" borderId="19" xfId="0" applyFont="1" applyBorder="1"/>
    <xf numFmtId="0" fontId="14" fillId="0" borderId="19" xfId="0" applyFont="1" applyBorder="1" applyAlignment="1">
      <alignment horizontal="right"/>
    </xf>
    <xf numFmtId="175" fontId="2" fillId="0" borderId="19" xfId="0" applyNumberFormat="1" applyFont="1" applyBorder="1"/>
    <xf numFmtId="0" fontId="2" fillId="0" borderId="37" xfId="0" applyFont="1" applyBorder="1"/>
    <xf numFmtId="0" fontId="2" fillId="0" borderId="42" xfId="0" applyFont="1" applyBorder="1"/>
    <xf numFmtId="14" fontId="3" fillId="3" borderId="19" xfId="0" applyNumberFormat="1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184" fontId="30" fillId="0" borderId="48" xfId="7" applyNumberFormat="1" applyFont="1" applyBorder="1"/>
    <xf numFmtId="184" fontId="30" fillId="0" borderId="49" xfId="7" applyNumberFormat="1" applyFont="1" applyBorder="1" applyAlignment="1">
      <alignment horizontal="center"/>
    </xf>
    <xf numFmtId="184" fontId="30" fillId="0" borderId="19" xfId="7" applyNumberFormat="1" applyFont="1" applyBorder="1"/>
    <xf numFmtId="185" fontId="43" fillId="0" borderId="19" xfId="6" applyNumberFormat="1" applyFont="1"/>
    <xf numFmtId="0" fontId="30" fillId="0" borderId="19" xfId="6" applyFont="1"/>
    <xf numFmtId="14" fontId="45" fillId="0" borderId="19" xfId="1" applyNumberFormat="1" applyFont="1" applyAlignment="1">
      <alignment horizontal="left"/>
    </xf>
    <xf numFmtId="0" fontId="43" fillId="0" borderId="19" xfId="6" applyFont="1"/>
    <xf numFmtId="0" fontId="45" fillId="0" borderId="19" xfId="1" applyFont="1"/>
    <xf numFmtId="0" fontId="45" fillId="12" borderId="12" xfId="1" applyFont="1" applyFill="1" applyBorder="1" applyAlignment="1">
      <alignment horizontal="center"/>
    </xf>
    <xf numFmtId="14" fontId="45" fillId="12" borderId="12" xfId="1" applyNumberFormat="1" applyFont="1" applyFill="1" applyBorder="1" applyAlignment="1">
      <alignment horizontal="center"/>
    </xf>
    <xf numFmtId="0" fontId="43" fillId="0" borderId="19" xfId="6" applyFont="1" applyAlignment="1">
      <alignment horizontal="center"/>
    </xf>
    <xf numFmtId="0" fontId="45" fillId="0" borderId="45" xfId="6" applyFont="1" applyBorder="1"/>
    <xf numFmtId="184" fontId="45" fillId="0" borderId="46" xfId="7" applyNumberFormat="1" applyFont="1" applyBorder="1"/>
    <xf numFmtId="184" fontId="45" fillId="0" borderId="47" xfId="7" applyNumberFormat="1" applyFont="1" applyBorder="1" applyAlignment="1">
      <alignment horizontal="center"/>
    </xf>
    <xf numFmtId="184" fontId="45" fillId="0" borderId="45" xfId="7" applyNumberFormat="1" applyFont="1" applyBorder="1"/>
    <xf numFmtId="0" fontId="45" fillId="0" borderId="45" xfId="6" applyFont="1" applyBorder="1" applyAlignment="1">
      <alignment horizontal="center"/>
    </xf>
    <xf numFmtId="185" fontId="45" fillId="0" borderId="45" xfId="6" applyNumberFormat="1" applyFont="1" applyBorder="1"/>
    <xf numFmtId="0" fontId="45" fillId="0" borderId="43" xfId="6" applyFont="1" applyBorder="1"/>
    <xf numFmtId="184" fontId="45" fillId="0" borderId="50" xfId="7" applyNumberFormat="1" applyFont="1" applyBorder="1"/>
    <xf numFmtId="184" fontId="45" fillId="0" borderId="51" xfId="7" applyNumberFormat="1" applyFont="1" applyBorder="1" applyAlignment="1">
      <alignment horizontal="center"/>
    </xf>
    <xf numFmtId="184" fontId="45" fillId="0" borderId="43" xfId="7" applyNumberFormat="1" applyFont="1" applyBorder="1"/>
    <xf numFmtId="184" fontId="45" fillId="0" borderId="43" xfId="7" applyNumberFormat="1" applyFont="1" applyBorder="1" applyAlignment="1">
      <alignment horizontal="center"/>
    </xf>
    <xf numFmtId="185" fontId="45" fillId="0" borderId="43" xfId="6" applyNumberFormat="1" applyFont="1" applyBorder="1"/>
    <xf numFmtId="0" fontId="43" fillId="0" borderId="49" xfId="6" applyFont="1" applyBorder="1"/>
    <xf numFmtId="0" fontId="43" fillId="0" borderId="19" xfId="6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7" fillId="0" borderId="43" xfId="0" applyFont="1" applyBorder="1" applyAlignment="1">
      <alignment horizontal="center"/>
    </xf>
    <xf numFmtId="14" fontId="37" fillId="0" borderId="43" xfId="0" applyNumberFormat="1" applyFont="1" applyBorder="1" applyAlignment="1">
      <alignment horizontal="center"/>
    </xf>
    <xf numFmtId="169" fontId="0" fillId="0" borderId="43" xfId="4" applyNumberFormat="1" applyFont="1" applyBorder="1" applyAlignment="1"/>
    <xf numFmtId="169" fontId="0" fillId="0" borderId="0" xfId="4" applyNumberFormat="1" applyFont="1" applyAlignment="1"/>
    <xf numFmtId="169" fontId="0" fillId="0" borderId="52" xfId="4" applyNumberFormat="1" applyFont="1" applyBorder="1" applyAlignment="1"/>
    <xf numFmtId="0" fontId="44" fillId="0" borderId="0" xfId="0" applyFont="1" applyAlignment="1">
      <alignment horizontal="center"/>
    </xf>
    <xf numFmtId="0" fontId="44" fillId="0" borderId="0" xfId="0" applyFont="1"/>
    <xf numFmtId="169" fontId="46" fillId="0" borderId="0" xfId="4" applyNumberFormat="1" applyFont="1"/>
    <xf numFmtId="169" fontId="1" fillId="0" borderId="0" xfId="4" applyNumberFormat="1" applyFont="1"/>
    <xf numFmtId="164" fontId="46" fillId="0" borderId="0" xfId="4" applyFont="1"/>
    <xf numFmtId="0" fontId="1" fillId="0" borderId="43" xfId="0" applyFont="1" applyBorder="1" applyAlignment="1">
      <alignment horizontal="center"/>
    </xf>
    <xf numFmtId="0" fontId="1" fillId="0" borderId="43" xfId="0" applyFont="1" applyBorder="1"/>
    <xf numFmtId="0" fontId="44" fillId="0" borderId="43" xfId="0" applyFont="1" applyBorder="1" applyAlignment="1">
      <alignment horizontal="center"/>
    </xf>
    <xf numFmtId="0" fontId="44" fillId="0" borderId="43" xfId="0" applyFont="1" applyBorder="1"/>
    <xf numFmtId="169" fontId="46" fillId="0" borderId="43" xfId="4" applyNumberFormat="1" applyFont="1" applyBorder="1"/>
    <xf numFmtId="0" fontId="0" fillId="0" borderId="43" xfId="0" applyBorder="1"/>
    <xf numFmtId="169" fontId="1" fillId="0" borderId="43" xfId="4" applyNumberFormat="1" applyFont="1" applyBorder="1"/>
    <xf numFmtId="0" fontId="40" fillId="18" borderId="53" xfId="0" applyFont="1" applyFill="1" applyBorder="1" applyAlignment="1">
      <alignment horizontal="center"/>
    </xf>
    <xf numFmtId="0" fontId="6" fillId="18" borderId="54" xfId="0" applyFont="1" applyFill="1" applyBorder="1" applyAlignment="1">
      <alignment horizontal="center"/>
    </xf>
    <xf numFmtId="0" fontId="44" fillId="18" borderId="54" xfId="0" applyFont="1" applyFill="1" applyBorder="1"/>
    <xf numFmtId="14" fontId="42" fillId="18" borderId="54" xfId="0" applyNumberFormat="1" applyFont="1" applyFill="1" applyBorder="1" applyAlignment="1">
      <alignment horizontal="center"/>
    </xf>
    <xf numFmtId="0" fontId="44" fillId="18" borderId="54" xfId="0" applyFont="1" applyFill="1" applyBorder="1" applyAlignment="1">
      <alignment horizontal="center"/>
    </xf>
    <xf numFmtId="0" fontId="37" fillId="0" borderId="0" xfId="0" applyFont="1"/>
    <xf numFmtId="169" fontId="1" fillId="0" borderId="0" xfId="4" applyNumberFormat="1" applyFont="1" applyAlignment="1">
      <alignment horizontal="center" vertical="center" wrapText="1"/>
    </xf>
    <xf numFmtId="169" fontId="0" fillId="0" borderId="55" xfId="4" applyNumberFormat="1" applyFont="1" applyBorder="1" applyAlignment="1"/>
    <xf numFmtId="169" fontId="0" fillId="0" borderId="19" xfId="4" applyNumberFormat="1" applyFont="1" applyFill="1" applyBorder="1" applyAlignment="1"/>
    <xf numFmtId="169" fontId="0" fillId="0" borderId="0" xfId="0" applyNumberFormat="1"/>
    <xf numFmtId="169" fontId="0" fillId="0" borderId="43" xfId="4" applyNumberFormat="1" applyFont="1" applyFill="1" applyBorder="1" applyAlignment="1"/>
    <xf numFmtId="0" fontId="47" fillId="0" borderId="0" xfId="0" applyFont="1" applyAlignment="1">
      <alignment horizontal="center"/>
    </xf>
    <xf numFmtId="169" fontId="0" fillId="0" borderId="19" xfId="4" applyNumberFormat="1" applyFont="1" applyBorder="1" applyAlignment="1"/>
    <xf numFmtId="0" fontId="2" fillId="0" borderId="0" xfId="0" applyFont="1" applyAlignment="1">
      <alignment horizontal="left" vertical="center"/>
    </xf>
    <xf numFmtId="169" fontId="1" fillId="0" borderId="41" xfId="0" applyNumberFormat="1" applyFont="1" applyBorder="1"/>
    <xf numFmtId="169" fontId="2" fillId="0" borderId="41" xfId="0" applyNumberFormat="1" applyFont="1" applyBorder="1"/>
    <xf numFmtId="0" fontId="0" fillId="0" borderId="42" xfId="0" applyBorder="1"/>
    <xf numFmtId="0" fontId="0" fillId="0" borderId="41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40" xfId="0" applyBorder="1"/>
    <xf numFmtId="169" fontId="32" fillId="0" borderId="19" xfId="4" applyNumberFormat="1" applyFont="1" applyBorder="1"/>
    <xf numFmtId="0" fontId="0" fillId="0" borderId="34" xfId="0" applyBorder="1"/>
    <xf numFmtId="0" fontId="30" fillId="0" borderId="35" xfId="0" applyFont="1" applyBorder="1"/>
    <xf numFmtId="185" fontId="0" fillId="0" borderId="19" xfId="4" applyNumberFormat="1" applyFont="1" applyFill="1" applyBorder="1" applyAlignment="1"/>
    <xf numFmtId="16" fontId="2" fillId="0" borderId="19" xfId="0" applyNumberFormat="1" applyFont="1" applyBorder="1"/>
    <xf numFmtId="164" fontId="2" fillId="0" borderId="0" xfId="0" applyNumberFormat="1" applyFont="1"/>
    <xf numFmtId="169" fontId="37" fillId="0" borderId="0" xfId="0" applyNumberFormat="1" applyFont="1"/>
    <xf numFmtId="169" fontId="37" fillId="0" borderId="52" xfId="0" applyNumberFormat="1" applyFont="1" applyBorder="1"/>
    <xf numFmtId="169" fontId="37" fillId="0" borderId="45" xfId="0" applyNumberFormat="1" applyFont="1" applyBorder="1"/>
    <xf numFmtId="169" fontId="37" fillId="0" borderId="45" xfId="4" applyNumberFormat="1" applyFont="1" applyBorder="1" applyAlignment="1"/>
    <xf numFmtId="169" fontId="0" fillId="0" borderId="59" xfId="0" applyNumberFormat="1" applyBorder="1"/>
    <xf numFmtId="0" fontId="0" fillId="21" borderId="0" xfId="0" applyFill="1"/>
    <xf numFmtId="0" fontId="1" fillId="5" borderId="14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169" fontId="6" fillId="16" borderId="7" xfId="0" applyNumberFormat="1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left" vertical="center"/>
    </xf>
    <xf numFmtId="169" fontId="1" fillId="0" borderId="19" xfId="0" applyNumberFormat="1" applyFont="1" applyBorder="1" applyAlignment="1">
      <alignment horizontal="center" vertical="center" wrapText="1"/>
    </xf>
    <xf numFmtId="9" fontId="1" fillId="0" borderId="19" xfId="0" applyNumberFormat="1" applyFont="1" applyBorder="1"/>
    <xf numFmtId="169" fontId="1" fillId="15" borderId="19" xfId="0" applyNumberFormat="1" applyFont="1" applyFill="1" applyBorder="1" applyAlignment="1">
      <alignment horizontal="center" vertical="center" wrapText="1"/>
    </xf>
    <xf numFmtId="169" fontId="6" fillId="0" borderId="19" xfId="0" applyNumberFormat="1" applyFont="1" applyBorder="1" applyAlignment="1">
      <alignment horizontal="left" vertical="center" wrapText="1"/>
    </xf>
    <xf numFmtId="0" fontId="2" fillId="0" borderId="19" xfId="8"/>
    <xf numFmtId="0" fontId="8" fillId="0" borderId="19" xfId="8" applyFont="1"/>
    <xf numFmtId="0" fontId="7" fillId="0" borderId="19" xfId="8" applyFont="1"/>
    <xf numFmtId="0" fontId="49" fillId="0" borderId="19" xfId="8" applyFont="1"/>
    <xf numFmtId="0" fontId="2" fillId="0" borderId="19" xfId="1"/>
    <xf numFmtId="169" fontId="2" fillId="0" borderId="19" xfId="9" applyNumberFormat="1" applyBorder="1"/>
    <xf numFmtId="0" fontId="50" fillId="23" borderId="19" xfId="8" applyFont="1" applyFill="1"/>
    <xf numFmtId="0" fontId="51" fillId="0" borderId="19" xfId="8" applyFont="1"/>
    <xf numFmtId="0" fontId="13" fillId="0" borderId="19" xfId="8" applyFont="1"/>
    <xf numFmtId="169" fontId="13" fillId="0" borderId="19" xfId="9" applyNumberFormat="1" applyFont="1" applyBorder="1"/>
    <xf numFmtId="169" fontId="13" fillId="0" borderId="19" xfId="9" applyNumberFormat="1" applyFont="1" applyFill="1" applyBorder="1"/>
    <xf numFmtId="169" fontId="51" fillId="0" borderId="60" xfId="9" applyNumberFormat="1" applyFont="1" applyBorder="1"/>
    <xf numFmtId="9" fontId="13" fillId="0" borderId="19" xfId="5" applyFont="1" applyBorder="1"/>
    <xf numFmtId="169" fontId="2" fillId="0" borderId="19" xfId="9" applyNumberFormat="1" applyFill="1" applyBorder="1"/>
    <xf numFmtId="169" fontId="2" fillId="0" borderId="19" xfId="8" applyNumberFormat="1"/>
    <xf numFmtId="169" fontId="32" fillId="0" borderId="12" xfId="4" applyNumberFormat="1" applyFont="1" applyBorder="1"/>
    <xf numFmtId="169" fontId="32" fillId="0" borderId="19" xfId="4" applyNumberFormat="1" applyFont="1" applyFill="1" applyBorder="1"/>
    <xf numFmtId="169" fontId="32" fillId="13" borderId="23" xfId="4" applyNumberFormat="1" applyFont="1" applyFill="1" applyBorder="1"/>
    <xf numFmtId="169" fontId="2" fillId="0" borderId="0" xfId="4" applyNumberFormat="1" applyFont="1"/>
    <xf numFmtId="169" fontId="6" fillId="0" borderId="0" xfId="4" applyNumberFormat="1" applyFont="1"/>
    <xf numFmtId="169" fontId="3" fillId="0" borderId="0" xfId="4" applyNumberFormat="1" applyFont="1"/>
    <xf numFmtId="175" fontId="0" fillId="0" borderId="0" xfId="0" applyNumberFormat="1"/>
    <xf numFmtId="169" fontId="2" fillId="0" borderId="0" xfId="4" applyNumberFormat="1" applyFont="1" applyFill="1"/>
    <xf numFmtId="169" fontId="6" fillId="0" borderId="0" xfId="4" applyNumberFormat="1" applyFont="1" applyFill="1"/>
    <xf numFmtId="169" fontId="32" fillId="0" borderId="37" xfId="4" applyNumberFormat="1" applyFont="1" applyFill="1" applyBorder="1"/>
    <xf numFmtId="185" fontId="2" fillId="0" borderId="19" xfId="0" applyNumberFormat="1" applyFont="1" applyBorder="1"/>
    <xf numFmtId="169" fontId="32" fillId="14" borderId="37" xfId="2" applyNumberFormat="1" applyFont="1" applyFill="1" applyBorder="1"/>
    <xf numFmtId="169" fontId="35" fillId="0" borderId="37" xfId="4" applyNumberFormat="1" applyFont="1" applyBorder="1"/>
    <xf numFmtId="169" fontId="0" fillId="0" borderId="19" xfId="2" applyNumberFormat="1" applyFont="1" applyFill="1" applyAlignment="1"/>
    <xf numFmtId="169" fontId="0" fillId="0" borderId="0" xfId="4" applyNumberFormat="1" applyFont="1" applyFill="1" applyAlignment="1"/>
    <xf numFmtId="169" fontId="1" fillId="0" borderId="0" xfId="4" applyNumberFormat="1" applyFont="1" applyAlignment="1">
      <alignment horizontal="left" vertical="center" wrapText="1"/>
    </xf>
    <xf numFmtId="169" fontId="6" fillId="0" borderId="0" xfId="4" applyNumberFormat="1" applyFont="1" applyAlignment="1">
      <alignment horizontal="left" vertical="center" wrapText="1"/>
    </xf>
    <xf numFmtId="169" fontId="20" fillId="0" borderId="0" xfId="4" applyNumberFormat="1" applyFont="1"/>
    <xf numFmtId="164" fontId="43" fillId="0" borderId="19" xfId="6" applyNumberFormat="1" applyFont="1"/>
    <xf numFmtId="184" fontId="43" fillId="0" borderId="19" xfId="6" applyNumberFormat="1" applyFont="1"/>
    <xf numFmtId="169" fontId="43" fillId="0" borderId="19" xfId="4" applyNumberFormat="1" applyFont="1" applyBorder="1"/>
    <xf numFmtId="169" fontId="45" fillId="0" borderId="45" xfId="4" applyNumberFormat="1" applyFont="1" applyBorder="1" applyAlignment="1">
      <alignment horizontal="center"/>
    </xf>
    <xf numFmtId="169" fontId="0" fillId="0" borderId="19" xfId="4" applyNumberFormat="1" applyFont="1" applyBorder="1"/>
    <xf numFmtId="0" fontId="31" fillId="24" borderId="36" xfId="1" applyFont="1" applyFill="1" applyBorder="1"/>
    <xf numFmtId="169" fontId="32" fillId="0" borderId="37" xfId="4" applyNumberFormat="1" applyFont="1" applyBorder="1"/>
    <xf numFmtId="169" fontId="32" fillId="0" borderId="37" xfId="1" applyNumberFormat="1" applyFont="1" applyBorder="1"/>
    <xf numFmtId="169" fontId="32" fillId="0" borderId="40" xfId="1" applyNumberFormat="1" applyFont="1" applyBorder="1"/>
    <xf numFmtId="0" fontId="32" fillId="25" borderId="34" xfId="1" applyFont="1" applyFill="1" applyBorder="1"/>
    <xf numFmtId="3" fontId="32" fillId="25" borderId="41" xfId="1" applyNumberFormat="1" applyFont="1" applyFill="1" applyBorder="1"/>
    <xf numFmtId="169" fontId="32" fillId="25" borderId="35" xfId="2" applyNumberFormat="1" applyFont="1" applyFill="1" applyBorder="1"/>
    <xf numFmtId="0" fontId="32" fillId="25" borderId="39" xfId="1" applyFont="1" applyFill="1" applyBorder="1"/>
    <xf numFmtId="3" fontId="32" fillId="25" borderId="42" xfId="1" applyNumberFormat="1" applyFont="1" applyFill="1" applyBorder="1"/>
    <xf numFmtId="169" fontId="32" fillId="25" borderId="40" xfId="2" applyNumberFormat="1" applyFont="1" applyFill="1" applyBorder="1"/>
    <xf numFmtId="0" fontId="32" fillId="25" borderId="36" xfId="1" applyFont="1" applyFill="1" applyBorder="1"/>
    <xf numFmtId="3" fontId="32" fillId="25" borderId="19" xfId="1" applyNumberFormat="1" applyFont="1" applyFill="1"/>
    <xf numFmtId="169" fontId="32" fillId="25" borderId="37" xfId="2" applyNumberFormat="1" applyFont="1" applyFill="1" applyBorder="1"/>
    <xf numFmtId="169" fontId="32" fillId="14" borderId="19" xfId="2" applyNumberFormat="1" applyFont="1" applyFill="1" applyBorder="1"/>
    <xf numFmtId="169" fontId="43" fillId="0" borderId="19" xfId="6" applyNumberFormat="1" applyFont="1"/>
    <xf numFmtId="164" fontId="30" fillId="0" borderId="19" xfId="6" applyNumberFormat="1" applyFont="1"/>
    <xf numFmtId="164" fontId="30" fillId="0" borderId="19" xfId="6" applyNumberFormat="1" applyFont="1" applyAlignment="1">
      <alignment horizontal="right" readingOrder="2"/>
    </xf>
    <xf numFmtId="169" fontId="43" fillId="0" borderId="19" xfId="4" applyNumberFormat="1" applyFont="1" applyFill="1" applyBorder="1"/>
    <xf numFmtId="184" fontId="30" fillId="0" borderId="19" xfId="7" applyNumberFormat="1" applyFont="1" applyFill="1" applyBorder="1"/>
    <xf numFmtId="0" fontId="37" fillId="25" borderId="34" xfId="3" applyFont="1" applyFill="1" applyBorder="1" applyAlignment="1">
      <alignment horizontal="left"/>
    </xf>
    <xf numFmtId="0" fontId="30" fillId="25" borderId="41" xfId="3" applyFill="1" applyBorder="1"/>
    <xf numFmtId="169" fontId="37" fillId="25" borderId="35" xfId="4" applyNumberFormat="1" applyFont="1" applyFill="1" applyBorder="1"/>
    <xf numFmtId="0" fontId="37" fillId="25" borderId="36" xfId="3" applyFont="1" applyFill="1" applyBorder="1" applyAlignment="1">
      <alignment horizontal="left"/>
    </xf>
    <xf numFmtId="0" fontId="30" fillId="25" borderId="19" xfId="3" applyFill="1"/>
    <xf numFmtId="169" fontId="37" fillId="25" borderId="37" xfId="4" applyNumberFormat="1" applyFont="1" applyFill="1" applyBorder="1"/>
    <xf numFmtId="0" fontId="37" fillId="25" borderId="39" xfId="3" applyFont="1" applyFill="1" applyBorder="1" applyAlignment="1">
      <alignment horizontal="left"/>
    </xf>
    <xf numFmtId="0" fontId="30" fillId="25" borderId="42" xfId="3" applyFill="1" applyBorder="1"/>
    <xf numFmtId="169" fontId="37" fillId="25" borderId="40" xfId="4" applyNumberFormat="1" applyFont="1" applyFill="1" applyBorder="1"/>
    <xf numFmtId="169" fontId="52" fillId="0" borderId="55" xfId="2" applyNumberFormat="1" applyFont="1" applyBorder="1" applyAlignment="1"/>
    <xf numFmtId="169" fontId="52" fillId="0" borderId="19" xfId="2" applyNumberFormat="1" applyFont="1" applyAlignment="1"/>
    <xf numFmtId="169" fontId="52" fillId="0" borderId="19" xfId="2" applyNumberFormat="1" applyFont="1" applyBorder="1" applyAlignment="1"/>
    <xf numFmtId="169" fontId="52" fillId="0" borderId="43" xfId="2" applyNumberFormat="1" applyFont="1" applyBorder="1" applyAlignment="1"/>
    <xf numFmtId="174" fontId="1" fillId="8" borderId="19" xfId="0" applyNumberFormat="1" applyFont="1" applyFill="1" applyBorder="1"/>
    <xf numFmtId="9" fontId="2" fillId="0" borderId="0" xfId="5" applyFont="1"/>
    <xf numFmtId="9" fontId="35" fillId="0" borderId="19" xfId="5" applyFont="1" applyBorder="1"/>
    <xf numFmtId="165" fontId="17" fillId="0" borderId="30" xfId="10" applyFont="1" applyBorder="1"/>
    <xf numFmtId="0" fontId="54" fillId="0" borderId="19" xfId="11"/>
    <xf numFmtId="0" fontId="54" fillId="0" borderId="19" xfId="11" applyAlignment="1">
      <alignment horizontal="left"/>
    </xf>
    <xf numFmtId="1" fontId="2" fillId="0" borderId="19" xfId="1" applyNumberFormat="1"/>
    <xf numFmtId="0" fontId="1" fillId="0" borderId="19" xfId="1" applyFont="1" applyAlignment="1">
      <alignment horizontal="left" vertical="center"/>
    </xf>
    <xf numFmtId="0" fontId="48" fillId="0" borderId="19" xfId="11" applyFont="1"/>
    <xf numFmtId="0" fontId="11" fillId="0" borderId="19" xfId="11" applyFont="1"/>
    <xf numFmtId="0" fontId="2" fillId="0" borderId="19" xfId="1" applyAlignment="1">
      <alignment horizontal="left"/>
    </xf>
    <xf numFmtId="0" fontId="12" fillId="0" borderId="19" xfId="11" applyFont="1"/>
    <xf numFmtId="0" fontId="2" fillId="0" borderId="19" xfId="1" applyAlignment="1">
      <alignment readingOrder="2"/>
    </xf>
    <xf numFmtId="0" fontId="2" fillId="0" borderId="19" xfId="1" applyAlignment="1">
      <alignment horizontal="left" indent="5"/>
    </xf>
    <xf numFmtId="0" fontId="55" fillId="0" borderId="19" xfId="1" applyFont="1" applyAlignment="1">
      <alignment horizontal="left" vertical="center" wrapText="1" indent="2"/>
    </xf>
    <xf numFmtId="0" fontId="2" fillId="0" borderId="19" xfId="1" applyAlignment="1">
      <alignment horizontal="left" indent="6"/>
    </xf>
    <xf numFmtId="0" fontId="2" fillId="0" borderId="19" xfId="1" applyAlignment="1">
      <alignment horizontal="righ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73" fontId="14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73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0" fontId="56" fillId="0" borderId="19" xfId="8" applyFont="1" applyAlignment="1">
      <alignment horizontal="left" vertical="center" wrapText="1"/>
    </xf>
    <xf numFmtId="187" fontId="2" fillId="0" borderId="19" xfId="12" applyNumberFormat="1" applyFont="1" applyFill="1" applyBorder="1" applyAlignment="1"/>
    <xf numFmtId="0" fontId="2" fillId="0" borderId="19" xfId="1" applyAlignment="1">
      <alignment horizontal="center"/>
    </xf>
    <xf numFmtId="0" fontId="57" fillId="0" borderId="19" xfId="1" applyFont="1"/>
    <xf numFmtId="1" fontId="1" fillId="0" borderId="19" xfId="1" applyNumberFormat="1" applyFont="1"/>
    <xf numFmtId="0" fontId="1" fillId="0" borderId="19" xfId="1" applyFont="1"/>
    <xf numFmtId="164" fontId="1" fillId="0" borderId="19" xfId="9" applyFont="1"/>
    <xf numFmtId="4" fontId="11" fillId="0" borderId="19" xfId="1" applyNumberFormat="1" applyFont="1"/>
    <xf numFmtId="174" fontId="1" fillId="0" borderId="19" xfId="1" applyNumberFormat="1" applyFont="1"/>
    <xf numFmtId="174" fontId="1" fillId="0" borderId="14" xfId="1" applyNumberFormat="1" applyFont="1" applyBorder="1"/>
    <xf numFmtId="174" fontId="1" fillId="0" borderId="15" xfId="1" applyNumberFormat="1" applyFont="1" applyBorder="1"/>
    <xf numFmtId="174" fontId="57" fillId="0" borderId="19" xfId="1" applyNumberFormat="1" applyFont="1"/>
    <xf numFmtId="0" fontId="6" fillId="0" borderId="19" xfId="1" applyFont="1" applyAlignment="1">
      <alignment horizontal="left" vertical="center"/>
    </xf>
    <xf numFmtId="0" fontId="5" fillId="0" borderId="19" xfId="1" applyFont="1" applyAlignment="1">
      <alignment horizontal="left" vertical="center"/>
    </xf>
    <xf numFmtId="174" fontId="1" fillId="26" borderId="19" xfId="1" applyNumberFormat="1" applyFont="1" applyFill="1"/>
    <xf numFmtId="0" fontId="6" fillId="26" borderId="19" xfId="1" applyFont="1" applyFill="1" applyAlignment="1">
      <alignment horizontal="left" vertical="center"/>
    </xf>
    <xf numFmtId="0" fontId="1" fillId="0" borderId="19" xfId="1" applyFont="1" applyAlignment="1">
      <alignment horizontal="right" vertical="center" readingOrder="2"/>
    </xf>
    <xf numFmtId="43" fontId="6" fillId="0" borderId="19" xfId="1" applyNumberFormat="1" applyFont="1"/>
    <xf numFmtId="169" fontId="0" fillId="0" borderId="19" xfId="9" applyNumberFormat="1" applyFont="1" applyAlignment="1"/>
    <xf numFmtId="174" fontId="6" fillId="0" borderId="19" xfId="1" applyNumberFormat="1" applyFont="1"/>
    <xf numFmtId="1" fontId="1" fillId="0" borderId="19" xfId="1" applyNumberFormat="1" applyFont="1" applyAlignment="1">
      <alignment horizontal="center"/>
    </xf>
    <xf numFmtId="0" fontId="6" fillId="0" borderId="19" xfId="1" applyFont="1" applyAlignment="1">
      <alignment horizontal="center"/>
    </xf>
    <xf numFmtId="0" fontId="59" fillId="0" borderId="19" xfId="1" applyFont="1"/>
    <xf numFmtId="1" fontId="60" fillId="0" borderId="19" xfId="1" applyNumberFormat="1" applyFont="1"/>
    <xf numFmtId="0" fontId="61" fillId="0" borderId="19" xfId="1" applyFont="1"/>
    <xf numFmtId="169" fontId="1" fillId="0" borderId="19" xfId="9" applyNumberFormat="1" applyFont="1" applyFill="1"/>
    <xf numFmtId="0" fontId="62" fillId="0" borderId="19" xfId="1" applyFont="1" applyAlignment="1">
      <alignment horizontal="left" wrapText="1"/>
    </xf>
    <xf numFmtId="169" fontId="20" fillId="0" borderId="19" xfId="9" applyNumberFormat="1" applyFont="1" applyFill="1" applyAlignment="1"/>
    <xf numFmtId="169" fontId="6" fillId="0" borderId="19" xfId="9" applyNumberFormat="1" applyFont="1" applyFill="1"/>
    <xf numFmtId="184" fontId="64" fillId="0" borderId="19" xfId="1" applyNumberFormat="1" applyFont="1"/>
    <xf numFmtId="184" fontId="22" fillId="0" borderId="19" xfId="1" applyNumberFormat="1" applyFont="1"/>
    <xf numFmtId="174" fontId="60" fillId="0" borderId="19" xfId="1" applyNumberFormat="1" applyFont="1"/>
    <xf numFmtId="174" fontId="24" fillId="23" borderId="14" xfId="1" applyNumberFormat="1" applyFont="1" applyFill="1" applyBorder="1"/>
    <xf numFmtId="0" fontId="24" fillId="23" borderId="19" xfId="1" applyFont="1" applyFill="1" applyAlignment="1">
      <alignment horizontal="left" vertical="center" wrapText="1"/>
    </xf>
    <xf numFmtId="0" fontId="1" fillId="0" borderId="19" xfId="1" applyFont="1" applyAlignment="1">
      <alignment horizontal="left" vertical="center" wrapText="1"/>
    </xf>
    <xf numFmtId="0" fontId="8" fillId="0" borderId="19" xfId="1" applyFont="1"/>
    <xf numFmtId="0" fontId="2" fillId="0" borderId="19" xfId="1" applyAlignment="1">
      <alignment horizontal="left" indent="1"/>
    </xf>
    <xf numFmtId="184" fontId="2" fillId="0" borderId="19" xfId="1" applyNumberFormat="1"/>
    <xf numFmtId="174" fontId="65" fillId="0" borderId="19" xfId="1" applyNumberFormat="1" applyFont="1"/>
    <xf numFmtId="174" fontId="6" fillId="0" borderId="14" xfId="1" applyNumberFormat="1" applyFont="1" applyBorder="1"/>
    <xf numFmtId="0" fontId="6" fillId="0" borderId="19" xfId="1" applyFont="1" applyAlignment="1">
      <alignment horizontal="left" vertical="center" wrapText="1"/>
    </xf>
    <xf numFmtId="184" fontId="57" fillId="0" borderId="19" xfId="1" applyNumberFormat="1" applyFont="1"/>
    <xf numFmtId="0" fontId="2" fillId="0" borderId="19" xfId="1" applyAlignment="1">
      <alignment horizontal="right" indent="1"/>
    </xf>
    <xf numFmtId="174" fontId="6" fillId="0" borderId="42" xfId="1" applyNumberFormat="1" applyFont="1" applyBorder="1"/>
    <xf numFmtId="0" fontId="20" fillId="0" borderId="19" xfId="1" applyFont="1" applyAlignment="1">
      <alignment horizontal="left" indent="2"/>
    </xf>
    <xf numFmtId="0" fontId="20" fillId="0" borderId="19" xfId="1" applyFont="1"/>
    <xf numFmtId="0" fontId="1" fillId="0" borderId="19" xfId="1" applyFont="1" applyAlignment="1">
      <alignment horizontal="left" vertical="center" wrapText="1" indent="2"/>
    </xf>
    <xf numFmtId="0" fontId="6" fillId="0" borderId="19" xfId="1" applyFont="1" applyAlignment="1">
      <alignment horizontal="left" vertical="center" wrapText="1" indent="2"/>
    </xf>
    <xf numFmtId="0" fontId="2" fillId="18" borderId="19" xfId="1" applyFill="1"/>
    <xf numFmtId="174" fontId="1" fillId="0" borderId="59" xfId="1" applyNumberFormat="1" applyFont="1" applyBorder="1"/>
    <xf numFmtId="0" fontId="6" fillId="0" borderId="19" xfId="1" applyFont="1" applyAlignment="1">
      <alignment horizontal="left" vertical="center" wrapText="1" indent="5"/>
    </xf>
    <xf numFmtId="0" fontId="66" fillId="0" borderId="19" xfId="11" applyFont="1"/>
    <xf numFmtId="0" fontId="65" fillId="0" borderId="19" xfId="1" applyFont="1" applyAlignment="1">
      <alignment horizontal="center"/>
    </xf>
    <xf numFmtId="14" fontId="65" fillId="0" borderId="19" xfId="1" applyNumberFormat="1" applyFont="1" applyAlignment="1">
      <alignment horizontal="center"/>
    </xf>
    <xf numFmtId="0" fontId="6" fillId="23" borderId="19" xfId="1" applyFont="1" applyFill="1" applyAlignment="1">
      <alignment horizontal="left" vertical="center" wrapText="1"/>
    </xf>
    <xf numFmtId="174" fontId="6" fillId="23" borderId="14" xfId="1" applyNumberFormat="1" applyFont="1" applyFill="1" applyBorder="1"/>
    <xf numFmtId="0" fontId="67" fillId="0" borderId="19" xfId="1" applyFont="1" applyAlignment="1">
      <alignment readingOrder="2"/>
    </xf>
    <xf numFmtId="0" fontId="68" fillId="0" borderId="19" xfId="1" applyFont="1"/>
    <xf numFmtId="0" fontId="67" fillId="0" borderId="19" xfId="1" applyFont="1" applyAlignment="1">
      <alignment readingOrder="1"/>
    </xf>
    <xf numFmtId="1" fontId="68" fillId="0" borderId="19" xfId="1" applyNumberFormat="1" applyFont="1" applyAlignment="1">
      <alignment horizontal="center"/>
    </xf>
    <xf numFmtId="0" fontId="68" fillId="0" borderId="19" xfId="1" applyFont="1" applyAlignment="1">
      <alignment horizontal="center"/>
    </xf>
    <xf numFmtId="1" fontId="67" fillId="0" borderId="19" xfId="1" applyNumberFormat="1" applyFont="1" applyAlignment="1">
      <alignment horizontal="center" readingOrder="1"/>
    </xf>
    <xf numFmtId="0" fontId="69" fillId="0" borderId="49" xfId="1" applyFont="1" applyBorder="1" applyAlignment="1">
      <alignment horizontal="center" vertical="center"/>
    </xf>
    <xf numFmtId="164" fontId="1" fillId="0" borderId="0" xfId="4" applyFont="1"/>
    <xf numFmtId="169" fontId="3" fillId="3" borderId="7" xfId="4" applyNumberFormat="1" applyFont="1" applyFill="1" applyBorder="1" applyAlignment="1">
      <alignment horizontal="center"/>
    </xf>
    <xf numFmtId="169" fontId="3" fillId="0" borderId="0" xfId="4" applyNumberFormat="1" applyFont="1" applyAlignment="1">
      <alignment horizontal="center"/>
    </xf>
    <xf numFmtId="169" fontId="16" fillId="4" borderId="7" xfId="4" applyNumberFormat="1" applyFont="1" applyFill="1" applyBorder="1" applyAlignment="1">
      <alignment horizontal="center"/>
    </xf>
    <xf numFmtId="169" fontId="16" fillId="0" borderId="0" xfId="4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9" fontId="0" fillId="0" borderId="0" xfId="4" applyNumberFormat="1" applyFont="1"/>
    <xf numFmtId="169" fontId="2" fillId="0" borderId="19" xfId="4" applyNumberFormat="1" applyFont="1" applyBorder="1"/>
    <xf numFmtId="1" fontId="0" fillId="0" borderId="0" xfId="0" applyNumberFormat="1"/>
    <xf numFmtId="2" fontId="0" fillId="0" borderId="0" xfId="0" applyNumberFormat="1"/>
    <xf numFmtId="174" fontId="2" fillId="0" borderId="19" xfId="1" applyNumberFormat="1"/>
    <xf numFmtId="4" fontId="70" fillId="0" borderId="0" xfId="0" applyNumberFormat="1" applyFont="1"/>
    <xf numFmtId="169" fontId="1" fillId="0" borderId="61" xfId="9" applyNumberFormat="1" applyFont="1" applyFill="1" applyBorder="1" applyAlignment="1">
      <alignment horizontal="left" vertical="center"/>
    </xf>
    <xf numFmtId="169" fontId="1" fillId="0" borderId="62" xfId="9" applyNumberFormat="1" applyFont="1" applyFill="1" applyBorder="1" applyAlignment="1">
      <alignment horizontal="left" vertical="center"/>
    </xf>
    <xf numFmtId="169" fontId="23" fillId="0" borderId="62" xfId="9" applyNumberFormat="1" applyFont="1" applyFill="1" applyBorder="1" applyAlignment="1"/>
    <xf numFmtId="169" fontId="23" fillId="19" borderId="62" xfId="9" applyNumberFormat="1" applyFont="1" applyFill="1" applyBorder="1" applyAlignment="1"/>
    <xf numFmtId="169" fontId="23" fillId="0" borderId="63" xfId="9" applyNumberFormat="1" applyFont="1" applyFill="1" applyBorder="1" applyAlignment="1"/>
    <xf numFmtId="169" fontId="23" fillId="19" borderId="63" xfId="9" applyNumberFormat="1" applyFont="1" applyFill="1" applyBorder="1" applyAlignment="1"/>
    <xf numFmtId="177" fontId="2" fillId="0" borderId="34" xfId="0" applyNumberFormat="1" applyFont="1" applyBorder="1"/>
    <xf numFmtId="0" fontId="2" fillId="0" borderId="35" xfId="0" applyFont="1" applyBorder="1"/>
    <xf numFmtId="188" fontId="71" fillId="0" borderId="36" xfId="0" applyNumberFormat="1" applyFont="1" applyBorder="1" applyAlignment="1">
      <alignment horizontal="right" wrapText="1"/>
    </xf>
    <xf numFmtId="188" fontId="71" fillId="0" borderId="19" xfId="0" applyNumberFormat="1" applyFont="1" applyBorder="1" applyAlignment="1">
      <alignment horizontal="right" wrapText="1"/>
    </xf>
    <xf numFmtId="169" fontId="2" fillId="0" borderId="19" xfId="0" applyNumberFormat="1" applyFont="1" applyBorder="1"/>
    <xf numFmtId="188" fontId="71" fillId="0" borderId="39" xfId="0" applyNumberFormat="1" applyFont="1" applyBorder="1" applyAlignment="1">
      <alignment horizontal="right" wrapText="1"/>
    </xf>
    <xf numFmtId="188" fontId="71" fillId="0" borderId="42" xfId="0" applyNumberFormat="1" applyFont="1" applyBorder="1" applyAlignment="1">
      <alignment horizontal="right" wrapText="1"/>
    </xf>
    <xf numFmtId="0" fontId="2" fillId="0" borderId="41" xfId="1" applyBorder="1"/>
    <xf numFmtId="0" fontId="2" fillId="0" borderId="37" xfId="1" applyBorder="1"/>
    <xf numFmtId="0" fontId="2" fillId="27" borderId="40" xfId="0" applyFont="1" applyFill="1" applyBorder="1"/>
    <xf numFmtId="0" fontId="2" fillId="0" borderId="40" xfId="1" applyBorder="1"/>
    <xf numFmtId="0" fontId="6" fillId="0" borderId="15" xfId="1" applyFont="1" applyBorder="1" applyAlignment="1">
      <alignment horizontal="center"/>
    </xf>
    <xf numFmtId="0" fontId="58" fillId="0" borderId="19" xfId="8" applyFont="1" applyAlignment="1">
      <alignment horizontal="center"/>
    </xf>
    <xf numFmtId="0" fontId="57" fillId="0" borderId="19" xfId="1" applyFont="1" applyAlignment="1">
      <alignment horizontal="center"/>
    </xf>
    <xf numFmtId="0" fontId="2" fillId="0" borderId="19" xfId="1" applyAlignment="1">
      <alignment vertical="center"/>
    </xf>
    <xf numFmtId="0" fontId="6" fillId="26" borderId="15" xfId="1" applyFont="1" applyFill="1" applyBorder="1" applyAlignment="1">
      <alignment horizontal="center"/>
    </xf>
    <xf numFmtId="0" fontId="3" fillId="3" borderId="7" xfId="4" applyNumberFormat="1" applyFont="1" applyFill="1" applyBorder="1" applyAlignment="1">
      <alignment horizontal="center"/>
    </xf>
    <xf numFmtId="169" fontId="1" fillId="0" borderId="0" xfId="4" applyNumberFormat="1" applyFont="1" applyFill="1"/>
    <xf numFmtId="169" fontId="17" fillId="0" borderId="7" xfId="4" applyNumberFormat="1" applyFont="1" applyFill="1" applyBorder="1"/>
    <xf numFmtId="169" fontId="1" fillId="0" borderId="0" xfId="4" applyNumberFormat="1" applyFont="1" applyFill="1" applyAlignment="1">
      <alignment horizontal="center"/>
    </xf>
    <xf numFmtId="169" fontId="1" fillId="0" borderId="0" xfId="4" applyNumberFormat="1" applyFont="1" applyAlignment="1">
      <alignment horizontal="right"/>
    </xf>
    <xf numFmtId="169" fontId="2" fillId="0" borderId="0" xfId="4" applyNumberFormat="1" applyFont="1" applyAlignment="1">
      <alignment horizontal="right"/>
    </xf>
    <xf numFmtId="169" fontId="1" fillId="0" borderId="12" xfId="4" applyNumberFormat="1" applyFont="1" applyBorder="1" applyAlignment="1">
      <alignment horizontal="right"/>
    </xf>
    <xf numFmtId="169" fontId="1" fillId="0" borderId="12" xfId="4" applyNumberFormat="1" applyFont="1" applyBorder="1" applyAlignment="1">
      <alignment horizontal="right" vertical="center" wrapText="1"/>
    </xf>
    <xf numFmtId="169" fontId="1" fillId="0" borderId="0" xfId="4" applyNumberFormat="1" applyFont="1" applyAlignment="1">
      <alignment horizontal="right" vertical="center" wrapText="1"/>
    </xf>
    <xf numFmtId="169" fontId="1" fillId="0" borderId="1" xfId="4" applyNumberFormat="1" applyFont="1" applyBorder="1" applyAlignment="1">
      <alignment horizontal="right"/>
    </xf>
    <xf numFmtId="169" fontId="1" fillId="0" borderId="15" xfId="4" applyNumberFormat="1" applyFont="1" applyBorder="1" applyAlignment="1">
      <alignment horizontal="right"/>
    </xf>
    <xf numFmtId="169" fontId="1" fillId="5" borderId="7" xfId="4" applyNumberFormat="1" applyFont="1" applyFill="1" applyBorder="1" applyAlignment="1">
      <alignment horizontal="right"/>
    </xf>
    <xf numFmtId="169" fontId="1" fillId="5" borderId="19" xfId="4" applyNumberFormat="1" applyFont="1" applyFill="1" applyBorder="1" applyAlignment="1">
      <alignment horizontal="right"/>
    </xf>
    <xf numFmtId="169" fontId="1" fillId="0" borderId="1" xfId="4" applyNumberFormat="1" applyFont="1" applyBorder="1" applyAlignment="1">
      <alignment horizontal="right" vertical="center" wrapText="1"/>
    </xf>
    <xf numFmtId="169" fontId="1" fillId="0" borderId="0" xfId="4" applyNumberFormat="1" applyFont="1" applyFill="1" applyAlignment="1">
      <alignment horizontal="right"/>
    </xf>
    <xf numFmtId="169" fontId="1" fillId="5" borderId="7" xfId="4" applyNumberFormat="1" applyFont="1" applyFill="1" applyBorder="1" applyAlignment="1">
      <alignment horizontal="right" vertical="center" wrapText="1"/>
    </xf>
    <xf numFmtId="169" fontId="1" fillId="0" borderId="7" xfId="4" applyNumberFormat="1" applyFont="1" applyFill="1" applyBorder="1" applyAlignment="1">
      <alignment horizontal="right" vertical="center" wrapText="1"/>
    </xf>
    <xf numFmtId="169" fontId="1" fillId="5" borderId="19" xfId="4" applyNumberFormat="1" applyFont="1" applyFill="1" applyBorder="1" applyAlignment="1">
      <alignment horizontal="right" vertical="center" wrapText="1"/>
    </xf>
    <xf numFmtId="169" fontId="1" fillId="0" borderId="15" xfId="4" applyNumberFormat="1" applyFont="1" applyBorder="1" applyAlignment="1">
      <alignment horizontal="right" vertical="center" wrapText="1"/>
    </xf>
    <xf numFmtId="169" fontId="1" fillId="0" borderId="13" xfId="4" applyNumberFormat="1" applyFont="1" applyBorder="1" applyAlignment="1">
      <alignment horizontal="right" vertical="center" wrapText="1"/>
    </xf>
    <xf numFmtId="169" fontId="1" fillId="0" borderId="14" xfId="4" applyNumberFormat="1" applyFont="1" applyBorder="1" applyAlignment="1">
      <alignment horizontal="right" vertical="center" wrapText="1"/>
    </xf>
    <xf numFmtId="0" fontId="1" fillId="0" borderId="19" xfId="0" applyFont="1" applyBorder="1"/>
    <xf numFmtId="169" fontId="19" fillId="0" borderId="0" xfId="4" applyNumberFormat="1" applyFont="1"/>
    <xf numFmtId="169" fontId="1" fillId="5" borderId="15" xfId="4" applyNumberFormat="1" applyFont="1" applyFill="1" applyBorder="1" applyAlignment="1">
      <alignment horizontal="left" vertical="center" wrapText="1"/>
    </xf>
    <xf numFmtId="169" fontId="1" fillId="0" borderId="19" xfId="4" applyNumberFormat="1" applyFont="1" applyBorder="1" applyAlignment="1">
      <alignment horizontal="center" vertical="center" wrapText="1"/>
    </xf>
    <xf numFmtId="169" fontId="1" fillId="0" borderId="19" xfId="4" applyNumberFormat="1" applyFont="1" applyBorder="1"/>
    <xf numFmtId="169" fontId="73" fillId="4" borderId="7" xfId="4" applyNumberFormat="1" applyFont="1" applyFill="1" applyBorder="1" applyAlignment="1">
      <alignment horizontal="center"/>
    </xf>
    <xf numFmtId="169" fontId="74" fillId="0" borderId="0" xfId="0" applyNumberFormat="1" applyFont="1"/>
    <xf numFmtId="174" fontId="74" fillId="0" borderId="0" xfId="0" applyNumberFormat="1" applyFont="1"/>
    <xf numFmtId="169" fontId="74" fillId="0" borderId="0" xfId="4" applyNumberFormat="1" applyFont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9" fontId="1" fillId="0" borderId="19" xfId="4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wrapText="1"/>
    </xf>
    <xf numFmtId="169" fontId="1" fillId="0" borderId="42" xfId="4" applyNumberFormat="1" applyFont="1" applyFill="1" applyBorder="1" applyAlignment="1">
      <alignment horizontal="center" vertical="center" wrapText="1"/>
    </xf>
    <xf numFmtId="169" fontId="6" fillId="0" borderId="7" xfId="0" applyNumberFormat="1" applyFont="1" applyBorder="1" applyAlignment="1">
      <alignment horizontal="left" vertical="center" wrapText="1"/>
    </xf>
    <xf numFmtId="169" fontId="6" fillId="0" borderId="0" xfId="4" applyNumberFormat="1" applyFont="1" applyFill="1" applyAlignment="1">
      <alignment horizontal="left" vertical="center" wrapText="1"/>
    </xf>
    <xf numFmtId="169" fontId="6" fillId="0" borderId="59" xfId="0" applyNumberFormat="1" applyFont="1" applyBorder="1" applyAlignment="1">
      <alignment horizontal="left" vertical="center" wrapText="1"/>
    </xf>
    <xf numFmtId="169" fontId="6" fillId="0" borderId="59" xfId="4" applyNumberFormat="1" applyFont="1" applyFill="1" applyBorder="1" applyAlignment="1">
      <alignment horizontal="center" vertical="center" wrapText="1"/>
    </xf>
    <xf numFmtId="169" fontId="1" fillId="28" borderId="16" xfId="4" applyNumberFormat="1" applyFont="1" applyFill="1" applyBorder="1" applyAlignment="1">
      <alignment horizontal="center" vertical="center" wrapText="1"/>
    </xf>
    <xf numFmtId="0" fontId="1" fillId="28" borderId="16" xfId="0" applyFont="1" applyFill="1" applyBorder="1" applyAlignment="1">
      <alignment horizontal="left" vertical="center" wrapText="1"/>
    </xf>
    <xf numFmtId="0" fontId="6" fillId="29" borderId="14" xfId="0" applyFont="1" applyFill="1" applyBorder="1" applyAlignment="1">
      <alignment horizontal="left" vertical="center" wrapText="1"/>
    </xf>
    <xf numFmtId="169" fontId="6" fillId="29" borderId="14" xfId="4" applyNumberFormat="1" applyFont="1" applyFill="1" applyBorder="1" applyAlignment="1">
      <alignment horizontal="center" vertical="center" wrapText="1"/>
    </xf>
    <xf numFmtId="3" fontId="2" fillId="0" borderId="19" xfId="8" applyNumberFormat="1"/>
    <xf numFmtId="169" fontId="2" fillId="19" borderId="19" xfId="4" applyNumberFormat="1" applyFont="1" applyFill="1" applyBorder="1"/>
    <xf numFmtId="174" fontId="24" fillId="0" borderId="14" xfId="1" applyNumberFormat="1" applyFont="1" applyBorder="1"/>
    <xf numFmtId="0" fontId="2" fillId="0" borderId="42" xfId="1" applyBorder="1"/>
    <xf numFmtId="3" fontId="0" fillId="0" borderId="0" xfId="0" applyNumberFormat="1"/>
    <xf numFmtId="169" fontId="1" fillId="30" borderId="0" xfId="4" applyNumberFormat="1" applyFont="1" applyFill="1" applyAlignment="1">
      <alignment horizontal="right"/>
    </xf>
    <xf numFmtId="169" fontId="1" fillId="31" borderId="0" xfId="4" applyNumberFormat="1" applyFont="1" applyFill="1" applyAlignment="1">
      <alignment horizontal="right"/>
    </xf>
    <xf numFmtId="0" fontId="2" fillId="0" borderId="46" xfId="1" applyBorder="1"/>
    <xf numFmtId="169" fontId="2" fillId="0" borderId="45" xfId="9" applyNumberFormat="1" applyFont="1" applyBorder="1" applyAlignment="1"/>
    <xf numFmtId="0" fontId="2" fillId="0" borderId="48" xfId="1" applyBorder="1"/>
    <xf numFmtId="169" fontId="2" fillId="0" borderId="19" xfId="9" applyNumberFormat="1" applyFont="1" applyBorder="1" applyAlignment="1"/>
    <xf numFmtId="169" fontId="2" fillId="0" borderId="19" xfId="1" applyNumberFormat="1"/>
    <xf numFmtId="0" fontId="75" fillId="0" borderId="48" xfId="1" applyFont="1" applyBorder="1"/>
    <xf numFmtId="169" fontId="2" fillId="0" borderId="48" xfId="9" applyNumberFormat="1" applyFont="1" applyBorder="1" applyAlignment="1"/>
    <xf numFmtId="169" fontId="2" fillId="0" borderId="19" xfId="9" applyNumberFormat="1" applyFont="1" applyFill="1" applyBorder="1" applyAlignment="1"/>
    <xf numFmtId="169" fontId="21" fillId="0" borderId="19" xfId="9" applyNumberFormat="1" applyFont="1" applyFill="1" applyAlignment="1"/>
    <xf numFmtId="169" fontId="0" fillId="0" borderId="19" xfId="9" applyNumberFormat="1" applyFont="1" applyFill="1" applyAlignment="1"/>
    <xf numFmtId="169" fontId="0" fillId="0" borderId="19" xfId="9" applyNumberFormat="1" applyFont="1" applyBorder="1" applyAlignment="1"/>
    <xf numFmtId="169" fontId="2" fillId="0" borderId="19" xfId="9" applyNumberFormat="1" applyFont="1" applyAlignment="1"/>
    <xf numFmtId="169" fontId="0" fillId="32" borderId="19" xfId="9" applyNumberFormat="1" applyFont="1" applyFill="1" applyAlignment="1"/>
    <xf numFmtId="186" fontId="2" fillId="0" borderId="19" xfId="1" applyNumberFormat="1"/>
    <xf numFmtId="0" fontId="8" fillId="0" borderId="19" xfId="1" applyFont="1" applyAlignment="1">
      <alignment horizontal="left"/>
    </xf>
    <xf numFmtId="14" fontId="2" fillId="0" borderId="19" xfId="1" applyNumberFormat="1"/>
    <xf numFmtId="164" fontId="0" fillId="0" borderId="19" xfId="9" applyFont="1" applyBorder="1" applyAlignment="1"/>
    <xf numFmtId="0" fontId="2" fillId="32" borderId="19" xfId="1" applyFill="1"/>
    <xf numFmtId="0" fontId="8" fillId="0" borderId="52" xfId="1" applyFont="1" applyBorder="1" applyAlignment="1">
      <alignment horizontal="left"/>
    </xf>
    <xf numFmtId="169" fontId="76" fillId="0" borderId="52" xfId="1" applyNumberFormat="1" applyFont="1" applyBorder="1"/>
    <xf numFmtId="169" fontId="2" fillId="0" borderId="52" xfId="1" applyNumberFormat="1" applyBorder="1"/>
    <xf numFmtId="0" fontId="30" fillId="0" borderId="37" xfId="0" applyFont="1" applyBorder="1"/>
    <xf numFmtId="169" fontId="23" fillId="0" borderId="19" xfId="9" applyNumberFormat="1" applyFont="1" applyFill="1" applyBorder="1" applyAlignment="1"/>
    <xf numFmtId="169" fontId="32" fillId="0" borderId="22" xfId="4" applyNumberFormat="1" applyFont="1" applyBorder="1"/>
    <xf numFmtId="169" fontId="2" fillId="0" borderId="37" xfId="1" applyNumberFormat="1" applyBorder="1"/>
    <xf numFmtId="169" fontId="40" fillId="0" borderId="0" xfId="4" applyNumberFormat="1" applyFont="1"/>
    <xf numFmtId="0" fontId="2" fillId="20" borderId="19" xfId="8" applyFill="1" applyAlignment="1">
      <alignment horizontal="center"/>
    </xf>
    <xf numFmtId="1" fontId="60" fillId="0" borderId="19" xfId="1" applyNumberFormat="1" applyFont="1" applyAlignment="1">
      <alignment horizontal="center"/>
    </xf>
    <xf numFmtId="169" fontId="1" fillId="0" borderId="19" xfId="9" applyNumberFormat="1" applyFont="1" applyFill="1" applyAlignment="1">
      <alignment horizontal="center"/>
    </xf>
    <xf numFmtId="174" fontId="1" fillId="0" borderId="19" xfId="1" applyNumberFormat="1" applyFont="1" applyAlignment="1">
      <alignment horizontal="center"/>
    </xf>
    <xf numFmtId="174" fontId="6" fillId="0" borderId="19" xfId="1" applyNumberFormat="1" applyFont="1" applyAlignment="1">
      <alignment horizontal="center"/>
    </xf>
    <xf numFmtId="174" fontId="1" fillId="0" borderId="59" xfId="1" applyNumberFormat="1" applyFont="1" applyBorder="1" applyAlignment="1">
      <alignment horizontal="center"/>
    </xf>
    <xf numFmtId="174" fontId="6" fillId="0" borderId="42" xfId="1" applyNumberFormat="1" applyFont="1" applyBorder="1" applyAlignment="1">
      <alignment horizontal="center"/>
    </xf>
    <xf numFmtId="184" fontId="2" fillId="0" borderId="19" xfId="1" applyNumberFormat="1" applyAlignment="1">
      <alignment horizontal="center"/>
    </xf>
    <xf numFmtId="174" fontId="24" fillId="23" borderId="14" xfId="1" applyNumberFormat="1" applyFont="1" applyFill="1" applyBorder="1" applyAlignment="1">
      <alignment horizontal="center"/>
    </xf>
    <xf numFmtId="184" fontId="64" fillId="0" borderId="19" xfId="1" applyNumberFormat="1" applyFont="1" applyAlignment="1">
      <alignment horizontal="center"/>
    </xf>
    <xf numFmtId="4" fontId="11" fillId="0" borderId="19" xfId="1" applyNumberFormat="1" applyFont="1" applyAlignment="1">
      <alignment horizontal="center"/>
    </xf>
    <xf numFmtId="4" fontId="63" fillId="0" borderId="19" xfId="1" applyNumberFormat="1" applyFont="1" applyAlignment="1">
      <alignment horizontal="center"/>
    </xf>
    <xf numFmtId="0" fontId="2" fillId="0" borderId="41" xfId="1" applyBorder="1" applyAlignment="1">
      <alignment horizontal="center"/>
    </xf>
    <xf numFmtId="169" fontId="23" fillId="0" borderId="19" xfId="9" applyNumberFormat="1" applyFont="1" applyFill="1" applyBorder="1" applyAlignment="1">
      <alignment horizontal="center"/>
    </xf>
    <xf numFmtId="188" fontId="71" fillId="0" borderId="42" xfId="0" applyNumberFormat="1" applyFont="1" applyBorder="1" applyAlignment="1">
      <alignment horizontal="center" wrapText="1"/>
    </xf>
    <xf numFmtId="188" fontId="71" fillId="0" borderId="19" xfId="0" applyNumberFormat="1" applyFont="1" applyBorder="1" applyAlignment="1">
      <alignment horizontal="center" wrapText="1"/>
    </xf>
    <xf numFmtId="165" fontId="43" fillId="0" borderId="19" xfId="10" applyFont="1" applyBorder="1"/>
    <xf numFmtId="165" fontId="30" fillId="0" borderId="19" xfId="10" applyFont="1" applyBorder="1"/>
    <xf numFmtId="3" fontId="30" fillId="0" borderId="0" xfId="0" applyNumberFormat="1" applyFont="1"/>
    <xf numFmtId="174" fontId="0" fillId="0" borderId="0" xfId="0" applyNumberFormat="1"/>
    <xf numFmtId="0" fontId="21" fillId="0" borderId="19" xfId="0" applyFont="1" applyBorder="1"/>
    <xf numFmtId="177" fontId="2" fillId="0" borderId="19" xfId="0" applyNumberFormat="1" applyFont="1" applyBorder="1"/>
    <xf numFmtId="4" fontId="2" fillId="0" borderId="19" xfId="0" applyNumberFormat="1" applyFont="1" applyBorder="1"/>
    <xf numFmtId="174" fontId="6" fillId="0" borderId="0" xfId="0" applyNumberFormat="1" applyFont="1" applyAlignment="1">
      <alignment horizontal="center"/>
    </xf>
    <xf numFmtId="164" fontId="2" fillId="27" borderId="42" xfId="4" applyFont="1" applyFill="1" applyBorder="1"/>
    <xf numFmtId="164" fontId="0" fillId="0" borderId="19" xfId="0" applyNumberFormat="1" applyBorder="1"/>
    <xf numFmtId="164" fontId="2" fillId="0" borderId="19" xfId="1" applyNumberFormat="1"/>
    <xf numFmtId="164" fontId="21" fillId="0" borderId="19" xfId="4" applyFont="1" applyFill="1" applyBorder="1"/>
    <xf numFmtId="174" fontId="1" fillId="32" borderId="0" xfId="0" applyNumberFormat="1" applyFont="1" applyFill="1"/>
    <xf numFmtId="0" fontId="0" fillId="33" borderId="0" xfId="0" applyFill="1" applyAlignment="1">
      <alignment horizontal="center"/>
    </xf>
    <xf numFmtId="174" fontId="2" fillId="0" borderId="34" xfId="1" applyNumberFormat="1" applyBorder="1"/>
    <xf numFmtId="0" fontId="2" fillId="0" borderId="35" xfId="1" applyBorder="1"/>
    <xf numFmtId="174" fontId="2" fillId="0" borderId="36" xfId="1" applyNumberFormat="1" applyBorder="1"/>
    <xf numFmtId="0" fontId="2" fillId="0" borderId="36" xfId="1" applyBorder="1"/>
    <xf numFmtId="169" fontId="2" fillId="0" borderId="34" xfId="4" applyNumberFormat="1" applyFont="1" applyBorder="1" applyAlignment="1">
      <alignment horizontal="right"/>
    </xf>
    <xf numFmtId="169" fontId="2" fillId="0" borderId="36" xfId="4" applyNumberFormat="1" applyFont="1" applyBorder="1" applyAlignment="1">
      <alignment horizontal="right"/>
    </xf>
    <xf numFmtId="0" fontId="2" fillId="0" borderId="35" xfId="1" applyBorder="1" applyAlignment="1">
      <alignment horizontal="right"/>
    </xf>
    <xf numFmtId="0" fontId="2" fillId="0" borderId="37" xfId="1" applyBorder="1" applyAlignment="1">
      <alignment horizontal="right"/>
    </xf>
    <xf numFmtId="169" fontId="57" fillId="0" borderId="36" xfId="4" applyNumberFormat="1" applyFont="1" applyBorder="1" applyAlignment="1">
      <alignment horizontal="right"/>
    </xf>
    <xf numFmtId="0" fontId="57" fillId="0" borderId="37" xfId="1" applyFont="1" applyBorder="1" applyAlignment="1">
      <alignment horizontal="right"/>
    </xf>
    <xf numFmtId="169" fontId="2" fillId="0" borderId="39" xfId="1" applyNumberFormat="1" applyBorder="1"/>
    <xf numFmtId="169" fontId="2" fillId="0" borderId="36" xfId="1" applyNumberFormat="1" applyBorder="1"/>
    <xf numFmtId="0" fontId="2" fillId="0" borderId="39" xfId="1" applyBorder="1"/>
    <xf numFmtId="164" fontId="2" fillId="0" borderId="36" xfId="1" applyNumberFormat="1" applyBorder="1"/>
    <xf numFmtId="169" fontId="1" fillId="0" borderId="12" xfId="4" applyNumberFormat="1" applyFont="1" applyFill="1" applyBorder="1" applyAlignment="1">
      <alignment horizontal="right"/>
    </xf>
    <xf numFmtId="169" fontId="1" fillId="0" borderId="12" xfId="4" applyNumberFormat="1" applyFont="1" applyFill="1" applyBorder="1" applyAlignment="1">
      <alignment horizontal="right" vertical="center" wrapText="1"/>
    </xf>
    <xf numFmtId="169" fontId="1" fillId="0" borderId="0" xfId="4" applyNumberFormat="1" applyFont="1" applyFill="1" applyAlignment="1">
      <alignment horizontal="right" vertical="center" wrapText="1"/>
    </xf>
    <xf numFmtId="169" fontId="1" fillId="0" borderId="1" xfId="4" applyNumberFormat="1" applyFont="1" applyFill="1" applyBorder="1" applyAlignment="1">
      <alignment horizontal="right" vertical="center" wrapText="1"/>
    </xf>
    <xf numFmtId="0" fontId="14" fillId="32" borderId="0" xfId="0" applyFont="1" applyFill="1" applyAlignment="1">
      <alignment horizontal="center"/>
    </xf>
    <xf numFmtId="173" fontId="14" fillId="32" borderId="0" xfId="0" applyNumberFormat="1" applyFont="1" applyFill="1" applyAlignment="1">
      <alignment horizontal="center"/>
    </xf>
    <xf numFmtId="0" fontId="14" fillId="31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75" fontId="2" fillId="0" borderId="25" xfId="0" applyNumberFormat="1" applyFont="1" applyBorder="1"/>
    <xf numFmtId="175" fontId="2" fillId="0" borderId="21" xfId="0" applyNumberFormat="1" applyFont="1" applyBorder="1"/>
    <xf numFmtId="169" fontId="0" fillId="0" borderId="19" xfId="4" applyNumberFormat="1" applyFont="1" applyFill="1" applyBorder="1"/>
    <xf numFmtId="169" fontId="0" fillId="0" borderId="42" xfId="4" applyNumberFormat="1" applyFont="1" applyFill="1" applyBorder="1"/>
    <xf numFmtId="164" fontId="0" fillId="0" borderId="0" xfId="0" applyNumberFormat="1"/>
    <xf numFmtId="174" fontId="8" fillId="0" borderId="19" xfId="0" applyNumberFormat="1" applyFont="1" applyBorder="1" applyAlignment="1">
      <alignment horizontal="center"/>
    </xf>
    <xf numFmtId="0" fontId="77" fillId="0" borderId="0" xfId="0" applyFont="1"/>
    <xf numFmtId="0" fontId="2" fillId="0" borderId="34" xfId="0" applyFont="1" applyBorder="1"/>
    <xf numFmtId="0" fontId="14" fillId="0" borderId="41" xfId="0" applyFont="1" applyBorder="1" applyAlignment="1">
      <alignment horizontal="right"/>
    </xf>
    <xf numFmtId="0" fontId="1" fillId="0" borderId="41" xfId="0" applyFont="1" applyBorder="1" applyAlignment="1">
      <alignment horizontal="left"/>
    </xf>
    <xf numFmtId="175" fontId="2" fillId="0" borderId="41" xfId="0" applyNumberFormat="1" applyFont="1" applyBorder="1"/>
    <xf numFmtId="0" fontId="2" fillId="0" borderId="35" xfId="0" applyFont="1" applyBorder="1" applyAlignment="1">
      <alignment horizontal="right"/>
    </xf>
    <xf numFmtId="0" fontId="2" fillId="0" borderId="36" xfId="0" applyFont="1" applyBorder="1"/>
    <xf numFmtId="173" fontId="1" fillId="0" borderId="19" xfId="0" applyNumberFormat="1" applyFont="1" applyBorder="1"/>
    <xf numFmtId="0" fontId="1" fillId="0" borderId="19" xfId="0" applyFont="1" applyBorder="1" applyAlignment="1">
      <alignment horizontal="left"/>
    </xf>
    <xf numFmtId="0" fontId="2" fillId="0" borderId="39" xfId="0" applyFont="1" applyBorder="1"/>
    <xf numFmtId="4" fontId="1" fillId="0" borderId="42" xfId="0" applyNumberFormat="1" applyFont="1" applyBorder="1" applyAlignment="1">
      <alignment horizontal="left"/>
    </xf>
    <xf numFmtId="175" fontId="2" fillId="0" borderId="42" xfId="0" applyNumberFormat="1" applyFont="1" applyBorder="1"/>
    <xf numFmtId="0" fontId="2" fillId="0" borderId="40" xfId="0" applyFont="1" applyBorder="1"/>
    <xf numFmtId="175" fontId="2" fillId="0" borderId="19" xfId="1" applyNumberFormat="1"/>
    <xf numFmtId="0" fontId="2" fillId="0" borderId="19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169" fontId="1" fillId="0" borderId="42" xfId="0" applyNumberFormat="1" applyFont="1" applyBorder="1"/>
    <xf numFmtId="4" fontId="1" fillId="0" borderId="19" xfId="0" applyNumberFormat="1" applyFont="1" applyBorder="1" applyAlignment="1">
      <alignment horizontal="left"/>
    </xf>
    <xf numFmtId="0" fontId="30" fillId="0" borderId="35" xfId="0" applyFont="1" applyBorder="1" applyAlignment="1">
      <alignment readingOrder="2"/>
    </xf>
    <xf numFmtId="0" fontId="2" fillId="0" borderId="37" xfId="0" applyFont="1" applyBorder="1" applyAlignment="1">
      <alignment horizontal="right"/>
    </xf>
    <xf numFmtId="169" fontId="0" fillId="0" borderId="42" xfId="0" applyNumberFormat="1" applyBorder="1"/>
    <xf numFmtId="181" fontId="0" fillId="0" borderId="0" xfId="0" applyNumberFormat="1"/>
    <xf numFmtId="0" fontId="1" fillId="0" borderId="41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/>
    </xf>
    <xf numFmtId="174" fontId="1" fillId="0" borderId="41" xfId="1" applyNumberFormat="1" applyFont="1" applyBorder="1" applyAlignment="1">
      <alignment horizontal="center"/>
    </xf>
    <xf numFmtId="181" fontId="2" fillId="0" borderId="41" xfId="0" applyNumberFormat="1" applyFont="1" applyBorder="1"/>
    <xf numFmtId="0" fontId="1" fillId="0" borderId="19" xfId="0" applyFont="1" applyBorder="1" applyAlignment="1">
      <alignment horizontal="left" vertical="center"/>
    </xf>
    <xf numFmtId="4" fontId="48" fillId="0" borderId="19" xfId="0" applyNumberFormat="1" applyFont="1" applyBorder="1"/>
    <xf numFmtId="181" fontId="1" fillId="0" borderId="19" xfId="0" applyNumberFormat="1" applyFont="1" applyBorder="1"/>
    <xf numFmtId="0" fontId="2" fillId="0" borderId="19" xfId="0" applyFont="1" applyBorder="1" applyAlignment="1">
      <alignment horizontal="right"/>
    </xf>
    <xf numFmtId="181" fontId="0" fillId="0" borderId="41" xfId="0" applyNumberFormat="1" applyBorder="1"/>
    <xf numFmtId="181" fontId="0" fillId="0" borderId="19" xfId="0" applyNumberFormat="1" applyBorder="1"/>
    <xf numFmtId="181" fontId="1" fillId="0" borderId="41" xfId="0" applyNumberFormat="1" applyFont="1" applyBorder="1"/>
    <xf numFmtId="0" fontId="8" fillId="0" borderId="19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169" fontId="2" fillId="0" borderId="42" xfId="0" applyNumberFormat="1" applyFont="1" applyBorder="1"/>
    <xf numFmtId="0" fontId="30" fillId="0" borderId="34" xfId="0" applyFont="1" applyBorder="1"/>
    <xf numFmtId="0" fontId="30" fillId="0" borderId="41" xfId="0" applyFont="1" applyBorder="1"/>
    <xf numFmtId="181" fontId="8" fillId="0" borderId="41" xfId="0" applyNumberFormat="1" applyFont="1" applyBorder="1"/>
    <xf numFmtId="181" fontId="30" fillId="0" borderId="41" xfId="0" applyNumberFormat="1" applyFont="1" applyBorder="1"/>
    <xf numFmtId="0" fontId="30" fillId="0" borderId="36" xfId="0" applyFont="1" applyBorder="1"/>
    <xf numFmtId="0" fontId="30" fillId="0" borderId="19" xfId="0" applyFont="1" applyBorder="1"/>
    <xf numFmtId="181" fontId="8" fillId="0" borderId="19" xfId="0" applyNumberFormat="1" applyFont="1" applyBorder="1"/>
    <xf numFmtId="0" fontId="30" fillId="0" borderId="39" xfId="0" applyFont="1" applyBorder="1"/>
    <xf numFmtId="0" fontId="30" fillId="0" borderId="42" xfId="0" applyFont="1" applyBorder="1"/>
    <xf numFmtId="4" fontId="8" fillId="0" borderId="42" xfId="0" applyNumberFormat="1" applyFont="1" applyBorder="1" applyAlignment="1">
      <alignment horizontal="left"/>
    </xf>
    <xf numFmtId="0" fontId="30" fillId="0" borderId="40" xfId="0" applyFont="1" applyBorder="1"/>
    <xf numFmtId="0" fontId="1" fillId="0" borderId="41" xfId="1" applyFont="1" applyBorder="1" applyAlignment="1">
      <alignment horizontal="left" vertical="center"/>
    </xf>
    <xf numFmtId="4" fontId="8" fillId="0" borderId="19" xfId="0" applyNumberFormat="1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181" fontId="8" fillId="0" borderId="42" xfId="0" applyNumberFormat="1" applyFont="1" applyBorder="1"/>
    <xf numFmtId="181" fontId="30" fillId="0" borderId="42" xfId="0" applyNumberFormat="1" applyFont="1" applyBorder="1"/>
    <xf numFmtId="0" fontId="30" fillId="0" borderId="40" xfId="0" applyFont="1" applyBorder="1" applyAlignment="1">
      <alignment readingOrder="2"/>
    </xf>
    <xf numFmtId="0" fontId="8" fillId="0" borderId="19" xfId="0" applyFont="1" applyBorder="1" applyAlignment="1">
      <alignment horizontal="left" readingOrder="2"/>
    </xf>
    <xf numFmtId="4" fontId="8" fillId="0" borderId="41" xfId="0" applyNumberFormat="1" applyFont="1" applyBorder="1" applyAlignment="1">
      <alignment horizontal="left"/>
    </xf>
    <xf numFmtId="0" fontId="0" fillId="19" borderId="19" xfId="0" applyFill="1" applyBorder="1"/>
    <xf numFmtId="169" fontId="2" fillId="0" borderId="19" xfId="4" applyNumberFormat="1" applyFont="1" applyBorder="1" applyAlignment="1"/>
    <xf numFmtId="169" fontId="0" fillId="33" borderId="19" xfId="9" applyNumberFormat="1" applyFont="1" applyFill="1" applyAlignment="1"/>
    <xf numFmtId="169" fontId="21" fillId="33" borderId="19" xfId="9" applyNumberFormat="1" applyFont="1" applyFill="1" applyAlignment="1"/>
    <xf numFmtId="0" fontId="0" fillId="0" borderId="0" xfId="0" applyAlignment="1">
      <alignment horizontal="left"/>
    </xf>
    <xf numFmtId="4" fontId="78" fillId="0" borderId="0" xfId="0" applyNumberFormat="1" applyFont="1"/>
    <xf numFmtId="169" fontId="35" fillId="0" borderId="19" xfId="4" applyNumberFormat="1" applyFont="1" applyBorder="1"/>
    <xf numFmtId="169" fontId="45" fillId="0" borderId="45" xfId="4" applyNumberFormat="1" applyFont="1" applyBorder="1"/>
    <xf numFmtId="169" fontId="45" fillId="0" borderId="43" xfId="4" applyNumberFormat="1" applyFont="1" applyBorder="1"/>
    <xf numFmtId="169" fontId="30" fillId="0" borderId="19" xfId="4" applyNumberFormat="1" applyFont="1" applyBorder="1"/>
    <xf numFmtId="3" fontId="32" fillId="14" borderId="19" xfId="1" applyNumberFormat="1" applyFont="1" applyFill="1"/>
    <xf numFmtId="169" fontId="32" fillId="14" borderId="22" xfId="2" applyNumberFormat="1" applyFont="1" applyFill="1" applyBorder="1"/>
    <xf numFmtId="3" fontId="35" fillId="14" borderId="19" xfId="1" applyNumberFormat="1" applyFont="1" applyFill="1"/>
    <xf numFmtId="169" fontId="32" fillId="14" borderId="19" xfId="1" applyNumberFormat="1" applyFont="1" applyFill="1"/>
    <xf numFmtId="169" fontId="35" fillId="14" borderId="19" xfId="1" applyNumberFormat="1" applyFont="1" applyFill="1"/>
    <xf numFmtId="169" fontId="0" fillId="0" borderId="0" xfId="4" applyNumberFormat="1" applyFont="1" applyAlignment="1">
      <alignment horizontal="center"/>
    </xf>
    <xf numFmtId="0" fontId="37" fillId="0" borderId="0" xfId="0" applyFont="1" applyAlignment="1">
      <alignment horizontal="center"/>
    </xf>
    <xf numFmtId="169" fontId="2" fillId="14" borderId="0" xfId="4" applyNumberFormat="1" applyFont="1" applyFill="1"/>
    <xf numFmtId="169" fontId="2" fillId="34" borderId="0" xfId="4" applyNumberFormat="1" applyFont="1" applyFill="1"/>
    <xf numFmtId="169" fontId="2" fillId="18" borderId="0" xfId="4" applyNumberFormat="1" applyFont="1" applyFill="1"/>
    <xf numFmtId="169" fontId="2" fillId="25" borderId="0" xfId="4" applyNumberFormat="1" applyFont="1" applyFill="1"/>
    <xf numFmtId="169" fontId="2" fillId="35" borderId="0" xfId="4" applyNumberFormat="1" applyFont="1" applyFill="1"/>
    <xf numFmtId="169" fontId="37" fillId="0" borderId="55" xfId="4" applyNumberFormat="1" applyFont="1" applyBorder="1"/>
    <xf numFmtId="169" fontId="0" fillId="0" borderId="43" xfId="4" applyNumberFormat="1" applyFont="1" applyBorder="1"/>
    <xf numFmtId="169" fontId="37" fillId="0" borderId="55" xfId="0" applyNumberFormat="1" applyFont="1" applyBorder="1"/>
    <xf numFmtId="14" fontId="2" fillId="0" borderId="0" xfId="0" applyNumberFormat="1" applyFont="1"/>
    <xf numFmtId="174" fontId="30" fillId="0" borderId="0" xfId="0" applyNumberFormat="1" applyFont="1"/>
    <xf numFmtId="0" fontId="8" fillId="0" borderId="19" xfId="0" applyFont="1" applyBorder="1" applyAlignment="1">
      <alignment horizontal="left" vertical="center"/>
    </xf>
    <xf numFmtId="179" fontId="0" fillId="0" borderId="0" xfId="0" applyNumberFormat="1"/>
    <xf numFmtId="174" fontId="2" fillId="0" borderId="19" xfId="0" applyNumberFormat="1" applyFont="1" applyBorder="1"/>
    <xf numFmtId="1" fontId="30" fillId="0" borderId="0" xfId="0" applyNumberFormat="1" applyFont="1"/>
    <xf numFmtId="0" fontId="54" fillId="32" borderId="19" xfId="11" applyFill="1"/>
    <xf numFmtId="173" fontId="2" fillId="0" borderId="0" xfId="4" applyNumberFormat="1" applyFont="1"/>
    <xf numFmtId="173" fontId="2" fillId="19" borderId="0" xfId="4" applyNumberFormat="1" applyFont="1" applyFill="1"/>
    <xf numFmtId="179" fontId="2" fillId="0" borderId="19" xfId="0" applyNumberFormat="1" applyFont="1" applyBorder="1"/>
    <xf numFmtId="179" fontId="2" fillId="0" borderId="42" xfId="0" applyNumberFormat="1" applyFont="1" applyBorder="1"/>
    <xf numFmtId="164" fontId="0" fillId="0" borderId="19" xfId="4" applyFont="1" applyFill="1" applyBorder="1"/>
    <xf numFmtId="178" fontId="0" fillId="0" borderId="19" xfId="4" applyNumberFormat="1" applyFont="1" applyFill="1" applyBorder="1"/>
    <xf numFmtId="178" fontId="0" fillId="0" borderId="19" xfId="0" applyNumberFormat="1" applyBorder="1"/>
    <xf numFmtId="0" fontId="2" fillId="0" borderId="19" xfId="0" applyFont="1" applyBorder="1" applyAlignment="1">
      <alignment horizontal="center"/>
    </xf>
    <xf numFmtId="189" fontId="2" fillId="0" borderId="19" xfId="10" applyNumberFormat="1" applyFont="1" applyFill="1" applyBorder="1"/>
    <xf numFmtId="16" fontId="2" fillId="0" borderId="19" xfId="0" applyNumberFormat="1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189" fontId="0" fillId="0" borderId="0" xfId="10" applyNumberFormat="1" applyFont="1" applyFill="1"/>
    <xf numFmtId="173" fontId="2" fillId="0" borderId="0" xfId="4" applyNumberFormat="1" applyFont="1" applyFill="1"/>
    <xf numFmtId="43" fontId="6" fillId="0" borderId="0" xfId="0" applyNumberFormat="1" applyFont="1"/>
    <xf numFmtId="169" fontId="0" fillId="36" borderId="0" xfId="4" applyNumberFormat="1" applyFont="1" applyFill="1"/>
    <xf numFmtId="174" fontId="2" fillId="0" borderId="62" xfId="1" applyNumberFormat="1" applyBorder="1"/>
    <xf numFmtId="0" fontId="45" fillId="22" borderId="56" xfId="1" applyFont="1" applyFill="1" applyBorder="1" applyAlignment="1">
      <alignment horizontal="center"/>
    </xf>
    <xf numFmtId="0" fontId="45" fillId="22" borderId="57" xfId="1" applyFont="1" applyFill="1" applyBorder="1" applyAlignment="1">
      <alignment horizontal="center"/>
    </xf>
    <xf numFmtId="0" fontId="45" fillId="22" borderId="58" xfId="1" applyFont="1" applyFill="1" applyBorder="1" applyAlignment="1">
      <alignment horizontal="center"/>
    </xf>
    <xf numFmtId="1" fontId="1" fillId="6" borderId="17" xfId="0" applyNumberFormat="1" applyFont="1" applyFill="1" applyBorder="1" applyAlignment="1">
      <alignment horizontal="center"/>
    </xf>
    <xf numFmtId="0" fontId="21" fillId="0" borderId="18" xfId="0" applyFont="1" applyBorder="1"/>
    <xf numFmtId="0" fontId="21" fillId="0" borderId="19" xfId="0" applyFont="1" applyBorder="1"/>
    <xf numFmtId="0" fontId="29" fillId="11" borderId="24" xfId="0" applyFont="1" applyFill="1" applyBorder="1" applyAlignment="1">
      <alignment horizontal="center"/>
    </xf>
    <xf numFmtId="0" fontId="21" fillId="0" borderId="25" xfId="0" applyFont="1" applyBorder="1"/>
    <xf numFmtId="0" fontId="21" fillId="0" borderId="26" xfId="0" applyFont="1" applyBorder="1"/>
    <xf numFmtId="0" fontId="21" fillId="0" borderId="29" xfId="0" applyFont="1" applyBorder="1"/>
    <xf numFmtId="0" fontId="21" fillId="0" borderId="21" xfId="0" applyFont="1" applyBorder="1"/>
    <xf numFmtId="0" fontId="21" fillId="0" borderId="32" xfId="0" applyFont="1" applyBorder="1"/>
    <xf numFmtId="0" fontId="72" fillId="20" borderId="19" xfId="1" applyFont="1" applyFill="1" applyAlignment="1">
      <alignment horizontal="center" vertical="center"/>
    </xf>
    <xf numFmtId="0" fontId="31" fillId="0" borderId="15" xfId="1" applyFont="1" applyBorder="1" applyAlignment="1">
      <alignment horizontal="center"/>
    </xf>
    <xf numFmtId="0" fontId="43" fillId="17" borderId="19" xfId="6" applyFont="1" applyFill="1" applyAlignment="1">
      <alignment horizontal="center"/>
    </xf>
    <xf numFmtId="0" fontId="45" fillId="24" borderId="56" xfId="6" applyFont="1" applyFill="1" applyBorder="1" applyAlignment="1">
      <alignment horizontal="center"/>
    </xf>
    <xf numFmtId="0" fontId="45" fillId="24" borderId="57" xfId="6" applyFont="1" applyFill="1" applyBorder="1" applyAlignment="1">
      <alignment horizontal="center"/>
    </xf>
    <xf numFmtId="0" fontId="45" fillId="24" borderId="58" xfId="6" applyFont="1" applyFill="1" applyBorder="1" applyAlignment="1">
      <alignment horizontal="center"/>
    </xf>
  </cellXfs>
  <cellStyles count="13">
    <cellStyle name="Comma" xfId="4" builtinId="3"/>
    <cellStyle name="Comma 2" xfId="2" xr:uid="{FA5959D3-8DE4-9F4A-B16A-BACB2D17424C}"/>
    <cellStyle name="Comma 3" xfId="7" xr:uid="{0B097BB9-3E03-FC40-BD28-AD39D84031A2}"/>
    <cellStyle name="Comma 3 2" xfId="9" xr:uid="{14089EFD-C917-7C47-9D12-C7812472D02F}"/>
    <cellStyle name="Currency" xfId="10" builtinId="4"/>
    <cellStyle name="Normal" xfId="0" builtinId="0"/>
    <cellStyle name="Normal 2" xfId="1" xr:uid="{566EB870-3543-F84B-B058-7D3E1435C673}"/>
    <cellStyle name="Normal 2 2" xfId="11" xr:uid="{1FC9319E-2F39-2948-B9C0-21E40CB5E8BB}"/>
    <cellStyle name="Normal 3" xfId="3" xr:uid="{FE9DF345-62C3-A246-849E-DC22D2854FE6}"/>
    <cellStyle name="Normal 4" xfId="6" xr:uid="{F7C41140-170D-7D42-8645-18E027EC02A5}"/>
    <cellStyle name="Normal 5" xfId="8" xr:uid="{B5699364-D6D7-D64B-8885-56DE93369EED}"/>
    <cellStyle name="Percent" xfId="5" builtinId="5"/>
    <cellStyle name="Percent 2" xfId="12" xr:uid="{69A75311-F06E-B940-8ACB-C378A82FDA6C}"/>
  </cellStyles>
  <dxfs count="6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customschemas.google.com/relationships/workbookmetadata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76</xdr:row>
      <xdr:rowOff>38100</xdr:rowOff>
    </xdr:from>
    <xdr:ext cx="14097000" cy="858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77</xdr:row>
      <xdr:rowOff>38100</xdr:rowOff>
    </xdr:from>
    <xdr:ext cx="14097000" cy="858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Total%20Finance\&#1508;&#1488;&#1508;&#1497;&#1497;&#1492;%20&#1490;&#1497;&#1497;&#1502;&#1497;&#1504;&#1490;\&#1491;&#1493;&#1495;&#1493;&#1514;%20&#1499;&#1505;&#1508;&#1497;&#1497;&#1501;\2018\&#1492;&#1512;&#1499;&#1489;&#1493;&#1514;\&#1508;&#1508;&#1488;&#1497;&#1492;%20&#1492;&#1512;&#1499;&#1489;&#1492;%2031.12.2018%20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.shortcut-targets-by-id/1EbbfGA1pGTkSTE-raB7nUstcRXVjQp_x/Papaya%20Gaming%20LTD/2020/Documents%20for%20Audit/Consolidation/PAPAYA%20GAMING%20FS%2031.12.2020%20V16%2027.7.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onelya/Library/CloudStorage/GoogleDrive-sharon@papayagaming.com/.shortcut-targets-by-id/1EbbfGA1pGTkSTE-raB7nUstcRXVjQp_x/Papaya%20Gaming%20LTD/2022/Audit%202022/Arkava%20%202022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12.2018"/>
      <sheetName val="הרכבה מאזן 31.12.18"/>
      <sheetName val=" הרכבה רווח והפסד  2018"/>
      <sheetName val="פ.נ "/>
      <sheetName val="קידוד"/>
      <sheetName val="CF "/>
      <sheetName val="ביקורת 2018"/>
      <sheetName val="הצמדה הלוואת בעלים "/>
      <sheetName val="השלמות שנענו "/>
      <sheetName val="דוח התאמה למס"/>
    </sheetNames>
    <sheetDataSet>
      <sheetData sheetId="0">
        <row r="7">
          <cell r="C7">
            <v>20001</v>
          </cell>
        </row>
      </sheetData>
      <sheetData sheetId="1" refreshError="1"/>
      <sheetData sheetId="2">
        <row r="12">
          <cell r="H12">
            <v>723182.29999999993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 ILS 12.20"/>
      <sheetName val="TB LTD 12.20"/>
      <sheetName val="FS USD 12.2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LTD  US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.priority-connect.online/webui/openmail.htm?tenant=Z0SKU&amp;priority:priform@ACCOUNTS_GENERAL:51100:a110422:tabz0sku.ini:1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Z1000"/>
  <sheetViews>
    <sheetView rightToLeft="1" workbookViewId="0"/>
  </sheetViews>
  <sheetFormatPr defaultColWidth="12.5703125" defaultRowHeight="15" customHeight="1"/>
  <cols>
    <col min="1" max="1" width="9.140625" customWidth="1"/>
    <col min="2" max="2" width="30" customWidth="1"/>
    <col min="3" max="3" width="11.140625" customWidth="1"/>
    <col min="4" max="4" width="13.42578125" customWidth="1"/>
    <col min="5" max="5" width="18.42578125" customWidth="1"/>
    <col min="6" max="6" width="24.5703125" customWidth="1"/>
    <col min="7" max="13" width="9.140625" customWidth="1"/>
    <col min="14" max="14" width="23.42578125" customWidth="1"/>
    <col min="15" max="15" width="17" customWidth="1"/>
    <col min="16" max="17" width="11.5703125" customWidth="1"/>
    <col min="18" max="18" width="11.140625" customWidth="1"/>
    <col min="19" max="19" width="10.140625" customWidth="1"/>
    <col min="20" max="26" width="9.1406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/>
      <c r="B2" s="3" t="s">
        <v>0</v>
      </c>
      <c r="C2" s="4" t="s">
        <v>1</v>
      </c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 t="s">
        <v>2</v>
      </c>
      <c r="C6" s="1"/>
      <c r="D6" s="1"/>
      <c r="E6" s="6">
        <f>'P&amp;L LTD  USD'!J122-'P&amp;L LTD  USD'!J120</f>
        <v>-95997188.710000187</v>
      </c>
      <c r="F6" s="1"/>
      <c r="G6" s="1"/>
      <c r="H6" s="1"/>
      <c r="I6" s="1"/>
      <c r="J6" s="1"/>
      <c r="K6" s="1"/>
      <c r="L6" s="1"/>
      <c r="M6" s="7"/>
      <c r="N6" s="7"/>
      <c r="O6" s="7"/>
      <c r="P6" s="7"/>
      <c r="Q6" s="8"/>
      <c r="R6" s="7"/>
      <c r="S6" s="7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9"/>
      <c r="M7" s="10"/>
      <c r="N7" s="6"/>
      <c r="O7" s="6"/>
      <c r="P7" s="6"/>
      <c r="Q7" s="6"/>
      <c r="R7" s="6"/>
      <c r="S7" s="6"/>
      <c r="T7" s="7"/>
      <c r="U7" s="1"/>
      <c r="V7" s="1"/>
      <c r="W7" s="1"/>
      <c r="X7" s="1"/>
      <c r="Y7" s="1"/>
      <c r="Z7" s="1"/>
    </row>
    <row r="8" spans="1:26">
      <c r="A8" s="1"/>
      <c r="B8" s="11" t="s">
        <v>3</v>
      </c>
      <c r="C8" s="1"/>
      <c r="D8" s="1"/>
      <c r="E8" s="1"/>
      <c r="F8" s="1"/>
      <c r="G8" s="1"/>
      <c r="H8" s="1"/>
      <c r="I8" s="1"/>
      <c r="J8" s="1"/>
      <c r="K8" s="1"/>
      <c r="L8" s="9"/>
      <c r="M8" s="10"/>
      <c r="N8" s="6"/>
      <c r="O8" s="6"/>
      <c r="P8" s="6"/>
      <c r="Q8" s="6"/>
      <c r="R8" s="6"/>
      <c r="S8" s="6"/>
      <c r="T8" s="7"/>
      <c r="U8" s="1"/>
      <c r="V8" s="1"/>
      <c r="W8" s="1"/>
      <c r="X8" s="1"/>
      <c r="Y8" s="1"/>
      <c r="Z8" s="1"/>
    </row>
    <row r="9" spans="1:26">
      <c r="A9" s="1"/>
      <c r="B9" s="1" t="s">
        <v>4</v>
      </c>
      <c r="C9" s="1"/>
      <c r="D9" s="1"/>
      <c r="E9" s="6" t="e">
        <f>'R&amp;D 20A'!G8+'R&amp;D 20A'!G9+'R&amp;D 20A'!H9</f>
        <v>#N/A</v>
      </c>
      <c r="F9" s="1" t="s">
        <v>5</v>
      </c>
      <c r="G9" s="1"/>
      <c r="H9" s="1"/>
      <c r="I9" s="1"/>
      <c r="J9" s="1"/>
      <c r="K9" s="1"/>
      <c r="L9" s="9"/>
      <c r="M9" s="10"/>
      <c r="N9" s="6"/>
      <c r="O9" s="6"/>
      <c r="P9" s="6"/>
      <c r="Q9" s="6"/>
      <c r="R9" s="6"/>
      <c r="S9" s="6"/>
      <c r="T9" s="7"/>
      <c r="U9" s="1"/>
      <c r="V9" s="1"/>
      <c r="W9" s="1"/>
      <c r="X9" s="1"/>
      <c r="Y9" s="1"/>
      <c r="Z9" s="1"/>
    </row>
    <row r="10" spans="1:26">
      <c r="A10" s="1"/>
      <c r="B10" s="1" t="s">
        <v>6</v>
      </c>
      <c r="C10" s="1"/>
      <c r="D10" s="1"/>
      <c r="E10" s="6">
        <f>'R&amp;D 20A'!F7+'R&amp;D 20A'!F8</f>
        <v>2898754.6433333335</v>
      </c>
      <c r="F10" s="1" t="s">
        <v>7</v>
      </c>
      <c r="G10" s="1"/>
      <c r="H10" s="1"/>
      <c r="I10" s="1"/>
      <c r="J10" s="1"/>
      <c r="K10" s="6"/>
      <c r="L10" s="9"/>
      <c r="M10" s="6"/>
      <c r="N10" s="6"/>
      <c r="O10" s="6"/>
      <c r="P10" s="1"/>
      <c r="Q10" s="1"/>
      <c r="R10" s="1"/>
      <c r="S10" s="6"/>
      <c r="T10" s="7"/>
      <c r="U10" s="1"/>
      <c r="V10" s="1"/>
      <c r="W10" s="1"/>
      <c r="X10" s="1"/>
      <c r="Y10" s="1"/>
      <c r="Z10" s="1"/>
    </row>
    <row r="11" spans="1:26">
      <c r="A11" s="2">
        <v>23031</v>
      </c>
      <c r="B11" s="1" t="s">
        <v>8</v>
      </c>
      <c r="C11" s="1"/>
      <c r="D11" s="1"/>
      <c r="E11" s="6" t="e">
        <f>VLOOKUP(A12,'TB LTD 12.22'!D:F,3,0)</f>
        <v>#N/A</v>
      </c>
      <c r="F11" s="1"/>
      <c r="G11" s="1"/>
      <c r="H11" s="1"/>
      <c r="I11" s="1"/>
      <c r="J11" s="1"/>
      <c r="K11" s="1"/>
      <c r="L11" s="9"/>
      <c r="M11" s="6"/>
      <c r="N11" s="6"/>
      <c r="O11" s="6"/>
      <c r="P11" s="1"/>
      <c r="Q11" s="1"/>
      <c r="R11" s="1"/>
      <c r="S11" s="6"/>
      <c r="T11" s="7"/>
      <c r="U11" s="1"/>
      <c r="V11" s="1"/>
      <c r="W11" s="1"/>
      <c r="X11" s="1"/>
      <c r="Y11" s="1"/>
      <c r="Z11" s="1"/>
    </row>
    <row r="12" spans="1:26">
      <c r="A12" s="2">
        <v>20060</v>
      </c>
      <c r="B12" s="1" t="s">
        <v>8</v>
      </c>
      <c r="C12" s="1"/>
      <c r="D12" s="1"/>
      <c r="E12" s="6" t="e">
        <f>VLOOKUP(A13,'TB LTD 12.22'!D:F,3,0)</f>
        <v>#N/A</v>
      </c>
      <c r="F12" s="1"/>
      <c r="G12" s="1"/>
      <c r="H12" s="1"/>
      <c r="I12" s="1"/>
      <c r="J12" s="1"/>
      <c r="K12" s="1"/>
      <c r="L12" s="9"/>
      <c r="M12" s="6"/>
      <c r="N12" s="6"/>
      <c r="O12" s="6"/>
      <c r="P12" s="1"/>
      <c r="Q12" s="1"/>
      <c r="R12" s="1"/>
      <c r="S12" s="6"/>
      <c r="T12" s="7"/>
      <c r="U12" s="1"/>
      <c r="V12" s="1"/>
      <c r="W12" s="1"/>
      <c r="X12" s="1"/>
      <c r="Y12" s="1"/>
      <c r="Z12" s="1"/>
    </row>
    <row r="13" spans="1:26">
      <c r="A13" s="2">
        <v>20048</v>
      </c>
      <c r="B13" s="1" t="s">
        <v>8</v>
      </c>
      <c r="C13" s="1"/>
      <c r="D13" s="1"/>
      <c r="E13" s="6" t="e">
        <f>VLOOKUP(A14,'TB LTD 12.22'!D:F,3,0)</f>
        <v>#N/A</v>
      </c>
      <c r="F13" s="1"/>
      <c r="G13" s="1"/>
      <c r="H13" s="1"/>
      <c r="I13" s="1"/>
      <c r="J13" s="1"/>
      <c r="K13" s="1"/>
      <c r="L13" s="9"/>
      <c r="M13" s="6"/>
      <c r="N13" s="6"/>
      <c r="O13" s="6"/>
      <c r="P13" s="1"/>
      <c r="Q13" s="1"/>
      <c r="R13" s="1"/>
      <c r="S13" s="6"/>
      <c r="T13" s="7"/>
      <c r="U13" s="1"/>
      <c r="V13" s="1"/>
      <c r="W13" s="1"/>
      <c r="X13" s="1"/>
      <c r="Y13" s="1"/>
      <c r="Z13" s="1"/>
    </row>
    <row r="14" spans="1:26">
      <c r="A14" s="1">
        <v>90017</v>
      </c>
      <c r="B14" s="1" t="s">
        <v>9</v>
      </c>
      <c r="C14" s="1"/>
      <c r="D14" s="1"/>
      <c r="E14" s="6" t="e">
        <f>VLOOKUP(A15,'TB LTD 12.22'!D:F,3,0)</f>
        <v>#N/A</v>
      </c>
      <c r="F14" s="1"/>
      <c r="G14" s="1"/>
      <c r="H14" s="1"/>
      <c r="I14" s="1"/>
      <c r="J14" s="1"/>
      <c r="K14" s="1"/>
      <c r="L14" s="9"/>
      <c r="M14" s="6"/>
      <c r="N14" s="6"/>
      <c r="O14" s="6"/>
      <c r="P14" s="1"/>
      <c r="Q14" s="1"/>
      <c r="R14" s="1"/>
      <c r="S14" s="6"/>
      <c r="T14" s="7"/>
      <c r="U14" s="1"/>
      <c r="V14" s="1"/>
      <c r="W14" s="1"/>
      <c r="X14" s="1"/>
      <c r="Y14" s="1"/>
      <c r="Z14" s="1"/>
    </row>
    <row r="15" spans="1:26">
      <c r="A15" s="1">
        <v>90018</v>
      </c>
      <c r="B15" s="1" t="s">
        <v>10</v>
      </c>
      <c r="C15" s="1"/>
      <c r="D15" s="1"/>
      <c r="E15" s="6" t="e">
        <f>VLOOKUP(A16,'TB LTD 12.22'!D:F,3,0)</f>
        <v>#N/A</v>
      </c>
      <c r="F15" s="1"/>
      <c r="G15" s="1"/>
      <c r="H15" s="1"/>
      <c r="I15" s="1"/>
      <c r="J15" s="1"/>
      <c r="K15" s="1"/>
      <c r="L15" s="9"/>
      <c r="M15" s="6"/>
      <c r="N15" s="6"/>
      <c r="O15" s="6"/>
      <c r="P15" s="1"/>
      <c r="Q15" s="1"/>
      <c r="R15" s="1"/>
      <c r="S15" s="6"/>
      <c r="T15" s="7"/>
      <c r="U15" s="1"/>
      <c r="V15" s="1"/>
      <c r="W15" s="1"/>
      <c r="X15" s="1"/>
      <c r="Y15" s="1"/>
      <c r="Z15" s="1"/>
    </row>
    <row r="16" spans="1:26">
      <c r="A16" s="12">
        <v>20024</v>
      </c>
      <c r="B16" s="1" t="s">
        <v>11</v>
      </c>
      <c r="C16" s="1"/>
      <c r="D16" s="1"/>
      <c r="E16" s="6" t="e">
        <f>VLOOKUP(A17,'TB LTD 12.22'!D:F,3,0)</f>
        <v>#N/A</v>
      </c>
      <c r="F16" s="13" t="s">
        <v>12</v>
      </c>
      <c r="G16" s="1"/>
      <c r="H16" s="1"/>
      <c r="I16" s="1"/>
      <c r="J16" s="1"/>
      <c r="K16" s="1"/>
      <c r="L16" s="9"/>
      <c r="M16" s="10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f>'[1]TB 12.2018'!C7</f>
        <v>20001</v>
      </c>
      <c r="B17" s="1" t="s">
        <v>13</v>
      </c>
      <c r="C17" s="1"/>
      <c r="D17" s="1"/>
      <c r="E17" s="6"/>
      <c r="F17" s="13"/>
      <c r="G17" s="1"/>
      <c r="H17" s="1"/>
      <c r="I17" s="1"/>
      <c r="J17" s="1"/>
      <c r="K17" s="1"/>
      <c r="L17" s="9"/>
      <c r="M17" s="10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 t="s">
        <v>14</v>
      </c>
      <c r="C18" s="1"/>
      <c r="D18" s="1"/>
      <c r="E18" s="6"/>
      <c r="F18" s="13"/>
      <c r="G18" s="1"/>
      <c r="H18" s="1"/>
      <c r="I18" s="1"/>
      <c r="J18" s="1"/>
      <c r="K18" s="1"/>
      <c r="L18" s="9"/>
      <c r="M18" s="10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 t="s">
        <v>15</v>
      </c>
      <c r="C19" s="1"/>
      <c r="D19" s="1"/>
      <c r="E19" s="6" t="e">
        <f>-'[2]FS ILS 12.20'!E72</f>
        <v>#REF!</v>
      </c>
      <c r="F19" s="13"/>
      <c r="G19" s="1"/>
      <c r="H19" s="1"/>
      <c r="I19" s="1"/>
      <c r="J19" s="1"/>
      <c r="K19" s="1"/>
      <c r="L19" s="9"/>
      <c r="M19" s="10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">
        <v>20039</v>
      </c>
      <c r="B20" s="1" t="s">
        <v>16</v>
      </c>
      <c r="C20" s="1"/>
      <c r="D20" s="1"/>
      <c r="E20" s="6" t="e">
        <f>VLOOKUP(A20,'[2]TB LTD 12.20'!$D:$F,3,FALSE)-17586.4</f>
        <v>#N/A</v>
      </c>
      <c r="F20" s="13"/>
      <c r="G20" s="1"/>
      <c r="H20" s="1"/>
      <c r="I20" s="1"/>
      <c r="J20" s="1"/>
      <c r="K20" s="1"/>
      <c r="L20" s="9"/>
      <c r="M20" s="10"/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">
        <v>20035</v>
      </c>
      <c r="B21" s="1" t="s">
        <v>17</v>
      </c>
      <c r="C21" s="1"/>
      <c r="D21" s="1"/>
      <c r="E21" s="15" t="e">
        <f>+VLOOKUP(A21,'[2]TB LTD 12.20'!$D:$F,3,FALSE)</f>
        <v>#N/A</v>
      </c>
      <c r="F21" s="1" t="s">
        <v>18</v>
      </c>
      <c r="G21" s="1"/>
      <c r="H21" s="1"/>
      <c r="I21" s="1"/>
      <c r="J21" s="1"/>
      <c r="K21" s="1"/>
      <c r="L21" s="9"/>
      <c r="M21" s="10"/>
      <c r="N21" s="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"/>
      <c r="B22" s="1"/>
      <c r="C22" s="1"/>
      <c r="D22" s="1"/>
      <c r="E22" s="6"/>
      <c r="F22" s="1"/>
      <c r="G22" s="1"/>
      <c r="H22" s="1"/>
      <c r="I22" s="1"/>
      <c r="J22" s="1"/>
      <c r="K22" s="1"/>
      <c r="L22" s="9"/>
      <c r="M22" s="10"/>
      <c r="N22" s="1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6" t="e">
        <f>SUM(E9:E21)</f>
        <v>#N/A</v>
      </c>
      <c r="F23" s="1"/>
      <c r="G23" s="1"/>
      <c r="H23" s="1"/>
      <c r="I23" s="1"/>
      <c r="J23" s="1"/>
      <c r="K23" s="1"/>
      <c r="L23" s="9"/>
      <c r="M23" s="10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6"/>
      <c r="F24" s="1"/>
      <c r="G24" s="1"/>
      <c r="H24" s="1"/>
      <c r="I24" s="1"/>
      <c r="J24" s="1"/>
      <c r="K24" s="1"/>
      <c r="L24" s="9"/>
      <c r="M24" s="10"/>
      <c r="N24" s="16" t="s">
        <v>19</v>
      </c>
      <c r="O24" s="17" t="s">
        <v>20</v>
      </c>
      <c r="P24" s="17"/>
      <c r="Q24" s="17" t="s">
        <v>21</v>
      </c>
      <c r="R24" s="17" t="s">
        <v>22</v>
      </c>
      <c r="S24" s="17" t="s">
        <v>23</v>
      </c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 t="s">
        <v>24</v>
      </c>
      <c r="C25" s="1"/>
      <c r="D25" s="1"/>
      <c r="E25" s="6">
        <v>-4245210</v>
      </c>
      <c r="F25" s="1"/>
      <c r="G25" s="1"/>
      <c r="H25" s="1"/>
      <c r="I25" s="1"/>
      <c r="J25" s="1"/>
      <c r="K25" s="1"/>
      <c r="L25" s="9"/>
      <c r="M25" s="10"/>
      <c r="N25" s="2">
        <v>20014</v>
      </c>
      <c r="O25" s="2" t="s">
        <v>25</v>
      </c>
      <c r="P25" s="1"/>
      <c r="Q25" s="18" t="s">
        <v>26</v>
      </c>
      <c r="R25" s="19"/>
      <c r="S25" s="18" t="e">
        <f>+Q25*0.2</f>
        <v>#VALUE!</v>
      </c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5"/>
      <c r="F26" s="1"/>
      <c r="G26" s="1"/>
      <c r="H26" s="1"/>
      <c r="I26" s="1"/>
      <c r="J26" s="1"/>
      <c r="K26" s="1"/>
      <c r="L26" s="9"/>
      <c r="M26" s="10"/>
      <c r="N26" s="2">
        <v>20021</v>
      </c>
      <c r="O26" s="2" t="s">
        <v>27</v>
      </c>
      <c r="P26" s="2">
        <v>90015</v>
      </c>
      <c r="Q26" s="18" t="s">
        <v>26</v>
      </c>
      <c r="R26" s="19" t="s">
        <v>26</v>
      </c>
      <c r="S26" s="18" t="e">
        <f t="shared" ref="S26:S27" si="0">+Q26-R26</f>
        <v>#VALUE!</v>
      </c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 t="s">
        <v>28</v>
      </c>
      <c r="C27" s="1"/>
      <c r="D27" s="1"/>
      <c r="E27" s="20" t="e">
        <f>E6+E23+E25</f>
        <v>#N/A</v>
      </c>
      <c r="F27" s="6" t="e">
        <f>-E27+E25</f>
        <v>#N/A</v>
      </c>
      <c r="G27" s="1"/>
      <c r="H27" s="1"/>
      <c r="I27" s="1"/>
      <c r="J27" s="1"/>
      <c r="K27" s="1"/>
      <c r="L27" s="9"/>
      <c r="M27" s="10"/>
      <c r="N27" s="2">
        <v>20024</v>
      </c>
      <c r="O27" s="2" t="s">
        <v>11</v>
      </c>
      <c r="P27" s="2">
        <v>90012</v>
      </c>
      <c r="Q27" s="18" t="s">
        <v>26</v>
      </c>
      <c r="R27" s="19" t="s">
        <v>26</v>
      </c>
      <c r="S27" s="18" t="e">
        <f t="shared" si="0"/>
        <v>#VALUE!</v>
      </c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9"/>
      <c r="M28" s="10"/>
      <c r="N28" s="2">
        <v>20036</v>
      </c>
      <c r="O28" s="2" t="s">
        <v>29</v>
      </c>
      <c r="P28" s="1"/>
      <c r="Q28" s="18" t="s">
        <v>26</v>
      </c>
      <c r="R28" s="19"/>
      <c r="S28" s="18" t="str">
        <f t="shared" ref="S28:S29" si="1">+Q28</f>
        <v>#REF!</v>
      </c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 t="s">
        <v>30</v>
      </c>
      <c r="C29" s="1"/>
      <c r="D29" s="1"/>
      <c r="E29" s="6" t="e">
        <f>+E20</f>
        <v>#N/A</v>
      </c>
      <c r="F29" s="6" t="e">
        <f>+E27-E29</f>
        <v>#N/A</v>
      </c>
      <c r="G29" s="1"/>
      <c r="H29" s="1"/>
      <c r="I29" s="1"/>
      <c r="J29" s="1"/>
      <c r="K29" s="1"/>
      <c r="L29" s="9"/>
      <c r="M29" s="10"/>
      <c r="N29" s="2">
        <v>20041</v>
      </c>
      <c r="O29" s="2" t="s">
        <v>31</v>
      </c>
      <c r="P29" s="1"/>
      <c r="Q29" s="18" t="s">
        <v>26</v>
      </c>
      <c r="R29" s="19"/>
      <c r="S29" s="18" t="str">
        <f t="shared" si="1"/>
        <v>#REF!</v>
      </c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9"/>
      <c r="M30" s="10"/>
      <c r="N30" s="1"/>
      <c r="O30" s="1"/>
      <c r="P30" s="1"/>
      <c r="Q30" s="1"/>
      <c r="R30" s="1"/>
      <c r="S30" s="21" t="e">
        <f>0.45*SUM(S25:S29)</f>
        <v>#VALUE!</v>
      </c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9"/>
      <c r="M31" s="10"/>
      <c r="N31" s="22"/>
      <c r="O31" s="1"/>
      <c r="P31" s="1"/>
      <c r="Q31" s="6"/>
      <c r="R31" s="6"/>
      <c r="S31" s="6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3"/>
      <c r="C32" s="24" t="s">
        <v>32</v>
      </c>
      <c r="D32" s="24" t="s">
        <v>33</v>
      </c>
      <c r="E32" s="25" t="s">
        <v>34</v>
      </c>
      <c r="F32" s="26"/>
      <c r="G32" s="1"/>
      <c r="H32" s="1"/>
      <c r="I32" s="1"/>
      <c r="J32" s="1"/>
      <c r="K32" s="1"/>
      <c r="L32" s="9"/>
      <c r="M32" s="10"/>
      <c r="N32" s="22"/>
      <c r="O32" s="1"/>
      <c r="P32" s="1"/>
      <c r="Q32" s="6"/>
      <c r="R32" s="6"/>
      <c r="S32" s="6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7" t="s">
        <v>35</v>
      </c>
      <c r="C33" s="28" t="e">
        <f>+D33/'[2]FS USD 12.20'!$I$1</f>
        <v>#N/A</v>
      </c>
      <c r="D33" s="28" t="e">
        <f>-E27*E33</f>
        <v>#N/A</v>
      </c>
      <c r="E33" s="29">
        <v>0.12</v>
      </c>
      <c r="F33" s="30"/>
      <c r="G33" s="1"/>
      <c r="H33" s="1"/>
      <c r="I33" s="1"/>
      <c r="J33" s="1"/>
      <c r="K33" s="1"/>
      <c r="L33" s="9"/>
      <c r="M33" s="10"/>
      <c r="N33" s="22"/>
      <c r="O33" s="1"/>
      <c r="P33" s="1"/>
      <c r="Q33" s="6"/>
      <c r="R33" s="6"/>
      <c r="S33" s="6"/>
      <c r="T33" s="1"/>
      <c r="U33" s="1"/>
      <c r="V33" s="1"/>
      <c r="W33" s="1"/>
      <c r="X33" s="1"/>
      <c r="Y33" s="1"/>
      <c r="Z33" s="1"/>
    </row>
    <row r="34" spans="1:26" ht="15.75" customHeight="1">
      <c r="A34" s="2">
        <v>90017</v>
      </c>
      <c r="B34" s="27" t="s">
        <v>36</v>
      </c>
      <c r="C34" s="28" t="s">
        <v>26</v>
      </c>
      <c r="D34" s="28" t="e">
        <f>-VLOOKUP(A34,'[2]TB LTD 12.20'!$D:$F,3,FALSE)*$E$34</f>
        <v>#N/A</v>
      </c>
      <c r="E34" s="29">
        <v>0.12</v>
      </c>
      <c r="F34" s="30"/>
      <c r="G34" s="1"/>
      <c r="H34" s="1"/>
      <c r="I34" s="1"/>
      <c r="J34" s="1"/>
      <c r="K34" s="1"/>
      <c r="L34" s="9"/>
      <c r="M34" s="10"/>
      <c r="N34" s="14"/>
      <c r="O34" s="1" t="s">
        <v>37</v>
      </c>
      <c r="P34" s="1"/>
      <c r="Q34" s="6"/>
      <c r="R34" s="6"/>
      <c r="S34" s="6"/>
      <c r="T34" s="1"/>
      <c r="U34" s="1"/>
      <c r="V34" s="1"/>
      <c r="W34" s="1"/>
      <c r="X34" s="1"/>
      <c r="Y34" s="1"/>
      <c r="Z34" s="1"/>
    </row>
    <row r="35" spans="1:26" ht="15.75" customHeight="1">
      <c r="A35" s="2">
        <v>90018</v>
      </c>
      <c r="B35" s="27" t="s">
        <v>38</v>
      </c>
      <c r="C35" s="28" t="s">
        <v>26</v>
      </c>
      <c r="D35" s="28" t="e">
        <f>-VLOOKUP(A35,'[2]TB LTD 12.20'!$D:$F,3,FALSE)*$E$35</f>
        <v>#N/A</v>
      </c>
      <c r="E35" s="29">
        <v>0.12</v>
      </c>
      <c r="F35" s="30"/>
      <c r="G35" s="1"/>
      <c r="H35" s="1"/>
      <c r="I35" s="1"/>
      <c r="J35" s="1"/>
      <c r="K35" s="1"/>
      <c r="L35" s="9"/>
      <c r="M35" s="10"/>
      <c r="N35" s="3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2" t="s">
        <v>39</v>
      </c>
      <c r="C36" s="33" t="e">
        <f>+D36/'[2]FS USD 12.20'!$I$1</f>
        <v>#REF!</v>
      </c>
      <c r="D36" s="33">
        <f>+SUM(M9:N10)*E36</f>
        <v>0</v>
      </c>
      <c r="E36" s="34">
        <v>0.12</v>
      </c>
      <c r="F36" s="35"/>
      <c r="G36" s="1"/>
      <c r="H36" s="1"/>
      <c r="I36" s="1"/>
      <c r="J36" s="1"/>
      <c r="K36" s="1"/>
      <c r="L36" s="9"/>
      <c r="M36" s="10"/>
      <c r="N36" s="36" t="s">
        <v>40</v>
      </c>
      <c r="O36" s="6" t="e">
        <f>-'[2]FS ILS 12.20'!E60</f>
        <v>#REF!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7"/>
      <c r="J37" s="1"/>
      <c r="K37" s="1"/>
      <c r="L37" s="1"/>
      <c r="M37" s="1"/>
      <c r="N37" s="1"/>
      <c r="O37" s="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>
        <v>23012</v>
      </c>
      <c r="N38" s="2" t="s">
        <v>41</v>
      </c>
      <c r="O38" s="6" t="s">
        <v>26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>
        <v>23011</v>
      </c>
      <c r="N39" s="2" t="s">
        <v>42</v>
      </c>
      <c r="O39" s="6" t="s">
        <v>26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43</v>
      </c>
      <c r="N40" s="37" t="s">
        <v>8</v>
      </c>
      <c r="O40" s="6" t="e">
        <f>-E11</f>
        <v>#N/A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8" t="e">
        <f>SUM(O36:O40)</f>
        <v>#REF!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9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39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39"/>
      <c r="P46" s="19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  <c r="O47" s="39"/>
      <c r="P47" s="19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2"/>
      <c r="P48" s="1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"/>
      <c r="O49" s="2"/>
      <c r="P49" s="19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  <c r="P50" s="1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"/>
      <c r="O51" s="2"/>
      <c r="P51" s="1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"/>
      <c r="O52" s="2"/>
      <c r="P52" s="19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849F-0E14-8949-AA68-1CF28E1F3982}">
  <sheetPr codeName="Sheet2"/>
  <dimension ref="B1:V129"/>
  <sheetViews>
    <sheetView workbookViewId="0">
      <selection activeCell="F8" sqref="F8"/>
    </sheetView>
  </sheetViews>
  <sheetFormatPr defaultColWidth="10.85546875" defaultRowHeight="12.75"/>
  <cols>
    <col min="1" max="1" width="6.42578125" style="354" customWidth="1"/>
    <col min="2" max="2" width="34" style="354" customWidth="1"/>
    <col min="3" max="3" width="13.42578125" style="602" customWidth="1"/>
    <col min="4" max="9" width="13.42578125" style="354" customWidth="1"/>
    <col min="10" max="11" width="10.85546875" style="354" customWidth="1"/>
    <col min="12" max="13" width="15.42578125" style="354" customWidth="1"/>
    <col min="14" max="14" width="13.140625" style="354" customWidth="1"/>
    <col min="15" max="15" width="17.85546875" style="354" customWidth="1"/>
    <col min="16" max="17" width="10.140625" style="354" customWidth="1"/>
    <col min="18" max="18" width="14.140625" style="354" customWidth="1"/>
    <col min="19" max="19" width="15.85546875" style="354" customWidth="1"/>
    <col min="20" max="16384" width="10.85546875" style="354"/>
  </cols>
  <sheetData>
    <row r="1" spans="2:22">
      <c r="B1" s="591"/>
      <c r="C1" s="592" t="s">
        <v>1587</v>
      </c>
      <c r="D1" s="354" t="s">
        <v>1588</v>
      </c>
      <c r="E1" s="354" t="s">
        <v>1589</v>
      </c>
      <c r="F1" s="354" t="s">
        <v>1590</v>
      </c>
      <c r="G1" s="354" t="s">
        <v>1591</v>
      </c>
      <c r="H1" s="354" t="s">
        <v>1592</v>
      </c>
      <c r="I1" s="354" t="s">
        <v>1593</v>
      </c>
      <c r="J1" s="354" t="s">
        <v>1594</v>
      </c>
      <c r="K1" s="354" t="s">
        <v>1595</v>
      </c>
      <c r="L1" s="354" t="s">
        <v>1596</v>
      </c>
      <c r="M1" s="354" t="s">
        <v>1597</v>
      </c>
      <c r="N1" s="354" t="s">
        <v>1598</v>
      </c>
    </row>
    <row r="2" spans="2:22">
      <c r="B2" s="593"/>
      <c r="C2" s="594"/>
    </row>
    <row r="3" spans="2:22">
      <c r="B3" s="593"/>
      <c r="C3" s="594"/>
      <c r="E3" s="595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</row>
    <row r="4" spans="2:22">
      <c r="B4" s="596" t="s">
        <v>1599</v>
      </c>
      <c r="C4" s="594" t="s">
        <v>1600</v>
      </c>
    </row>
    <row r="5" spans="2:22">
      <c r="B5" s="597"/>
      <c r="C5" s="598"/>
      <c r="F5" s="595"/>
      <c r="O5" s="608"/>
    </row>
    <row r="6" spans="2:22">
      <c r="B6" s="433" t="s">
        <v>1466</v>
      </c>
      <c r="C6" s="599">
        <v>-8464.2360000000008</v>
      </c>
      <c r="D6" s="600">
        <v>-8214.9615999999987</v>
      </c>
      <c r="E6" s="600">
        <v>-7864.6015400000006</v>
      </c>
      <c r="F6" s="600">
        <v>-6635.6997900000006</v>
      </c>
      <c r="G6" s="600">
        <v>-6367.178189999996</v>
      </c>
      <c r="H6" s="600">
        <v>-5679.5025600000026</v>
      </c>
      <c r="I6" s="600">
        <v>-6074.072210000003</v>
      </c>
      <c r="J6" s="600">
        <v>-6044.8198199999988</v>
      </c>
      <c r="K6" s="600">
        <v>-5718.7636700000039</v>
      </c>
      <c r="L6" s="600">
        <v>-5812.911379999995</v>
      </c>
      <c r="M6" s="600">
        <v>-5945.4744400000036</v>
      </c>
      <c r="N6" s="600">
        <v>-7092.0164999999943</v>
      </c>
      <c r="O6" s="603">
        <f t="shared" ref="O6:O13" si="0">SUM(C6:N6)</f>
        <v>-79914.237699999998</v>
      </c>
      <c r="P6" s="595"/>
      <c r="Q6" s="595"/>
      <c r="R6" s="595"/>
    </row>
    <row r="7" spans="2:22">
      <c r="B7" s="433" t="s">
        <v>1467</v>
      </c>
      <c r="C7" s="599">
        <v>-7708.4674199999999</v>
      </c>
      <c r="D7" s="600">
        <v>-8023.2407000000003</v>
      </c>
      <c r="E7" s="600">
        <v>-8567.4289499999995</v>
      </c>
      <c r="F7" s="600">
        <v>-2482.4600599999999</v>
      </c>
      <c r="G7" s="600">
        <v>-549.67161999999996</v>
      </c>
      <c r="H7" s="600">
        <v>-588.54806000000008</v>
      </c>
      <c r="I7" s="600">
        <v>-772.40201999999999</v>
      </c>
      <c r="J7" s="600">
        <v>-698.99656000000004</v>
      </c>
      <c r="K7" s="600">
        <v>-569.8620699999999</v>
      </c>
      <c r="L7" s="600">
        <v>-633.74311999999998</v>
      </c>
      <c r="M7" s="600">
        <v>-651.10238000000004</v>
      </c>
      <c r="N7" s="600">
        <v>-795.55018000000007</v>
      </c>
      <c r="O7" s="603">
        <f t="shared" si="0"/>
        <v>-32041.473139999998</v>
      </c>
      <c r="P7" s="601"/>
      <c r="Q7" s="601"/>
      <c r="R7" s="601"/>
    </row>
    <row r="8" spans="2:22">
      <c r="B8" s="433" t="s">
        <v>1468</v>
      </c>
      <c r="C8" s="599">
        <v>-11.161</v>
      </c>
      <c r="D8" s="600">
        <v>-15.068</v>
      </c>
      <c r="E8" s="600">
        <v>-913.23003000000006</v>
      </c>
      <c r="F8" s="600">
        <v>-6763.3306600000005</v>
      </c>
      <c r="G8" s="600">
        <v>-8302.2734700000001</v>
      </c>
      <c r="H8" s="600">
        <v>-7566.9064799999987</v>
      </c>
      <c r="I8" s="600">
        <v>-8300.8356200000017</v>
      </c>
      <c r="J8" s="600">
        <v>-8661.6739999999954</v>
      </c>
      <c r="K8" s="600">
        <v>-8403.4179999999997</v>
      </c>
      <c r="L8" s="600">
        <v>-9039.2489999999998</v>
      </c>
      <c r="M8" s="600">
        <v>-9231.4050000000188</v>
      </c>
      <c r="N8" s="600">
        <v>-11230.574999999997</v>
      </c>
      <c r="O8" s="603">
        <f t="shared" si="0"/>
        <v>-78439.126260000005</v>
      </c>
      <c r="P8" s="595"/>
      <c r="Q8" s="595"/>
      <c r="R8" s="601"/>
    </row>
    <row r="9" spans="2:22">
      <c r="B9" s="433" t="s">
        <v>1469</v>
      </c>
      <c r="C9" s="599">
        <v>-10287.134109999999</v>
      </c>
      <c r="D9" s="600">
        <v>-9723.4637600000024</v>
      </c>
      <c r="E9" s="600">
        <v>-11979.490939999998</v>
      </c>
      <c r="F9" s="600">
        <v>-10840.92073</v>
      </c>
      <c r="G9" s="600">
        <v>-11149.886340000003</v>
      </c>
      <c r="H9" s="600">
        <v>-10416.311849999998</v>
      </c>
      <c r="I9" s="600">
        <v>-11524.237219999999</v>
      </c>
      <c r="J9" s="600">
        <v>-11540.062199999998</v>
      </c>
      <c r="K9" s="600">
        <v>-11056.224610000003</v>
      </c>
      <c r="L9" s="600">
        <v>-11555.782670000002</v>
      </c>
      <c r="M9" s="600">
        <v>-11900.452639999981</v>
      </c>
      <c r="N9" s="600">
        <v>-14063.502290000026</v>
      </c>
      <c r="O9" s="603">
        <f t="shared" si="0"/>
        <v>-136037.46936000002</v>
      </c>
      <c r="P9" s="595"/>
      <c r="Q9" s="595"/>
      <c r="R9" s="601"/>
      <c r="V9" s="360"/>
    </row>
    <row r="10" spans="2:22">
      <c r="B10" s="433" t="s">
        <v>1503</v>
      </c>
      <c r="C10" s="599">
        <v>0</v>
      </c>
      <c r="D10" s="600">
        <v>-8.9999999999999993E-3</v>
      </c>
      <c r="E10" s="600">
        <v>-668.64639999999997</v>
      </c>
      <c r="F10" s="600">
        <v>-1421.1699300000002</v>
      </c>
      <c r="G10" s="600">
        <v>-1898.0734299999997</v>
      </c>
      <c r="H10" s="600">
        <v>-2037.7415499999993</v>
      </c>
      <c r="I10" s="600">
        <v>-2256.9942600000013</v>
      </c>
      <c r="J10" s="600">
        <v>-2872.6410100000003</v>
      </c>
      <c r="K10" s="600">
        <v>-2934.0621899999992</v>
      </c>
      <c r="L10" s="600">
        <v>-3108.4732199999994</v>
      </c>
      <c r="M10" s="600">
        <v>-3325.7385000000013</v>
      </c>
      <c r="N10" s="600">
        <v>-3863.4214000000006</v>
      </c>
      <c r="O10" s="603">
        <f t="shared" si="0"/>
        <v>-24386.970889999997</v>
      </c>
      <c r="P10" s="595"/>
      <c r="Q10" s="595"/>
      <c r="R10" s="601"/>
      <c r="V10" s="360"/>
    </row>
    <row r="11" spans="2:22">
      <c r="B11" s="433" t="s">
        <v>1601</v>
      </c>
      <c r="C11" s="600"/>
      <c r="D11" s="600"/>
      <c r="E11" s="600"/>
      <c r="F11" s="600"/>
      <c r="G11" s="600"/>
      <c r="H11" s="600"/>
      <c r="I11" s="600"/>
      <c r="J11" s="600"/>
      <c r="K11" s="600"/>
      <c r="L11" s="600"/>
      <c r="M11" s="603">
        <v>366</v>
      </c>
      <c r="N11" s="603">
        <v>1038.077</v>
      </c>
      <c r="O11" s="603">
        <f t="shared" si="0"/>
        <v>1404.077</v>
      </c>
      <c r="P11" s="595"/>
      <c r="Q11" s="595"/>
      <c r="R11" s="601"/>
      <c r="V11" s="360"/>
    </row>
    <row r="12" spans="2:22">
      <c r="B12" s="433" t="s">
        <v>1602</v>
      </c>
      <c r="C12" s="733">
        <v>-2.4</v>
      </c>
      <c r="D12" s="600">
        <v>-18.600000000000001</v>
      </c>
      <c r="E12" s="600">
        <v>-24.3</v>
      </c>
      <c r="F12" s="600">
        <v>-23.6</v>
      </c>
      <c r="G12" s="600">
        <v>-23.199000000000002</v>
      </c>
      <c r="H12" s="600">
        <v>-23.6</v>
      </c>
      <c r="I12" s="732">
        <v>-27.4</v>
      </c>
      <c r="J12" s="600">
        <v>-24.9</v>
      </c>
      <c r="K12" s="600">
        <v>-20.8</v>
      </c>
      <c r="L12" s="600">
        <v>-23.1</v>
      </c>
      <c r="M12" s="600">
        <v>-16.899999999999999</v>
      </c>
      <c r="N12" s="600">
        <v>-20.6</v>
      </c>
      <c r="O12" s="600">
        <f t="shared" si="0"/>
        <v>-249.39900000000003</v>
      </c>
      <c r="V12" s="360"/>
    </row>
    <row r="13" spans="2:22">
      <c r="B13" s="433" t="s">
        <v>1523</v>
      </c>
      <c r="C13" s="603">
        <v>997.21699999999998</v>
      </c>
      <c r="D13" s="603">
        <v>952.53700000000003</v>
      </c>
      <c r="E13" s="603">
        <v>1069.4290000000001</v>
      </c>
      <c r="F13" s="603">
        <v>940.66399999999999</v>
      </c>
      <c r="G13" s="603">
        <v>926.09500000000003</v>
      </c>
      <c r="H13" s="603">
        <v>878.43600000000004</v>
      </c>
      <c r="I13" s="603">
        <v>946.38400000000001</v>
      </c>
      <c r="J13" s="603">
        <v>929.88300000000004</v>
      </c>
      <c r="K13" s="603">
        <v>770.86599999999999</v>
      </c>
      <c r="L13" s="603">
        <v>855.649</v>
      </c>
      <c r="M13" s="603">
        <v>531</v>
      </c>
      <c r="N13" s="603">
        <f>30+181</f>
        <v>211</v>
      </c>
      <c r="O13" s="603">
        <f t="shared" si="0"/>
        <v>10009.159999999998</v>
      </c>
    </row>
    <row r="14" spans="2:22" ht="15">
      <c r="B14" s="605"/>
      <c r="C14" s="592"/>
      <c r="P14" s="607"/>
      <c r="Q14" s="607"/>
    </row>
    <row r="15" spans="2:22" ht="15">
      <c r="B15" s="605" t="str">
        <f>'P&amp;L LTD  USD'!C8</f>
        <v>withdrawals</v>
      </c>
      <c r="C15" s="731">
        <v>316.55099999999999</v>
      </c>
      <c r="D15" s="515">
        <v>223.42657</v>
      </c>
      <c r="E15" s="515">
        <v>267.68416999999999</v>
      </c>
      <c r="F15" s="515">
        <v>167.10198</v>
      </c>
      <c r="G15" s="515">
        <v>153.64264</v>
      </c>
      <c r="H15" s="515">
        <v>233.62135999999998</v>
      </c>
      <c r="I15" s="515">
        <v>200.58034000000001</v>
      </c>
      <c r="J15" s="515">
        <v>199.29227</v>
      </c>
      <c r="K15" s="515">
        <v>186.66176999999999</v>
      </c>
      <c r="L15" s="515">
        <v>264.48114000000004</v>
      </c>
      <c r="M15" s="515">
        <v>299.47245000000004</v>
      </c>
      <c r="N15" s="515">
        <v>554.15426000000002</v>
      </c>
      <c r="O15" s="595">
        <f>'P&amp;L LTD  USD'!F8/1000</f>
        <v>3066.66995</v>
      </c>
      <c r="P15" s="604"/>
      <c r="Q15" s="604"/>
    </row>
    <row r="16" spans="2:22" ht="15">
      <c r="B16" s="605" t="str">
        <f>'P&amp;L LTD  USD'!C7</f>
        <v xml:space="preserve">Net Cash </v>
      </c>
      <c r="C16" s="515">
        <v>418.74700000000001</v>
      </c>
      <c r="D16" s="515">
        <v>411.42500000000001</v>
      </c>
      <c r="E16" s="515">
        <v>463.66699999999997</v>
      </c>
      <c r="F16" s="515">
        <v>414.13799999999998</v>
      </c>
      <c r="G16" s="515">
        <v>244.82400000000001</v>
      </c>
      <c r="H16" s="515">
        <v>421.94400000000002</v>
      </c>
      <c r="I16" s="515">
        <v>538.70399999999995</v>
      </c>
      <c r="J16" s="515">
        <v>431.387</v>
      </c>
      <c r="K16" s="515">
        <v>394.87726999999995</v>
      </c>
      <c r="L16" s="515">
        <v>287.31728000000004</v>
      </c>
      <c r="M16" s="515">
        <v>511.67243999999999</v>
      </c>
      <c r="N16" s="515">
        <v>392.65547999999995</v>
      </c>
      <c r="O16" s="595">
        <f>'P&amp;L LTD  USD'!F7/1000</f>
        <v>4931.3584700000001</v>
      </c>
      <c r="P16" s="606"/>
      <c r="Q16" s="606"/>
    </row>
    <row r="17" spans="2:15" ht="15">
      <c r="B17" s="605" t="str">
        <f>'P&amp;L LTD  USD'!C6</f>
        <v xml:space="preserve">ads revenue </v>
      </c>
      <c r="C17" s="515">
        <v>-207.63259000000002</v>
      </c>
      <c r="D17" s="515">
        <v>-197.12698999999998</v>
      </c>
      <c r="E17" s="515">
        <v>-212.44853000000003</v>
      </c>
      <c r="F17" s="515">
        <v>-208.6662</v>
      </c>
      <c r="G17" s="515">
        <v>-219.74985999999998</v>
      </c>
      <c r="H17" s="515">
        <v>-214.47608000000002</v>
      </c>
      <c r="I17" s="515">
        <v>-256.15021999999976</v>
      </c>
      <c r="J17" s="515">
        <v>-217.27895000000001</v>
      </c>
      <c r="K17" s="515">
        <v>-225.66554000000002</v>
      </c>
      <c r="L17" s="515">
        <v>-220.16938000000002</v>
      </c>
      <c r="M17" s="515">
        <v>-206.10496999999998</v>
      </c>
      <c r="N17" s="515">
        <v>-215.09990999999991</v>
      </c>
      <c r="O17" s="595">
        <f>'P&amp;L LTD  USD'!F6/1000</f>
        <v>-2600.5692200000008</v>
      </c>
    </row>
    <row r="18" spans="2:15" ht="15">
      <c r="B18" s="605"/>
      <c r="C18" s="595"/>
      <c r="D18" s="595"/>
      <c r="E18" s="595"/>
      <c r="F18" s="595"/>
      <c r="G18" s="595"/>
      <c r="H18" s="595"/>
      <c r="I18" s="595"/>
      <c r="J18" s="595"/>
      <c r="K18" s="595"/>
      <c r="L18" s="595"/>
      <c r="M18" s="595"/>
      <c r="N18" s="595"/>
      <c r="O18" s="595"/>
    </row>
    <row r="19" spans="2:15" ht="15.75" thickBot="1">
      <c r="B19" s="609" t="s">
        <v>1538</v>
      </c>
      <c r="C19" s="610"/>
      <c r="D19" s="610"/>
      <c r="E19" s="610"/>
      <c r="F19" s="610"/>
      <c r="G19" s="610"/>
      <c r="H19" s="610"/>
      <c r="I19" s="610"/>
      <c r="J19" s="610"/>
      <c r="K19" s="610"/>
      <c r="L19" s="610"/>
      <c r="M19" s="610"/>
      <c r="N19" s="610"/>
      <c r="O19" s="611">
        <f>SUM(O5:O17)</f>
        <v>-334257.98015000002</v>
      </c>
    </row>
    <row r="20" spans="2:15" ht="15.75" thickTop="1">
      <c r="B20" s="605"/>
      <c r="C20" s="354"/>
      <c r="O20" s="515"/>
    </row>
    <row r="21" spans="2:15" ht="12.95" hidden="1" customHeight="1">
      <c r="B21" s="605"/>
      <c r="C21" s="354"/>
      <c r="O21" s="515"/>
    </row>
    <row r="22" spans="2:15" ht="12.95" hidden="1" customHeight="1">
      <c r="B22" s="605"/>
      <c r="C22" s="354"/>
      <c r="O22" s="515"/>
    </row>
    <row r="23" spans="2:15" ht="12.95" hidden="1" customHeight="1">
      <c r="B23" s="605"/>
      <c r="C23" s="354"/>
      <c r="O23" s="515"/>
    </row>
    <row r="24" spans="2:15" ht="12.95" hidden="1" customHeight="1">
      <c r="B24" s="605"/>
      <c r="C24" s="354"/>
      <c r="O24" s="515"/>
    </row>
    <row r="25" spans="2:15" ht="12.95" hidden="1" customHeight="1">
      <c r="B25" s="605"/>
      <c r="C25" s="354"/>
      <c r="O25" s="515"/>
    </row>
    <row r="26" spans="2:15" ht="12.95" hidden="1" customHeight="1">
      <c r="B26" s="605"/>
      <c r="C26" s="354"/>
      <c r="O26" s="515"/>
    </row>
    <row r="27" spans="2:15" ht="12.95" hidden="1" customHeight="1">
      <c r="B27" s="605"/>
      <c r="C27" s="354"/>
      <c r="O27" s="515"/>
    </row>
    <row r="28" spans="2:15" ht="12.95" hidden="1" customHeight="1">
      <c r="B28" s="605"/>
      <c r="C28" s="354"/>
      <c r="O28" s="515"/>
    </row>
    <row r="29" spans="2:15" ht="12.95" hidden="1" customHeight="1">
      <c r="B29" s="605"/>
      <c r="C29" s="354"/>
      <c r="O29" s="515"/>
    </row>
    <row r="30" spans="2:15" ht="12.95" hidden="1" customHeight="1">
      <c r="B30" s="605"/>
      <c r="C30" s="354"/>
      <c r="O30" s="515"/>
    </row>
    <row r="31" spans="2:15" ht="12.95" hidden="1" customHeight="1">
      <c r="B31" s="605"/>
      <c r="C31" s="354"/>
      <c r="O31" s="515"/>
    </row>
    <row r="32" spans="2:15" ht="12.95" hidden="1" customHeight="1">
      <c r="B32" s="605"/>
      <c r="C32" s="354"/>
      <c r="O32" s="515"/>
    </row>
    <row r="33" spans="2:15" ht="12.95" hidden="1" customHeight="1">
      <c r="B33" s="605"/>
      <c r="C33" s="354"/>
      <c r="O33" s="515"/>
    </row>
    <row r="34" spans="2:15" ht="12.95" hidden="1" customHeight="1">
      <c r="B34" s="605"/>
      <c r="C34" s="354"/>
      <c r="O34" s="515"/>
    </row>
    <row r="35" spans="2:15" ht="12.95" hidden="1" customHeight="1">
      <c r="B35" s="605"/>
      <c r="C35" s="354"/>
      <c r="O35" s="515"/>
    </row>
    <row r="36" spans="2:15" ht="12.95" hidden="1" customHeight="1">
      <c r="B36" s="605"/>
      <c r="C36" s="354"/>
      <c r="O36" s="515"/>
    </row>
    <row r="37" spans="2:15" ht="12.95" hidden="1" customHeight="1">
      <c r="B37" s="605"/>
      <c r="C37" s="354"/>
      <c r="O37" s="515"/>
    </row>
    <row r="38" spans="2:15" ht="12.95" hidden="1" customHeight="1">
      <c r="B38" s="605"/>
      <c r="C38" s="354"/>
      <c r="O38" s="515"/>
    </row>
    <row r="39" spans="2:15" ht="12.95" hidden="1" customHeight="1">
      <c r="B39" s="605"/>
      <c r="C39" s="354"/>
      <c r="O39" s="515"/>
    </row>
    <row r="40" spans="2:15" ht="12.95" hidden="1" customHeight="1">
      <c r="B40" s="605"/>
      <c r="C40" s="354"/>
      <c r="O40" s="515"/>
    </row>
    <row r="41" spans="2:15" ht="12.95" hidden="1" customHeight="1">
      <c r="B41" s="605"/>
      <c r="C41" s="354"/>
      <c r="O41" s="515"/>
    </row>
    <row r="42" spans="2:15" ht="12.95" hidden="1" customHeight="1">
      <c r="B42" s="605"/>
      <c r="C42" s="354"/>
      <c r="O42" s="515"/>
    </row>
    <row r="43" spans="2:15" ht="12.95" hidden="1" customHeight="1">
      <c r="B43" s="605"/>
      <c r="C43" s="354"/>
      <c r="O43" s="515"/>
    </row>
    <row r="44" spans="2:15" ht="12.95" hidden="1" customHeight="1">
      <c r="B44" s="605"/>
      <c r="C44" s="354"/>
      <c r="O44" s="515"/>
    </row>
    <row r="45" spans="2:15" ht="14.1" hidden="1" customHeight="1">
      <c r="B45" s="605"/>
      <c r="C45" s="354"/>
      <c r="O45" s="515"/>
    </row>
    <row r="46" spans="2:15" ht="14.1" hidden="1" customHeight="1">
      <c r="B46" s="605"/>
      <c r="C46" s="354"/>
      <c r="O46" s="515"/>
    </row>
    <row r="47" spans="2:15" ht="12.95" hidden="1" customHeight="1">
      <c r="B47" s="605"/>
      <c r="C47" s="354"/>
      <c r="O47" s="515"/>
    </row>
    <row r="48" spans="2:15" ht="12.95" hidden="1" customHeight="1">
      <c r="B48" s="605"/>
      <c r="C48" s="354"/>
      <c r="O48" s="515"/>
    </row>
    <row r="49" spans="2:15" ht="12.95" hidden="1" customHeight="1">
      <c r="B49" s="605"/>
      <c r="C49" s="354"/>
      <c r="O49" s="515"/>
    </row>
    <row r="50" spans="2:15" ht="12.95" hidden="1" customHeight="1">
      <c r="B50" s="605"/>
      <c r="C50" s="354"/>
      <c r="O50" s="515"/>
    </row>
    <row r="51" spans="2:15" ht="12.95" hidden="1" customHeight="1">
      <c r="B51" s="605"/>
      <c r="C51" s="354"/>
      <c r="O51" s="515"/>
    </row>
    <row r="52" spans="2:15" ht="12.95" hidden="1" customHeight="1">
      <c r="B52" s="605"/>
      <c r="C52" s="354"/>
      <c r="O52" s="515"/>
    </row>
    <row r="53" spans="2:15" ht="12.95" hidden="1" customHeight="1">
      <c r="B53" s="605"/>
      <c r="C53" s="354"/>
      <c r="O53" s="515"/>
    </row>
    <row r="54" spans="2:15" ht="12.95" hidden="1" customHeight="1">
      <c r="B54" s="605"/>
      <c r="C54" s="354"/>
      <c r="O54" s="515"/>
    </row>
    <row r="55" spans="2:15" ht="12.95" hidden="1" customHeight="1">
      <c r="B55" s="605"/>
      <c r="C55" s="354"/>
      <c r="O55" s="515"/>
    </row>
    <row r="56" spans="2:15" ht="12.95" hidden="1" customHeight="1">
      <c r="B56" s="605"/>
      <c r="C56" s="354"/>
      <c r="O56" s="515"/>
    </row>
    <row r="57" spans="2:15" ht="12.95" hidden="1" customHeight="1">
      <c r="B57" s="605"/>
      <c r="C57" s="354"/>
      <c r="O57" s="515"/>
    </row>
    <row r="58" spans="2:15" ht="12.95" hidden="1" customHeight="1">
      <c r="B58" s="605"/>
      <c r="C58" s="354"/>
      <c r="O58" s="515"/>
    </row>
    <row r="59" spans="2:15" ht="12.95" hidden="1" customHeight="1">
      <c r="B59" s="605"/>
      <c r="C59" s="354"/>
      <c r="O59" s="515"/>
    </row>
    <row r="60" spans="2:15" ht="12.95" hidden="1" customHeight="1">
      <c r="B60" s="605"/>
      <c r="C60" s="354"/>
      <c r="O60" s="515"/>
    </row>
    <row r="61" spans="2:15" ht="12.95" hidden="1" customHeight="1">
      <c r="B61" s="605"/>
      <c r="C61" s="354"/>
      <c r="O61" s="515"/>
    </row>
    <row r="62" spans="2:15" ht="12.95" hidden="1" customHeight="1">
      <c r="B62" s="605"/>
      <c r="C62" s="354"/>
      <c r="O62" s="515"/>
    </row>
    <row r="63" spans="2:15" ht="15">
      <c r="B63" s="605"/>
      <c r="C63" s="354"/>
      <c r="L63" s="595"/>
      <c r="M63" s="595"/>
      <c r="N63" s="595"/>
      <c r="O63" s="515">
        <f>-334239531.33/1000</f>
        <v>-334239.53132999997</v>
      </c>
    </row>
    <row r="64" spans="2:15">
      <c r="N64" s="354" t="s">
        <v>1666</v>
      </c>
      <c r="O64" s="515">
        <f>O19-O63</f>
        <v>-18.448820000048727</v>
      </c>
    </row>
    <row r="65" spans="4:17">
      <c r="O65" s="595"/>
      <c r="Q65" s="595"/>
    </row>
    <row r="67" spans="4:17">
      <c r="Q67" s="595"/>
    </row>
    <row r="72" spans="4:17">
      <c r="D72" s="602"/>
      <c r="E72" s="602"/>
      <c r="F72" s="602"/>
      <c r="G72" s="602"/>
      <c r="H72" s="602"/>
      <c r="I72" s="602"/>
      <c r="J72" s="602"/>
      <c r="K72" s="602"/>
      <c r="L72" s="602"/>
      <c r="M72" s="602"/>
      <c r="N72" s="602"/>
    </row>
    <row r="73" spans="4:17"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</row>
    <row r="129" spans="5:5">
      <c r="E129" s="354" t="s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13E2-FCF8-0A4A-B38F-238A6BA21290}">
  <sheetPr codeName="Sheet7"/>
  <dimension ref="B1:F1042"/>
  <sheetViews>
    <sheetView workbookViewId="0"/>
  </sheetViews>
  <sheetFormatPr defaultColWidth="10.85546875" defaultRowHeight="12.75"/>
  <cols>
    <col min="1" max="1" width="10.85546875" style="350"/>
    <col min="2" max="2" width="19.5703125" style="350" customWidth="1"/>
    <col min="3" max="3" width="10.85546875" style="350"/>
    <col min="4" max="4" width="14.42578125" customWidth="1"/>
    <col min="5" max="5" width="13.140625" style="354" customWidth="1"/>
    <col min="6" max="6" width="18.42578125" style="354" customWidth="1"/>
    <col min="7" max="16384" width="10.85546875" style="350"/>
  </cols>
  <sheetData>
    <row r="1" spans="2:6">
      <c r="D1" s="2"/>
    </row>
    <row r="2" spans="2:6" ht="15">
      <c r="B2" s="352"/>
      <c r="D2" s="105"/>
      <c r="E2" s="350"/>
      <c r="F2" s="350"/>
    </row>
    <row r="3" spans="2:6" ht="15">
      <c r="B3" s="353"/>
      <c r="D3" s="105"/>
      <c r="E3" s="350"/>
      <c r="F3" s="480"/>
    </row>
    <row r="4" spans="2:6" ht="15">
      <c r="B4" s="352" t="s">
        <v>476</v>
      </c>
      <c r="D4" s="105"/>
      <c r="E4" s="350"/>
      <c r="F4" s="351"/>
    </row>
    <row r="5" spans="2:6" ht="15">
      <c r="B5" s="353"/>
      <c r="C5" s="350" t="s">
        <v>1553</v>
      </c>
      <c r="D5" s="105" t="s">
        <v>369</v>
      </c>
      <c r="E5" s="350" t="s">
        <v>283</v>
      </c>
      <c r="F5" s="480" t="s">
        <v>427</v>
      </c>
    </row>
    <row r="6" spans="2:6">
      <c r="B6" s="2" t="s">
        <v>312</v>
      </c>
      <c r="C6" s="584">
        <f>+SUMIFS('P&amp;L India'!F:F,'P&amp;L India'!A:A,'Exp By type'!B6)</f>
        <v>0</v>
      </c>
      <c r="D6" s="368">
        <f>+SUMIFS('P&amp;L INC'!F:F,'P&amp;L INC'!A:A,'Exp By type'!B6)</f>
        <v>24308066.149999999</v>
      </c>
      <c r="E6" s="372">
        <f>SUMIFS('P&amp;L LTD  USD'!F:F,'P&amp;L LTD  USD'!A:A,'Exp By type'!B6)</f>
        <v>225249411.19</v>
      </c>
      <c r="F6" s="588">
        <f>SUM(C6:E6)</f>
        <v>249557477.34</v>
      </c>
    </row>
    <row r="7" spans="2:6">
      <c r="B7" s="43" t="s">
        <v>168</v>
      </c>
      <c r="C7" s="584">
        <f>+SUMIFS('P&amp;L India'!F:F,'P&amp;L India'!A:A,'Exp By type'!B7)</f>
        <v>0</v>
      </c>
      <c r="D7" s="368">
        <f>+SUMIFS('P&amp;L INC'!F:F,'P&amp;L INC'!A:A,'Exp By type'!B7)</f>
        <v>19761871.789999999</v>
      </c>
      <c r="E7" s="372">
        <f>SUMIFS('P&amp;L LTD  USD'!F:F,'P&amp;L LTD  USD'!A:A,'Exp By type'!B7)</f>
        <v>0</v>
      </c>
      <c r="F7" s="588">
        <f t="shared" ref="F7:F14" si="0">SUM(C7:E7)</f>
        <v>19761871.789999999</v>
      </c>
    </row>
    <row r="8" spans="2:6" ht="15">
      <c r="B8" s="351" t="s">
        <v>310</v>
      </c>
      <c r="C8" s="584">
        <f>+SUMIFS('P&amp;L India'!F:F,'P&amp;L India'!A:A,'Exp By type'!B8)</f>
        <v>0</v>
      </c>
      <c r="D8" s="368">
        <f>+SUMIFS('P&amp;L INC'!F:F,'P&amp;L INC'!A:A,'Exp By type'!B8)</f>
        <v>0</v>
      </c>
      <c r="E8" s="372">
        <f>SUMIFS('P&amp;L LTD  USD'!F:F,'P&amp;L LTD  USD'!A:A,'Exp By type'!B8)</f>
        <v>19481623.179999996</v>
      </c>
      <c r="F8" s="588">
        <f t="shared" si="0"/>
        <v>19481623.179999996</v>
      </c>
    </row>
    <row r="9" spans="2:6" ht="15">
      <c r="B9" s="351" t="s">
        <v>311</v>
      </c>
      <c r="C9" s="584">
        <f>+SUMIFS('P&amp;L India'!F:F,'P&amp;L India'!A:A,'Exp By type'!B9)</f>
        <v>0</v>
      </c>
      <c r="D9" s="368">
        <f>+SUMIFS('P&amp;L INC'!F:F,'P&amp;L INC'!A:A,'Exp By type'!B9)</f>
        <v>0</v>
      </c>
      <c r="E9" s="372">
        <f>SUMIFS('P&amp;L LTD  USD'!F:F,'P&amp;L LTD  USD'!A:A,'Exp By type'!B9)</f>
        <v>185110.54000000004</v>
      </c>
      <c r="F9" s="588">
        <f t="shared" si="0"/>
        <v>185110.54000000004</v>
      </c>
    </row>
    <row r="10" spans="2:6" ht="15">
      <c r="B10" s="351" t="s">
        <v>309</v>
      </c>
      <c r="C10" s="584">
        <f>+SUMIFS('P&amp;L India'!F:F,'P&amp;L India'!A:A,'Exp By type'!B10)</f>
        <v>51073.929999999993</v>
      </c>
      <c r="D10" s="368">
        <f>+SUMIFS('P&amp;L INC'!F:F,'P&amp;L INC'!A:A,'Exp By type'!B10)</f>
        <v>244662.34</v>
      </c>
      <c r="E10" s="372">
        <f>SUMIFS('P&amp;L LTD  USD'!F:F,'P&amp;L LTD  USD'!A:A,'Exp By type'!B10)</f>
        <v>15118489.349999996</v>
      </c>
      <c r="F10" s="588">
        <f t="shared" si="0"/>
        <v>15414225.619999995</v>
      </c>
    </row>
    <row r="11" spans="2:6" ht="15">
      <c r="B11" s="351" t="s">
        <v>313</v>
      </c>
      <c r="C11" s="584">
        <f>+SUMIFS('P&amp;L India'!F:F,'P&amp;L India'!A:A,'Exp By type'!B11)</f>
        <v>262.11</v>
      </c>
      <c r="D11" s="368">
        <f>+SUMIFS('P&amp;L INC'!F:F,'P&amp;L INC'!A:A,'Exp By type'!B11)</f>
        <v>179789.70000000007</v>
      </c>
      <c r="E11" s="372">
        <f>SUMIFS('P&amp;L LTD  USD'!F:F,'P&amp;L LTD  USD'!A:A,'Exp By type'!B11)</f>
        <v>242412.35000000003</v>
      </c>
      <c r="F11" s="588">
        <f t="shared" si="0"/>
        <v>422464.16000000009</v>
      </c>
    </row>
    <row r="12" spans="2:6" ht="15">
      <c r="B12" s="351" t="s">
        <v>314</v>
      </c>
      <c r="C12" s="584">
        <f>+SUMIFS('P&amp;L India'!F:F,'P&amp;L India'!A:A,'Exp By type'!B12)</f>
        <v>0</v>
      </c>
      <c r="D12" s="368">
        <f>+SUMIFS('P&amp;L INC'!F:F,'P&amp;L INC'!A:A,'Exp By type'!B12)</f>
        <v>89337.55</v>
      </c>
      <c r="E12" s="372">
        <f>SUMIFS('P&amp;L LTD  USD'!F:F,'P&amp;L LTD  USD'!A:A,'Exp By type'!B12)</f>
        <v>3503498.7428835426</v>
      </c>
      <c r="F12" s="588">
        <f t="shared" si="0"/>
        <v>3592836.2928835424</v>
      </c>
    </row>
    <row r="13" spans="2:6">
      <c r="B13" s="354" t="s">
        <v>477</v>
      </c>
      <c r="C13" s="584">
        <f>+SUMIFS('P&amp;L India'!F:F,'P&amp;L India'!A:A,'Exp By type'!B13)</f>
        <v>0</v>
      </c>
      <c r="D13" s="368">
        <f>+SUMIFS('P&amp;L INC'!F:F,'P&amp;L INC'!A:A,'Exp By type'!B13)</f>
        <v>587361.07999999996</v>
      </c>
      <c r="E13" s="372">
        <f>SUMIFS('P&amp;L LTD  USD'!F:F,'P&amp;L LTD  USD'!A:A,'Exp By type'!B13)</f>
        <v>2935151.94</v>
      </c>
      <c r="F13" s="588">
        <f t="shared" si="0"/>
        <v>3522513.02</v>
      </c>
    </row>
    <row r="14" spans="2:6">
      <c r="B14" s="350" t="s">
        <v>385</v>
      </c>
      <c r="C14" s="584">
        <f>+SUMIFS('P&amp;L India'!F:F,'P&amp;L India'!A:A,'Exp By type'!B14)</f>
        <v>0</v>
      </c>
      <c r="D14" s="368">
        <f>+SUMIFS('P&amp;L INC'!F:F,'P&amp;L INC'!A:A,'Exp By type'!B14)</f>
        <v>0</v>
      </c>
      <c r="E14" s="372">
        <f>SUMIFS('P&amp;L LTD  USD'!F:F,'P&amp;L LTD  USD'!A:A,'Exp By type'!B14)</f>
        <v>216788.83</v>
      </c>
      <c r="F14" s="588">
        <f t="shared" si="0"/>
        <v>216788.83</v>
      </c>
    </row>
    <row r="15" spans="2:6">
      <c r="C15" s="515">
        <f>SUM(C6:C14)</f>
        <v>51336.039999999994</v>
      </c>
      <c r="D15" s="515">
        <f>SUM(D6:D14)</f>
        <v>45171088.609999999</v>
      </c>
      <c r="E15" s="515">
        <f>SUM(E6:E14)</f>
        <v>266932486.12288353</v>
      </c>
      <c r="F15" s="515">
        <f>SUM(F6:F14)</f>
        <v>312154910.77288353</v>
      </c>
    </row>
    <row r="16" spans="2:6">
      <c r="C16" s="515">
        <f>'P&amp;L India'!F28</f>
        <v>51336.04</v>
      </c>
      <c r="D16" s="515">
        <f>'P&amp;L INC'!F79</f>
        <v>0</v>
      </c>
      <c r="E16" s="515">
        <f>'P&amp;L LTD  USD'!F129</f>
        <v>266932486.1228835</v>
      </c>
      <c r="F16"/>
    </row>
    <row r="17" spans="3:6">
      <c r="C17" s="585">
        <f>C15-C16</f>
        <v>0</v>
      </c>
      <c r="D17" s="585">
        <f>D15-D16</f>
        <v>45171088.609999999</v>
      </c>
      <c r="E17" s="585">
        <f>E15-E16</f>
        <v>0</v>
      </c>
      <c r="F17"/>
    </row>
    <row r="18" spans="3:6">
      <c r="E18"/>
      <c r="F18"/>
    </row>
    <row r="19" spans="3:6">
      <c r="E19"/>
      <c r="F19"/>
    </row>
    <row r="20" spans="3:6">
      <c r="E20"/>
      <c r="F20"/>
    </row>
    <row r="21" spans="3:6">
      <c r="E21"/>
      <c r="F21"/>
    </row>
    <row r="22" spans="3:6">
      <c r="E22"/>
      <c r="F22"/>
    </row>
    <row r="23" spans="3:6">
      <c r="E23"/>
      <c r="F23"/>
    </row>
    <row r="24" spans="3:6">
      <c r="E24"/>
      <c r="F24"/>
    </row>
    <row r="25" spans="3:6">
      <c r="E25"/>
      <c r="F25"/>
    </row>
    <row r="26" spans="3:6">
      <c r="E26"/>
      <c r="F26"/>
    </row>
    <row r="27" spans="3:6">
      <c r="E27"/>
      <c r="F27"/>
    </row>
    <row r="28" spans="3:6">
      <c r="E28"/>
      <c r="F28"/>
    </row>
    <row r="29" spans="3:6">
      <c r="E29"/>
      <c r="F29"/>
    </row>
    <row r="30" spans="3:6">
      <c r="E30"/>
      <c r="F30"/>
    </row>
    <row r="31" spans="3:6">
      <c r="E31"/>
      <c r="F31"/>
    </row>
    <row r="32" spans="3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  <row r="61" spans="5:6">
      <c r="E61"/>
      <c r="F61"/>
    </row>
    <row r="62" spans="5:6">
      <c r="E62"/>
      <c r="F62"/>
    </row>
    <row r="63" spans="5:6">
      <c r="E63"/>
      <c r="F63"/>
    </row>
    <row r="64" spans="5:6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  <row r="97" spans="5:6">
      <c r="E97"/>
      <c r="F97"/>
    </row>
    <row r="98" spans="5:6">
      <c r="E98"/>
      <c r="F98"/>
    </row>
    <row r="99" spans="5:6">
      <c r="E99"/>
      <c r="F99"/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  <row r="104" spans="5:6">
      <c r="E104"/>
      <c r="F104"/>
    </row>
    <row r="105" spans="5:6">
      <c r="E105"/>
      <c r="F105"/>
    </row>
    <row r="106" spans="5:6">
      <c r="E106"/>
      <c r="F106"/>
    </row>
    <row r="107" spans="5:6">
      <c r="E107"/>
      <c r="F107"/>
    </row>
    <row r="108" spans="5:6">
      <c r="E108"/>
      <c r="F108"/>
    </row>
    <row r="109" spans="5:6">
      <c r="E109"/>
      <c r="F109"/>
    </row>
    <row r="110" spans="5:6">
      <c r="E110"/>
      <c r="F110"/>
    </row>
    <row r="111" spans="5:6">
      <c r="E111"/>
      <c r="F111"/>
    </row>
    <row r="112" spans="5:6">
      <c r="E112"/>
      <c r="F112"/>
    </row>
    <row r="113" spans="5:6">
      <c r="E113"/>
      <c r="F113"/>
    </row>
    <row r="114" spans="5:6">
      <c r="E114"/>
      <c r="F114"/>
    </row>
    <row r="115" spans="5:6">
      <c r="E115"/>
      <c r="F115"/>
    </row>
    <row r="116" spans="5:6">
      <c r="E116"/>
      <c r="F116"/>
    </row>
    <row r="117" spans="5:6">
      <c r="E117"/>
      <c r="F117"/>
    </row>
    <row r="118" spans="5:6">
      <c r="E118"/>
      <c r="F118"/>
    </row>
    <row r="119" spans="5:6">
      <c r="E119"/>
      <c r="F119"/>
    </row>
    <row r="120" spans="5:6">
      <c r="E120"/>
      <c r="F120"/>
    </row>
    <row r="121" spans="5:6">
      <c r="E121"/>
      <c r="F121"/>
    </row>
    <row r="122" spans="5:6">
      <c r="E122"/>
      <c r="F122"/>
    </row>
    <row r="123" spans="5:6">
      <c r="E123"/>
      <c r="F123"/>
    </row>
    <row r="124" spans="5:6">
      <c r="E124"/>
      <c r="F124"/>
    </row>
    <row r="125" spans="5:6">
      <c r="E125"/>
      <c r="F125"/>
    </row>
    <row r="126" spans="5:6">
      <c r="E126"/>
      <c r="F126"/>
    </row>
    <row r="127" spans="5:6">
      <c r="E127"/>
      <c r="F127"/>
    </row>
    <row r="128" spans="5:6">
      <c r="E128"/>
      <c r="F128"/>
    </row>
    <row r="129" spans="5:6">
      <c r="E129"/>
      <c r="F129"/>
    </row>
    <row r="130" spans="5:6">
      <c r="E130"/>
      <c r="F130"/>
    </row>
    <row r="131" spans="5:6">
      <c r="E131"/>
      <c r="F131"/>
    </row>
    <row r="132" spans="5:6">
      <c r="E132"/>
      <c r="F132"/>
    </row>
    <row r="133" spans="5:6">
      <c r="E133"/>
      <c r="F133"/>
    </row>
    <row r="134" spans="5:6">
      <c r="E134"/>
      <c r="F134"/>
    </row>
    <row r="135" spans="5:6">
      <c r="E135"/>
      <c r="F135"/>
    </row>
    <row r="136" spans="5:6">
      <c r="E136"/>
      <c r="F136"/>
    </row>
    <row r="137" spans="5:6">
      <c r="E137"/>
      <c r="F137"/>
    </row>
    <row r="138" spans="5:6">
      <c r="E138"/>
      <c r="F138"/>
    </row>
    <row r="139" spans="5:6">
      <c r="E139"/>
      <c r="F139"/>
    </row>
    <row r="140" spans="5:6">
      <c r="E140"/>
      <c r="F140"/>
    </row>
    <row r="141" spans="5:6">
      <c r="E141"/>
      <c r="F141"/>
    </row>
    <row r="142" spans="5:6">
      <c r="E142"/>
      <c r="F142"/>
    </row>
    <row r="143" spans="5:6">
      <c r="E143"/>
      <c r="F143"/>
    </row>
    <row r="144" spans="5:6">
      <c r="E144"/>
      <c r="F144"/>
    </row>
    <row r="145" spans="5:6">
      <c r="E145"/>
      <c r="F145"/>
    </row>
    <row r="146" spans="5:6">
      <c r="E146"/>
      <c r="F146"/>
    </row>
    <row r="147" spans="5:6">
      <c r="E147"/>
      <c r="F147"/>
    </row>
    <row r="148" spans="5:6">
      <c r="E148"/>
      <c r="F148"/>
    </row>
    <row r="149" spans="5:6">
      <c r="E149"/>
      <c r="F149"/>
    </row>
    <row r="150" spans="5:6">
      <c r="E150"/>
      <c r="F150"/>
    </row>
    <row r="151" spans="5:6">
      <c r="E151"/>
      <c r="F151"/>
    </row>
    <row r="152" spans="5:6">
      <c r="E152"/>
      <c r="F152"/>
    </row>
    <row r="153" spans="5:6">
      <c r="E153"/>
      <c r="F153"/>
    </row>
    <row r="154" spans="5:6">
      <c r="E154"/>
      <c r="F154"/>
    </row>
    <row r="155" spans="5:6">
      <c r="E155"/>
      <c r="F155"/>
    </row>
    <row r="156" spans="5:6">
      <c r="E156"/>
      <c r="F156"/>
    </row>
    <row r="157" spans="5:6">
      <c r="E157"/>
      <c r="F157"/>
    </row>
    <row r="158" spans="5:6">
      <c r="E158"/>
      <c r="F158"/>
    </row>
    <row r="159" spans="5:6">
      <c r="E159"/>
      <c r="F159"/>
    </row>
    <row r="160" spans="5:6">
      <c r="E160"/>
      <c r="F160"/>
    </row>
    <row r="161" spans="5:6">
      <c r="E161"/>
      <c r="F161"/>
    </row>
    <row r="162" spans="5:6">
      <c r="E162"/>
      <c r="F162"/>
    </row>
    <row r="163" spans="5:6">
      <c r="E163"/>
      <c r="F163"/>
    </row>
    <row r="164" spans="5:6">
      <c r="E164"/>
      <c r="F164"/>
    </row>
    <row r="165" spans="5:6">
      <c r="E165"/>
      <c r="F165"/>
    </row>
    <row r="166" spans="5:6">
      <c r="E166"/>
      <c r="F166"/>
    </row>
    <row r="167" spans="5:6">
      <c r="E167"/>
      <c r="F167"/>
    </row>
    <row r="168" spans="5:6">
      <c r="E168"/>
      <c r="F168"/>
    </row>
    <row r="169" spans="5:6">
      <c r="E169"/>
      <c r="F169"/>
    </row>
    <row r="170" spans="5:6">
      <c r="E170"/>
      <c r="F170"/>
    </row>
    <row r="171" spans="5:6">
      <c r="E171"/>
      <c r="F171"/>
    </row>
    <row r="172" spans="5:6">
      <c r="E172"/>
      <c r="F172"/>
    </row>
    <row r="173" spans="5:6">
      <c r="E173"/>
      <c r="F173"/>
    </row>
    <row r="174" spans="5:6">
      <c r="E174"/>
      <c r="F174"/>
    </row>
    <row r="175" spans="5:6">
      <c r="E175"/>
      <c r="F175"/>
    </row>
    <row r="176" spans="5:6">
      <c r="E176"/>
      <c r="F176"/>
    </row>
    <row r="177" spans="5:6">
      <c r="E177"/>
      <c r="F177"/>
    </row>
    <row r="178" spans="5:6">
      <c r="E178"/>
      <c r="F178"/>
    </row>
    <row r="179" spans="5:6">
      <c r="E179"/>
      <c r="F179"/>
    </row>
    <row r="180" spans="5:6">
      <c r="E180"/>
      <c r="F180"/>
    </row>
    <row r="181" spans="5:6">
      <c r="E181"/>
      <c r="F181"/>
    </row>
    <row r="182" spans="5:6">
      <c r="E182"/>
      <c r="F182"/>
    </row>
    <row r="183" spans="5:6">
      <c r="E183"/>
      <c r="F183"/>
    </row>
    <row r="184" spans="5:6">
      <c r="E184"/>
      <c r="F184"/>
    </row>
    <row r="185" spans="5:6">
      <c r="E185"/>
      <c r="F185"/>
    </row>
    <row r="186" spans="5:6">
      <c r="E186"/>
      <c r="F186"/>
    </row>
    <row r="187" spans="5:6">
      <c r="E187"/>
      <c r="F187"/>
    </row>
    <row r="188" spans="5:6">
      <c r="E188"/>
      <c r="F188"/>
    </row>
    <row r="189" spans="5:6">
      <c r="E189"/>
      <c r="F189"/>
    </row>
    <row r="190" spans="5:6">
      <c r="E190"/>
      <c r="F190"/>
    </row>
    <row r="191" spans="5:6">
      <c r="E191"/>
      <c r="F191"/>
    </row>
    <row r="192" spans="5:6">
      <c r="E192"/>
      <c r="F192"/>
    </row>
    <row r="193" spans="5:6">
      <c r="E193"/>
      <c r="F193"/>
    </row>
    <row r="194" spans="5:6">
      <c r="E194"/>
      <c r="F194"/>
    </row>
    <row r="195" spans="5:6">
      <c r="E195"/>
      <c r="F195"/>
    </row>
    <row r="196" spans="5:6">
      <c r="E196"/>
      <c r="F196"/>
    </row>
    <row r="197" spans="5:6">
      <c r="E197"/>
      <c r="F197"/>
    </row>
    <row r="198" spans="5:6">
      <c r="E198"/>
      <c r="F198"/>
    </row>
    <row r="199" spans="5:6">
      <c r="E199"/>
      <c r="F199"/>
    </row>
    <row r="200" spans="5:6">
      <c r="E200"/>
      <c r="F200"/>
    </row>
    <row r="201" spans="5:6">
      <c r="E201"/>
      <c r="F201"/>
    </row>
    <row r="202" spans="5:6">
      <c r="E202"/>
      <c r="F202"/>
    </row>
    <row r="203" spans="5:6">
      <c r="E203"/>
      <c r="F203"/>
    </row>
    <row r="204" spans="5:6">
      <c r="E204"/>
      <c r="F204"/>
    </row>
    <row r="205" spans="5:6">
      <c r="E205"/>
      <c r="F205"/>
    </row>
    <row r="206" spans="5:6">
      <c r="E206"/>
      <c r="F206"/>
    </row>
    <row r="207" spans="5:6">
      <c r="E207"/>
      <c r="F207"/>
    </row>
    <row r="208" spans="5:6">
      <c r="E208"/>
      <c r="F208"/>
    </row>
    <row r="209" spans="5:6">
      <c r="E209"/>
      <c r="F209"/>
    </row>
    <row r="210" spans="5:6">
      <c r="E210"/>
      <c r="F210"/>
    </row>
    <row r="211" spans="5:6">
      <c r="E211"/>
      <c r="F211"/>
    </row>
    <row r="212" spans="5:6">
      <c r="E212"/>
      <c r="F212"/>
    </row>
    <row r="213" spans="5:6">
      <c r="E213"/>
      <c r="F213"/>
    </row>
    <row r="214" spans="5:6">
      <c r="E214"/>
      <c r="F214"/>
    </row>
    <row r="215" spans="5:6">
      <c r="E215"/>
      <c r="F215"/>
    </row>
    <row r="216" spans="5:6">
      <c r="E216"/>
      <c r="F216"/>
    </row>
    <row r="217" spans="5:6">
      <c r="E217"/>
      <c r="F217"/>
    </row>
    <row r="218" spans="5:6">
      <c r="E218"/>
      <c r="F218"/>
    </row>
    <row r="219" spans="5:6">
      <c r="E219"/>
      <c r="F219"/>
    </row>
    <row r="220" spans="5:6">
      <c r="E220"/>
      <c r="F220"/>
    </row>
    <row r="221" spans="5:6">
      <c r="E221"/>
      <c r="F221"/>
    </row>
    <row r="222" spans="5:6">
      <c r="E222"/>
      <c r="F222"/>
    </row>
    <row r="223" spans="5:6">
      <c r="E223"/>
      <c r="F223"/>
    </row>
    <row r="224" spans="5:6">
      <c r="E224"/>
      <c r="F224"/>
    </row>
    <row r="225" spans="5:6">
      <c r="E225"/>
      <c r="F225"/>
    </row>
    <row r="226" spans="5:6">
      <c r="E226"/>
      <c r="F226"/>
    </row>
    <row r="227" spans="5:6">
      <c r="E227"/>
      <c r="F227"/>
    </row>
    <row r="228" spans="5:6">
      <c r="E228"/>
      <c r="F228"/>
    </row>
    <row r="229" spans="5:6">
      <c r="E229"/>
      <c r="F229"/>
    </row>
    <row r="230" spans="5:6">
      <c r="E230"/>
      <c r="F230"/>
    </row>
    <row r="231" spans="5:6">
      <c r="E231"/>
      <c r="F231"/>
    </row>
    <row r="232" spans="5:6">
      <c r="E232"/>
      <c r="F232"/>
    </row>
    <row r="233" spans="5:6">
      <c r="E233"/>
      <c r="F233"/>
    </row>
    <row r="234" spans="5:6">
      <c r="E234"/>
      <c r="F234"/>
    </row>
    <row r="235" spans="5:6">
      <c r="E235"/>
      <c r="F235"/>
    </row>
    <row r="236" spans="5:6">
      <c r="E236"/>
      <c r="F236"/>
    </row>
    <row r="237" spans="5:6">
      <c r="E237"/>
      <c r="F237"/>
    </row>
    <row r="238" spans="5:6">
      <c r="E238"/>
      <c r="F238"/>
    </row>
    <row r="239" spans="5:6">
      <c r="E239"/>
      <c r="F239"/>
    </row>
    <row r="240" spans="5:6">
      <c r="E240"/>
      <c r="F240"/>
    </row>
    <row r="241" spans="5:6">
      <c r="E241"/>
      <c r="F241"/>
    </row>
    <row r="242" spans="5:6">
      <c r="E242"/>
      <c r="F242"/>
    </row>
    <row r="243" spans="5:6">
      <c r="E243"/>
      <c r="F243"/>
    </row>
    <row r="244" spans="5:6">
      <c r="E244"/>
      <c r="F244"/>
    </row>
    <row r="245" spans="5:6">
      <c r="E245"/>
      <c r="F245"/>
    </row>
    <row r="246" spans="5:6">
      <c r="E246"/>
      <c r="F246"/>
    </row>
    <row r="247" spans="5:6">
      <c r="E247"/>
      <c r="F247"/>
    </row>
    <row r="248" spans="5:6">
      <c r="E248"/>
      <c r="F248"/>
    </row>
    <row r="249" spans="5:6">
      <c r="E249"/>
      <c r="F249"/>
    </row>
    <row r="250" spans="5:6">
      <c r="E250"/>
      <c r="F250"/>
    </row>
    <row r="251" spans="5:6">
      <c r="E251"/>
      <c r="F251"/>
    </row>
    <row r="252" spans="5:6">
      <c r="E252"/>
      <c r="F252"/>
    </row>
    <row r="253" spans="5:6">
      <c r="E253"/>
      <c r="F253"/>
    </row>
    <row r="254" spans="5:6">
      <c r="E254"/>
      <c r="F254"/>
    </row>
    <row r="255" spans="5:6">
      <c r="E255"/>
      <c r="F255"/>
    </row>
    <row r="256" spans="5:6">
      <c r="E256"/>
      <c r="F256"/>
    </row>
    <row r="257" spans="5:6">
      <c r="E257"/>
      <c r="F257"/>
    </row>
    <row r="258" spans="5:6">
      <c r="E258"/>
      <c r="F258"/>
    </row>
    <row r="259" spans="5:6">
      <c r="E259"/>
      <c r="F259"/>
    </row>
    <row r="260" spans="5:6">
      <c r="E260"/>
      <c r="F260"/>
    </row>
    <row r="261" spans="5:6">
      <c r="E261"/>
      <c r="F261"/>
    </row>
    <row r="262" spans="5:6">
      <c r="E262"/>
      <c r="F262"/>
    </row>
    <row r="263" spans="5:6">
      <c r="E263"/>
      <c r="F263"/>
    </row>
    <row r="264" spans="5:6">
      <c r="E264"/>
      <c r="F264"/>
    </row>
    <row r="265" spans="5:6">
      <c r="E265"/>
      <c r="F265"/>
    </row>
    <row r="266" spans="5:6">
      <c r="E266"/>
      <c r="F266"/>
    </row>
    <row r="267" spans="5:6">
      <c r="E267"/>
      <c r="F267"/>
    </row>
    <row r="268" spans="5:6">
      <c r="E268"/>
      <c r="F268"/>
    </row>
    <row r="269" spans="5:6">
      <c r="E269"/>
      <c r="F269"/>
    </row>
    <row r="270" spans="5:6">
      <c r="E270"/>
      <c r="F270"/>
    </row>
    <row r="271" spans="5:6">
      <c r="E271"/>
      <c r="F271"/>
    </row>
    <row r="272" spans="5:6">
      <c r="E272"/>
      <c r="F272"/>
    </row>
    <row r="273" spans="5:6">
      <c r="E273"/>
      <c r="F273"/>
    </row>
    <row r="274" spans="5:6">
      <c r="E274"/>
      <c r="F274"/>
    </row>
    <row r="275" spans="5:6">
      <c r="E275"/>
      <c r="F275"/>
    </row>
    <row r="276" spans="5:6">
      <c r="E276"/>
      <c r="F276"/>
    </row>
    <row r="277" spans="5:6">
      <c r="E277"/>
      <c r="F277"/>
    </row>
    <row r="278" spans="5:6">
      <c r="E278"/>
      <c r="F278"/>
    </row>
    <row r="279" spans="5:6">
      <c r="E279"/>
      <c r="F279"/>
    </row>
    <row r="280" spans="5:6">
      <c r="E280"/>
      <c r="F280"/>
    </row>
    <row r="281" spans="5:6">
      <c r="E281"/>
      <c r="F281"/>
    </row>
    <row r="282" spans="5:6">
      <c r="E282"/>
      <c r="F282"/>
    </row>
    <row r="283" spans="5:6">
      <c r="E283"/>
      <c r="F283"/>
    </row>
    <row r="284" spans="5:6">
      <c r="E284"/>
      <c r="F284"/>
    </row>
    <row r="285" spans="5:6">
      <c r="E285"/>
      <c r="F285"/>
    </row>
    <row r="286" spans="5:6">
      <c r="E286"/>
      <c r="F286"/>
    </row>
    <row r="287" spans="5:6">
      <c r="E287"/>
      <c r="F287"/>
    </row>
    <row r="288" spans="5:6">
      <c r="E288"/>
      <c r="F288"/>
    </row>
    <row r="289" spans="5:6">
      <c r="E289"/>
      <c r="F289"/>
    </row>
    <row r="290" spans="5:6">
      <c r="E290"/>
      <c r="F290"/>
    </row>
    <row r="291" spans="5:6">
      <c r="E291"/>
      <c r="F291"/>
    </row>
    <row r="292" spans="5:6">
      <c r="E292"/>
      <c r="F292"/>
    </row>
    <row r="293" spans="5:6">
      <c r="E293"/>
      <c r="F293"/>
    </row>
    <row r="294" spans="5:6">
      <c r="E294"/>
      <c r="F294"/>
    </row>
    <row r="295" spans="5:6">
      <c r="E295"/>
      <c r="F295"/>
    </row>
    <row r="296" spans="5:6">
      <c r="E296"/>
      <c r="F296"/>
    </row>
    <row r="297" spans="5:6">
      <c r="E297"/>
      <c r="F297"/>
    </row>
    <row r="298" spans="5:6">
      <c r="E298"/>
      <c r="F298"/>
    </row>
    <row r="299" spans="5:6">
      <c r="E299"/>
      <c r="F299"/>
    </row>
    <row r="300" spans="5:6">
      <c r="E300"/>
      <c r="F300"/>
    </row>
    <row r="301" spans="5:6">
      <c r="E301"/>
      <c r="F301"/>
    </row>
    <row r="302" spans="5:6">
      <c r="E302"/>
      <c r="F302"/>
    </row>
    <row r="303" spans="5:6">
      <c r="E303"/>
      <c r="F303"/>
    </row>
    <row r="304" spans="5:6">
      <c r="E304"/>
      <c r="F304"/>
    </row>
    <row r="305" spans="5:6">
      <c r="E305"/>
      <c r="F305"/>
    </row>
    <row r="306" spans="5:6">
      <c r="E306"/>
      <c r="F306"/>
    </row>
    <row r="307" spans="5:6">
      <c r="E307"/>
      <c r="F307"/>
    </row>
    <row r="308" spans="5:6">
      <c r="E308"/>
      <c r="F308"/>
    </row>
    <row r="309" spans="5:6">
      <c r="E309"/>
      <c r="F309"/>
    </row>
    <row r="310" spans="5:6">
      <c r="E310"/>
      <c r="F310"/>
    </row>
    <row r="311" spans="5:6">
      <c r="E311"/>
      <c r="F311"/>
    </row>
    <row r="312" spans="5:6">
      <c r="E312"/>
      <c r="F312"/>
    </row>
    <row r="313" spans="5:6">
      <c r="E313"/>
      <c r="F313"/>
    </row>
    <row r="314" spans="5:6">
      <c r="E314"/>
      <c r="F314"/>
    </row>
    <row r="315" spans="5:6">
      <c r="E315"/>
      <c r="F315"/>
    </row>
    <row r="316" spans="5:6">
      <c r="E316"/>
      <c r="F316"/>
    </row>
    <row r="317" spans="5:6">
      <c r="E317"/>
      <c r="F317"/>
    </row>
    <row r="318" spans="5:6">
      <c r="E318"/>
      <c r="F318"/>
    </row>
    <row r="319" spans="5:6">
      <c r="E319"/>
      <c r="F319"/>
    </row>
    <row r="320" spans="5:6">
      <c r="E320"/>
      <c r="F320"/>
    </row>
    <row r="321" spans="5:6">
      <c r="E321"/>
      <c r="F321"/>
    </row>
    <row r="322" spans="5:6">
      <c r="E322"/>
      <c r="F322"/>
    </row>
    <row r="323" spans="5:6">
      <c r="E323"/>
      <c r="F323"/>
    </row>
    <row r="324" spans="5:6">
      <c r="E324"/>
      <c r="F324"/>
    </row>
    <row r="325" spans="5:6">
      <c r="E325"/>
      <c r="F325"/>
    </row>
    <row r="326" spans="5:6">
      <c r="E326"/>
      <c r="F326"/>
    </row>
    <row r="327" spans="5:6">
      <c r="E327"/>
      <c r="F327"/>
    </row>
    <row r="328" spans="5:6">
      <c r="E328"/>
      <c r="F328"/>
    </row>
    <row r="329" spans="5:6">
      <c r="E329"/>
      <c r="F329"/>
    </row>
    <row r="330" spans="5:6">
      <c r="E330"/>
      <c r="F330"/>
    </row>
    <row r="331" spans="5:6">
      <c r="E331"/>
      <c r="F331"/>
    </row>
    <row r="332" spans="5:6">
      <c r="E332"/>
      <c r="F332"/>
    </row>
    <row r="333" spans="5:6">
      <c r="E333"/>
      <c r="F333"/>
    </row>
    <row r="334" spans="5:6">
      <c r="E334"/>
      <c r="F334"/>
    </row>
    <row r="335" spans="5:6">
      <c r="E335"/>
      <c r="F335"/>
    </row>
    <row r="336" spans="5:6">
      <c r="E336"/>
      <c r="F336"/>
    </row>
    <row r="337" spans="5:6">
      <c r="E337"/>
      <c r="F337"/>
    </row>
    <row r="338" spans="5:6">
      <c r="E338"/>
      <c r="F338"/>
    </row>
    <row r="339" spans="5:6">
      <c r="E339"/>
      <c r="F339"/>
    </row>
    <row r="340" spans="5:6">
      <c r="E340"/>
      <c r="F340"/>
    </row>
    <row r="341" spans="5:6">
      <c r="E341"/>
      <c r="F341"/>
    </row>
    <row r="342" spans="5:6">
      <c r="E342"/>
      <c r="F342"/>
    </row>
    <row r="343" spans="5:6">
      <c r="E343"/>
      <c r="F343"/>
    </row>
    <row r="344" spans="5:6">
      <c r="E344"/>
      <c r="F344"/>
    </row>
    <row r="345" spans="5:6">
      <c r="E345"/>
      <c r="F345"/>
    </row>
    <row r="346" spans="5:6">
      <c r="E346"/>
      <c r="F346"/>
    </row>
    <row r="347" spans="5:6">
      <c r="E347"/>
      <c r="F347"/>
    </row>
    <row r="348" spans="5:6">
      <c r="E348"/>
      <c r="F348"/>
    </row>
    <row r="349" spans="5:6">
      <c r="E349"/>
      <c r="F349"/>
    </row>
    <row r="350" spans="5:6">
      <c r="E350"/>
      <c r="F350"/>
    </row>
    <row r="351" spans="5:6">
      <c r="E351"/>
      <c r="F351"/>
    </row>
    <row r="352" spans="5:6">
      <c r="E352"/>
      <c r="F352"/>
    </row>
    <row r="353" spans="5:6">
      <c r="E353"/>
      <c r="F353"/>
    </row>
    <row r="354" spans="5:6">
      <c r="E354"/>
      <c r="F354"/>
    </row>
    <row r="355" spans="5:6">
      <c r="E355"/>
      <c r="F355"/>
    </row>
    <row r="356" spans="5:6">
      <c r="E356"/>
      <c r="F356"/>
    </row>
    <row r="357" spans="5:6">
      <c r="E357"/>
      <c r="F357"/>
    </row>
    <row r="358" spans="5:6">
      <c r="E358"/>
      <c r="F358"/>
    </row>
    <row r="359" spans="5:6">
      <c r="E359"/>
      <c r="F359"/>
    </row>
    <row r="360" spans="5:6">
      <c r="E360"/>
      <c r="F360"/>
    </row>
    <row r="361" spans="5:6">
      <c r="E361"/>
      <c r="F361"/>
    </row>
    <row r="362" spans="5:6">
      <c r="E362"/>
      <c r="F362"/>
    </row>
    <row r="363" spans="5:6">
      <c r="E363"/>
      <c r="F363"/>
    </row>
    <row r="364" spans="5:6">
      <c r="E364"/>
      <c r="F364"/>
    </row>
    <row r="365" spans="5:6">
      <c r="E365"/>
      <c r="F365"/>
    </row>
    <row r="366" spans="5:6">
      <c r="E366"/>
      <c r="F366"/>
    </row>
    <row r="367" spans="5:6">
      <c r="E367"/>
      <c r="F367"/>
    </row>
    <row r="368" spans="5:6">
      <c r="E368"/>
      <c r="F368"/>
    </row>
    <row r="369" spans="5:6">
      <c r="E369"/>
      <c r="F369"/>
    </row>
    <row r="370" spans="5:6">
      <c r="E370"/>
      <c r="F370"/>
    </row>
    <row r="371" spans="5:6">
      <c r="E371"/>
      <c r="F371"/>
    </row>
    <row r="372" spans="5:6">
      <c r="E372"/>
      <c r="F372"/>
    </row>
    <row r="373" spans="5:6">
      <c r="E373"/>
      <c r="F373"/>
    </row>
    <row r="374" spans="5:6">
      <c r="E374"/>
      <c r="F374"/>
    </row>
    <row r="375" spans="5:6">
      <c r="E375"/>
      <c r="F375"/>
    </row>
    <row r="376" spans="5:6">
      <c r="E376"/>
      <c r="F376"/>
    </row>
    <row r="377" spans="5:6">
      <c r="E377"/>
      <c r="F377"/>
    </row>
    <row r="378" spans="5:6">
      <c r="E378"/>
      <c r="F378"/>
    </row>
    <row r="379" spans="5:6">
      <c r="E379"/>
      <c r="F379"/>
    </row>
    <row r="380" spans="5:6">
      <c r="E380"/>
      <c r="F380"/>
    </row>
    <row r="381" spans="5:6">
      <c r="E381"/>
      <c r="F381"/>
    </row>
    <row r="382" spans="5:6">
      <c r="E382"/>
      <c r="F382"/>
    </row>
    <row r="383" spans="5:6">
      <c r="E383"/>
      <c r="F383"/>
    </row>
    <row r="384" spans="5:6">
      <c r="E384"/>
      <c r="F384"/>
    </row>
    <row r="385" spans="5:6">
      <c r="E385"/>
      <c r="F385"/>
    </row>
    <row r="386" spans="5:6">
      <c r="E386"/>
      <c r="F386"/>
    </row>
    <row r="387" spans="5:6">
      <c r="E387"/>
      <c r="F387"/>
    </row>
    <row r="388" spans="5:6">
      <c r="E388"/>
      <c r="F388"/>
    </row>
    <row r="389" spans="5:6">
      <c r="E389"/>
      <c r="F389"/>
    </row>
    <row r="390" spans="5:6">
      <c r="E390"/>
      <c r="F390"/>
    </row>
    <row r="391" spans="5:6">
      <c r="E391"/>
      <c r="F391"/>
    </row>
    <row r="392" spans="5:6">
      <c r="E392"/>
      <c r="F392"/>
    </row>
    <row r="393" spans="5:6">
      <c r="E393"/>
      <c r="F393"/>
    </row>
    <row r="394" spans="5:6">
      <c r="E394"/>
      <c r="F394"/>
    </row>
    <row r="395" spans="5:6">
      <c r="E395"/>
      <c r="F395"/>
    </row>
    <row r="396" spans="5:6">
      <c r="E396"/>
      <c r="F396"/>
    </row>
    <row r="397" spans="5:6">
      <c r="E397"/>
      <c r="F397"/>
    </row>
    <row r="398" spans="5:6">
      <c r="E398"/>
      <c r="F398"/>
    </row>
    <row r="399" spans="5:6">
      <c r="E399"/>
      <c r="F399"/>
    </row>
    <row r="400" spans="5:6">
      <c r="E400"/>
      <c r="F400"/>
    </row>
    <row r="401" spans="5:6">
      <c r="E401"/>
      <c r="F401"/>
    </row>
    <row r="402" spans="5:6">
      <c r="E402"/>
      <c r="F402"/>
    </row>
    <row r="403" spans="5:6">
      <c r="E403"/>
      <c r="F403"/>
    </row>
    <row r="404" spans="5:6">
      <c r="E404"/>
      <c r="F404"/>
    </row>
    <row r="405" spans="5:6">
      <c r="E405"/>
      <c r="F405"/>
    </row>
    <row r="406" spans="5:6">
      <c r="E406"/>
      <c r="F406"/>
    </row>
    <row r="407" spans="5:6">
      <c r="E407"/>
      <c r="F407"/>
    </row>
    <row r="408" spans="5:6">
      <c r="E408"/>
      <c r="F408"/>
    </row>
    <row r="409" spans="5:6">
      <c r="E409"/>
      <c r="F409"/>
    </row>
    <row r="410" spans="5:6">
      <c r="E410"/>
      <c r="F410"/>
    </row>
    <row r="411" spans="5:6">
      <c r="E411"/>
      <c r="F411"/>
    </row>
    <row r="412" spans="5:6">
      <c r="E412"/>
      <c r="F412"/>
    </row>
    <row r="413" spans="5:6">
      <c r="E413"/>
      <c r="F413"/>
    </row>
    <row r="414" spans="5:6">
      <c r="E414"/>
      <c r="F414"/>
    </row>
    <row r="415" spans="5:6">
      <c r="E415"/>
      <c r="F415"/>
    </row>
    <row r="416" spans="5:6">
      <c r="E416"/>
      <c r="F416"/>
    </row>
    <row r="417" spans="5:6">
      <c r="E417"/>
      <c r="F417"/>
    </row>
    <row r="418" spans="5:6">
      <c r="E418"/>
      <c r="F418"/>
    </row>
    <row r="419" spans="5:6">
      <c r="E419"/>
      <c r="F419"/>
    </row>
    <row r="420" spans="5:6">
      <c r="E420"/>
      <c r="F420"/>
    </row>
    <row r="421" spans="5:6">
      <c r="E421"/>
      <c r="F421"/>
    </row>
    <row r="422" spans="5:6">
      <c r="E422"/>
      <c r="F422"/>
    </row>
    <row r="423" spans="5:6">
      <c r="E423"/>
      <c r="F423"/>
    </row>
    <row r="424" spans="5:6">
      <c r="E424"/>
      <c r="F424"/>
    </row>
    <row r="425" spans="5:6">
      <c r="E425"/>
      <c r="F425"/>
    </row>
    <row r="426" spans="5:6">
      <c r="E426"/>
      <c r="F426"/>
    </row>
    <row r="427" spans="5:6">
      <c r="E427"/>
      <c r="F427"/>
    </row>
    <row r="428" spans="5:6">
      <c r="E428"/>
      <c r="F428"/>
    </row>
    <row r="429" spans="5:6">
      <c r="E429"/>
      <c r="F429"/>
    </row>
    <row r="430" spans="5:6">
      <c r="E430"/>
      <c r="F430"/>
    </row>
    <row r="431" spans="5:6">
      <c r="E431"/>
      <c r="F431"/>
    </row>
    <row r="432" spans="5:6">
      <c r="E432"/>
      <c r="F432"/>
    </row>
    <row r="433" spans="5:6">
      <c r="E433"/>
      <c r="F433"/>
    </row>
    <row r="434" spans="5:6">
      <c r="E434"/>
      <c r="F434"/>
    </row>
    <row r="435" spans="5:6">
      <c r="E435"/>
      <c r="F435"/>
    </row>
    <row r="436" spans="5:6">
      <c r="E436"/>
      <c r="F436"/>
    </row>
    <row r="437" spans="5:6">
      <c r="E437"/>
      <c r="F437"/>
    </row>
    <row r="438" spans="5:6">
      <c r="E438"/>
      <c r="F438"/>
    </row>
    <row r="439" spans="5:6">
      <c r="E439"/>
      <c r="F439"/>
    </row>
    <row r="440" spans="5:6">
      <c r="E440"/>
      <c r="F440"/>
    </row>
    <row r="441" spans="5:6">
      <c r="E441"/>
      <c r="F441"/>
    </row>
    <row r="442" spans="5:6">
      <c r="E442"/>
      <c r="F442"/>
    </row>
    <row r="443" spans="5:6">
      <c r="E443"/>
      <c r="F443"/>
    </row>
    <row r="444" spans="5:6">
      <c r="E444"/>
      <c r="F444"/>
    </row>
    <row r="445" spans="5:6">
      <c r="E445"/>
      <c r="F445"/>
    </row>
    <row r="446" spans="5:6">
      <c r="E446"/>
      <c r="F446"/>
    </row>
    <row r="447" spans="5:6">
      <c r="E447"/>
      <c r="F447"/>
    </row>
    <row r="448" spans="5:6">
      <c r="E448"/>
      <c r="F448"/>
    </row>
    <row r="449" spans="5:6">
      <c r="E449"/>
      <c r="F449"/>
    </row>
    <row r="450" spans="5:6">
      <c r="E450"/>
      <c r="F450"/>
    </row>
    <row r="451" spans="5:6">
      <c r="E451"/>
      <c r="F451"/>
    </row>
    <row r="452" spans="5:6">
      <c r="E452"/>
      <c r="F452"/>
    </row>
    <row r="453" spans="5:6">
      <c r="E453"/>
      <c r="F453"/>
    </row>
    <row r="454" spans="5:6">
      <c r="E454"/>
      <c r="F454"/>
    </row>
    <row r="455" spans="5:6">
      <c r="E455"/>
      <c r="F455"/>
    </row>
    <row r="456" spans="5:6">
      <c r="E456"/>
      <c r="F456"/>
    </row>
    <row r="457" spans="5:6">
      <c r="E457"/>
      <c r="F457"/>
    </row>
    <row r="458" spans="5:6">
      <c r="E458"/>
      <c r="F458"/>
    </row>
    <row r="459" spans="5:6">
      <c r="E459"/>
      <c r="F459"/>
    </row>
    <row r="460" spans="5:6">
      <c r="E460"/>
      <c r="F460"/>
    </row>
    <row r="461" spans="5:6">
      <c r="E461"/>
      <c r="F461"/>
    </row>
    <row r="462" spans="5:6">
      <c r="E462"/>
      <c r="F462"/>
    </row>
    <row r="463" spans="5:6">
      <c r="E463"/>
      <c r="F463"/>
    </row>
    <row r="464" spans="5:6">
      <c r="E464"/>
      <c r="F464"/>
    </row>
    <row r="465" spans="5:6">
      <c r="E465"/>
      <c r="F465"/>
    </row>
    <row r="466" spans="5:6">
      <c r="E466"/>
      <c r="F466"/>
    </row>
    <row r="467" spans="5:6">
      <c r="E467"/>
      <c r="F467"/>
    </row>
    <row r="468" spans="5:6">
      <c r="E468"/>
      <c r="F468"/>
    </row>
    <row r="469" spans="5:6">
      <c r="E469"/>
      <c r="F469"/>
    </row>
    <row r="470" spans="5:6">
      <c r="E470"/>
      <c r="F470"/>
    </row>
    <row r="471" spans="5:6">
      <c r="E471"/>
      <c r="F471"/>
    </row>
    <row r="472" spans="5:6">
      <c r="E472"/>
      <c r="F472"/>
    </row>
    <row r="473" spans="5:6">
      <c r="E473"/>
      <c r="F473"/>
    </row>
    <row r="474" spans="5:6">
      <c r="E474"/>
      <c r="F474"/>
    </row>
    <row r="475" spans="5:6">
      <c r="E475"/>
      <c r="F475"/>
    </row>
    <row r="476" spans="5:6">
      <c r="E476"/>
      <c r="F476"/>
    </row>
    <row r="477" spans="5:6">
      <c r="E477"/>
      <c r="F477"/>
    </row>
    <row r="478" spans="5:6">
      <c r="E478"/>
      <c r="F478"/>
    </row>
    <row r="479" spans="5:6">
      <c r="E479"/>
      <c r="F479"/>
    </row>
    <row r="480" spans="5:6">
      <c r="E480"/>
      <c r="F480"/>
    </row>
    <row r="481" spans="5:6">
      <c r="E481"/>
      <c r="F481"/>
    </row>
    <row r="482" spans="5:6">
      <c r="E482"/>
      <c r="F482"/>
    </row>
    <row r="483" spans="5:6">
      <c r="E483"/>
      <c r="F483"/>
    </row>
    <row r="484" spans="5:6">
      <c r="E484"/>
      <c r="F484"/>
    </row>
    <row r="485" spans="5:6">
      <c r="E485"/>
      <c r="F485"/>
    </row>
    <row r="486" spans="5:6">
      <c r="E486"/>
      <c r="F486"/>
    </row>
    <row r="487" spans="5:6">
      <c r="E487"/>
      <c r="F487"/>
    </row>
    <row r="488" spans="5:6">
      <c r="E488"/>
      <c r="F488"/>
    </row>
    <row r="489" spans="5:6">
      <c r="E489"/>
      <c r="F489"/>
    </row>
    <row r="490" spans="5:6">
      <c r="E490"/>
      <c r="F490"/>
    </row>
    <row r="491" spans="5:6">
      <c r="E491"/>
      <c r="F491"/>
    </row>
    <row r="492" spans="5:6">
      <c r="E492"/>
      <c r="F492"/>
    </row>
    <row r="493" spans="5:6">
      <c r="E493"/>
      <c r="F493"/>
    </row>
    <row r="494" spans="5:6">
      <c r="E494"/>
      <c r="F494"/>
    </row>
    <row r="495" spans="5:6">
      <c r="E495"/>
      <c r="F495"/>
    </row>
    <row r="496" spans="5:6">
      <c r="E496"/>
      <c r="F496"/>
    </row>
    <row r="497" spans="5:6">
      <c r="E497"/>
      <c r="F497"/>
    </row>
    <row r="498" spans="5:6">
      <c r="E498"/>
      <c r="F498"/>
    </row>
    <row r="499" spans="5:6">
      <c r="E499"/>
      <c r="F499"/>
    </row>
    <row r="500" spans="5:6">
      <c r="E500"/>
      <c r="F500"/>
    </row>
    <row r="501" spans="5:6">
      <c r="E501"/>
      <c r="F501"/>
    </row>
    <row r="502" spans="5:6">
      <c r="E502"/>
      <c r="F502"/>
    </row>
    <row r="503" spans="5:6">
      <c r="E503"/>
      <c r="F503"/>
    </row>
    <row r="504" spans="5:6">
      <c r="E504"/>
      <c r="F504"/>
    </row>
    <row r="505" spans="5:6">
      <c r="E505"/>
      <c r="F505"/>
    </row>
    <row r="506" spans="5:6">
      <c r="E506"/>
      <c r="F506"/>
    </row>
    <row r="507" spans="5:6">
      <c r="E507"/>
      <c r="F507"/>
    </row>
    <row r="508" spans="5:6">
      <c r="E508"/>
      <c r="F508"/>
    </row>
    <row r="509" spans="5:6">
      <c r="E509"/>
      <c r="F509"/>
    </row>
    <row r="510" spans="5:6">
      <c r="E510"/>
      <c r="F510"/>
    </row>
    <row r="511" spans="5:6">
      <c r="E511"/>
      <c r="F511"/>
    </row>
    <row r="512" spans="5:6">
      <c r="E512"/>
      <c r="F512"/>
    </row>
    <row r="513" spans="5:6">
      <c r="E513"/>
      <c r="F513"/>
    </row>
    <row r="514" spans="5:6">
      <c r="E514"/>
      <c r="F514"/>
    </row>
    <row r="515" spans="5:6">
      <c r="E515"/>
      <c r="F515"/>
    </row>
    <row r="516" spans="5:6">
      <c r="E516"/>
      <c r="F516"/>
    </row>
    <row r="517" spans="5:6">
      <c r="E517"/>
      <c r="F517"/>
    </row>
    <row r="518" spans="5:6">
      <c r="E518"/>
      <c r="F518"/>
    </row>
    <row r="519" spans="5:6">
      <c r="E519"/>
      <c r="F519"/>
    </row>
    <row r="520" spans="5:6">
      <c r="E520"/>
      <c r="F520"/>
    </row>
    <row r="521" spans="5:6">
      <c r="E521"/>
      <c r="F521"/>
    </row>
    <row r="522" spans="5:6">
      <c r="E522"/>
      <c r="F522"/>
    </row>
    <row r="523" spans="5:6">
      <c r="E523"/>
      <c r="F523"/>
    </row>
    <row r="524" spans="5:6">
      <c r="E524"/>
      <c r="F524"/>
    </row>
    <row r="525" spans="5:6">
      <c r="E525"/>
      <c r="F525"/>
    </row>
    <row r="526" spans="5:6">
      <c r="E526"/>
      <c r="F526"/>
    </row>
    <row r="527" spans="5:6">
      <c r="E527"/>
      <c r="F527"/>
    </row>
    <row r="528" spans="5:6">
      <c r="E528"/>
      <c r="F528"/>
    </row>
    <row r="529" spans="5:6">
      <c r="E529"/>
      <c r="F529"/>
    </row>
    <row r="530" spans="5:6">
      <c r="E530"/>
      <c r="F530"/>
    </row>
    <row r="531" spans="5:6">
      <c r="E531"/>
      <c r="F531"/>
    </row>
    <row r="532" spans="5:6">
      <c r="E532"/>
      <c r="F532"/>
    </row>
    <row r="533" spans="5:6">
      <c r="E533"/>
      <c r="F533"/>
    </row>
    <row r="534" spans="5:6">
      <c r="E534"/>
      <c r="F534"/>
    </row>
    <row r="535" spans="5:6">
      <c r="E535"/>
      <c r="F535"/>
    </row>
    <row r="536" spans="5:6">
      <c r="E536"/>
      <c r="F536"/>
    </row>
    <row r="537" spans="5:6">
      <c r="E537"/>
      <c r="F537"/>
    </row>
    <row r="538" spans="5:6">
      <c r="E538"/>
      <c r="F538"/>
    </row>
    <row r="539" spans="5:6">
      <c r="E539"/>
      <c r="F539"/>
    </row>
    <row r="540" spans="5:6">
      <c r="E540"/>
      <c r="F540"/>
    </row>
    <row r="541" spans="5:6">
      <c r="E541"/>
      <c r="F541"/>
    </row>
    <row r="542" spans="5:6">
      <c r="E542"/>
      <c r="F542"/>
    </row>
    <row r="543" spans="5:6">
      <c r="E543"/>
      <c r="F543"/>
    </row>
    <row r="544" spans="5:6">
      <c r="E544"/>
      <c r="F544"/>
    </row>
    <row r="545" spans="5:6">
      <c r="E545"/>
      <c r="F545"/>
    </row>
    <row r="546" spans="5:6">
      <c r="E546"/>
      <c r="F546"/>
    </row>
    <row r="547" spans="5:6">
      <c r="E547"/>
      <c r="F547"/>
    </row>
    <row r="548" spans="5:6">
      <c r="E548"/>
      <c r="F548"/>
    </row>
    <row r="549" spans="5:6">
      <c r="E549"/>
      <c r="F549"/>
    </row>
    <row r="550" spans="5:6">
      <c r="E550"/>
      <c r="F550"/>
    </row>
    <row r="551" spans="5:6">
      <c r="E551"/>
      <c r="F551"/>
    </row>
    <row r="552" spans="5:6">
      <c r="E552"/>
      <c r="F552"/>
    </row>
    <row r="553" spans="5:6">
      <c r="E553"/>
      <c r="F553"/>
    </row>
    <row r="554" spans="5:6">
      <c r="E554"/>
      <c r="F554"/>
    </row>
    <row r="555" spans="5:6">
      <c r="E555"/>
      <c r="F555"/>
    </row>
    <row r="556" spans="5:6">
      <c r="E556"/>
      <c r="F556"/>
    </row>
    <row r="557" spans="5:6">
      <c r="E557"/>
      <c r="F557"/>
    </row>
    <row r="558" spans="5:6">
      <c r="E558"/>
      <c r="F558"/>
    </row>
    <row r="559" spans="5:6">
      <c r="E559"/>
      <c r="F559"/>
    </row>
    <row r="560" spans="5:6">
      <c r="E560"/>
      <c r="F560"/>
    </row>
    <row r="561" spans="5:6">
      <c r="E561"/>
      <c r="F561"/>
    </row>
    <row r="562" spans="5:6">
      <c r="E562"/>
      <c r="F562"/>
    </row>
    <row r="563" spans="5:6">
      <c r="E563"/>
      <c r="F563"/>
    </row>
    <row r="564" spans="5:6">
      <c r="E564"/>
      <c r="F564"/>
    </row>
    <row r="565" spans="5:6">
      <c r="E565"/>
      <c r="F565"/>
    </row>
    <row r="566" spans="5:6">
      <c r="E566"/>
      <c r="F566"/>
    </row>
    <row r="567" spans="5:6">
      <c r="E567"/>
      <c r="F567"/>
    </row>
    <row r="568" spans="5:6">
      <c r="E568"/>
      <c r="F568"/>
    </row>
    <row r="569" spans="5:6">
      <c r="E569"/>
      <c r="F569"/>
    </row>
    <row r="570" spans="5:6">
      <c r="E570"/>
      <c r="F570"/>
    </row>
    <row r="571" spans="5:6">
      <c r="E571"/>
      <c r="F571"/>
    </row>
    <row r="572" spans="5:6">
      <c r="E572"/>
      <c r="F572"/>
    </row>
    <row r="573" spans="5:6">
      <c r="E573"/>
      <c r="F573"/>
    </row>
    <row r="574" spans="5:6">
      <c r="E574"/>
      <c r="F574"/>
    </row>
    <row r="575" spans="5:6">
      <c r="E575"/>
      <c r="F575"/>
    </row>
    <row r="576" spans="5:6">
      <c r="E576"/>
      <c r="F576"/>
    </row>
    <row r="577" spans="5:6">
      <c r="E577"/>
      <c r="F577"/>
    </row>
    <row r="578" spans="5:6">
      <c r="E578"/>
      <c r="F578"/>
    </row>
    <row r="579" spans="5:6">
      <c r="E579"/>
      <c r="F579"/>
    </row>
    <row r="580" spans="5:6">
      <c r="E580"/>
      <c r="F580"/>
    </row>
    <row r="581" spans="5:6">
      <c r="E581"/>
      <c r="F581"/>
    </row>
    <row r="582" spans="5:6">
      <c r="E582"/>
      <c r="F582"/>
    </row>
    <row r="583" spans="5:6">
      <c r="E583"/>
      <c r="F583"/>
    </row>
    <row r="584" spans="5:6">
      <c r="E584"/>
      <c r="F584"/>
    </row>
    <row r="585" spans="5:6">
      <c r="E585"/>
      <c r="F585"/>
    </row>
    <row r="586" spans="5:6">
      <c r="E586"/>
      <c r="F586"/>
    </row>
    <row r="587" spans="5:6">
      <c r="E587"/>
      <c r="F587"/>
    </row>
    <row r="588" spans="5:6">
      <c r="E588"/>
      <c r="F588"/>
    </row>
    <row r="589" spans="5:6">
      <c r="E589"/>
      <c r="F589"/>
    </row>
    <row r="590" spans="5:6">
      <c r="E590"/>
      <c r="F590"/>
    </row>
    <row r="591" spans="5:6">
      <c r="E591"/>
      <c r="F591"/>
    </row>
    <row r="592" spans="5:6">
      <c r="E592"/>
      <c r="F592"/>
    </row>
    <row r="593" spans="5:6">
      <c r="E593"/>
      <c r="F593"/>
    </row>
    <row r="594" spans="5:6">
      <c r="E594"/>
      <c r="F594"/>
    </row>
    <row r="595" spans="5:6">
      <c r="E595"/>
      <c r="F595"/>
    </row>
    <row r="596" spans="5:6">
      <c r="E596"/>
      <c r="F596"/>
    </row>
    <row r="597" spans="5:6">
      <c r="E597"/>
      <c r="F597"/>
    </row>
    <row r="598" spans="5:6">
      <c r="E598"/>
      <c r="F598"/>
    </row>
    <row r="599" spans="5:6">
      <c r="E599"/>
      <c r="F599"/>
    </row>
    <row r="600" spans="5:6">
      <c r="E600"/>
      <c r="F600"/>
    </row>
    <row r="601" spans="5:6">
      <c r="E601"/>
      <c r="F601"/>
    </row>
    <row r="602" spans="5:6">
      <c r="E602"/>
      <c r="F602"/>
    </row>
    <row r="603" spans="5:6">
      <c r="E603"/>
      <c r="F603"/>
    </row>
    <row r="604" spans="5:6">
      <c r="E604"/>
      <c r="F604"/>
    </row>
    <row r="605" spans="5:6">
      <c r="E605"/>
      <c r="F605"/>
    </row>
    <row r="606" spans="5:6">
      <c r="E606"/>
      <c r="F606"/>
    </row>
    <row r="607" spans="5:6">
      <c r="E607"/>
      <c r="F607"/>
    </row>
    <row r="608" spans="5:6">
      <c r="E608"/>
      <c r="F608"/>
    </row>
    <row r="609" spans="5:6">
      <c r="E609"/>
      <c r="F609"/>
    </row>
    <row r="610" spans="5:6">
      <c r="E610"/>
      <c r="F610"/>
    </row>
    <row r="611" spans="5:6">
      <c r="E611"/>
      <c r="F611"/>
    </row>
    <row r="612" spans="5:6">
      <c r="E612"/>
      <c r="F612"/>
    </row>
    <row r="613" spans="5:6">
      <c r="E613"/>
      <c r="F613"/>
    </row>
    <row r="614" spans="5:6">
      <c r="E614"/>
      <c r="F614"/>
    </row>
    <row r="615" spans="5:6">
      <c r="E615"/>
      <c r="F615"/>
    </row>
    <row r="616" spans="5:6">
      <c r="E616"/>
      <c r="F616"/>
    </row>
    <row r="617" spans="5:6">
      <c r="E617"/>
      <c r="F617"/>
    </row>
    <row r="618" spans="5:6">
      <c r="E618"/>
      <c r="F618"/>
    </row>
    <row r="619" spans="5:6">
      <c r="E619"/>
      <c r="F619"/>
    </row>
    <row r="620" spans="5:6">
      <c r="E620"/>
      <c r="F620"/>
    </row>
    <row r="621" spans="5:6">
      <c r="E621"/>
      <c r="F621"/>
    </row>
    <row r="622" spans="5:6">
      <c r="E622"/>
      <c r="F622"/>
    </row>
    <row r="623" spans="5:6">
      <c r="E623"/>
      <c r="F623"/>
    </row>
    <row r="624" spans="5:6">
      <c r="E624"/>
      <c r="F624"/>
    </row>
    <row r="625" spans="5:6">
      <c r="E625"/>
      <c r="F625"/>
    </row>
    <row r="626" spans="5:6">
      <c r="E626"/>
      <c r="F626"/>
    </row>
    <row r="627" spans="5:6">
      <c r="E627"/>
      <c r="F627"/>
    </row>
    <row r="628" spans="5:6">
      <c r="E628"/>
      <c r="F628"/>
    </row>
    <row r="629" spans="5:6">
      <c r="E629"/>
      <c r="F629"/>
    </row>
    <row r="630" spans="5:6">
      <c r="E630"/>
      <c r="F630"/>
    </row>
    <row r="631" spans="5:6">
      <c r="E631"/>
      <c r="F631"/>
    </row>
    <row r="632" spans="5:6">
      <c r="E632"/>
      <c r="F632"/>
    </row>
    <row r="633" spans="5:6">
      <c r="E633"/>
      <c r="F633"/>
    </row>
    <row r="634" spans="5:6">
      <c r="E634"/>
      <c r="F634"/>
    </row>
    <row r="635" spans="5:6">
      <c r="E635"/>
      <c r="F635"/>
    </row>
    <row r="636" spans="5:6">
      <c r="E636"/>
      <c r="F636"/>
    </row>
    <row r="637" spans="5:6">
      <c r="E637"/>
      <c r="F637"/>
    </row>
    <row r="638" spans="5:6">
      <c r="E638"/>
      <c r="F638"/>
    </row>
    <row r="639" spans="5:6">
      <c r="E639"/>
      <c r="F639"/>
    </row>
    <row r="640" spans="5:6">
      <c r="E640"/>
      <c r="F640"/>
    </row>
    <row r="641" spans="5:6">
      <c r="E641"/>
      <c r="F641"/>
    </row>
    <row r="642" spans="5:6">
      <c r="E642"/>
      <c r="F642"/>
    </row>
    <row r="643" spans="5:6">
      <c r="E643"/>
      <c r="F643"/>
    </row>
    <row r="644" spans="5:6">
      <c r="E644"/>
      <c r="F644"/>
    </row>
    <row r="645" spans="5:6">
      <c r="E645"/>
      <c r="F645"/>
    </row>
    <row r="646" spans="5:6">
      <c r="E646"/>
      <c r="F646"/>
    </row>
    <row r="647" spans="5:6">
      <c r="E647"/>
      <c r="F647"/>
    </row>
    <row r="648" spans="5:6">
      <c r="E648"/>
      <c r="F648"/>
    </row>
    <row r="649" spans="5:6">
      <c r="E649"/>
      <c r="F649"/>
    </row>
    <row r="650" spans="5:6">
      <c r="E650"/>
      <c r="F650"/>
    </row>
    <row r="651" spans="5:6">
      <c r="E651"/>
      <c r="F651"/>
    </row>
    <row r="652" spans="5:6">
      <c r="E652"/>
      <c r="F652"/>
    </row>
    <row r="653" spans="5:6">
      <c r="E653"/>
      <c r="F653"/>
    </row>
    <row r="654" spans="5:6">
      <c r="E654"/>
      <c r="F654"/>
    </row>
    <row r="655" spans="5:6">
      <c r="E655"/>
      <c r="F655"/>
    </row>
    <row r="656" spans="5:6">
      <c r="E656"/>
      <c r="F656"/>
    </row>
    <row r="657" spans="5:6">
      <c r="E657"/>
      <c r="F657"/>
    </row>
    <row r="658" spans="5:6">
      <c r="E658"/>
      <c r="F658"/>
    </row>
    <row r="659" spans="5:6">
      <c r="E659"/>
      <c r="F659"/>
    </row>
    <row r="660" spans="5:6">
      <c r="E660"/>
      <c r="F660"/>
    </row>
    <row r="661" spans="5:6">
      <c r="E661"/>
      <c r="F661"/>
    </row>
    <row r="662" spans="5:6">
      <c r="E662"/>
      <c r="F662"/>
    </row>
    <row r="663" spans="5:6">
      <c r="E663"/>
      <c r="F663"/>
    </row>
    <row r="664" spans="5:6">
      <c r="E664"/>
      <c r="F664"/>
    </row>
    <row r="665" spans="5:6">
      <c r="E665"/>
      <c r="F665"/>
    </row>
    <row r="666" spans="5:6">
      <c r="E666"/>
      <c r="F666"/>
    </row>
    <row r="667" spans="5:6">
      <c r="E667"/>
      <c r="F667"/>
    </row>
    <row r="668" spans="5:6">
      <c r="E668"/>
      <c r="F668"/>
    </row>
    <row r="669" spans="5:6">
      <c r="E669"/>
      <c r="F669"/>
    </row>
    <row r="670" spans="5:6">
      <c r="E670"/>
      <c r="F670"/>
    </row>
    <row r="671" spans="5:6">
      <c r="E671"/>
      <c r="F671"/>
    </row>
    <row r="672" spans="5:6">
      <c r="E672"/>
      <c r="F672"/>
    </row>
    <row r="673" spans="5:6">
      <c r="E673"/>
      <c r="F673"/>
    </row>
    <row r="674" spans="5:6">
      <c r="E674"/>
      <c r="F674"/>
    </row>
    <row r="675" spans="5:6">
      <c r="E675"/>
      <c r="F675"/>
    </row>
    <row r="676" spans="5:6">
      <c r="E676"/>
      <c r="F676"/>
    </row>
    <row r="677" spans="5:6">
      <c r="E677"/>
      <c r="F677"/>
    </row>
    <row r="678" spans="5:6">
      <c r="E678"/>
      <c r="F678"/>
    </row>
    <row r="679" spans="5:6">
      <c r="E679"/>
      <c r="F679"/>
    </row>
    <row r="680" spans="5:6">
      <c r="E680"/>
      <c r="F680"/>
    </row>
    <row r="681" spans="5:6">
      <c r="E681"/>
      <c r="F681"/>
    </row>
    <row r="682" spans="5:6">
      <c r="E682"/>
      <c r="F682"/>
    </row>
    <row r="683" spans="5:6">
      <c r="E683"/>
      <c r="F683"/>
    </row>
    <row r="684" spans="5:6">
      <c r="E684"/>
      <c r="F684"/>
    </row>
    <row r="685" spans="5:6">
      <c r="E685"/>
      <c r="F685"/>
    </row>
    <row r="686" spans="5:6">
      <c r="E686"/>
      <c r="F686"/>
    </row>
    <row r="687" spans="5:6">
      <c r="E687"/>
      <c r="F687"/>
    </row>
    <row r="688" spans="5:6">
      <c r="E688"/>
      <c r="F688"/>
    </row>
    <row r="689" spans="5:6">
      <c r="E689"/>
      <c r="F689"/>
    </row>
    <row r="690" spans="5:6">
      <c r="E690"/>
      <c r="F690"/>
    </row>
    <row r="691" spans="5:6">
      <c r="E691"/>
      <c r="F691"/>
    </row>
    <row r="692" spans="5:6">
      <c r="E692"/>
      <c r="F692"/>
    </row>
    <row r="693" spans="5:6">
      <c r="E693"/>
      <c r="F693"/>
    </row>
    <row r="694" spans="5:6">
      <c r="E694"/>
      <c r="F694"/>
    </row>
    <row r="695" spans="5:6">
      <c r="E695"/>
      <c r="F695"/>
    </row>
    <row r="696" spans="5:6">
      <c r="E696"/>
      <c r="F696"/>
    </row>
    <row r="697" spans="5:6">
      <c r="E697"/>
      <c r="F697"/>
    </row>
    <row r="698" spans="5:6">
      <c r="E698"/>
      <c r="F698"/>
    </row>
    <row r="699" spans="5:6">
      <c r="E699"/>
      <c r="F699"/>
    </row>
    <row r="700" spans="5:6">
      <c r="E700"/>
      <c r="F700"/>
    </row>
    <row r="701" spans="5:6">
      <c r="E701"/>
      <c r="F701"/>
    </row>
    <row r="702" spans="5:6">
      <c r="E702"/>
      <c r="F702"/>
    </row>
    <row r="703" spans="5:6">
      <c r="E703"/>
      <c r="F703"/>
    </row>
    <row r="704" spans="5:6">
      <c r="E704"/>
      <c r="F704"/>
    </row>
    <row r="705" spans="5:6">
      <c r="E705"/>
      <c r="F705"/>
    </row>
    <row r="706" spans="5:6">
      <c r="E706"/>
      <c r="F706"/>
    </row>
    <row r="707" spans="5:6">
      <c r="E707"/>
      <c r="F707"/>
    </row>
    <row r="708" spans="5:6">
      <c r="E708"/>
      <c r="F708"/>
    </row>
    <row r="709" spans="5:6">
      <c r="E709"/>
      <c r="F709"/>
    </row>
    <row r="710" spans="5:6">
      <c r="E710"/>
      <c r="F710"/>
    </row>
    <row r="711" spans="5:6">
      <c r="E711"/>
      <c r="F711"/>
    </row>
    <row r="712" spans="5:6">
      <c r="E712"/>
      <c r="F712"/>
    </row>
    <row r="713" spans="5:6">
      <c r="E713"/>
      <c r="F713"/>
    </row>
    <row r="714" spans="5:6">
      <c r="E714"/>
      <c r="F714"/>
    </row>
    <row r="715" spans="5:6">
      <c r="E715"/>
      <c r="F715"/>
    </row>
    <row r="716" spans="5:6">
      <c r="E716"/>
      <c r="F716"/>
    </row>
    <row r="717" spans="5:6">
      <c r="E717"/>
      <c r="F717"/>
    </row>
    <row r="718" spans="5:6">
      <c r="E718"/>
      <c r="F718"/>
    </row>
    <row r="719" spans="5:6">
      <c r="E719"/>
      <c r="F719"/>
    </row>
    <row r="720" spans="5:6">
      <c r="E720"/>
      <c r="F720"/>
    </row>
    <row r="721" spans="5:6">
      <c r="E721"/>
      <c r="F721"/>
    </row>
    <row r="722" spans="5:6">
      <c r="E722"/>
      <c r="F722"/>
    </row>
    <row r="723" spans="5:6">
      <c r="E723"/>
      <c r="F723"/>
    </row>
    <row r="724" spans="5:6">
      <c r="E724"/>
      <c r="F724"/>
    </row>
    <row r="725" spans="5:6">
      <c r="E725"/>
      <c r="F725"/>
    </row>
    <row r="726" spans="5:6">
      <c r="E726"/>
      <c r="F726"/>
    </row>
    <row r="727" spans="5:6">
      <c r="E727"/>
      <c r="F727"/>
    </row>
    <row r="728" spans="5:6">
      <c r="E728"/>
      <c r="F728"/>
    </row>
    <row r="729" spans="5:6">
      <c r="E729"/>
      <c r="F729"/>
    </row>
    <row r="730" spans="5:6">
      <c r="E730"/>
      <c r="F730"/>
    </row>
    <row r="731" spans="5:6">
      <c r="E731"/>
      <c r="F731"/>
    </row>
    <row r="732" spans="5:6">
      <c r="E732"/>
      <c r="F732"/>
    </row>
    <row r="733" spans="5:6">
      <c r="E733"/>
      <c r="F733"/>
    </row>
    <row r="734" spans="5:6">
      <c r="E734"/>
      <c r="F734"/>
    </row>
    <row r="735" spans="5:6">
      <c r="E735"/>
      <c r="F735"/>
    </row>
    <row r="736" spans="5:6">
      <c r="E736"/>
      <c r="F736"/>
    </row>
    <row r="737" spans="5:6">
      <c r="E737"/>
      <c r="F737"/>
    </row>
    <row r="738" spans="5:6">
      <c r="E738"/>
      <c r="F738"/>
    </row>
    <row r="739" spans="5:6">
      <c r="E739"/>
      <c r="F739"/>
    </row>
    <row r="740" spans="5:6">
      <c r="E740"/>
      <c r="F740"/>
    </row>
    <row r="741" spans="5:6">
      <c r="E741"/>
      <c r="F741"/>
    </row>
    <row r="742" spans="5:6">
      <c r="E742"/>
      <c r="F742"/>
    </row>
    <row r="743" spans="5:6">
      <c r="E743"/>
      <c r="F743"/>
    </row>
    <row r="744" spans="5:6">
      <c r="E744"/>
      <c r="F744"/>
    </row>
    <row r="745" spans="5:6">
      <c r="E745"/>
      <c r="F745"/>
    </row>
    <row r="746" spans="5:6">
      <c r="E746"/>
      <c r="F746"/>
    </row>
    <row r="747" spans="5:6">
      <c r="E747"/>
      <c r="F747"/>
    </row>
    <row r="748" spans="5:6">
      <c r="E748"/>
      <c r="F748"/>
    </row>
    <row r="749" spans="5:6">
      <c r="E749"/>
      <c r="F749"/>
    </row>
    <row r="750" spans="5:6">
      <c r="E750"/>
      <c r="F750"/>
    </row>
    <row r="751" spans="5:6">
      <c r="E751"/>
      <c r="F751"/>
    </row>
    <row r="752" spans="5:6">
      <c r="E752"/>
      <c r="F752"/>
    </row>
    <row r="753" spans="5:6">
      <c r="E753"/>
      <c r="F753"/>
    </row>
    <row r="754" spans="5:6">
      <c r="E754"/>
      <c r="F754"/>
    </row>
    <row r="755" spans="5:6">
      <c r="E755"/>
      <c r="F755"/>
    </row>
    <row r="756" spans="5:6">
      <c r="E756"/>
      <c r="F756"/>
    </row>
    <row r="757" spans="5:6">
      <c r="E757"/>
      <c r="F757"/>
    </row>
    <row r="758" spans="5:6">
      <c r="E758"/>
      <c r="F758"/>
    </row>
    <row r="759" spans="5:6">
      <c r="E759"/>
      <c r="F759"/>
    </row>
    <row r="760" spans="5:6">
      <c r="E760"/>
      <c r="F760"/>
    </row>
    <row r="761" spans="5:6">
      <c r="E761"/>
      <c r="F761"/>
    </row>
    <row r="762" spans="5:6">
      <c r="E762"/>
      <c r="F762"/>
    </row>
    <row r="763" spans="5:6">
      <c r="E763"/>
      <c r="F763"/>
    </row>
    <row r="764" spans="5:6">
      <c r="E764"/>
      <c r="F764"/>
    </row>
    <row r="765" spans="5:6">
      <c r="E765"/>
      <c r="F765"/>
    </row>
    <row r="766" spans="5:6">
      <c r="E766"/>
      <c r="F766"/>
    </row>
    <row r="767" spans="5:6">
      <c r="E767"/>
      <c r="F767"/>
    </row>
    <row r="768" spans="5:6">
      <c r="E768"/>
      <c r="F768"/>
    </row>
    <row r="769" spans="5:6">
      <c r="E769"/>
      <c r="F769"/>
    </row>
    <row r="770" spans="5:6">
      <c r="E770"/>
      <c r="F770"/>
    </row>
    <row r="771" spans="5:6">
      <c r="E771"/>
      <c r="F771"/>
    </row>
    <row r="772" spans="5:6">
      <c r="E772"/>
      <c r="F772"/>
    </row>
    <row r="773" spans="5:6">
      <c r="E773"/>
      <c r="F773"/>
    </row>
    <row r="774" spans="5:6">
      <c r="E774"/>
      <c r="F774"/>
    </row>
    <row r="775" spans="5:6">
      <c r="E775"/>
      <c r="F775"/>
    </row>
    <row r="776" spans="5:6">
      <c r="E776"/>
      <c r="F776"/>
    </row>
    <row r="777" spans="5:6">
      <c r="E777"/>
      <c r="F777"/>
    </row>
    <row r="778" spans="5:6">
      <c r="E778"/>
      <c r="F778"/>
    </row>
    <row r="779" spans="5:6">
      <c r="E779"/>
      <c r="F779"/>
    </row>
    <row r="780" spans="5:6">
      <c r="E780"/>
      <c r="F780"/>
    </row>
    <row r="781" spans="5:6">
      <c r="E781"/>
      <c r="F781"/>
    </row>
    <row r="782" spans="5:6">
      <c r="E782"/>
      <c r="F782"/>
    </row>
    <row r="783" spans="5:6">
      <c r="E783"/>
      <c r="F783"/>
    </row>
    <row r="784" spans="5:6">
      <c r="E784"/>
      <c r="F784"/>
    </row>
    <row r="785" spans="5:6">
      <c r="E785"/>
      <c r="F785"/>
    </row>
    <row r="786" spans="5:6">
      <c r="E786"/>
      <c r="F786"/>
    </row>
    <row r="787" spans="5:6">
      <c r="E787"/>
      <c r="F787"/>
    </row>
    <row r="788" spans="5:6">
      <c r="E788"/>
      <c r="F788"/>
    </row>
    <row r="789" spans="5:6">
      <c r="E789"/>
      <c r="F789"/>
    </row>
    <row r="790" spans="5:6">
      <c r="E790"/>
      <c r="F790"/>
    </row>
    <row r="791" spans="5:6">
      <c r="E791"/>
      <c r="F791"/>
    </row>
    <row r="792" spans="5:6">
      <c r="E792"/>
      <c r="F792"/>
    </row>
    <row r="793" spans="5:6">
      <c r="E793"/>
      <c r="F793"/>
    </row>
    <row r="794" spans="5:6">
      <c r="E794"/>
      <c r="F794"/>
    </row>
    <row r="795" spans="5:6">
      <c r="E795"/>
      <c r="F795"/>
    </row>
    <row r="796" spans="5:6">
      <c r="E796"/>
      <c r="F796"/>
    </row>
    <row r="797" spans="5:6">
      <c r="E797"/>
      <c r="F797"/>
    </row>
    <row r="798" spans="5:6">
      <c r="E798"/>
      <c r="F798"/>
    </row>
    <row r="799" spans="5:6">
      <c r="E799"/>
      <c r="F799"/>
    </row>
    <row r="800" spans="5:6">
      <c r="E800"/>
      <c r="F800"/>
    </row>
    <row r="801" spans="5:6">
      <c r="E801"/>
      <c r="F801"/>
    </row>
    <row r="802" spans="5:6">
      <c r="E802"/>
      <c r="F802"/>
    </row>
    <row r="803" spans="5:6">
      <c r="E803"/>
      <c r="F803"/>
    </row>
    <row r="804" spans="5:6">
      <c r="E804"/>
      <c r="F804"/>
    </row>
    <row r="805" spans="5:6">
      <c r="E805"/>
      <c r="F805"/>
    </row>
    <row r="806" spans="5:6">
      <c r="E806"/>
      <c r="F806"/>
    </row>
    <row r="807" spans="5:6">
      <c r="E807"/>
      <c r="F807"/>
    </row>
    <row r="808" spans="5:6">
      <c r="E808"/>
      <c r="F808"/>
    </row>
    <row r="809" spans="5:6">
      <c r="E809"/>
      <c r="F809"/>
    </row>
    <row r="810" spans="5:6">
      <c r="E810"/>
      <c r="F810"/>
    </row>
    <row r="811" spans="5:6">
      <c r="E811"/>
      <c r="F811"/>
    </row>
    <row r="812" spans="5:6">
      <c r="E812"/>
      <c r="F812"/>
    </row>
    <row r="813" spans="5:6">
      <c r="E813"/>
      <c r="F813"/>
    </row>
    <row r="814" spans="5:6">
      <c r="E814"/>
      <c r="F814"/>
    </row>
    <row r="815" spans="5:6">
      <c r="E815"/>
      <c r="F815"/>
    </row>
    <row r="816" spans="5:6">
      <c r="E816"/>
      <c r="F816"/>
    </row>
    <row r="817" spans="5:6">
      <c r="E817"/>
      <c r="F817"/>
    </row>
    <row r="818" spans="5:6">
      <c r="E818"/>
      <c r="F818"/>
    </row>
    <row r="819" spans="5:6">
      <c r="E819"/>
      <c r="F819"/>
    </row>
    <row r="820" spans="5:6">
      <c r="E820"/>
      <c r="F820"/>
    </row>
    <row r="821" spans="5:6">
      <c r="E821"/>
      <c r="F821"/>
    </row>
    <row r="822" spans="5:6">
      <c r="E822"/>
      <c r="F822"/>
    </row>
    <row r="823" spans="5:6">
      <c r="E823"/>
      <c r="F823"/>
    </row>
    <row r="824" spans="5:6">
      <c r="E824"/>
      <c r="F824"/>
    </row>
    <row r="825" spans="5:6">
      <c r="E825"/>
      <c r="F825"/>
    </row>
    <row r="826" spans="5:6">
      <c r="E826"/>
      <c r="F826"/>
    </row>
    <row r="827" spans="5:6">
      <c r="E827"/>
      <c r="F827"/>
    </row>
    <row r="828" spans="5:6">
      <c r="E828"/>
      <c r="F828"/>
    </row>
    <row r="829" spans="5:6">
      <c r="E829"/>
      <c r="F829"/>
    </row>
    <row r="830" spans="5:6">
      <c r="E830"/>
      <c r="F830"/>
    </row>
    <row r="831" spans="5:6">
      <c r="E831"/>
      <c r="F831"/>
    </row>
    <row r="832" spans="5:6">
      <c r="E832"/>
      <c r="F832"/>
    </row>
    <row r="833" spans="5:6">
      <c r="E833"/>
      <c r="F833"/>
    </row>
    <row r="834" spans="5:6">
      <c r="E834"/>
      <c r="F834"/>
    </row>
    <row r="835" spans="5:6">
      <c r="E835"/>
      <c r="F835"/>
    </row>
    <row r="836" spans="5:6">
      <c r="E836"/>
      <c r="F836"/>
    </row>
    <row r="837" spans="5:6">
      <c r="E837"/>
      <c r="F837"/>
    </row>
    <row r="838" spans="5:6">
      <c r="E838"/>
      <c r="F838"/>
    </row>
    <row r="839" spans="5:6">
      <c r="E839"/>
      <c r="F839"/>
    </row>
    <row r="840" spans="5:6">
      <c r="E840"/>
      <c r="F840"/>
    </row>
    <row r="841" spans="5:6">
      <c r="E841"/>
      <c r="F841"/>
    </row>
    <row r="842" spans="5:6">
      <c r="E842"/>
      <c r="F842"/>
    </row>
    <row r="843" spans="5:6">
      <c r="E843"/>
      <c r="F843"/>
    </row>
    <row r="844" spans="5:6">
      <c r="E844"/>
      <c r="F844"/>
    </row>
    <row r="845" spans="5:6">
      <c r="E845"/>
      <c r="F845"/>
    </row>
    <row r="846" spans="5:6">
      <c r="E846"/>
      <c r="F846"/>
    </row>
    <row r="847" spans="5:6">
      <c r="E847"/>
      <c r="F847"/>
    </row>
    <row r="848" spans="5:6">
      <c r="E848"/>
      <c r="F848"/>
    </row>
    <row r="849" spans="5:6">
      <c r="E849"/>
      <c r="F849"/>
    </row>
    <row r="850" spans="5:6">
      <c r="E850"/>
      <c r="F850"/>
    </row>
    <row r="851" spans="5:6">
      <c r="E851"/>
      <c r="F851"/>
    </row>
    <row r="852" spans="5:6">
      <c r="E852"/>
      <c r="F852"/>
    </row>
    <row r="853" spans="5:6">
      <c r="E853"/>
      <c r="F853"/>
    </row>
    <row r="854" spans="5:6">
      <c r="E854"/>
      <c r="F854"/>
    </row>
    <row r="855" spans="5:6">
      <c r="E855"/>
      <c r="F855"/>
    </row>
    <row r="856" spans="5:6">
      <c r="E856"/>
      <c r="F856"/>
    </row>
    <row r="857" spans="5:6">
      <c r="E857"/>
      <c r="F857"/>
    </row>
    <row r="858" spans="5:6">
      <c r="E858"/>
      <c r="F858"/>
    </row>
    <row r="859" spans="5:6">
      <c r="E859"/>
      <c r="F859"/>
    </row>
    <row r="860" spans="5:6">
      <c r="E860"/>
      <c r="F860"/>
    </row>
    <row r="861" spans="5:6">
      <c r="E861"/>
      <c r="F861"/>
    </row>
    <row r="862" spans="5:6">
      <c r="E862"/>
      <c r="F862"/>
    </row>
    <row r="863" spans="5:6">
      <c r="E863"/>
      <c r="F863"/>
    </row>
    <row r="864" spans="5:6">
      <c r="E864"/>
      <c r="F864"/>
    </row>
    <row r="865" spans="5:6">
      <c r="E865"/>
      <c r="F865"/>
    </row>
    <row r="866" spans="5:6">
      <c r="E866"/>
      <c r="F866"/>
    </row>
    <row r="867" spans="5:6">
      <c r="E867"/>
      <c r="F867"/>
    </row>
    <row r="868" spans="5:6">
      <c r="E868"/>
      <c r="F868"/>
    </row>
    <row r="869" spans="5:6">
      <c r="E869"/>
      <c r="F869"/>
    </row>
    <row r="870" spans="5:6">
      <c r="E870"/>
      <c r="F870"/>
    </row>
    <row r="871" spans="5:6">
      <c r="E871"/>
      <c r="F871"/>
    </row>
    <row r="872" spans="5:6">
      <c r="E872"/>
      <c r="F872"/>
    </row>
    <row r="873" spans="5:6">
      <c r="E873"/>
      <c r="F873"/>
    </row>
    <row r="874" spans="5:6">
      <c r="E874"/>
      <c r="F874"/>
    </row>
    <row r="875" spans="5:6">
      <c r="E875"/>
      <c r="F875"/>
    </row>
    <row r="876" spans="5:6">
      <c r="E876"/>
      <c r="F876"/>
    </row>
    <row r="877" spans="5:6">
      <c r="E877"/>
      <c r="F877"/>
    </row>
    <row r="878" spans="5:6">
      <c r="E878"/>
      <c r="F878"/>
    </row>
    <row r="879" spans="5:6">
      <c r="E879"/>
      <c r="F879"/>
    </row>
    <row r="880" spans="5:6">
      <c r="E880"/>
      <c r="F880"/>
    </row>
    <row r="881" spans="5:6">
      <c r="E881"/>
      <c r="F881"/>
    </row>
    <row r="882" spans="5:6">
      <c r="E882"/>
      <c r="F882"/>
    </row>
    <row r="883" spans="5:6">
      <c r="E883"/>
      <c r="F883"/>
    </row>
    <row r="884" spans="5:6">
      <c r="E884"/>
      <c r="F884"/>
    </row>
    <row r="885" spans="5:6">
      <c r="E885"/>
      <c r="F885"/>
    </row>
    <row r="886" spans="5:6">
      <c r="E886"/>
      <c r="F886"/>
    </row>
    <row r="887" spans="5:6">
      <c r="E887"/>
      <c r="F887"/>
    </row>
    <row r="888" spans="5:6">
      <c r="E888"/>
      <c r="F888"/>
    </row>
    <row r="889" spans="5:6">
      <c r="E889"/>
      <c r="F889"/>
    </row>
    <row r="890" spans="5:6">
      <c r="E890"/>
      <c r="F890"/>
    </row>
    <row r="891" spans="5:6">
      <c r="E891"/>
      <c r="F891"/>
    </row>
    <row r="892" spans="5:6">
      <c r="E892"/>
      <c r="F892"/>
    </row>
    <row r="893" spans="5:6">
      <c r="E893"/>
      <c r="F893"/>
    </row>
    <row r="894" spans="5:6">
      <c r="E894"/>
      <c r="F894"/>
    </row>
    <row r="895" spans="5:6">
      <c r="E895"/>
      <c r="F895"/>
    </row>
    <row r="896" spans="5:6">
      <c r="E896"/>
      <c r="F896"/>
    </row>
    <row r="897" spans="5:6">
      <c r="E897"/>
      <c r="F897"/>
    </row>
    <row r="898" spans="5:6">
      <c r="E898"/>
      <c r="F898"/>
    </row>
    <row r="899" spans="5:6">
      <c r="E899"/>
      <c r="F899"/>
    </row>
    <row r="900" spans="5:6">
      <c r="E900"/>
      <c r="F900"/>
    </row>
    <row r="901" spans="5:6">
      <c r="E901"/>
      <c r="F901"/>
    </row>
    <row r="902" spans="5:6">
      <c r="E902"/>
      <c r="F902"/>
    </row>
    <row r="903" spans="5:6">
      <c r="E903"/>
      <c r="F903"/>
    </row>
    <row r="904" spans="5:6">
      <c r="E904"/>
      <c r="F904"/>
    </row>
    <row r="905" spans="5:6">
      <c r="E905"/>
      <c r="F905"/>
    </row>
    <row r="906" spans="5:6">
      <c r="E906"/>
      <c r="F906"/>
    </row>
    <row r="907" spans="5:6">
      <c r="E907"/>
      <c r="F907"/>
    </row>
    <row r="908" spans="5:6">
      <c r="E908"/>
      <c r="F908"/>
    </row>
    <row r="909" spans="5:6">
      <c r="E909"/>
      <c r="F909"/>
    </row>
    <row r="910" spans="5:6">
      <c r="E910"/>
      <c r="F910"/>
    </row>
    <row r="911" spans="5:6">
      <c r="E911"/>
      <c r="F911"/>
    </row>
    <row r="912" spans="5:6">
      <c r="E912"/>
      <c r="F912"/>
    </row>
    <row r="913" spans="5:6">
      <c r="E913"/>
      <c r="F913"/>
    </row>
    <row r="914" spans="5:6">
      <c r="E914"/>
      <c r="F914"/>
    </row>
    <row r="915" spans="5:6">
      <c r="E915"/>
      <c r="F915"/>
    </row>
    <row r="916" spans="5:6">
      <c r="E916"/>
      <c r="F916"/>
    </row>
    <row r="917" spans="5:6">
      <c r="E917"/>
      <c r="F917"/>
    </row>
    <row r="918" spans="5:6">
      <c r="E918"/>
      <c r="F918"/>
    </row>
    <row r="919" spans="5:6">
      <c r="E919"/>
      <c r="F919"/>
    </row>
    <row r="920" spans="5:6">
      <c r="E920"/>
      <c r="F920"/>
    </row>
    <row r="921" spans="5:6">
      <c r="E921"/>
      <c r="F921"/>
    </row>
    <row r="922" spans="5:6">
      <c r="E922"/>
      <c r="F922"/>
    </row>
    <row r="923" spans="5:6">
      <c r="E923"/>
      <c r="F923"/>
    </row>
    <row r="924" spans="5:6">
      <c r="E924"/>
      <c r="F924"/>
    </row>
    <row r="925" spans="5:6">
      <c r="E925"/>
      <c r="F925"/>
    </row>
    <row r="926" spans="5:6">
      <c r="E926"/>
      <c r="F926"/>
    </row>
    <row r="927" spans="5:6">
      <c r="E927"/>
      <c r="F927"/>
    </row>
    <row r="928" spans="5:6">
      <c r="E928"/>
      <c r="F928"/>
    </row>
    <row r="929" spans="5:6">
      <c r="E929"/>
      <c r="F929"/>
    </row>
    <row r="930" spans="5:6">
      <c r="E930"/>
      <c r="F930"/>
    </row>
    <row r="931" spans="5:6">
      <c r="E931"/>
      <c r="F931"/>
    </row>
    <row r="932" spans="5:6">
      <c r="E932"/>
      <c r="F932"/>
    </row>
    <row r="933" spans="5:6">
      <c r="E933"/>
      <c r="F933"/>
    </row>
    <row r="934" spans="5:6">
      <c r="E934"/>
      <c r="F934"/>
    </row>
    <row r="935" spans="5:6">
      <c r="E935"/>
      <c r="F935"/>
    </row>
    <row r="936" spans="5:6">
      <c r="E936"/>
      <c r="F936"/>
    </row>
    <row r="937" spans="5:6">
      <c r="E937"/>
      <c r="F937"/>
    </row>
    <row r="938" spans="5:6">
      <c r="E938"/>
      <c r="F938"/>
    </row>
    <row r="939" spans="5:6">
      <c r="E939"/>
      <c r="F939"/>
    </row>
    <row r="940" spans="5:6">
      <c r="E940"/>
      <c r="F940"/>
    </row>
    <row r="941" spans="5:6">
      <c r="E941"/>
      <c r="F941"/>
    </row>
    <row r="942" spans="5:6">
      <c r="E942"/>
      <c r="F942"/>
    </row>
    <row r="943" spans="5:6">
      <c r="E943"/>
      <c r="F943"/>
    </row>
    <row r="944" spans="5:6">
      <c r="E944"/>
      <c r="F944"/>
    </row>
    <row r="945" spans="5:6">
      <c r="E945"/>
      <c r="F945"/>
    </row>
    <row r="946" spans="5:6">
      <c r="E946"/>
      <c r="F946"/>
    </row>
    <row r="947" spans="5:6">
      <c r="E947"/>
      <c r="F947"/>
    </row>
    <row r="948" spans="5:6">
      <c r="E948"/>
      <c r="F948"/>
    </row>
    <row r="949" spans="5:6">
      <c r="E949"/>
      <c r="F949"/>
    </row>
    <row r="950" spans="5:6">
      <c r="E950"/>
      <c r="F950"/>
    </row>
    <row r="951" spans="5:6">
      <c r="E951"/>
      <c r="F951"/>
    </row>
    <row r="952" spans="5:6">
      <c r="E952"/>
      <c r="F952"/>
    </row>
    <row r="953" spans="5:6">
      <c r="E953"/>
      <c r="F953"/>
    </row>
    <row r="954" spans="5:6">
      <c r="E954"/>
      <c r="F954"/>
    </row>
    <row r="955" spans="5:6">
      <c r="E955"/>
      <c r="F955"/>
    </row>
    <row r="956" spans="5:6">
      <c r="E956"/>
      <c r="F956"/>
    </row>
    <row r="957" spans="5:6">
      <c r="E957"/>
      <c r="F957"/>
    </row>
    <row r="958" spans="5:6">
      <c r="E958"/>
      <c r="F958"/>
    </row>
    <row r="959" spans="5:6">
      <c r="E959"/>
      <c r="F959"/>
    </row>
    <row r="960" spans="5:6">
      <c r="E960"/>
      <c r="F960"/>
    </row>
    <row r="961" spans="5:6">
      <c r="E961"/>
      <c r="F961"/>
    </row>
    <row r="962" spans="5:6">
      <c r="E962"/>
      <c r="F962"/>
    </row>
    <row r="963" spans="5:6">
      <c r="E963"/>
      <c r="F963"/>
    </row>
    <row r="964" spans="5:6">
      <c r="E964"/>
      <c r="F964"/>
    </row>
    <row r="965" spans="5:6">
      <c r="E965"/>
      <c r="F965"/>
    </row>
    <row r="966" spans="5:6">
      <c r="E966"/>
      <c r="F966"/>
    </row>
    <row r="967" spans="5:6">
      <c r="E967"/>
      <c r="F967"/>
    </row>
    <row r="968" spans="5:6">
      <c r="E968"/>
      <c r="F968"/>
    </row>
    <row r="969" spans="5:6">
      <c r="E969"/>
      <c r="F969"/>
    </row>
    <row r="970" spans="5:6">
      <c r="E970"/>
      <c r="F970"/>
    </row>
    <row r="971" spans="5:6">
      <c r="E971"/>
      <c r="F971"/>
    </row>
    <row r="972" spans="5:6">
      <c r="E972"/>
      <c r="F972"/>
    </row>
    <row r="973" spans="5:6">
      <c r="E973"/>
      <c r="F973"/>
    </row>
    <row r="974" spans="5:6">
      <c r="E974"/>
      <c r="F974"/>
    </row>
    <row r="975" spans="5:6">
      <c r="E975"/>
      <c r="F975"/>
    </row>
    <row r="976" spans="5:6">
      <c r="E976"/>
      <c r="F976"/>
    </row>
    <row r="977" spans="5:6">
      <c r="E977"/>
      <c r="F977"/>
    </row>
    <row r="978" spans="5:6">
      <c r="E978"/>
      <c r="F978"/>
    </row>
    <row r="979" spans="5:6">
      <c r="E979"/>
      <c r="F979"/>
    </row>
    <row r="980" spans="5:6">
      <c r="E980"/>
      <c r="F980"/>
    </row>
    <row r="981" spans="5:6">
      <c r="E981"/>
      <c r="F981"/>
    </row>
    <row r="982" spans="5:6">
      <c r="E982"/>
      <c r="F982"/>
    </row>
    <row r="983" spans="5:6">
      <c r="E983"/>
      <c r="F983"/>
    </row>
    <row r="984" spans="5:6">
      <c r="E984"/>
      <c r="F984"/>
    </row>
    <row r="985" spans="5:6">
      <c r="E985"/>
      <c r="F985"/>
    </row>
    <row r="986" spans="5:6">
      <c r="E986"/>
      <c r="F986"/>
    </row>
    <row r="987" spans="5:6">
      <c r="E987"/>
      <c r="F987"/>
    </row>
    <row r="988" spans="5:6">
      <c r="E988"/>
      <c r="F988"/>
    </row>
    <row r="989" spans="5:6">
      <c r="E989"/>
      <c r="F989"/>
    </row>
    <row r="990" spans="5:6">
      <c r="E990"/>
      <c r="F990"/>
    </row>
    <row r="991" spans="5:6">
      <c r="E991"/>
      <c r="F991"/>
    </row>
    <row r="992" spans="5:6">
      <c r="E992"/>
      <c r="F992"/>
    </row>
    <row r="993" spans="5:6">
      <c r="E993"/>
      <c r="F993"/>
    </row>
    <row r="994" spans="5:6">
      <c r="E994"/>
      <c r="F994"/>
    </row>
    <row r="995" spans="5:6">
      <c r="E995"/>
      <c r="F995"/>
    </row>
    <row r="996" spans="5:6">
      <c r="E996"/>
      <c r="F996"/>
    </row>
    <row r="997" spans="5:6">
      <c r="E997"/>
      <c r="F997"/>
    </row>
    <row r="998" spans="5:6">
      <c r="E998"/>
      <c r="F998"/>
    </row>
    <row r="999" spans="5:6">
      <c r="E999"/>
      <c r="F999"/>
    </row>
    <row r="1000" spans="5:6">
      <c r="E1000"/>
      <c r="F1000"/>
    </row>
    <row r="1001" spans="5:6">
      <c r="E1001"/>
      <c r="F1001"/>
    </row>
    <row r="1002" spans="5:6">
      <c r="E1002"/>
      <c r="F1002"/>
    </row>
    <row r="1003" spans="5:6">
      <c r="E1003"/>
      <c r="F1003"/>
    </row>
    <row r="1004" spans="5:6">
      <c r="E1004"/>
      <c r="F1004"/>
    </row>
    <row r="1005" spans="5:6">
      <c r="E1005"/>
      <c r="F1005"/>
    </row>
    <row r="1006" spans="5:6">
      <c r="E1006"/>
      <c r="F1006"/>
    </row>
    <row r="1007" spans="5:6">
      <c r="E1007"/>
      <c r="F1007"/>
    </row>
    <row r="1008" spans="5:6">
      <c r="E1008"/>
      <c r="F1008"/>
    </row>
    <row r="1009" spans="5:6">
      <c r="E1009"/>
      <c r="F1009"/>
    </row>
    <row r="1010" spans="5:6">
      <c r="E1010"/>
      <c r="F1010"/>
    </row>
    <row r="1011" spans="5:6">
      <c r="E1011"/>
      <c r="F1011"/>
    </row>
    <row r="1012" spans="5:6">
      <c r="E1012"/>
      <c r="F1012"/>
    </row>
    <row r="1013" spans="5:6">
      <c r="E1013"/>
      <c r="F1013"/>
    </row>
    <row r="1014" spans="5:6">
      <c r="E1014"/>
      <c r="F1014"/>
    </row>
    <row r="1015" spans="5:6">
      <c r="E1015"/>
      <c r="F1015"/>
    </row>
    <row r="1016" spans="5:6">
      <c r="E1016"/>
      <c r="F1016"/>
    </row>
    <row r="1017" spans="5:6">
      <c r="E1017"/>
      <c r="F1017"/>
    </row>
    <row r="1018" spans="5:6">
      <c r="E1018"/>
      <c r="F1018"/>
    </row>
    <row r="1019" spans="5:6">
      <c r="E1019"/>
      <c r="F1019"/>
    </row>
    <row r="1020" spans="5:6">
      <c r="E1020"/>
      <c r="F1020"/>
    </row>
    <row r="1021" spans="5:6">
      <c r="E1021"/>
      <c r="F1021"/>
    </row>
    <row r="1022" spans="5:6">
      <c r="E1022"/>
      <c r="F1022"/>
    </row>
    <row r="1023" spans="5:6">
      <c r="E1023"/>
      <c r="F1023"/>
    </row>
    <row r="1024" spans="5:6">
      <c r="E1024"/>
      <c r="F1024"/>
    </row>
    <row r="1025" spans="5:6">
      <c r="E1025"/>
      <c r="F1025"/>
    </row>
    <row r="1026" spans="5:6">
      <c r="E1026"/>
      <c r="F1026"/>
    </row>
    <row r="1027" spans="5:6">
      <c r="E1027"/>
      <c r="F1027"/>
    </row>
    <row r="1028" spans="5:6">
      <c r="E1028"/>
      <c r="F1028"/>
    </row>
    <row r="1029" spans="5:6">
      <c r="E1029"/>
      <c r="F1029"/>
    </row>
    <row r="1030" spans="5:6">
      <c r="E1030"/>
      <c r="F1030"/>
    </row>
    <row r="1031" spans="5:6">
      <c r="E1031"/>
      <c r="F1031"/>
    </row>
    <row r="1032" spans="5:6">
      <c r="E1032"/>
      <c r="F1032"/>
    </row>
    <row r="1033" spans="5:6">
      <c r="E1033"/>
      <c r="F1033"/>
    </row>
    <row r="1034" spans="5:6">
      <c r="E1034"/>
      <c r="F1034"/>
    </row>
    <row r="1035" spans="5:6">
      <c r="E1035"/>
      <c r="F1035"/>
    </row>
    <row r="1036" spans="5:6">
      <c r="E1036"/>
      <c r="F1036"/>
    </row>
    <row r="1037" spans="5:6">
      <c r="E1037"/>
      <c r="F1037"/>
    </row>
    <row r="1038" spans="5:6">
      <c r="E1038"/>
      <c r="F1038"/>
    </row>
    <row r="1039" spans="5:6">
      <c r="E1039"/>
      <c r="F1039"/>
    </row>
    <row r="1040" spans="5:6">
      <c r="E1040"/>
      <c r="F1040"/>
    </row>
    <row r="1041" spans="5:6">
      <c r="E1041"/>
      <c r="F1041"/>
    </row>
    <row r="1042" spans="5:6">
      <c r="E1042"/>
      <c r="F104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209F-F8DD-074B-A82A-FE431B6A0723}">
  <sheetPr codeName="Sheet10"/>
  <dimension ref="B4:K31"/>
  <sheetViews>
    <sheetView workbookViewId="0"/>
  </sheetViews>
  <sheetFormatPr defaultColWidth="10.85546875" defaultRowHeight="12.75"/>
  <cols>
    <col min="2" max="2" width="26.5703125" customWidth="1"/>
    <col min="3" max="3" width="16.42578125" customWidth="1"/>
    <col min="6" max="6" width="15.140625" bestFit="1" customWidth="1"/>
    <col min="10" max="10" width="13.85546875" style="293" bestFit="1" customWidth="1"/>
  </cols>
  <sheetData>
    <row r="4" spans="2:11">
      <c r="B4" s="356" t="s">
        <v>145</v>
      </c>
      <c r="C4" s="617">
        <v>2022</v>
      </c>
      <c r="K4" s="287"/>
    </row>
    <row r="5" spans="2:11">
      <c r="B5" s="287" t="s">
        <v>479</v>
      </c>
      <c r="C5" s="359" t="e">
        <f>'Income WP'!#REF!</f>
        <v>#REF!</v>
      </c>
      <c r="D5" s="287"/>
      <c r="F5" s="514"/>
    </row>
    <row r="6" spans="2:11">
      <c r="B6" s="287" t="s">
        <v>493</v>
      </c>
      <c r="C6" s="359" t="e">
        <f>'Income WP'!#REF!+'Income WP'!#REF!</f>
        <v>#REF!</v>
      </c>
      <c r="F6" s="359"/>
    </row>
    <row r="7" spans="2:11" ht="13.5" thickBot="1">
      <c r="B7" s="357" t="s">
        <v>480</v>
      </c>
      <c r="C7" s="361" t="e">
        <f>SUM(C5:C6)</f>
        <v>#REF!</v>
      </c>
      <c r="K7" s="287"/>
    </row>
    <row r="8" spans="2:11" ht="13.5" thickTop="1">
      <c r="B8" s="350"/>
      <c r="C8" s="355"/>
      <c r="K8" s="287"/>
    </row>
    <row r="9" spans="2:11">
      <c r="B9" t="s">
        <v>481</v>
      </c>
      <c r="C9" s="359">
        <f>'Exp By type'!F6/1000</f>
        <v>249557.47734000001</v>
      </c>
      <c r="K9" s="287"/>
    </row>
    <row r="10" spans="2:11">
      <c r="B10" t="s">
        <v>482</v>
      </c>
      <c r="C10" s="359">
        <f>'Exp By type'!F13/1000</f>
        <v>3522.5130199999999</v>
      </c>
    </row>
    <row r="11" spans="2:11" ht="13.5" thickBot="1">
      <c r="B11" s="357" t="s">
        <v>483</v>
      </c>
      <c r="C11" s="361">
        <f t="shared" ref="C11" si="0">SUM(C9:C10)</f>
        <v>253079.99036000003</v>
      </c>
    </row>
    <row r="12" spans="2:11" ht="13.5" thickTop="1">
      <c r="B12" s="350"/>
      <c r="C12" s="355"/>
    </row>
    <row r="13" spans="2:11">
      <c r="B13" s="358" t="s">
        <v>484</v>
      </c>
      <c r="C13" s="359" t="e">
        <f>C7+C11</f>
        <v>#REF!</v>
      </c>
    </row>
    <row r="14" spans="2:11">
      <c r="B14" s="358" t="s">
        <v>485</v>
      </c>
      <c r="C14" s="362" t="e">
        <f t="shared" ref="C14" si="1">C13/C7</f>
        <v>#REF!</v>
      </c>
    </row>
    <row r="15" spans="2:11">
      <c r="B15" s="350"/>
      <c r="C15" s="355"/>
    </row>
    <row r="16" spans="2:11">
      <c r="B16" s="358" t="s">
        <v>486</v>
      </c>
      <c r="C16" s="355">
        <f>'Exp By type'!F7/1000</f>
        <v>19761.871789999997</v>
      </c>
    </row>
    <row r="17" spans="2:4">
      <c r="B17" s="358" t="s">
        <v>310</v>
      </c>
      <c r="C17" s="363">
        <f>'Exp By type'!F8/1000</f>
        <v>19481.623179999995</v>
      </c>
    </row>
    <row r="18" spans="2:4">
      <c r="B18" s="358" t="s">
        <v>487</v>
      </c>
      <c r="C18" s="363">
        <f>'Exp By type'!F10/1000</f>
        <v>15414.225619999996</v>
      </c>
      <c r="D18" s="316"/>
    </row>
    <row r="19" spans="2:4">
      <c r="B19" s="350"/>
      <c r="C19" s="355"/>
    </row>
    <row r="20" spans="2:4">
      <c r="B20" s="357" t="s">
        <v>488</v>
      </c>
      <c r="C20" s="360" t="e">
        <f>C13+C16+C17+C18</f>
        <v>#REF!</v>
      </c>
    </row>
    <row r="21" spans="2:4">
      <c r="B21" s="358"/>
      <c r="C21" s="355"/>
    </row>
    <row r="22" spans="2:4">
      <c r="B22" s="350"/>
      <c r="C22" s="355"/>
    </row>
    <row r="23" spans="2:4">
      <c r="B23" s="350"/>
      <c r="C23" s="355"/>
    </row>
    <row r="24" spans="2:4">
      <c r="B24" s="350"/>
      <c r="C24" s="355"/>
    </row>
    <row r="25" spans="2:4">
      <c r="B25" s="350"/>
      <c r="C25" s="355"/>
    </row>
    <row r="26" spans="2:4">
      <c r="B26" s="350"/>
      <c r="C26" s="364"/>
    </row>
    <row r="27" spans="2:4">
      <c r="B27" s="350"/>
      <c r="C27" s="364"/>
    </row>
    <row r="28" spans="2:4">
      <c r="B28" s="350"/>
      <c r="C28" s="355"/>
    </row>
    <row r="29" spans="2:4">
      <c r="B29" s="350"/>
      <c r="C29" s="364"/>
    </row>
    <row r="30" spans="2:4">
      <c r="C30" s="364"/>
    </row>
    <row r="31" spans="2:4">
      <c r="C31" s="350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CF1B-73D2-7F4A-AB37-798D5D8B37A7}">
  <sheetPr codeName="Sheet11">
    <tabColor theme="9" tint="-0.249977111117893"/>
  </sheetPr>
  <dimension ref="A1:I64"/>
  <sheetViews>
    <sheetView tabSelected="1" zoomScale="160" zoomScaleNormal="160" workbookViewId="0">
      <selection activeCell="I41" sqref="I41"/>
    </sheetView>
  </sheetViews>
  <sheetFormatPr defaultColWidth="10.85546875" defaultRowHeight="12.75"/>
  <cols>
    <col min="1" max="1" width="20.85546875" bestFit="1" customWidth="1"/>
    <col min="2" max="2" width="36.42578125" bestFit="1" customWidth="1"/>
    <col min="3" max="3" width="13.42578125" customWidth="1"/>
    <col min="5" max="5" width="1.85546875" style="340" customWidth="1"/>
    <col min="6" max="6" width="5.42578125" customWidth="1"/>
    <col min="7" max="7" width="33.5703125" customWidth="1"/>
    <col min="8" max="8" width="22.42578125" customWidth="1"/>
    <col min="9" max="9" width="20.140625" customWidth="1"/>
  </cols>
  <sheetData>
    <row r="1" spans="1:9">
      <c r="A1" s="267">
        <v>44926</v>
      </c>
    </row>
    <row r="2" spans="1:9">
      <c r="A2" s="269" t="s">
        <v>474</v>
      </c>
    </row>
    <row r="3" spans="1:9">
      <c r="A3" s="269" t="s">
        <v>371</v>
      </c>
    </row>
    <row r="4" spans="1:9">
      <c r="A4" s="269" t="s">
        <v>32</v>
      </c>
    </row>
    <row r="5" spans="1:9">
      <c r="A5" s="269"/>
    </row>
    <row r="6" spans="1:9" ht="13.5" thickBot="1">
      <c r="A6" s="269"/>
    </row>
    <row r="7" spans="1:9" ht="13.5" thickBot="1">
      <c r="A7" s="778" t="s">
        <v>49</v>
      </c>
      <c r="B7" s="779"/>
      <c r="C7" s="779"/>
      <c r="D7" s="780"/>
      <c r="F7" s="778" t="s">
        <v>144</v>
      </c>
      <c r="G7" s="779"/>
      <c r="H7" s="779"/>
      <c r="I7" s="780"/>
    </row>
    <row r="8" spans="1:9">
      <c r="A8" s="269"/>
    </row>
    <row r="9" spans="1:9">
      <c r="A9" s="269"/>
    </row>
    <row r="10" spans="1:9">
      <c r="A10" s="269"/>
      <c r="C10" s="260">
        <v>44926</v>
      </c>
      <c r="H10" s="260">
        <v>44926</v>
      </c>
      <c r="I10" s="260">
        <v>44926</v>
      </c>
    </row>
    <row r="11" spans="1:9" ht="15">
      <c r="A11" s="269"/>
      <c r="C11" s="261" t="s">
        <v>285</v>
      </c>
      <c r="H11" s="261" t="s">
        <v>285</v>
      </c>
      <c r="I11" s="261" t="s">
        <v>1685</v>
      </c>
    </row>
    <row r="12" spans="1:9">
      <c r="A12" s="269"/>
    </row>
    <row r="14" spans="1:9" ht="15">
      <c r="A14" s="49"/>
      <c r="B14" s="49" t="s">
        <v>286</v>
      </c>
      <c r="G14" s="50" t="s">
        <v>499</v>
      </c>
      <c r="H14" s="346">
        <f>'P&amp;L USD CONS'!L7</f>
        <v>-334239531.5399999</v>
      </c>
      <c r="I14" s="346">
        <f>H14/1000</f>
        <v>-334239.53153999988</v>
      </c>
    </row>
    <row r="15" spans="1:9" ht="15">
      <c r="A15" s="50"/>
      <c r="B15" s="50"/>
      <c r="G15" s="1"/>
      <c r="H15" s="346"/>
      <c r="I15" s="346"/>
    </row>
    <row r="16" spans="1:9" ht="15">
      <c r="A16" s="40" t="s">
        <v>1669</v>
      </c>
      <c r="B16" s="40" t="s">
        <v>50</v>
      </c>
      <c r="C16" s="293">
        <f>SUMIF('BS USD CONS '!B:B,FS!A16,'BS USD CONS '!M:M)+SUMIF('BS USD CONS '!B:B,FS!B16,'BS USD CONS '!M:M)</f>
        <v>78468.185259999998</v>
      </c>
      <c r="G16" s="40" t="s">
        <v>147</v>
      </c>
      <c r="H16" s="346">
        <f>'P&amp;L USD CONS'!L9</f>
        <v>23057127.009999998</v>
      </c>
      <c r="I16" s="346">
        <f>H16/1000</f>
        <v>23057.127009999997</v>
      </c>
    </row>
    <row r="17" spans="1:9" ht="15.75" thickBot="1">
      <c r="A17" s="40" t="s">
        <v>992</v>
      </c>
      <c r="B17" s="40" t="s">
        <v>110</v>
      </c>
      <c r="C17" s="293">
        <f>SUMIF('BS USD CONS '!B:B,FS!A17,'BS USD CONS '!M:M)+SUMIF('BS USD CONS '!B:B,FS!B17,'BS USD CONS '!M:M)</f>
        <v>-2.5000000000000001E-4</v>
      </c>
      <c r="G17" s="341" t="s">
        <v>297</v>
      </c>
      <c r="H17" s="65">
        <f>'P&amp;L USD CONS'!L11</f>
        <v>-311182404.52999991</v>
      </c>
      <c r="I17" s="65">
        <f>H17/1000</f>
        <v>-311182.40452999988</v>
      </c>
    </row>
    <row r="18" spans="1:9" ht="15.75" thickTop="1">
      <c r="A18" s="40"/>
      <c r="B18" s="40" t="s">
        <v>51</v>
      </c>
      <c r="C18" s="293">
        <f>SUMIF('BS USD CONS '!B:B,FS!A18,'BS USD CONS '!M:M)+SUMIF('BS USD CONS '!B:B,FS!B18,'BS USD CONS '!M:M)</f>
        <v>2668.2386499999998</v>
      </c>
      <c r="G18" s="40"/>
      <c r="H18" s="347"/>
      <c r="I18" s="347"/>
    </row>
    <row r="19" spans="1:9" ht="15">
      <c r="A19" s="40"/>
      <c r="B19" s="40" t="s">
        <v>108</v>
      </c>
      <c r="C19" s="293">
        <f>SUMIF('BS USD CONS '!B:B,FS!A19,'BS USD CONS '!M:M)+SUMIF('BS USD CONS '!B:B,FS!B19,'BS USD CONS '!M:M)</f>
        <v>0</v>
      </c>
      <c r="G19" s="1"/>
      <c r="H19" s="346"/>
      <c r="I19" s="346"/>
    </row>
    <row r="20" spans="1:9" ht="15">
      <c r="A20" s="40" t="s">
        <v>53</v>
      </c>
      <c r="B20" s="40" t="s">
        <v>512</v>
      </c>
      <c r="C20" s="293">
        <f>SUMIF('BS USD CONS '!B:B,FS!A20,'BS USD CONS '!M:M)+SUMIF('BS USD CONS '!B:B,FS!A21,'BS USD CONS '!M:M)</f>
        <v>4289.8372799999997</v>
      </c>
      <c r="G20" s="40" t="s">
        <v>151</v>
      </c>
      <c r="H20" s="346">
        <f>'P&amp;L USD CONS'!L13</f>
        <v>20781725.32</v>
      </c>
      <c r="I20" s="346">
        <f>H20/1000</f>
        <v>20781.725320000001</v>
      </c>
    </row>
    <row r="21" spans="1:9" ht="15">
      <c r="A21" s="40" t="s">
        <v>532</v>
      </c>
      <c r="B21" s="40"/>
      <c r="C21" s="335">
        <f>SUM(C16:C20)</f>
        <v>85426.260940000007</v>
      </c>
      <c r="G21" s="40"/>
      <c r="H21" s="347"/>
      <c r="I21" s="347"/>
    </row>
    <row r="22" spans="1:9" ht="15">
      <c r="A22" s="40"/>
      <c r="B22" s="40"/>
      <c r="G22" s="40"/>
      <c r="H22" s="346"/>
      <c r="I22" s="346"/>
    </row>
    <row r="23" spans="1:9" ht="15">
      <c r="A23" s="40"/>
      <c r="B23" s="49" t="s">
        <v>290</v>
      </c>
      <c r="G23" s="40" t="s">
        <v>149</v>
      </c>
      <c r="H23" s="346">
        <f>'P&amp;L USD CONS'!L15</f>
        <v>256048071.42000002</v>
      </c>
      <c r="I23" s="346">
        <f>H23/1000</f>
        <v>256048.07142000002</v>
      </c>
    </row>
    <row r="24" spans="1:9" ht="15">
      <c r="A24" s="49"/>
      <c r="B24" s="49"/>
      <c r="G24" s="40"/>
      <c r="H24" s="347"/>
      <c r="I24" s="347"/>
    </row>
    <row r="25" spans="1:9" ht="15">
      <c r="A25" s="40" t="s">
        <v>57</v>
      </c>
      <c r="B25" s="40" t="s">
        <v>494</v>
      </c>
      <c r="C25" s="293">
        <f>SUMIF('BS USD CONS '!B:B,FS!A25,'BS USD CONS '!M:M)+SUMIF('BS USD CONS '!B:B,FS!B25,'BS USD CONS '!M:M)</f>
        <v>1659.0749000000001</v>
      </c>
      <c r="G25" s="40"/>
      <c r="H25" s="346"/>
      <c r="I25" s="346"/>
    </row>
    <row r="26" spans="1:9" ht="15">
      <c r="A26" s="40"/>
      <c r="B26" s="40" t="s">
        <v>472</v>
      </c>
      <c r="C26" s="293">
        <f>SUMIF('BS USD CONS '!B:B,FS!A26,'BS USD CONS '!M:M)+SUMIF('BS USD CONS '!B:B,FS!B26,'BS USD CONS '!M:M)</f>
        <v>20186.267</v>
      </c>
      <c r="G26" s="40" t="s">
        <v>152</v>
      </c>
      <c r="H26" s="346">
        <f>'P&amp;L USD CONS'!L17</f>
        <v>8252686.2735000001</v>
      </c>
      <c r="I26" s="346">
        <f>H26/1000</f>
        <v>8252.6862734999995</v>
      </c>
    </row>
    <row r="27" spans="1:9" ht="15">
      <c r="A27" s="40" t="s">
        <v>287</v>
      </c>
      <c r="B27" s="1" t="s">
        <v>1668</v>
      </c>
      <c r="C27" s="293">
        <f>SUMIF('BS USD CONS '!B:B,FS!A27,'BS USD CONS '!M:M)+SUMIF('BS USD CONS '!B:B,FS!B27,'BS USD CONS '!M:M)</f>
        <v>3667.20552</v>
      </c>
      <c r="G27" s="40"/>
      <c r="H27" s="346"/>
      <c r="I27" s="346"/>
    </row>
    <row r="28" spans="1:9" ht="15">
      <c r="A28" s="40"/>
      <c r="B28" s="40" t="s">
        <v>54</v>
      </c>
      <c r="C28" s="293">
        <f>SUMIF('BS USD CONS '!B:B,FS!A28,'BS USD CONS '!M:M)+SUMIF('BS USD CONS '!B:B,FS!B28,'BS USD CONS '!M:M)</f>
        <v>2030.2293200000001</v>
      </c>
      <c r="G28" s="40"/>
      <c r="H28" s="347"/>
      <c r="I28" s="347"/>
    </row>
    <row r="29" spans="1:9" ht="15">
      <c r="A29" s="52"/>
      <c r="B29" s="40"/>
      <c r="C29" s="335">
        <f>SUM(C25:C28)</f>
        <v>27542.776739999998</v>
      </c>
      <c r="G29" s="40"/>
      <c r="H29" s="346"/>
      <c r="I29" s="346"/>
    </row>
    <row r="30" spans="1:9" ht="15">
      <c r="A30" s="40"/>
      <c r="B30" s="40"/>
      <c r="G30" s="342" t="s">
        <v>298</v>
      </c>
      <c r="H30" s="69">
        <f>'P&amp;L USD CONS'!L19</f>
        <v>285082483.01350003</v>
      </c>
      <c r="I30" s="69">
        <f>H30/1000</f>
        <v>285082.48301350005</v>
      </c>
    </row>
    <row r="31" spans="1:9" ht="15.75" thickBot="1">
      <c r="A31" s="40"/>
      <c r="B31" s="52" t="s">
        <v>291</v>
      </c>
      <c r="C31" s="336">
        <f>C29+C21</f>
        <v>112969.03768000001</v>
      </c>
      <c r="G31" s="40"/>
      <c r="H31" s="346"/>
      <c r="I31" s="346"/>
    </row>
    <row r="32" spans="1:9" ht="15.75" thickTop="1">
      <c r="A32" s="49"/>
      <c r="B32" s="40"/>
      <c r="G32" s="343" t="s">
        <v>511</v>
      </c>
      <c r="H32" s="348">
        <f>'P&amp;L USD CONS'!L21</f>
        <v>-26099921.516499877</v>
      </c>
      <c r="I32" s="348">
        <f>H32/1000</f>
        <v>-26099.921516499879</v>
      </c>
    </row>
    <row r="33" spans="1:9" ht="15">
      <c r="A33" s="40"/>
      <c r="B33" s="40"/>
      <c r="G33" s="50"/>
      <c r="H33" s="349"/>
      <c r="I33" s="349"/>
    </row>
    <row r="34" spans="1:9" ht="15">
      <c r="A34" s="40"/>
      <c r="B34" s="49" t="s">
        <v>292</v>
      </c>
      <c r="G34" s="50" t="s">
        <v>163</v>
      </c>
      <c r="H34" s="346">
        <f>'P&amp;L USD CONS'!L23</f>
        <v>242674.46000000002</v>
      </c>
      <c r="I34" s="346">
        <f>H34/1000</f>
        <v>242.67446000000001</v>
      </c>
    </row>
    <row r="35" spans="1:9" ht="15">
      <c r="A35" s="40"/>
      <c r="B35" s="40"/>
      <c r="G35" s="40"/>
      <c r="H35" s="346"/>
      <c r="I35" s="346"/>
    </row>
    <row r="36" spans="1:9" ht="15">
      <c r="A36" s="40" t="s">
        <v>59</v>
      </c>
      <c r="B36" s="40" t="s">
        <v>513</v>
      </c>
      <c r="C36" s="293">
        <f>SUMIF('BS USD CONS '!B:B,FS!A36,'BS USD CONS '!M:M)+SUMIF('BS USD CONS '!B:B,FS!B36,'BS USD CONS '!M:M)</f>
        <v>-8752.1494100000018</v>
      </c>
      <c r="G36" s="40" t="s">
        <v>300</v>
      </c>
      <c r="H36" s="346">
        <f>'P&amp;L USD CONS'!L25</f>
        <v>0</v>
      </c>
      <c r="I36" s="346">
        <f>H36/1000</f>
        <v>0</v>
      </c>
    </row>
    <row r="37" spans="1:9" ht="15">
      <c r="A37" s="40" t="s">
        <v>180</v>
      </c>
      <c r="B37" s="40" t="s">
        <v>515</v>
      </c>
      <c r="C37" s="293">
        <f>SUMIF('BS USD CONS '!B:B,FS!A37,'BS USD CONS '!M:M)+SUMIF('BS USD CONS '!B:B,FS!B37,'BS USD CONS '!M:M)</f>
        <v>0</v>
      </c>
      <c r="G37" s="40"/>
      <c r="H37" s="346"/>
      <c r="I37" s="346"/>
    </row>
    <row r="38" spans="1:9" ht="15">
      <c r="A38" s="40"/>
      <c r="B38" s="40" t="s">
        <v>170</v>
      </c>
      <c r="C38" s="293">
        <f>SUMIF('BS USD CONS '!B:B,FS!A38,'BS USD CONS '!M:M)+SUMIF('BS USD CONS '!B:B,FS!B38,'BS USD CONS '!M:M)</f>
        <v>-8960.3130600000004</v>
      </c>
      <c r="G38" s="40" t="s">
        <v>274</v>
      </c>
      <c r="H38" s="346">
        <f>'P&amp;L USD CONS'!L27</f>
        <v>-12793.339999973701</v>
      </c>
      <c r="I38" s="346">
        <f>H38/1000</f>
        <v>-12.793339999973702</v>
      </c>
    </row>
    <row r="39" spans="1:9" ht="15">
      <c r="A39" s="40"/>
      <c r="B39" s="40" t="s">
        <v>288</v>
      </c>
      <c r="C39" s="293">
        <f>SUMIF('BS USD CONS '!B:B,FS!A39,'BS USD CONS '!M:M)+SUMIF('BS USD CONS '!B:B,FS!B39,'BS USD CONS '!M:M)</f>
        <v>0</v>
      </c>
      <c r="G39" s="40"/>
      <c r="H39" s="346"/>
      <c r="I39" s="346"/>
    </row>
    <row r="40" spans="1:9" ht="15.75" thickBot="1">
      <c r="A40" s="40" t="s">
        <v>1658</v>
      </c>
      <c r="B40" s="734" t="s">
        <v>517</v>
      </c>
      <c r="C40" s="293">
        <f>SUMIF('BS USD CONS '!B:B,FS!B40,'BS USD CONS '!M:M)</f>
        <v>-1411.35743</v>
      </c>
      <c r="G40" s="344" t="s">
        <v>301</v>
      </c>
      <c r="H40" s="71">
        <f>'P&amp;L USD CONS'!L29</f>
        <v>-25870040.39649985</v>
      </c>
      <c r="I40" s="71">
        <f>H40/1000</f>
        <v>-25870.040396499851</v>
      </c>
    </row>
    <row r="41" spans="1:9" ht="15.75" thickTop="1">
      <c r="A41" s="40" t="s">
        <v>55</v>
      </c>
      <c r="B41" s="40" t="s">
        <v>514</v>
      </c>
      <c r="C41" s="293">
        <f>SUMIF('BS USD CONS '!B:B,FS!A41,'BS USD CONS '!M:M)+SUMIF('BS USD CONS '!B:B,FS!A43,'BS USD CONS '!M:M)+SUMIF('BS USD CONS '!B:B,FS!A40,'BS USD CONS '!M:M)+SUMIF('BS USD CONS '!B:B,FS!A44,'BS USD CONS '!M:M)+SUMIF('BS USD CONS '!B:B,FS!A42,'BS USD CONS '!M:M)</f>
        <v>-35559.508182883539</v>
      </c>
      <c r="G41" s="40"/>
      <c r="H41" s="346"/>
      <c r="I41" s="346"/>
    </row>
    <row r="42" spans="1:9" ht="15">
      <c r="A42" s="40" t="s">
        <v>445</v>
      </c>
      <c r="B42" s="40"/>
      <c r="C42" s="337">
        <f>SUM(C36:C41)</f>
        <v>-54683.328082883541</v>
      </c>
      <c r="G42" s="40" t="s">
        <v>182</v>
      </c>
      <c r="H42" s="346">
        <f>'P&amp;L USD CONS'!L31</f>
        <v>3503498.7428835426</v>
      </c>
      <c r="I42" s="346">
        <f>H42/1000</f>
        <v>3503.4987428835425</v>
      </c>
    </row>
    <row r="43" spans="1:9" ht="15">
      <c r="A43" s="354" t="s">
        <v>1524</v>
      </c>
      <c r="B43" s="40"/>
      <c r="G43" s="40"/>
      <c r="H43" s="346"/>
      <c r="I43" s="346"/>
    </row>
    <row r="44" spans="1:9" ht="15.75" thickBot="1">
      <c r="A44" s="734"/>
      <c r="B44" s="40" t="s">
        <v>473</v>
      </c>
      <c r="C44" s="293">
        <f>SUMIF('BS USD CONS '!B:B,FS!B44,'BS USD CONS '!M:M)</f>
        <v>0</v>
      </c>
      <c r="G44" s="345" t="s">
        <v>302</v>
      </c>
      <c r="H44" s="73">
        <f>'P&amp;L USD CONS'!L33</f>
        <v>-22366541.653616309</v>
      </c>
      <c r="I44" s="73">
        <f>H44/1000</f>
        <v>-22366.54165361631</v>
      </c>
    </row>
    <row r="45" spans="1:9" ht="15.75" thickTop="1">
      <c r="A45" s="53"/>
      <c r="B45" s="40" t="s">
        <v>109</v>
      </c>
      <c r="C45" s="293">
        <f>SUMIF('BS USD CONS '!B:B,FS!A45,'BS USD CONS '!M:M)+SUMIF('BS USD CONS '!B:B,FS!B45,'BS USD CONS '!M:M)</f>
        <v>0</v>
      </c>
    </row>
    <row r="46" spans="1:9" ht="15">
      <c r="A46" s="52"/>
      <c r="B46" s="40" t="s">
        <v>169</v>
      </c>
      <c r="C46" s="293">
        <f>SUMIF('BS USD CONS '!B:B,FS!A46,'BS USD CONS '!M:M)+SUMIF('BS USD CONS '!B:B,FS!B46,'BS USD CONS '!M:M)</f>
        <v>0</v>
      </c>
    </row>
    <row r="47" spans="1:9" ht="15">
      <c r="A47" s="40"/>
      <c r="B47" s="40"/>
      <c r="C47" s="337">
        <f>SUM(C44:C46)</f>
        <v>0</v>
      </c>
    </row>
    <row r="48" spans="1:9" ht="15">
      <c r="A48" s="49"/>
      <c r="B48" s="53"/>
    </row>
    <row r="49" spans="1:3" ht="15.75" thickBot="1">
      <c r="A49" s="56"/>
      <c r="B49" s="52" t="s">
        <v>294</v>
      </c>
      <c r="C49" s="336">
        <f>C47+C42</f>
        <v>-54683.328082883541</v>
      </c>
    </row>
    <row r="50" spans="1:3" ht="15.75" thickTop="1">
      <c r="A50" s="40"/>
      <c r="B50" s="40"/>
    </row>
    <row r="51" spans="1:3" ht="15">
      <c r="A51" s="92"/>
      <c r="B51" s="49" t="s">
        <v>295</v>
      </c>
    </row>
    <row r="52" spans="1:3" ht="15">
      <c r="A52" s="92"/>
      <c r="B52" s="56"/>
    </row>
    <row r="53" spans="1:3" ht="15">
      <c r="A53" s="93"/>
      <c r="B53" s="40" t="s">
        <v>111</v>
      </c>
      <c r="C53" s="293">
        <f>SUMIF('BS USD CONS '!B:B,FS!A53,'BS USD CONS '!M:M)+SUMIF('BS USD CONS '!B:B,FS!B53,'BS USD CONS '!M:M)</f>
        <v>-0.69022000000000006</v>
      </c>
    </row>
    <row r="54" spans="1:3">
      <c r="A54" s="93"/>
      <c r="B54" s="92" t="s">
        <v>139</v>
      </c>
      <c r="C54" s="293">
        <f>SUMIF('BS USD CONS '!B:B,FS!A54,'BS USD CONS '!M:M)+SUMIF('BS USD CONS '!B:B,FS!B54,'BS USD CONS '!M:M)</f>
        <v>-0.191</v>
      </c>
    </row>
    <row r="55" spans="1:3" ht="15">
      <c r="A55" s="40"/>
      <c r="B55" s="92" t="s">
        <v>141</v>
      </c>
      <c r="C55" s="293">
        <f>SUMIF('BS USD CONS '!B:B,FS!A55,'BS USD CONS '!M:M)+SUMIF('BS USD CONS '!B:B,FS!B55,'BS USD CONS '!M:M)</f>
        <v>-4.9239999999999999E-2</v>
      </c>
    </row>
    <row r="56" spans="1:3" ht="15">
      <c r="A56" s="40"/>
      <c r="B56" s="93" t="s">
        <v>113</v>
      </c>
      <c r="C56" s="293">
        <f>SUMIF('BS USD CONS '!B:B,FS!A56,'BS USD CONS '!M:M)+SUMIF('BS USD CONS '!B:B,FS!B56,'BS USD CONS '!M:M)</f>
        <v>-8818.4905899999994</v>
      </c>
    </row>
    <row r="57" spans="1:3">
      <c r="B57" s="93" t="s">
        <v>143</v>
      </c>
      <c r="C57" s="293">
        <f>SUMIF('BS USD CONS '!B:B,FS!A57,'BS USD CONS '!M:M)+SUMIF('BS USD CONS '!B:B,FS!B57,'BS USD CONS '!M:M)</f>
        <v>0</v>
      </c>
    </row>
    <row r="58" spans="1:3" ht="15">
      <c r="A58" s="40" t="s">
        <v>144</v>
      </c>
      <c r="B58" s="40" t="s">
        <v>142</v>
      </c>
      <c r="C58" s="293">
        <f>SUMIF('BS USD CONS '!B:B,FS!A58,'BS USD CONS '!M:M)+SUMIF('BS USD CONS '!B:B,FS!B58,'BS USD CONS '!M:M)</f>
        <v>-26436.684877116386</v>
      </c>
    </row>
    <row r="59" spans="1:3" ht="15">
      <c r="B59" s="40"/>
      <c r="C59" s="338">
        <f>SUM(C53:C58)</f>
        <v>-35256.105927116383</v>
      </c>
    </row>
    <row r="61" spans="1:3" ht="15">
      <c r="B61" s="52" t="s">
        <v>475</v>
      </c>
      <c r="C61" s="316">
        <f>C59+C49</f>
        <v>-89939.434009999924</v>
      </c>
    </row>
    <row r="64" spans="1:3" ht="13.5" thickBot="1">
      <c r="B64" s="312" t="s">
        <v>380</v>
      </c>
      <c r="C64" s="339">
        <f>C61+C31</f>
        <v>23029.603670000084</v>
      </c>
    </row>
  </sheetData>
  <mergeCells count="2">
    <mergeCell ref="A7:D7"/>
    <mergeCell ref="F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7094-4BAA-3B48-9CCB-73E16A83CB53}">
  <sheetPr codeName="Sheet12">
    <tabColor theme="9" tint="-0.249977111117893"/>
  </sheetPr>
  <dimension ref="A1:O62"/>
  <sheetViews>
    <sheetView zoomScale="220" zoomScaleNormal="220" workbookViewId="0">
      <selection activeCell="B7" sqref="B7:F9"/>
    </sheetView>
  </sheetViews>
  <sheetFormatPr defaultColWidth="10.85546875" defaultRowHeight="12.75"/>
  <cols>
    <col min="2" max="2" width="31.85546875" bestFit="1" customWidth="1"/>
    <col min="3" max="3" width="1.85546875" customWidth="1"/>
    <col min="4" max="4" width="12.140625" customWidth="1"/>
    <col min="5" max="5" width="2.42578125" customWidth="1"/>
  </cols>
  <sheetData>
    <row r="1" spans="1:6">
      <c r="A1" s="267">
        <v>44926</v>
      </c>
    </row>
    <row r="2" spans="1:6">
      <c r="A2" s="269" t="s">
        <v>433</v>
      </c>
    </row>
    <row r="3" spans="1:6">
      <c r="A3" s="269" t="s">
        <v>371</v>
      </c>
    </row>
    <row r="4" spans="1:6">
      <c r="A4" s="269" t="s">
        <v>32</v>
      </c>
    </row>
    <row r="7" spans="1:6">
      <c r="B7" s="269" t="s">
        <v>434</v>
      </c>
    </row>
    <row r="8" spans="1:6">
      <c r="F8" s="318" t="s">
        <v>468</v>
      </c>
    </row>
    <row r="9" spans="1:6">
      <c r="B9" s="290" t="s">
        <v>435</v>
      </c>
      <c r="C9" s="290"/>
      <c r="D9" s="291">
        <v>44926</v>
      </c>
      <c r="E9" s="290"/>
      <c r="F9" s="291">
        <v>44561</v>
      </c>
    </row>
    <row r="10" spans="1:6">
      <c r="B10" s="289" t="s">
        <v>436</v>
      </c>
      <c r="D10" s="293">
        <f>'TB LTD 12.22'!G33/1000</f>
        <v>-2.38178</v>
      </c>
      <c r="F10" s="293">
        <v>96</v>
      </c>
    </row>
    <row r="11" spans="1:6">
      <c r="B11" s="289" t="s">
        <v>437</v>
      </c>
      <c r="D11" s="293">
        <f>'TB LTD 12.22'!G31/1000</f>
        <v>743.03845999999999</v>
      </c>
      <c r="F11" s="293">
        <v>3</v>
      </c>
    </row>
    <row r="12" spans="1:6">
      <c r="B12" s="289" t="s">
        <v>438</v>
      </c>
      <c r="D12" s="293">
        <f>('TB LTD 12.22'!G35+'TB LTD 12.22'!G40)/1000</f>
        <v>-53.741390000000003</v>
      </c>
      <c r="F12" s="293">
        <v>10</v>
      </c>
    </row>
    <row r="13" spans="1:6">
      <c r="B13" s="289" t="s">
        <v>439</v>
      </c>
      <c r="D13" s="292">
        <f>'TB LTD 12.22'!G36/1000</f>
        <v>-10.633709999999999</v>
      </c>
      <c r="F13" s="292">
        <v>3</v>
      </c>
    </row>
    <row r="14" spans="1:6">
      <c r="D14" s="293">
        <f>SUM(D10:D13)</f>
        <v>676.28157999999996</v>
      </c>
      <c r="F14" s="293">
        <f>SUM(F10:F13)</f>
        <v>112</v>
      </c>
    </row>
    <row r="15" spans="1:6">
      <c r="B15" s="289" t="s">
        <v>440</v>
      </c>
      <c r="D15" s="292">
        <f>SUM('TB LTD 12.22'!G32,'TB LTD 12.22'!G34,'TB LTD 12.22'!G37,'TB LTD 12.22'!G38,'TB LTD 12.22'!G39)/1000-'AJE 2022'!H70/1000</f>
        <v>13533.104740000004</v>
      </c>
      <c r="F15" s="292">
        <v>-31</v>
      </c>
    </row>
    <row r="16" spans="1:6">
      <c r="B16" s="289" t="s">
        <v>441</v>
      </c>
      <c r="D16" s="293">
        <f>SUM(D14:D15)</f>
        <v>14209.386320000005</v>
      </c>
      <c r="F16" s="293">
        <f>SUM(F14:F15)</f>
        <v>81</v>
      </c>
    </row>
    <row r="20" spans="2:15">
      <c r="B20" s="269" t="s">
        <v>442</v>
      </c>
    </row>
    <row r="21" spans="2:15">
      <c r="F21" s="318" t="s">
        <v>468</v>
      </c>
    </row>
    <row r="22" spans="2:15" ht="13.5" thickBot="1">
      <c r="B22" s="290" t="s">
        <v>435</v>
      </c>
      <c r="C22" s="290"/>
      <c r="D22" s="291">
        <v>44926</v>
      </c>
      <c r="E22" s="290"/>
      <c r="F22" s="291">
        <v>44561</v>
      </c>
      <c r="I22" s="312" t="s">
        <v>453</v>
      </c>
    </row>
    <row r="23" spans="2:15" ht="15.75">
      <c r="B23" s="289" t="s">
        <v>445</v>
      </c>
      <c r="D23" s="293">
        <f>-'TB LTD 12.22'!G105/1000-(O25+O24+O26)/1000</f>
        <v>74800.143020000003</v>
      </c>
      <c r="E23" s="293"/>
      <c r="F23" s="293">
        <v>622</v>
      </c>
      <c r="I23" s="307" t="s">
        <v>450</v>
      </c>
      <c r="J23" s="308"/>
      <c r="K23" s="308" t="s">
        <v>451</v>
      </c>
      <c r="L23" s="309"/>
      <c r="M23" s="310">
        <v>44561</v>
      </c>
      <c r="N23" s="311"/>
      <c r="O23" s="310">
        <v>44926</v>
      </c>
    </row>
    <row r="24" spans="2:15" ht="15">
      <c r="B24" s="289" t="s">
        <v>444</v>
      </c>
      <c r="D24" s="293">
        <f>-SUM('TB LTD 12.22'!G19:G28)/1000</f>
        <v>18836.575409999998</v>
      </c>
      <c r="E24" s="293"/>
      <c r="F24" s="293">
        <v>372</v>
      </c>
      <c r="I24" s="48" t="s">
        <v>284</v>
      </c>
      <c r="J24" s="1"/>
      <c r="K24" s="295" t="s">
        <v>447</v>
      </c>
      <c r="L24" s="296"/>
      <c r="M24" s="297">
        <v>-125276.67</v>
      </c>
      <c r="O24" s="298">
        <v>-518442.74</v>
      </c>
    </row>
    <row r="25" spans="2:15" ht="15">
      <c r="B25" s="288" t="s">
        <v>452</v>
      </c>
      <c r="D25" s="293">
        <f>-'TB LTD 12.22'!G9/1000</f>
        <v>-1056.95652</v>
      </c>
      <c r="E25" s="293"/>
      <c r="F25" s="293">
        <v>0</v>
      </c>
      <c r="I25" s="48" t="s">
        <v>284</v>
      </c>
      <c r="J25" s="1"/>
      <c r="K25" s="295" t="s">
        <v>448</v>
      </c>
      <c r="L25" s="296"/>
      <c r="M25" s="299">
        <v>0</v>
      </c>
      <c r="O25" s="298">
        <v>-35916.019999999997</v>
      </c>
    </row>
    <row r="26" spans="2:15" ht="15">
      <c r="B26" s="288" t="s">
        <v>317</v>
      </c>
      <c r="D26" s="293">
        <f>-O27/1000</f>
        <v>101.4614</v>
      </c>
      <c r="E26" s="293"/>
      <c r="F26" s="293">
        <v>0</v>
      </c>
      <c r="I26" s="48" t="s">
        <v>284</v>
      </c>
      <c r="J26" s="1"/>
      <c r="K26" s="295" t="s">
        <v>449</v>
      </c>
      <c r="L26" s="296"/>
      <c r="M26" s="299">
        <v>0</v>
      </c>
      <c r="O26" s="298">
        <v>-8333.33</v>
      </c>
    </row>
    <row r="27" spans="2:15" ht="15">
      <c r="B27" s="288" t="s">
        <v>478</v>
      </c>
      <c r="D27" s="293" t="e">
        <f>'AJE 2022'!#REF!/1000</f>
        <v>#REF!</v>
      </c>
      <c r="F27" s="293">
        <v>0</v>
      </c>
      <c r="I27" s="300" t="s">
        <v>284</v>
      </c>
      <c r="J27" s="301"/>
      <c r="K27" s="302" t="s">
        <v>317</v>
      </c>
      <c r="L27" s="303"/>
      <c r="M27" s="304">
        <v>714</v>
      </c>
      <c r="N27" s="305"/>
      <c r="O27" s="306">
        <v>-101461.4</v>
      </c>
    </row>
    <row r="28" spans="2:15" ht="13.5" thickBot="1">
      <c r="D28" s="294" t="e">
        <f>SUM(D23:D27)</f>
        <v>#REF!</v>
      </c>
      <c r="E28" s="293"/>
      <c r="F28" s="294">
        <f>SUM(F23:F27)</f>
        <v>994</v>
      </c>
    </row>
    <row r="29" spans="2:15" ht="13.5" thickTop="1"/>
    <row r="31" spans="2:15">
      <c r="B31" s="269" t="s">
        <v>454</v>
      </c>
    </row>
    <row r="32" spans="2:15">
      <c r="F32" s="318" t="s">
        <v>468</v>
      </c>
    </row>
    <row r="33" spans="2:6">
      <c r="B33" s="290" t="s">
        <v>463</v>
      </c>
      <c r="C33" s="290"/>
      <c r="D33" s="291">
        <v>44926</v>
      </c>
      <c r="E33" s="290"/>
      <c r="F33" s="291">
        <v>44561</v>
      </c>
    </row>
    <row r="34" spans="2:6">
      <c r="B34" s="289" t="s">
        <v>444</v>
      </c>
      <c r="D34" s="293">
        <f>SUM('TB LTD 12.22'!G173,'TB LTD 12.22'!G187:G232,'TB LTD 12.22'!G249,'TB LTD 12.22'!G251,'TB LTD 12.22'!G253)/1000</f>
        <v>24333.964090000005</v>
      </c>
      <c r="F34" s="293">
        <v>1089</v>
      </c>
    </row>
    <row r="35" spans="2:6">
      <c r="B35" s="289" t="s">
        <v>455</v>
      </c>
      <c r="D35" s="293">
        <f>('TB LTD 12.22'!G350)/1000</f>
        <v>52.923870000000001</v>
      </c>
      <c r="F35" s="293">
        <v>159</v>
      </c>
    </row>
    <row r="36" spans="2:6">
      <c r="B36" s="288" t="s">
        <v>459</v>
      </c>
      <c r="D36" s="293">
        <f>SUM('TB LTD 12.22'!G238,'TB LTD 12.22'!G241,'TB LTD 12.22'!G243:G244,'TB LTD 12.22'!G247,'TB LTD 12.22'!G250)/1000</f>
        <v>182.33229000000003</v>
      </c>
      <c r="F36" s="293">
        <v>0</v>
      </c>
    </row>
    <row r="37" spans="2:6">
      <c r="B37" s="289" t="s">
        <v>456</v>
      </c>
      <c r="D37" s="293">
        <f>SUM('TB LTD 12.22'!G239+'TB LTD 12.22'!G240+'TB LTD 12.22'!G254+'TB LTD 12.22'!G236)/1000</f>
        <v>181.41188</v>
      </c>
      <c r="F37" s="293">
        <v>535</v>
      </c>
    </row>
    <row r="38" spans="2:6">
      <c r="B38" s="289" t="s">
        <v>457</v>
      </c>
      <c r="D38" s="293">
        <f>'TB LTD 12.22'!G245/1000+'P&amp;L LTD  USD'!E49/1000</f>
        <v>-57.85857</v>
      </c>
      <c r="F38" s="293">
        <v>370</v>
      </c>
    </row>
    <row r="39" spans="2:6">
      <c r="B39" s="289" t="s">
        <v>458</v>
      </c>
      <c r="D39" s="293">
        <f>'TB LTD 12.22'!G252/1000</f>
        <v>82.409499999999994</v>
      </c>
      <c r="F39" s="293">
        <v>0</v>
      </c>
    </row>
    <row r="40" spans="2:6">
      <c r="B40" s="289" t="s">
        <v>446</v>
      </c>
      <c r="D40" s="293">
        <f>SUM('TB LTD 12.22'!G233,'TB LTD 12.22'!G234,'TB LTD 12.22'!G237,'TB LTD 12.22'!G242,'TB LTD 12.22'!G246,'TB LTD 12.22'!G248)/1000</f>
        <v>1734.40816</v>
      </c>
      <c r="F40" s="293">
        <v>144</v>
      </c>
    </row>
    <row r="41" spans="2:6">
      <c r="D41" s="314">
        <f>SUM(D34:D40)</f>
        <v>26509.591220000002</v>
      </c>
      <c r="F41" s="314">
        <f>SUM(F34:F40)</f>
        <v>2297</v>
      </c>
    </row>
    <row r="42" spans="2:6">
      <c r="D42" s="319"/>
      <c r="F42" s="319"/>
    </row>
    <row r="43" spans="2:6">
      <c r="F43" s="318" t="s">
        <v>468</v>
      </c>
    </row>
    <row r="44" spans="2:6">
      <c r="B44" s="290" t="s">
        <v>460</v>
      </c>
      <c r="C44" s="290"/>
      <c r="D44" s="291">
        <v>44926</v>
      </c>
      <c r="E44" s="290"/>
      <c r="F44" s="291">
        <v>44561</v>
      </c>
    </row>
    <row r="45" spans="2:6">
      <c r="B45" s="289" t="s">
        <v>444</v>
      </c>
      <c r="D45" s="293">
        <f>SUM('TB LTD 12.22'!G255:G260,'TB LTD 12.22'!G262:G269,'TB LTD 12.22'!G279)/1000</f>
        <v>1780.7246400000004</v>
      </c>
      <c r="F45" s="315">
        <v>314</v>
      </c>
    </row>
    <row r="46" spans="2:6">
      <c r="B46" s="289" t="s">
        <v>461</v>
      </c>
      <c r="D46" s="293">
        <f>SUM('TB LTD 12.22'!G270,'TB LTD 12.22'!G273,'TB LTD 12.22'!G275:G277,'TB LTD 12.22'!G329)/1000</f>
        <v>162.14992000000001</v>
      </c>
      <c r="F46" s="315">
        <v>12695</v>
      </c>
    </row>
    <row r="47" spans="2:6">
      <c r="B47" s="288" t="s">
        <v>459</v>
      </c>
      <c r="D47" s="293">
        <f>SUM('TB LTD 12.22'!G271:G272,'TB LTD 12.22'!G280)/1000</f>
        <v>173.66854999999998</v>
      </c>
      <c r="F47" s="315">
        <v>0</v>
      </c>
    </row>
    <row r="48" spans="2:6">
      <c r="B48" s="289" t="s">
        <v>457</v>
      </c>
      <c r="D48" s="293">
        <f>'TB LTD 12.22'!G281/1000+'P&amp;L LTD  USD'!E74/1000</f>
        <v>-31.706240000000001</v>
      </c>
      <c r="F48" s="315">
        <v>0</v>
      </c>
    </row>
    <row r="49" spans="2:7">
      <c r="B49" s="289" t="s">
        <v>446</v>
      </c>
      <c r="D49" s="293">
        <f>SUM('TB LTD 12.22'!G274,,'TB LTD 12.22'!G282)/1000</f>
        <v>5.3213500000000007</v>
      </c>
      <c r="F49" s="315">
        <v>36</v>
      </c>
    </row>
    <row r="50" spans="2:7">
      <c r="D50" s="314">
        <f>SUM(D45:D49)</f>
        <v>2090.1582200000007</v>
      </c>
      <c r="F50" s="314">
        <f>SUM(F45:F49)</f>
        <v>13045</v>
      </c>
    </row>
    <row r="51" spans="2:7">
      <c r="D51" s="319"/>
      <c r="F51" s="319"/>
    </row>
    <row r="52" spans="2:7">
      <c r="F52" s="318" t="s">
        <v>468</v>
      </c>
    </row>
    <row r="53" spans="2:7">
      <c r="B53" s="290" t="s">
        <v>462</v>
      </c>
      <c r="C53" s="290"/>
      <c r="D53" s="291">
        <v>44926</v>
      </c>
      <c r="E53" s="290"/>
      <c r="F53" s="291">
        <v>44561</v>
      </c>
    </row>
    <row r="54" spans="2:7">
      <c r="B54" s="289" t="s">
        <v>444</v>
      </c>
      <c r="D54" s="293">
        <f>SUM('TB LTD 12.22'!G283:G297,'TB LTD 12.22'!G337,'TB LTD 12.22'!G347)/1000</f>
        <v>783.2746699999999</v>
      </c>
      <c r="F54" s="315">
        <v>168</v>
      </c>
    </row>
    <row r="55" spans="2:7">
      <c r="B55" s="289" t="s">
        <v>464</v>
      </c>
      <c r="D55" s="293">
        <f>'TB LTD 12.22'!G340/1000</f>
        <v>228.04963000000001</v>
      </c>
      <c r="F55" s="315">
        <v>297</v>
      </c>
    </row>
    <row r="56" spans="2:7">
      <c r="B56" s="289" t="s">
        <v>465</v>
      </c>
      <c r="D56" s="293">
        <f>SUM('TB LTD 12.22'!G336,'TB LTD 12.22'!G338:G339,'TB LTD 12.22'!G341,'TB LTD 12.22'!G344)/1000</f>
        <v>927.31140000000005</v>
      </c>
      <c r="F56" s="315">
        <v>145</v>
      </c>
    </row>
    <row r="57" spans="2:7">
      <c r="B57" s="289" t="s">
        <v>466</v>
      </c>
      <c r="D57" s="293">
        <f>SUM('TB LTD 12.22'!G298,'TB LTD 12.22'!G302:G305)/1000</f>
        <v>2082.4743699999999</v>
      </c>
      <c r="F57" s="315">
        <v>12</v>
      </c>
    </row>
    <row r="58" spans="2:7">
      <c r="B58" s="289" t="s">
        <v>385</v>
      </c>
      <c r="D58" s="293">
        <f>SUM('TB LTD 12.22'!G306:G310,'TB LTD 12.22'!G315)/1000</f>
        <v>518.29219000000001</v>
      </c>
      <c r="F58" s="315">
        <v>20</v>
      </c>
    </row>
    <row r="59" spans="2:7">
      <c r="B59" s="288" t="s">
        <v>459</v>
      </c>
      <c r="D59" s="293">
        <f>SUM('TB LTD 12.22'!G342+'TB LTD 12.22'!G349+'TB LTD 12.22'!G351)/1000</f>
        <v>1212.39669</v>
      </c>
      <c r="F59" s="315">
        <v>0</v>
      </c>
    </row>
    <row r="60" spans="2:7">
      <c r="B60" s="289" t="s">
        <v>457</v>
      </c>
      <c r="D60" s="293">
        <f>'TB LTD 12.22'!G332/1000</f>
        <v>0.45249</v>
      </c>
      <c r="F60" s="315">
        <v>58</v>
      </c>
    </row>
    <row r="61" spans="2:7">
      <c r="B61" s="289" t="s">
        <v>446</v>
      </c>
      <c r="D61" s="292">
        <f>SUM('TB LTD 12.22'!G235,'TB LTD 12.22'!G278,'TB LTD 12.22'!G299:G301,'TB LTD 12.22'!G311:G314,'TB LTD 12.22'!G316:G328,'TB LTD 12.22'!G330:G331,'TB LTD 12.22'!G333:G334,'TB LTD 12.22'!G343,'TB LTD 12.22'!G345:G346,'TB LTD 12.22'!G348)/1000</f>
        <v>4777.7620899999993</v>
      </c>
      <c r="F61" s="317">
        <v>19</v>
      </c>
      <c r="G61" s="287" t="s">
        <v>467</v>
      </c>
    </row>
    <row r="62" spans="2:7">
      <c r="D62" s="316">
        <f>SUM(D54:D61)</f>
        <v>10530.01353</v>
      </c>
      <c r="F62" s="316">
        <f>SUM(F54:F61)</f>
        <v>719</v>
      </c>
    </row>
  </sheetData>
  <pageMargins left="0.7" right="0.7" top="0.75" bottom="0.75" header="0.3" footer="0.3"/>
  <pageSetup paperSize="9" orientation="portrait" horizontalDpi="0" verticalDpi="0"/>
  <ignoredErrors>
    <ignoredError sqref="D24 F37:F41 D41 F34:F35 F50 D50 F62 D6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5E0B3"/>
  </sheetPr>
  <dimension ref="A1:AB1004"/>
  <sheetViews>
    <sheetView topLeftCell="A38" zoomScaleNormal="100" workbookViewId="0">
      <selection activeCell="E75" sqref="E75"/>
    </sheetView>
  </sheetViews>
  <sheetFormatPr defaultColWidth="12.5703125" defaultRowHeight="15" customHeight="1"/>
  <cols>
    <col min="1" max="1" width="3.42578125" customWidth="1"/>
    <col min="2" max="2" width="37.42578125" customWidth="1"/>
    <col min="3" max="3" width="15" style="514" customWidth="1"/>
    <col min="4" max="4" width="4.5703125" style="514" customWidth="1"/>
    <col min="5" max="5" width="14.42578125" style="514" customWidth="1"/>
    <col min="6" max="6" width="3.5703125" style="514" customWidth="1"/>
    <col min="7" max="7" width="14.42578125" style="514" customWidth="1"/>
    <col min="8" max="8" width="3.5703125" style="514" customWidth="1"/>
    <col min="9" max="9" width="14.42578125" style="514" customWidth="1"/>
    <col min="10" max="10" width="4" style="514" customWidth="1"/>
    <col min="11" max="11" width="14.42578125" style="514" customWidth="1"/>
    <col min="12" max="12" width="6.42578125" style="514" customWidth="1"/>
    <col min="13" max="13" width="13" style="514" customWidth="1"/>
    <col min="14" max="28" width="14.42578125" customWidth="1"/>
  </cols>
  <sheetData>
    <row r="1" spans="1:28">
      <c r="A1" s="1"/>
      <c r="B1" s="1"/>
      <c r="C1" s="298"/>
      <c r="D1" s="298"/>
      <c r="E1" s="298"/>
      <c r="F1" s="298"/>
      <c r="G1" s="298"/>
      <c r="H1" s="298"/>
      <c r="I1" s="298"/>
      <c r="J1" s="298"/>
      <c r="K1" s="298"/>
      <c r="L1" s="368"/>
      <c r="M1" s="29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1"/>
      <c r="B2" s="1"/>
      <c r="C2" s="298"/>
      <c r="D2" s="298"/>
      <c r="E2" s="298"/>
      <c r="F2" s="298"/>
      <c r="G2" s="298"/>
      <c r="H2" s="298"/>
      <c r="I2" s="298"/>
      <c r="J2" s="298"/>
      <c r="K2" s="298"/>
      <c r="L2" s="368"/>
      <c r="M2" s="29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1"/>
      <c r="B3" s="1"/>
      <c r="C3" s="542">
        <v>2022</v>
      </c>
      <c r="D3" s="543"/>
      <c r="E3" s="542">
        <v>2022</v>
      </c>
      <c r="F3" s="510"/>
      <c r="G3" s="542">
        <v>2022</v>
      </c>
      <c r="H3" s="510"/>
      <c r="I3" s="509" t="s">
        <v>1573</v>
      </c>
      <c r="J3" s="510"/>
      <c r="K3" s="542">
        <v>2022</v>
      </c>
      <c r="L3" s="368"/>
      <c r="M3" s="542">
        <v>2022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>
      <c r="A4" s="1"/>
      <c r="B4" s="1"/>
      <c r="C4" s="511" t="s">
        <v>283</v>
      </c>
      <c r="D4" s="544"/>
      <c r="E4" s="511" t="s">
        <v>284</v>
      </c>
      <c r="F4" s="512"/>
      <c r="G4" s="511" t="s">
        <v>1552</v>
      </c>
      <c r="H4" s="512"/>
      <c r="I4" s="511"/>
      <c r="J4" s="512"/>
      <c r="K4" s="511" t="s">
        <v>1572</v>
      </c>
      <c r="L4" s="368"/>
      <c r="M4" s="511" t="s">
        <v>1572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1"/>
      <c r="B5" s="1"/>
      <c r="C5" s="513" t="s">
        <v>32</v>
      </c>
      <c r="D5" s="545"/>
      <c r="E5" s="513" t="s">
        <v>32</v>
      </c>
      <c r="F5" s="513"/>
      <c r="G5" s="513" t="s">
        <v>32</v>
      </c>
      <c r="H5" s="513"/>
      <c r="I5" s="513"/>
      <c r="J5" s="513"/>
      <c r="K5" s="513" t="s">
        <v>32</v>
      </c>
      <c r="L5" s="368"/>
      <c r="M5" s="513" t="s">
        <v>421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1"/>
      <c r="B6" s="49" t="s">
        <v>286</v>
      </c>
      <c r="C6" s="298"/>
      <c r="D6" s="543"/>
      <c r="E6" s="298"/>
      <c r="F6" s="298"/>
      <c r="G6" s="298"/>
      <c r="H6" s="298"/>
      <c r="I6" s="298"/>
      <c r="J6" s="298"/>
      <c r="K6" s="298"/>
      <c r="L6" s="368"/>
      <c r="M6" s="29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1"/>
      <c r="B7" s="50"/>
      <c r="C7" s="298"/>
      <c r="D7" s="298"/>
      <c r="E7" s="298"/>
      <c r="F7" s="298"/>
      <c r="G7" s="298"/>
      <c r="H7" s="298"/>
      <c r="I7" s="298"/>
      <c r="J7" s="298"/>
      <c r="K7" s="298"/>
      <c r="L7" s="368"/>
      <c r="M7" s="2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1"/>
      <c r="B8" s="40" t="s">
        <v>50</v>
      </c>
      <c r="C8" s="556">
        <f>SUMIF('BS LTD USD '!B:B,'BS USD CONS '!$B8,'BS LTD USD '!E:E)</f>
        <v>23504184.210000001</v>
      </c>
      <c r="D8" s="556"/>
      <c r="E8" s="556">
        <f>SUMIF('BS INC'!B:B,'BS USD CONS '!$B8,'BS INC'!E:E)</f>
        <v>24693919.049999997</v>
      </c>
      <c r="F8" s="556"/>
      <c r="G8" s="556">
        <f>SUMIF('BS India'!B:B,'BS USD CONS '!$B8,'BS India'!E:E)</f>
        <v>0</v>
      </c>
      <c r="H8" s="546"/>
      <c r="I8" s="546"/>
      <c r="J8" s="546"/>
      <c r="K8" s="546">
        <f t="shared" ref="K8:K15" si="0">+E8+C8+I8+G8</f>
        <v>48198103.259999998</v>
      </c>
      <c r="L8" s="547"/>
      <c r="M8" s="589">
        <f>K8/1000</f>
        <v>48198.103259999996</v>
      </c>
      <c r="N8" s="54">
        <f>K8/1000</f>
        <v>48198.103259999996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s="1"/>
      <c r="B9" s="40" t="s">
        <v>51</v>
      </c>
      <c r="C9" s="556">
        <f>SUMIF('BS LTD USD '!B:B,'BS USD CONS '!$B9,'BS LTD USD '!E:E)</f>
        <v>2668238.65</v>
      </c>
      <c r="D9" s="556"/>
      <c r="E9" s="556">
        <f>SUMIF('BS INC'!B:B,'BS USD CONS '!$B9,'BS INC'!E:E)</f>
        <v>0</v>
      </c>
      <c r="F9" s="556"/>
      <c r="G9" s="556">
        <f>SUMIF('BS India'!B:B,'BS USD CONS '!$B9,'BS India'!E:E)</f>
        <v>0</v>
      </c>
      <c r="H9" s="546"/>
      <c r="I9" s="546"/>
      <c r="J9" s="546"/>
      <c r="K9" s="546">
        <f t="shared" si="0"/>
        <v>2668238.65</v>
      </c>
      <c r="L9" s="547"/>
      <c r="M9" s="589">
        <f t="shared" ref="M9:M16" si="1">K9/1000</f>
        <v>2668.2386499999998</v>
      </c>
      <c r="N9" s="54">
        <f>K9/1000</f>
        <v>2668.2386499999998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1"/>
      <c r="B10" s="40" t="s">
        <v>110</v>
      </c>
      <c r="C10" s="556">
        <f>SUMIF('BS LTD USD '!B:B,'BS USD CONS '!$B10,'BS LTD USD '!E:E)</f>
        <v>24505603.769999981</v>
      </c>
      <c r="D10" s="556"/>
      <c r="E10" s="556">
        <f>SUMIF('BS INC'!B:B,'BS USD CONS '!$B10,'BS INC'!E:E)</f>
        <v>-24505604.019999981</v>
      </c>
      <c r="F10" s="556"/>
      <c r="G10" s="556">
        <f>SUMIF('BS India'!B:B,'BS USD CONS '!$B10,'BS India'!E:E)</f>
        <v>0</v>
      </c>
      <c r="H10" s="546"/>
      <c r="I10" s="546"/>
      <c r="J10" s="546"/>
      <c r="K10" s="546">
        <f t="shared" si="0"/>
        <v>-0.25</v>
      </c>
      <c r="L10" s="547"/>
      <c r="M10" s="556">
        <f t="shared" si="1"/>
        <v>-2.5000000000000001E-4</v>
      </c>
      <c r="N10" s="5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1"/>
      <c r="B11" s="40" t="s">
        <v>992</v>
      </c>
      <c r="C11" s="556">
        <f>SUMIF('BS LTD USD '!B:B,'BS USD CONS '!$B11,'BS LTD USD '!E:E)</f>
        <v>29383.119999999999</v>
      </c>
      <c r="D11" s="556"/>
      <c r="E11" s="556">
        <f>SUMIF('BS INC'!B:B,'BS USD CONS '!$B11,'BS INC'!E:E)</f>
        <v>0</v>
      </c>
      <c r="F11" s="556"/>
      <c r="G11" s="556">
        <f>SUMIF('BS India'!B:B,'BS USD CONS '!$B11,'BS India'!E:E)</f>
        <v>-29383.119999999999</v>
      </c>
      <c r="H11" s="546"/>
      <c r="I11" s="546"/>
      <c r="J11" s="546"/>
      <c r="K11" s="546">
        <f t="shared" si="0"/>
        <v>0</v>
      </c>
      <c r="L11" s="547"/>
      <c r="M11" s="556">
        <f t="shared" si="1"/>
        <v>0</v>
      </c>
      <c r="N11" s="5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1"/>
      <c r="B12" s="40" t="s">
        <v>1669</v>
      </c>
      <c r="C12" s="556">
        <f>SUMIF('BS LTD USD '!B:B,'BS USD CONS '!$B12,'BS LTD USD '!E:E)</f>
        <v>30270082</v>
      </c>
      <c r="D12" s="556"/>
      <c r="E12" s="556">
        <f>SUMIF('BS INC'!B:B,'BS USD CONS '!$B12,'BS INC'!E:E)</f>
        <v>0</v>
      </c>
      <c r="F12" s="556"/>
      <c r="G12" s="556">
        <f>SUMIF('BS India'!B:B,'BS USD CONS '!$B12,'BS India'!E:E)</f>
        <v>0</v>
      </c>
      <c r="H12" s="546"/>
      <c r="I12" s="546"/>
      <c r="J12" s="546"/>
      <c r="K12" s="546">
        <f t="shared" si="0"/>
        <v>30270082</v>
      </c>
      <c r="L12" s="547"/>
      <c r="M12" s="589">
        <f t="shared" si="1"/>
        <v>30270.081999999999</v>
      </c>
      <c r="N12" s="54">
        <f>K12/1000</f>
        <v>30270.081999999999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40"/>
      <c r="B13" s="40" t="s">
        <v>108</v>
      </c>
      <c r="C13" s="556">
        <f>SUMIF('BS LTD USD '!B:B,'BS USD CONS '!$B13,'BS LTD USD '!E:E)</f>
        <v>0</v>
      </c>
      <c r="D13" s="556"/>
      <c r="E13" s="556">
        <f>SUMIF('BS INC'!B:B,'BS USD CONS '!$B13,'BS INC'!E:E)</f>
        <v>0</v>
      </c>
      <c r="F13" s="556"/>
      <c r="G13" s="556">
        <f>SUMIF('BS India'!B:B,'BS USD CONS '!$B13,'BS India'!E:E)</f>
        <v>0</v>
      </c>
      <c r="H13" s="546"/>
      <c r="I13" s="546"/>
      <c r="J13" s="546"/>
      <c r="K13" s="546">
        <f t="shared" si="0"/>
        <v>0</v>
      </c>
      <c r="L13" s="547"/>
      <c r="M13" s="556">
        <f t="shared" si="1"/>
        <v>0</v>
      </c>
      <c r="N13" s="5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40"/>
      <c r="B14" s="40" t="s">
        <v>532</v>
      </c>
      <c r="C14" s="556">
        <f>SUMIF('BS LTD USD '!B:B,'BS USD CONS '!$B14,'BS LTD USD '!E:E)</f>
        <v>611164.27</v>
      </c>
      <c r="D14" s="556"/>
      <c r="E14" s="556">
        <f>SUMIF('BS INC'!B:B,'BS USD CONS '!$B14,'BS INC'!E:E)</f>
        <v>0</v>
      </c>
      <c r="F14" s="556"/>
      <c r="G14" s="556">
        <f>SUMIF('BS India'!B:B,'BS USD CONS '!$B14,'BS India'!E:E)</f>
        <v>0</v>
      </c>
      <c r="H14" s="546"/>
      <c r="I14" s="546"/>
      <c r="J14" s="546"/>
      <c r="K14" s="546">
        <f t="shared" si="0"/>
        <v>611164.27</v>
      </c>
      <c r="L14" s="547"/>
      <c r="M14" s="589">
        <f t="shared" si="1"/>
        <v>611.16426999999999</v>
      </c>
      <c r="N14" s="54">
        <f>K14/1000</f>
        <v>611.16426999999999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1"/>
      <c r="B15" s="40" t="s">
        <v>53</v>
      </c>
      <c r="C15" s="556">
        <f>SUMIF('BS LTD USD '!B:B,'BS USD CONS '!$B15,'BS LTD USD '!E:E)</f>
        <v>2592878.1399999997</v>
      </c>
      <c r="D15" s="556"/>
      <c r="E15" s="556">
        <f>SUMIF('BS INC'!B:B,'BS USD CONS '!$B15,'BS INC'!E:E)</f>
        <v>1085652.44</v>
      </c>
      <c r="F15" s="556"/>
      <c r="G15" s="556">
        <f>SUMIF('BS India'!B:B,'BS USD CONS '!$B15,'BS India'!E:E)</f>
        <v>142.43</v>
      </c>
      <c r="H15" s="546"/>
      <c r="I15" s="546"/>
      <c r="J15" s="546"/>
      <c r="K15" s="546">
        <f t="shared" si="0"/>
        <v>3678673.01</v>
      </c>
      <c r="L15" s="547"/>
      <c r="M15" s="589">
        <f t="shared" si="1"/>
        <v>3678.67301</v>
      </c>
      <c r="N15" s="54">
        <f>K15/1000</f>
        <v>3678.67301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1"/>
      <c r="B16" s="40"/>
      <c r="C16" s="661">
        <f>SUM(C8:C15)</f>
        <v>84181534.159999967</v>
      </c>
      <c r="D16" s="556"/>
      <c r="E16" s="662">
        <f>SUM(E8:E15)</f>
        <v>1273967.470000016</v>
      </c>
      <c r="F16" s="663"/>
      <c r="G16" s="662">
        <f>SUM(G8:G15)</f>
        <v>-29240.69</v>
      </c>
      <c r="H16" s="550"/>
      <c r="I16" s="549"/>
      <c r="J16" s="550"/>
      <c r="K16" s="549">
        <f>+E16+C16+G16</f>
        <v>85426260.939999983</v>
      </c>
      <c r="L16" s="547"/>
      <c r="M16" s="549">
        <f t="shared" si="1"/>
        <v>85426.260939999978</v>
      </c>
      <c r="N16" s="54">
        <f>K16/1000</f>
        <v>85426.260939999978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1"/>
      <c r="B17" s="40"/>
      <c r="C17" s="556"/>
      <c r="D17" s="556"/>
      <c r="E17" s="556"/>
      <c r="F17" s="556"/>
      <c r="G17" s="556"/>
      <c r="H17" s="546"/>
      <c r="I17" s="546"/>
      <c r="J17" s="546"/>
      <c r="K17" s="546"/>
      <c r="L17" s="547"/>
      <c r="M17" s="54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1"/>
      <c r="B18" s="49" t="s">
        <v>290</v>
      </c>
      <c r="C18" s="556"/>
      <c r="D18" s="556"/>
      <c r="E18" s="556"/>
      <c r="F18" s="556"/>
      <c r="G18" s="556"/>
      <c r="H18" s="546"/>
      <c r="I18" s="546"/>
      <c r="J18" s="546"/>
      <c r="K18" s="546"/>
      <c r="L18" s="547"/>
      <c r="M18" s="54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1"/>
      <c r="B19" s="1"/>
      <c r="C19" s="556"/>
      <c r="D19" s="556"/>
      <c r="E19" s="556"/>
      <c r="F19" s="556"/>
      <c r="G19" s="556"/>
      <c r="H19" s="546"/>
      <c r="I19" s="546"/>
      <c r="J19" s="546"/>
      <c r="K19" s="546"/>
      <c r="L19" s="547"/>
      <c r="M19" s="54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1"/>
      <c r="B20" s="40" t="s">
        <v>137</v>
      </c>
      <c r="C20" s="556">
        <f>SUMIF('BS LTD USD '!B:B,'BS USD CONS '!$B20,'BS LTD USD '!E:E)</f>
        <v>310312.37999997369</v>
      </c>
      <c r="D20" s="556"/>
      <c r="E20" s="556">
        <f>SUMIF('BS INC'!B:B,'BS USD CONS '!$B20,'BS INC'!E:E)</f>
        <v>0</v>
      </c>
      <c r="F20" s="556"/>
      <c r="G20" s="556">
        <f>SUMIF('BS India'!B:B,'BS USD CONS '!$B20,'BS India'!E:E)</f>
        <v>0</v>
      </c>
      <c r="H20" s="546"/>
      <c r="I20" s="546">
        <f>-C20</f>
        <v>-310312.37999997369</v>
      </c>
      <c r="J20" s="546"/>
      <c r="K20" s="546">
        <f t="shared" ref="K20:K25" si="2">+E20+C20+I20+G20</f>
        <v>0</v>
      </c>
      <c r="L20" s="547"/>
      <c r="M20" s="546">
        <f t="shared" ref="M20:M26" si="3">K20/1000</f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1"/>
      <c r="B21" s="2" t="s">
        <v>472</v>
      </c>
      <c r="C21" s="556">
        <f>SUMIF('BS LTD USD '!B:B,'BS USD CONS '!$B21,'BS LTD USD '!E:E)</f>
        <v>20186267</v>
      </c>
      <c r="D21" s="556"/>
      <c r="E21" s="556">
        <f>SUMIF('BS INC'!B:B,'BS USD CONS '!$B21,'BS INC'!E:E)</f>
        <v>0</v>
      </c>
      <c r="F21" s="556"/>
      <c r="G21" s="556">
        <f>SUMIF('BS India'!B:B,'BS USD CONS '!$B21,'BS India'!E:E)</f>
        <v>0</v>
      </c>
      <c r="H21" s="546"/>
      <c r="I21" s="546"/>
      <c r="J21" s="546"/>
      <c r="K21" s="546">
        <f t="shared" si="2"/>
        <v>20186267</v>
      </c>
      <c r="L21" s="547"/>
      <c r="M21" s="546">
        <f t="shared" si="3"/>
        <v>20186.267</v>
      </c>
      <c r="N21" s="54">
        <f>K21/1000</f>
        <v>20186.267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1"/>
      <c r="B22" s="40" t="s">
        <v>1668</v>
      </c>
      <c r="C22" s="556">
        <f>SUMIF('BS LTD USD '!B:B,'BS USD CONS '!$B22,'BS LTD USD '!E:E)</f>
        <v>2467206.52</v>
      </c>
      <c r="D22" s="556"/>
      <c r="E22" s="556">
        <f>SUMIF('BS INC'!B:B,'BS USD CONS '!$B22,'BS INC'!E:E)</f>
        <v>1199999</v>
      </c>
      <c r="F22" s="556"/>
      <c r="G22" s="556">
        <f>SUMIF('BS India'!B:B,'BS USD CONS '!$B22,'BS India'!E:E)</f>
        <v>0</v>
      </c>
      <c r="H22" s="546"/>
      <c r="I22" s="546"/>
      <c r="J22" s="546"/>
      <c r="K22" s="546">
        <f t="shared" si="2"/>
        <v>3667205.52</v>
      </c>
      <c r="L22" s="547"/>
      <c r="M22" s="546">
        <f t="shared" si="3"/>
        <v>3667.20552</v>
      </c>
      <c r="N22" s="54">
        <f>K22/1000</f>
        <v>3667.20552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1"/>
      <c r="B23" s="51" t="s">
        <v>54</v>
      </c>
      <c r="C23" s="556">
        <f>SUMIF('BS LTD USD '!B:B,'BS USD CONS '!$B23,'BS LTD USD '!E:E)</f>
        <v>2030229.32</v>
      </c>
      <c r="D23" s="556"/>
      <c r="E23" s="556">
        <f>SUMIF('BS INC'!B:B,'BS USD CONS '!$B23,'BS INC'!E:E)</f>
        <v>0</v>
      </c>
      <c r="F23" s="556"/>
      <c r="G23" s="556">
        <f>SUMIF('BS India'!B:B,'BS USD CONS '!$B23,'BS India'!E:E)</f>
        <v>0</v>
      </c>
      <c r="H23" s="546"/>
      <c r="I23" s="546"/>
      <c r="J23" s="546"/>
      <c r="K23" s="546">
        <f t="shared" si="2"/>
        <v>2030229.32</v>
      </c>
      <c r="L23" s="547"/>
      <c r="M23" s="546">
        <f t="shared" si="3"/>
        <v>2030.2293200000001</v>
      </c>
      <c r="N23" s="54">
        <f>K23/1000</f>
        <v>2030.2293200000001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1"/>
      <c r="B24" s="40" t="s">
        <v>287</v>
      </c>
      <c r="C24" s="556">
        <f>SUMIF('BS LTD USD '!B:B,'BS USD CONS '!$B24,'BS LTD USD '!E:E)</f>
        <v>0</v>
      </c>
      <c r="D24" s="556"/>
      <c r="E24" s="556">
        <f>SUMIF('BS INC'!B:B,'BS USD CONS '!$B24,'BS INC'!E:E)</f>
        <v>0</v>
      </c>
      <c r="F24" s="556"/>
      <c r="G24" s="556">
        <f>SUMIF('BS India'!B:B,'BS USD CONS '!$B24,'BS India'!E:E)</f>
        <v>0</v>
      </c>
      <c r="H24" s="546"/>
      <c r="I24" s="546"/>
      <c r="J24" s="546"/>
      <c r="K24" s="546">
        <f t="shared" si="2"/>
        <v>0</v>
      </c>
      <c r="L24" s="547"/>
      <c r="M24" s="546">
        <f t="shared" si="3"/>
        <v>0</v>
      </c>
      <c r="N24" s="5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1"/>
      <c r="B25" s="40" t="s">
        <v>57</v>
      </c>
      <c r="C25" s="556">
        <f>SUMIF('BS LTD USD '!B:B,'BS USD CONS '!$B25,'BS LTD USD '!E:E)</f>
        <v>1659074.9000000001</v>
      </c>
      <c r="D25" s="556"/>
      <c r="E25" s="556">
        <f>SUMIF('BS INC'!B:B,'BS USD CONS '!$B25,'BS INC'!E:E)</f>
        <v>0</v>
      </c>
      <c r="F25" s="556"/>
      <c r="G25" s="556">
        <f>SUMIF('BS India'!B:B,'BS USD CONS '!$B25,'BS India'!C:C)</f>
        <v>0</v>
      </c>
      <c r="H25" s="546"/>
      <c r="I25" s="546"/>
      <c r="J25" s="546"/>
      <c r="K25" s="546">
        <f t="shared" si="2"/>
        <v>1659074.9000000001</v>
      </c>
      <c r="L25" s="547"/>
      <c r="M25" s="590">
        <f t="shared" si="3"/>
        <v>1659.0749000000001</v>
      </c>
      <c r="N25" s="54">
        <f>K25/1000</f>
        <v>1659.0749000000001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1"/>
      <c r="B26" s="40"/>
      <c r="C26" s="548">
        <f>SUM(C20:C25)</f>
        <v>26653090.119999971</v>
      </c>
      <c r="D26" s="546"/>
      <c r="E26" s="549">
        <f>SUM(E20:E25)</f>
        <v>1199999</v>
      </c>
      <c r="F26" s="550"/>
      <c r="G26" s="549">
        <f>SUM(G20:G25)</f>
        <v>0</v>
      </c>
      <c r="H26" s="550"/>
      <c r="I26" s="549">
        <f>SUM(I20:I25)</f>
        <v>-310312.37999997369</v>
      </c>
      <c r="J26" s="550"/>
      <c r="K26" s="549">
        <f>SUM(K20:K25)</f>
        <v>27542776.739999998</v>
      </c>
      <c r="L26" s="547"/>
      <c r="M26" s="549">
        <f t="shared" si="3"/>
        <v>27542.776739999998</v>
      </c>
      <c r="N26" s="54">
        <f>K26/1000</f>
        <v>27542.776739999998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1"/>
      <c r="B27" s="40"/>
      <c r="C27" s="551"/>
      <c r="D27" s="546"/>
      <c r="E27" s="551"/>
      <c r="F27" s="546"/>
      <c r="G27" s="551"/>
      <c r="H27" s="546"/>
      <c r="I27" s="551"/>
      <c r="J27" s="546"/>
      <c r="K27" s="551"/>
      <c r="L27" s="547"/>
      <c r="M27" s="552"/>
      <c r="N27" s="54">
        <f>K27/1000</f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"/>
      <c r="B28" s="52" t="s">
        <v>291</v>
      </c>
      <c r="C28" s="553">
        <f>+C26+C16</f>
        <v>110834624.27999994</v>
      </c>
      <c r="D28" s="546"/>
      <c r="E28" s="553">
        <f>+E26+E16</f>
        <v>2473966.470000016</v>
      </c>
      <c r="F28" s="546"/>
      <c r="G28" s="553">
        <f>+G26+G16</f>
        <v>-29240.69</v>
      </c>
      <c r="H28" s="546"/>
      <c r="I28" s="553">
        <f>+I26+I16</f>
        <v>-310312.37999997369</v>
      </c>
      <c r="J28" s="546"/>
      <c r="K28" s="553">
        <f>K16+K26</f>
        <v>112969037.67999998</v>
      </c>
      <c r="L28" s="547"/>
      <c r="M28" s="554">
        <f>K28/1000</f>
        <v>112969.03767999998</v>
      </c>
      <c r="N28" s="54">
        <f>K28/1000</f>
        <v>112969.03767999998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1"/>
      <c r="B29" s="40"/>
      <c r="C29" s="546"/>
      <c r="D29" s="546"/>
      <c r="E29" s="546"/>
      <c r="F29" s="546"/>
      <c r="G29" s="546"/>
      <c r="H29" s="546"/>
      <c r="I29" s="546"/>
      <c r="J29" s="546"/>
      <c r="K29" s="546"/>
      <c r="L29" s="547"/>
      <c r="M29" s="546"/>
      <c r="N29" s="5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40"/>
      <c r="C30" s="546"/>
      <c r="D30" s="546"/>
      <c r="E30" s="546"/>
      <c r="F30" s="546"/>
      <c r="G30" s="546"/>
      <c r="H30" s="546"/>
      <c r="I30" s="546"/>
      <c r="J30" s="546"/>
      <c r="K30" s="546"/>
      <c r="L30" s="547"/>
      <c r="M30" s="546"/>
      <c r="N30" s="5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49" t="s">
        <v>292</v>
      </c>
      <c r="C31" s="546"/>
      <c r="D31" s="546"/>
      <c r="E31" s="546"/>
      <c r="F31" s="546"/>
      <c r="G31" s="546"/>
      <c r="H31" s="546"/>
      <c r="I31" s="546"/>
      <c r="J31" s="546"/>
      <c r="K31" s="546"/>
      <c r="L31" s="547"/>
      <c r="M31" s="546"/>
      <c r="N31" s="5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"/>
      <c r="B32" s="40"/>
      <c r="C32" s="556"/>
      <c r="D32" s="556"/>
      <c r="E32" s="556"/>
      <c r="F32" s="556"/>
      <c r="G32" s="556"/>
      <c r="H32" s="546"/>
      <c r="I32" s="546"/>
      <c r="J32" s="546"/>
      <c r="K32" s="546"/>
      <c r="L32" s="547"/>
      <c r="M32" s="546"/>
      <c r="N32" s="5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"/>
      <c r="B33" s="40" t="s">
        <v>59</v>
      </c>
      <c r="C33" s="663">
        <f>SUMIF('BS LTD USD '!B:B,'BS USD CONS '!$B33,'BS LTD USD '!E:E)</f>
        <v>-7799848.3200000012</v>
      </c>
      <c r="D33" s="663"/>
      <c r="E33" s="556">
        <f>SUMIF('BS INC'!B:B,'BS USD CONS '!$B33,'BS INC'!E:E)</f>
        <v>-952301.09</v>
      </c>
      <c r="F33" s="663"/>
      <c r="G33" s="556">
        <f>SUMIF('BS India'!B:B,'BS USD CONS '!$B33,'BS India'!C:C)</f>
        <v>0</v>
      </c>
      <c r="H33" s="550"/>
      <c r="I33" s="550"/>
      <c r="J33" s="550"/>
      <c r="K33" s="546">
        <f t="shared" ref="K33:K44" si="4">+E33+C33+I33+G33</f>
        <v>-8752149.410000002</v>
      </c>
      <c r="L33" s="547"/>
      <c r="M33" s="550">
        <f t="shared" ref="M33:M45" si="5">K33/1000</f>
        <v>-8752.1494100000018</v>
      </c>
      <c r="N33" s="54">
        <f t="shared" ref="N33:N77" si="6">K33/1000</f>
        <v>-8752.1494100000018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40" t="s">
        <v>491</v>
      </c>
      <c r="C34" s="663">
        <f>SUMIF('BS LTD USD '!B:B,'BS USD CONS '!$B34,'BS LTD USD '!E:E)</f>
        <v>-14333944.959999999</v>
      </c>
      <c r="D34" s="663"/>
      <c r="E34" s="556">
        <f>SUMIF('BS INC'!B:B,'BS USD CONS '!$B34,'BS INC'!E:E)</f>
        <v>0</v>
      </c>
      <c r="F34" s="663"/>
      <c r="G34" s="556">
        <f>SUMIF('BS India'!B:B,'BS USD CONS '!$B34,'BS India'!C:C)</f>
        <v>0</v>
      </c>
      <c r="H34" s="550"/>
      <c r="I34" s="550"/>
      <c r="J34" s="550"/>
      <c r="K34" s="546">
        <f t="shared" si="4"/>
        <v>-14333944.959999999</v>
      </c>
      <c r="L34" s="547"/>
      <c r="M34" s="550">
        <f t="shared" si="5"/>
        <v>-14333.944959999999</v>
      </c>
      <c r="N34" s="54">
        <f t="shared" si="6"/>
        <v>-14333.944959999999</v>
      </c>
      <c r="O34" s="5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40" t="s">
        <v>180</v>
      </c>
      <c r="C35" s="663">
        <f>SUMIF('BS LTD USD '!B:B,'BS USD CONS '!$B35,'BS LTD USD '!E:E)</f>
        <v>0</v>
      </c>
      <c r="D35" s="663"/>
      <c r="E35" s="556">
        <f>SUMIF('BS INC'!B:B,'BS USD CONS '!$B35,'BS INC'!E:E)</f>
        <v>0</v>
      </c>
      <c r="F35" s="663"/>
      <c r="G35" s="556">
        <f>SUMIF('BS India'!B:B,'BS USD CONS '!$B35,'BS India'!C:C)</f>
        <v>0</v>
      </c>
      <c r="H35" s="550"/>
      <c r="I35" s="550"/>
      <c r="J35" s="550"/>
      <c r="K35" s="546">
        <f t="shared" si="4"/>
        <v>0</v>
      </c>
      <c r="L35" s="547"/>
      <c r="M35" s="550">
        <f t="shared" si="5"/>
        <v>0</v>
      </c>
      <c r="N35" s="54">
        <f t="shared" si="6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"/>
      <c r="B36" s="40" t="s">
        <v>170</v>
      </c>
      <c r="C36" s="663">
        <f>SUMIF('BS LTD USD '!B:B,'BS USD CONS '!$B36,'BS LTD USD '!E:E)</f>
        <v>-8960313.0600000005</v>
      </c>
      <c r="D36" s="663"/>
      <c r="E36" s="556">
        <f>SUMIF('BS INC'!B:B,'BS USD CONS '!$B36,'BS INC'!E:E)</f>
        <v>0</v>
      </c>
      <c r="F36" s="663"/>
      <c r="G36" s="556">
        <f>SUMIF('BS India'!B:B,'BS USD CONS '!$B36,'BS India'!C:C)</f>
        <v>0</v>
      </c>
      <c r="H36" s="550"/>
      <c r="I36" s="550"/>
      <c r="J36" s="550"/>
      <c r="K36" s="546">
        <f t="shared" si="4"/>
        <v>-8960313.0600000005</v>
      </c>
      <c r="L36" s="547"/>
      <c r="M36" s="550">
        <f t="shared" si="5"/>
        <v>-8960.3130600000004</v>
      </c>
      <c r="N36" s="54">
        <f t="shared" si="6"/>
        <v>-8960.3130600000004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"/>
      <c r="B37" s="40" t="s">
        <v>1658</v>
      </c>
      <c r="C37" s="663">
        <f>SUMIF('BS LTD USD '!B:B,'BS USD CONS '!$B37,'BS LTD USD '!E:E)</f>
        <v>-4156792.6728835423</v>
      </c>
      <c r="D37" s="663"/>
      <c r="E37" s="556">
        <f>SUMIF('BS INC'!B:B,'BS USD CONS '!$B37,'BS INC'!E:E)</f>
        <v>0</v>
      </c>
      <c r="F37" s="663"/>
      <c r="G37" s="556">
        <f>SUMIF('BS India'!B:B,'BS USD CONS '!$B37,'BS India'!C:C)</f>
        <v>0</v>
      </c>
      <c r="H37" s="550"/>
      <c r="I37" s="550"/>
      <c r="J37" s="550"/>
      <c r="K37" s="546">
        <f t="shared" si="4"/>
        <v>-4156792.6728835423</v>
      </c>
      <c r="L37" s="547"/>
      <c r="M37" s="550">
        <f t="shared" si="5"/>
        <v>-4156.7926728835419</v>
      </c>
      <c r="N37" s="54">
        <f t="shared" si="6"/>
        <v>-4156.7926728835419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734" t="s">
        <v>517</v>
      </c>
      <c r="C38" s="663">
        <f>SUMIF('BS LTD USD '!B:B,'BS USD CONS '!$B38,'BS LTD USD '!E:E)</f>
        <v>-1411357.43</v>
      </c>
      <c r="D38" s="556"/>
      <c r="E38" s="556">
        <f>SUMIF('BS INC'!B:B,'BS USD CONS '!$B38,'BS INC'!E:E)</f>
        <v>0</v>
      </c>
      <c r="F38" s="556"/>
      <c r="G38" s="556">
        <f>SUMIF('BS India'!B:B,'BS USD CONS '!$B38,'BS India'!C:C)</f>
        <v>0</v>
      </c>
      <c r="H38" s="546"/>
      <c r="I38" s="546"/>
      <c r="J38" s="546"/>
      <c r="K38" s="546">
        <f t="shared" si="4"/>
        <v>-1411357.43</v>
      </c>
      <c r="L38" s="547"/>
      <c r="M38" s="546">
        <f t="shared" si="5"/>
        <v>-1411.35743</v>
      </c>
      <c r="N38" s="54">
        <f t="shared" si="6"/>
        <v>-1411.35743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"/>
      <c r="B39" s="40" t="s">
        <v>1712</v>
      </c>
      <c r="C39" s="663">
        <f>SUMIF('BS LTD USD '!B:B,'BS USD CONS '!$B39,'BS LTD USD '!E:E)</f>
        <v>-958916.78769129887</v>
      </c>
      <c r="D39" s="556"/>
      <c r="E39" s="556">
        <f>SUMIF('BS INC'!B:B,'BS USD CONS '!$B39,'BS INC'!E:E)</f>
        <v>0</v>
      </c>
      <c r="F39" s="556"/>
      <c r="G39" s="556">
        <f>SUMIF('BS India'!B:B,'BS USD CONS '!$B39,'BS India'!C:C)</f>
        <v>0</v>
      </c>
      <c r="H39" s="546"/>
      <c r="I39" s="546"/>
      <c r="J39" s="546"/>
      <c r="K39" s="546">
        <f t="shared" si="4"/>
        <v>-958916.78769129887</v>
      </c>
      <c r="L39" s="547"/>
      <c r="M39" s="546">
        <f t="shared" si="5"/>
        <v>-958.91678769129885</v>
      </c>
      <c r="N39" s="334">
        <f t="shared" si="6"/>
        <v>-958.91678769129885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"/>
      <c r="B40" s="757" t="s">
        <v>1713</v>
      </c>
      <c r="C40" s="663">
        <f>SUMIF('BS LTD USD '!B:B,'BS USD CONS '!$B40,'BS LTD USD '!E:E)</f>
        <v>-17832251.442308702</v>
      </c>
      <c r="D40" s="556"/>
      <c r="E40" s="556"/>
      <c r="F40" s="556"/>
      <c r="G40" s="556"/>
      <c r="H40" s="546"/>
      <c r="I40" s="546"/>
      <c r="J40" s="546"/>
      <c r="K40" s="546">
        <f t="shared" si="4"/>
        <v>-17832251.442308702</v>
      </c>
      <c r="L40" s="547"/>
      <c r="M40" s="546">
        <f t="shared" si="5"/>
        <v>-17832.251442308701</v>
      </c>
      <c r="N40" s="334">
        <f t="shared" si="6"/>
        <v>-17832.251442308701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"/>
      <c r="B41" s="354" t="s">
        <v>1524</v>
      </c>
      <c r="C41" s="556">
        <f>SUMIF('BS LTD USD '!B:B,'BS USD CONS '!$B41,'BS LTD USD '!E:E)</f>
        <v>-15835319.800000001</v>
      </c>
      <c r="D41" s="556"/>
      <c r="E41" s="556">
        <f>SUMIF('BS INC'!B:B,'BS USD CONS '!$B41,'BS INC'!E:E)</f>
        <v>0</v>
      </c>
      <c r="F41" s="556"/>
      <c r="G41" s="556">
        <f>SUMIF('BS India'!B:B,'BS USD CONS '!$B41,'BS India'!C:C)</f>
        <v>0</v>
      </c>
      <c r="H41" s="546"/>
      <c r="I41" s="546"/>
      <c r="J41" s="546"/>
      <c r="K41" s="546">
        <f t="shared" si="4"/>
        <v>-15835319.800000001</v>
      </c>
      <c r="L41" s="547"/>
      <c r="M41" s="546">
        <f t="shared" si="5"/>
        <v>-15835.319800000001</v>
      </c>
      <c r="N41" s="54">
        <f t="shared" si="6"/>
        <v>-15835.319800000001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"/>
      <c r="B42" s="424" t="s">
        <v>1711</v>
      </c>
      <c r="C42" s="556">
        <f>SUMIF('BS LTD USD '!B:B,'BS USD CONS '!$B42,'BS LTD USD '!E:E)</f>
        <v>-4238437.8499999996</v>
      </c>
      <c r="D42" s="556"/>
      <c r="E42" s="556">
        <f>SUMIF('BS INC'!B:B,'BS USD CONS '!$B42,'BS INC'!E:E)</f>
        <v>0</v>
      </c>
      <c r="F42" s="556"/>
      <c r="G42" s="556">
        <f>SUMIF('BS India'!B:B,'BS USD CONS '!$B42,'BS India'!C:C)</f>
        <v>0</v>
      </c>
      <c r="H42" s="546"/>
      <c r="I42" s="546"/>
      <c r="J42" s="546"/>
      <c r="K42" s="546">
        <f t="shared" si="4"/>
        <v>-4238437.8499999996</v>
      </c>
      <c r="L42" s="547"/>
      <c r="M42" s="546">
        <f t="shared" si="5"/>
        <v>-4238.4378499999993</v>
      </c>
      <c r="N42" s="54">
        <f t="shared" si="6"/>
        <v>-4238.4378499999993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40" t="s">
        <v>401</v>
      </c>
      <c r="C43" s="556">
        <f>SUMIF('BS LTD USD '!B:B,'BS USD CONS '!$B43,'BS LTD USD '!E:E)</f>
        <v>0</v>
      </c>
      <c r="D43" s="556"/>
      <c r="E43" s="556">
        <f>SUMIF('BS INC'!B:B,'BS USD CONS '!$B43,'BS INC'!E:E)</f>
        <v>0</v>
      </c>
      <c r="F43" s="556"/>
      <c r="G43" s="556">
        <f>SUMIF('BS India'!B:B,'BS USD CONS '!$B43,'BS India'!C:C)</f>
        <v>0</v>
      </c>
      <c r="H43" s="546"/>
      <c r="I43" s="546"/>
      <c r="J43" s="546"/>
      <c r="K43" s="546">
        <f t="shared" si="4"/>
        <v>0</v>
      </c>
      <c r="L43" s="547"/>
      <c r="M43" s="546">
        <f t="shared" si="5"/>
        <v>0</v>
      </c>
      <c r="N43" s="54">
        <f t="shared" si="6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40" t="s">
        <v>55</v>
      </c>
      <c r="C44" s="664">
        <f>SUMIF('BS LTD USD '!B:B,'BS USD CONS '!$B44,'BS LTD USD '!E:E)</f>
        <v>0</v>
      </c>
      <c r="D44" s="556"/>
      <c r="E44" s="556">
        <f>SUMIF('BS INC'!B:B,'BS USD CONS '!$B44,'BS INC'!E:E)</f>
        <v>-1211355.3999999999</v>
      </c>
      <c r="F44" s="663"/>
      <c r="G44" s="556">
        <f>SUMIF('BS India'!B:B,'BS USD CONS '!$B44,'BS India'!C:C)</f>
        <v>-22095.35</v>
      </c>
      <c r="H44" s="550"/>
      <c r="I44" s="555"/>
      <c r="J44" s="550"/>
      <c r="K44" s="546">
        <f t="shared" si="4"/>
        <v>-1233450.75</v>
      </c>
      <c r="L44" s="547"/>
      <c r="M44" s="550">
        <f t="shared" si="5"/>
        <v>-1233.45075</v>
      </c>
      <c r="N44" s="54">
        <f t="shared" si="6"/>
        <v>-1233.45075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40"/>
      <c r="C45" s="550">
        <f>SUM(C33:C44)</f>
        <v>-75527182.322883546</v>
      </c>
      <c r="D45" s="546"/>
      <c r="E45" s="549">
        <f>SUM(E31:E44)</f>
        <v>-2163656.4899999998</v>
      </c>
      <c r="F45" s="550"/>
      <c r="G45" s="549">
        <f>SUM(G31:G44)</f>
        <v>-22095.35</v>
      </c>
      <c r="H45" s="550"/>
      <c r="I45" s="549"/>
      <c r="J45" s="550"/>
      <c r="K45" s="549">
        <f>+E45+C45+G45</f>
        <v>-77712934.162883535</v>
      </c>
      <c r="L45" s="547"/>
      <c r="M45" s="549">
        <f t="shared" si="5"/>
        <v>-77712.934162883539</v>
      </c>
      <c r="N45" s="54">
        <f t="shared" si="6"/>
        <v>-77712.934162883539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"/>
      <c r="B46" s="40"/>
      <c r="C46" s="546"/>
      <c r="D46" s="546"/>
      <c r="E46" s="546"/>
      <c r="F46" s="546"/>
      <c r="G46" s="546"/>
      <c r="H46" s="546"/>
      <c r="I46" s="546"/>
      <c r="J46" s="546"/>
      <c r="K46" s="546"/>
      <c r="L46" s="547"/>
      <c r="M46" s="546"/>
      <c r="N46" s="54">
        <f t="shared" si="6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"/>
      <c r="B47" s="53"/>
      <c r="C47" s="546"/>
      <c r="D47" s="556"/>
      <c r="E47" s="547"/>
      <c r="F47" s="547"/>
      <c r="G47" s="547"/>
      <c r="H47" s="547"/>
      <c r="I47" s="547"/>
      <c r="J47" s="547"/>
      <c r="K47" s="547"/>
      <c r="L47" s="547"/>
      <c r="M47" s="547"/>
      <c r="N47" s="54">
        <f t="shared" si="6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"/>
      <c r="B48" s="52" t="s">
        <v>294</v>
      </c>
      <c r="C48" s="557">
        <f>+C45</f>
        <v>-75527182.322883546</v>
      </c>
      <c r="D48" s="558"/>
      <c r="E48" s="557">
        <f>+E45</f>
        <v>-2163656.4899999998</v>
      </c>
      <c r="F48" s="550"/>
      <c r="G48" s="557">
        <f>+G45</f>
        <v>-22095.35</v>
      </c>
      <c r="H48" s="550"/>
      <c r="I48" s="557">
        <f>+I45</f>
        <v>0</v>
      </c>
      <c r="J48" s="550"/>
      <c r="K48" s="557">
        <f>+E48+C48+G48</f>
        <v>-77712934.162883535</v>
      </c>
      <c r="L48" s="547"/>
      <c r="M48" s="559">
        <f>K48/1000</f>
        <v>-77712.934162883539</v>
      </c>
      <c r="N48" s="54">
        <f t="shared" si="6"/>
        <v>-77712.934162883539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"/>
      <c r="B49" s="40"/>
      <c r="C49" s="546"/>
      <c r="D49" s="556"/>
      <c r="E49" s="546"/>
      <c r="F49" s="546"/>
      <c r="G49" s="546"/>
      <c r="H49" s="546"/>
      <c r="I49" s="546"/>
      <c r="J49" s="546"/>
      <c r="K49" s="546"/>
      <c r="L49" s="547"/>
      <c r="M49" s="546"/>
      <c r="N49" s="54">
        <f t="shared" si="6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"/>
      <c r="B50" s="49" t="s">
        <v>295</v>
      </c>
      <c r="C50" s="546"/>
      <c r="D50" s="546"/>
      <c r="E50" s="546"/>
      <c r="F50" s="546"/>
      <c r="G50" s="546"/>
      <c r="H50" s="546"/>
      <c r="I50" s="546"/>
      <c r="J50" s="546"/>
      <c r="K50" s="546"/>
      <c r="L50" s="547"/>
      <c r="M50" s="546"/>
      <c r="N50" s="54">
        <f t="shared" si="6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"/>
      <c r="B51" s="56"/>
      <c r="C51" s="546"/>
      <c r="D51" s="546"/>
      <c r="E51" s="546"/>
      <c r="F51" s="546"/>
      <c r="G51" s="546"/>
      <c r="H51" s="546"/>
      <c r="I51" s="546"/>
      <c r="J51" s="546"/>
      <c r="K51" s="546"/>
      <c r="L51" s="547"/>
      <c r="M51" s="546"/>
      <c r="N51" s="54">
        <f t="shared" si="6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40" t="s">
        <v>111</v>
      </c>
      <c r="C52" s="550">
        <f>SUMIF('BS LTD USD '!B:B,'BS USD CONS '!$B52,'BS LTD USD '!E:E)</f>
        <v>-690.22</v>
      </c>
      <c r="D52" s="546"/>
      <c r="E52" s="546">
        <f>SUMIF('BS INC'!B:B,'BS USD CONS '!$B52,'BS INC'!E:E)</f>
        <v>0</v>
      </c>
      <c r="F52" s="550"/>
      <c r="G52" s="546">
        <f>SUMIF('BS India'!B:B,'BS USD CONS '!$B52,'BS India'!C:C)</f>
        <v>0</v>
      </c>
      <c r="H52" s="550"/>
      <c r="I52" s="550"/>
      <c r="J52" s="550"/>
      <c r="K52" s="546">
        <f t="shared" ref="K52:K56" si="7">+E52+C52+I52+G52</f>
        <v>-690.22</v>
      </c>
      <c r="L52" s="547"/>
      <c r="M52" s="550">
        <f t="shared" ref="M52:M63" si="8">K52/1000</f>
        <v>-0.69022000000000006</v>
      </c>
      <c r="N52" s="54">
        <f t="shared" si="6"/>
        <v>-0.69022000000000006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92" t="s">
        <v>139</v>
      </c>
      <c r="C53" s="550">
        <f>SUMIF('BS LTD USD '!B:B,'BS USD CONS '!$B53,'BS LTD USD '!E:E)</f>
        <v>-191</v>
      </c>
      <c r="D53" s="546"/>
      <c r="E53" s="546">
        <f>SUMIF('BS INC'!B:B,'BS USD CONS '!$B53,'BS INC'!E:E)</f>
        <v>0</v>
      </c>
      <c r="F53" s="550"/>
      <c r="G53" s="546">
        <f>SUMIF('BS India'!B:B,'BS USD CONS '!$B53,'BS India'!C:C)</f>
        <v>0</v>
      </c>
      <c r="H53" s="550"/>
      <c r="I53" s="550"/>
      <c r="J53" s="550"/>
      <c r="K53" s="546">
        <f t="shared" si="7"/>
        <v>-191</v>
      </c>
      <c r="L53" s="547"/>
      <c r="M53" s="550">
        <f t="shared" si="8"/>
        <v>-0.191</v>
      </c>
      <c r="N53" s="54">
        <f t="shared" si="6"/>
        <v>-0.191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92" t="s">
        <v>141</v>
      </c>
      <c r="C54" s="550">
        <f>SUMIF('BS LTD USD '!B:B,'BS USD CONS '!$B54,'BS LTD USD '!E:E)</f>
        <v>-49.24</v>
      </c>
      <c r="D54" s="546"/>
      <c r="E54" s="546">
        <f>SUMIF('BS INC'!B:B,'BS USD CONS '!$B54,'BS INC'!E:E)</f>
        <v>0</v>
      </c>
      <c r="F54" s="550"/>
      <c r="G54" s="546">
        <f>SUMIF('BS India'!B:B,'BS USD CONS '!$B54,'BS India'!C:C)</f>
        <v>0</v>
      </c>
      <c r="H54" s="550"/>
      <c r="I54" s="550"/>
      <c r="J54" s="550"/>
      <c r="K54" s="546">
        <f t="shared" si="7"/>
        <v>-49.24</v>
      </c>
      <c r="L54" s="547"/>
      <c r="M54" s="550">
        <f t="shared" si="8"/>
        <v>-4.9239999999999999E-2</v>
      </c>
      <c r="N54" s="54">
        <f t="shared" si="6"/>
        <v>-4.9239999999999999E-2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93" t="s">
        <v>113</v>
      </c>
      <c r="C55" s="550">
        <f>SUMIF('BS LTD USD '!B:B,'BS USD CONS '!$B55,'BS LTD USD '!E:E)</f>
        <v>-8818490.5899999999</v>
      </c>
      <c r="D55" s="546"/>
      <c r="E55" s="546">
        <f>SUMIF('BS INC'!B:B,'BS USD CONS '!$B55,'BS INC'!E:E)</f>
        <v>0</v>
      </c>
      <c r="F55" s="550"/>
      <c r="G55" s="546">
        <f>SUMIF('BS India'!B:B,'BS USD CONS '!$B55,'BS India'!C:C)</f>
        <v>0</v>
      </c>
      <c r="H55" s="550"/>
      <c r="I55" s="550"/>
      <c r="J55" s="550"/>
      <c r="K55" s="546">
        <f t="shared" si="7"/>
        <v>-8818490.5899999999</v>
      </c>
      <c r="L55" s="547"/>
      <c r="M55" s="550">
        <f t="shared" si="8"/>
        <v>-8818.4905899999994</v>
      </c>
      <c r="N55" s="54">
        <f t="shared" si="6"/>
        <v>-8818.4905899999994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93" t="s">
        <v>143</v>
      </c>
      <c r="C56" s="550">
        <f>SUMIF('BS LTD USD '!B:B,'BS USD CONS '!$B56,'BS LTD USD '!E:E)</f>
        <v>0</v>
      </c>
      <c r="D56" s="546"/>
      <c r="E56" s="546">
        <f>SUMIF('BS INC'!B:B,'BS USD CONS '!$B56,'BS INC'!E:E)</f>
        <v>0</v>
      </c>
      <c r="F56" s="550"/>
      <c r="G56" s="546">
        <f>SUMIF('BS India'!B:B,'BS USD CONS '!$B56,'BS India'!C:C)</f>
        <v>0</v>
      </c>
      <c r="H56" s="550"/>
      <c r="I56" s="550"/>
      <c r="J56" s="550"/>
      <c r="K56" s="546">
        <f t="shared" si="7"/>
        <v>0</v>
      </c>
      <c r="L56" s="547"/>
      <c r="M56" s="550">
        <f t="shared" si="8"/>
        <v>0</v>
      </c>
      <c r="N56" s="54">
        <f t="shared" si="6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"/>
      <c r="B57" s="40" t="s">
        <v>142</v>
      </c>
      <c r="C57" s="550">
        <f>SUMIF('BS LTD USD '!B:B,'BS USD CONS '!$B57,'BS LTD USD '!E:E)</f>
        <v>-4082936.56</v>
      </c>
      <c r="D57" s="546"/>
      <c r="E57" s="546">
        <f>SUMIF('BS INC'!B:B,'BS USD CONS '!$B57,'BS INC'!E:E)</f>
        <v>-297517.45</v>
      </c>
      <c r="F57" s="550"/>
      <c r="G57" s="546">
        <f>SUMIF('BS India'!B:B,'BS USD CONS '!$B57,'BS India'!C:C)</f>
        <v>0</v>
      </c>
      <c r="H57" s="550"/>
      <c r="I57" s="550">
        <f>-E57</f>
        <v>297517.45</v>
      </c>
      <c r="J57" s="550"/>
      <c r="K57" s="546">
        <f>+E57+C57+I57+G57</f>
        <v>-4082936.5599999996</v>
      </c>
      <c r="L57" s="547"/>
      <c r="M57" s="550">
        <f t="shared" si="8"/>
        <v>-4082.9365599999996</v>
      </c>
      <c r="N57" s="54">
        <f t="shared" si="6"/>
        <v>-4082.9365599999996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40" t="s">
        <v>144</v>
      </c>
      <c r="C58" s="555">
        <f>'P&amp;L LTD  USD'!F122</f>
        <v>-22405084.357116386</v>
      </c>
      <c r="D58" s="546"/>
      <c r="E58" s="546">
        <f>SUMIF('BS INC'!B:B,'BS USD CONS '!$B58,'BS INC'!E:E)</f>
        <v>-12793.339999973701</v>
      </c>
      <c r="F58" s="550"/>
      <c r="G58" s="546">
        <f>SUMIF('BS India'!B:B,'BS USD CONS '!$B58,'BS India'!C:C)</f>
        <v>51336.04</v>
      </c>
      <c r="H58" s="550"/>
      <c r="I58" s="555">
        <f>-E58</f>
        <v>12793.339999973701</v>
      </c>
      <c r="J58" s="550"/>
      <c r="K58" s="546">
        <f>+E58+C58+I58+G58</f>
        <v>-22353748.317116387</v>
      </c>
      <c r="L58" s="547"/>
      <c r="M58" s="560">
        <f t="shared" si="8"/>
        <v>-22353.748317116388</v>
      </c>
      <c r="N58" s="54">
        <f t="shared" si="6"/>
        <v>-22353.748317116388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1"/>
      <c r="C59" s="550">
        <f>SUM(C52:C58)</f>
        <v>-35307441.967116386</v>
      </c>
      <c r="D59" s="546"/>
      <c r="E59" s="549">
        <f>SUM(E52:E58)</f>
        <v>-310310.78999997373</v>
      </c>
      <c r="F59" s="550"/>
      <c r="G59" s="549">
        <f>SUM(G52:G58)</f>
        <v>51336.04</v>
      </c>
      <c r="H59" s="550"/>
      <c r="I59" s="549"/>
      <c r="J59" s="550"/>
      <c r="K59" s="549">
        <f>SUM(K52:K58)</f>
        <v>-35256105.927116387</v>
      </c>
      <c r="L59" s="547"/>
      <c r="M59" s="549">
        <f t="shared" si="8"/>
        <v>-35256.105927116383</v>
      </c>
      <c r="N59" s="54">
        <f t="shared" si="6"/>
        <v>-35256.105927116383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1"/>
      <c r="C60" s="551"/>
      <c r="D60" s="546"/>
      <c r="E60" s="551"/>
      <c r="F60" s="546"/>
      <c r="G60" s="551"/>
      <c r="H60" s="546"/>
      <c r="I60" s="551"/>
      <c r="J60" s="546"/>
      <c r="K60" s="551">
        <f>+E60+C60</f>
        <v>0</v>
      </c>
      <c r="L60" s="547"/>
      <c r="M60" s="552">
        <f t="shared" si="8"/>
        <v>0</v>
      </c>
      <c r="N60" s="54">
        <f t="shared" si="6"/>
        <v>0</v>
      </c>
      <c r="O60" s="5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thickBot="1">
      <c r="A61" s="1"/>
      <c r="B61" s="1"/>
      <c r="C61" s="561">
        <f>C59+C48</f>
        <v>-110834624.28999993</v>
      </c>
      <c r="D61" s="546"/>
      <c r="E61" s="561">
        <f>E59+E48</f>
        <v>-2473967.2799999733</v>
      </c>
      <c r="F61" s="550"/>
      <c r="G61" s="561">
        <f>G59+G48</f>
        <v>29240.690000000002</v>
      </c>
      <c r="H61" s="550"/>
      <c r="I61" s="561"/>
      <c r="J61" s="550"/>
      <c r="K61" s="561">
        <f>K59+K48</f>
        <v>-112969040.08999991</v>
      </c>
      <c r="L61" s="547"/>
      <c r="M61" s="562">
        <f t="shared" si="8"/>
        <v>-112969.04008999991</v>
      </c>
      <c r="N61" s="54">
        <f t="shared" si="6"/>
        <v>-112969.04008999991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thickTop="1">
      <c r="A62" s="1"/>
      <c r="B62" s="1"/>
      <c r="C62" s="546" t="b">
        <f>+C61=-C28</f>
        <v>0</v>
      </c>
      <c r="D62" s="546"/>
      <c r="E62" s="546" t="b">
        <f>+E61=E28</f>
        <v>0</v>
      </c>
      <c r="F62" s="546"/>
      <c r="G62" s="546" t="b">
        <f>+G61=G28</f>
        <v>0</v>
      </c>
      <c r="H62" s="546"/>
      <c r="I62" s="546"/>
      <c r="J62" s="546"/>
      <c r="K62" s="546">
        <f>+K61+K28</f>
        <v>-2.4099999368190765</v>
      </c>
      <c r="L62" s="547"/>
      <c r="M62" s="546">
        <f t="shared" si="8"/>
        <v>-2.4099999368190766E-3</v>
      </c>
      <c r="N62" s="54">
        <f t="shared" si="6"/>
        <v>-2.4099999368190766E-3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1"/>
      <c r="C63" s="546">
        <f>+C61+C28</f>
        <v>-9.9999904632568359E-3</v>
      </c>
      <c r="D63" s="546"/>
      <c r="E63" s="546">
        <f>+E61+E28</f>
        <v>-0.80999995721504092</v>
      </c>
      <c r="F63" s="546"/>
      <c r="G63" s="546">
        <f>+G61+G28</f>
        <v>0</v>
      </c>
      <c r="H63" s="546"/>
      <c r="I63" s="546"/>
      <c r="J63" s="546"/>
      <c r="K63" s="546">
        <f>+E63+C63</f>
        <v>-0.81999994767829776</v>
      </c>
      <c r="L63" s="547"/>
      <c r="M63" s="546">
        <f t="shared" si="8"/>
        <v>-8.1999994767829778E-4</v>
      </c>
      <c r="N63" s="54">
        <f t="shared" si="6"/>
        <v>-8.1999994767829778E-4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/>
      <c r="B64" s="1"/>
      <c r="C64" s="298"/>
      <c r="D64" s="298"/>
      <c r="E64" s="298"/>
      <c r="F64" s="298"/>
      <c r="G64" s="298"/>
      <c r="H64" s="298"/>
      <c r="I64" s="298"/>
      <c r="J64" s="298"/>
      <c r="K64" s="298"/>
      <c r="L64" s="368"/>
      <c r="M64" s="298"/>
      <c r="N64" s="334">
        <f t="shared" si="6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"/>
      <c r="B65" s="1"/>
      <c r="C65" s="298"/>
      <c r="D65" s="298"/>
      <c r="E65" s="298"/>
      <c r="F65" s="298"/>
      <c r="G65" s="298"/>
      <c r="H65" s="298"/>
      <c r="I65" s="298"/>
      <c r="J65" s="298"/>
      <c r="K65" s="298"/>
      <c r="L65" s="368"/>
      <c r="M65" s="298"/>
      <c r="N65" s="334">
        <f t="shared" si="6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"/>
      <c r="B66" s="1"/>
      <c r="C66" s="298"/>
      <c r="D66" s="298"/>
      <c r="E66" s="298"/>
      <c r="F66" s="298"/>
      <c r="G66" s="298"/>
      <c r="H66" s="298"/>
      <c r="I66" s="298"/>
      <c r="J66" s="298"/>
      <c r="K66" s="298"/>
      <c r="L66" s="368"/>
      <c r="M66" s="298"/>
      <c r="N66" s="334">
        <f t="shared" si="6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1"/>
      <c r="C67" s="298"/>
      <c r="D67" s="298"/>
      <c r="E67" s="298"/>
      <c r="F67" s="298"/>
      <c r="G67" s="298"/>
      <c r="H67" s="298"/>
      <c r="I67" s="298"/>
      <c r="J67" s="298"/>
      <c r="K67" s="298"/>
      <c r="L67" s="368"/>
      <c r="M67" s="298"/>
      <c r="N67" s="334">
        <f t="shared" si="6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1"/>
      <c r="C68" s="298"/>
      <c r="D68" s="298"/>
      <c r="E68" s="298"/>
      <c r="F68" s="298"/>
      <c r="G68" s="298"/>
      <c r="H68" s="298"/>
      <c r="I68" s="298"/>
      <c r="J68" s="298"/>
      <c r="K68" s="298"/>
      <c r="L68" s="368"/>
      <c r="M68" s="298"/>
      <c r="N68" s="334">
        <f t="shared" si="6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1"/>
      <c r="C69" s="298"/>
      <c r="D69" s="298"/>
      <c r="E69" s="298"/>
      <c r="F69" s="298"/>
      <c r="G69" s="298"/>
      <c r="H69" s="298"/>
      <c r="I69" s="298"/>
      <c r="J69" s="298"/>
      <c r="K69" s="298"/>
      <c r="L69" s="368"/>
      <c r="M69" s="298"/>
      <c r="N69" s="334">
        <f t="shared" si="6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/>
      <c r="B70" s="1"/>
      <c r="C70" s="298"/>
      <c r="D70" s="298"/>
      <c r="E70" s="298"/>
      <c r="F70" s="298"/>
      <c r="G70" s="298"/>
      <c r="H70" s="298"/>
      <c r="I70" s="298"/>
      <c r="J70" s="298"/>
      <c r="K70" s="298"/>
      <c r="L70" s="368"/>
      <c r="M70" s="298"/>
      <c r="N70" s="334">
        <f t="shared" si="6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"/>
      <c r="B71" s="1"/>
      <c r="C71" s="298"/>
      <c r="D71" s="298"/>
      <c r="E71" s="298"/>
      <c r="F71" s="298"/>
      <c r="G71" s="298"/>
      <c r="H71" s="298"/>
      <c r="I71" s="298"/>
      <c r="J71" s="298"/>
      <c r="K71" s="298"/>
      <c r="L71" s="368"/>
      <c r="M71" s="298"/>
      <c r="N71" s="334">
        <f t="shared" si="6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"/>
      <c r="B72" s="1"/>
      <c r="C72" s="298"/>
      <c r="D72" s="298"/>
      <c r="E72" s="298"/>
      <c r="F72" s="298"/>
      <c r="G72" s="298"/>
      <c r="H72" s="298"/>
      <c r="I72" s="298"/>
      <c r="J72" s="298"/>
      <c r="K72" s="298"/>
      <c r="L72" s="368"/>
      <c r="M72" s="298"/>
      <c r="N72" s="334">
        <f t="shared" si="6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"/>
      <c r="B73" s="1"/>
      <c r="C73" s="298"/>
      <c r="D73" s="298"/>
      <c r="E73" s="298"/>
      <c r="F73" s="298"/>
      <c r="G73" s="298"/>
      <c r="H73" s="298"/>
      <c r="I73" s="298"/>
      <c r="J73" s="298"/>
      <c r="K73" s="298"/>
      <c r="L73" s="368"/>
      <c r="M73" s="298"/>
      <c r="N73" s="334">
        <f t="shared" si="6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"/>
      <c r="B74" s="1"/>
      <c r="C74" s="298"/>
      <c r="D74" s="298"/>
      <c r="E74" s="298"/>
      <c r="F74" s="298"/>
      <c r="G74" s="298"/>
      <c r="H74" s="298"/>
      <c r="I74" s="298"/>
      <c r="J74" s="298"/>
      <c r="K74" s="298"/>
      <c r="L74" s="368"/>
      <c r="M74" s="298"/>
      <c r="N74" s="334">
        <f t="shared" si="6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1"/>
      <c r="C75" s="298"/>
      <c r="D75" s="298"/>
      <c r="E75" s="298"/>
      <c r="F75" s="298"/>
      <c r="G75" s="298"/>
      <c r="H75" s="298"/>
      <c r="I75" s="298"/>
      <c r="J75" s="298"/>
      <c r="K75" s="298"/>
      <c r="L75" s="368"/>
      <c r="M75" s="298"/>
      <c r="N75" s="334">
        <f t="shared" si="6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1"/>
      <c r="C76" s="298"/>
      <c r="D76" s="298"/>
      <c r="E76" s="298"/>
      <c r="F76" s="298"/>
      <c r="G76" s="298"/>
      <c r="H76" s="298"/>
      <c r="I76" s="298"/>
      <c r="J76" s="298"/>
      <c r="K76" s="298"/>
      <c r="L76" s="368"/>
      <c r="M76" s="298"/>
      <c r="N76" s="334">
        <f t="shared" si="6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1"/>
      <c r="C77" s="298"/>
      <c r="D77" s="298"/>
      <c r="E77" s="298"/>
      <c r="F77" s="298"/>
      <c r="G77" s="298"/>
      <c r="H77" s="298"/>
      <c r="I77" s="298"/>
      <c r="J77" s="298"/>
      <c r="K77" s="298"/>
      <c r="L77" s="368"/>
      <c r="M77" s="298"/>
      <c r="N77" s="334">
        <f t="shared" si="6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1"/>
      <c r="C78" s="298"/>
      <c r="D78" s="298"/>
      <c r="E78" s="298"/>
      <c r="F78" s="298"/>
      <c r="G78" s="298"/>
      <c r="H78" s="298"/>
      <c r="I78" s="298"/>
      <c r="J78" s="298"/>
      <c r="K78" s="298"/>
      <c r="L78" s="368"/>
      <c r="M78" s="298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1"/>
      <c r="C79" s="298"/>
      <c r="D79" s="298"/>
      <c r="E79" s="298"/>
      <c r="F79" s="298"/>
      <c r="G79" s="298"/>
      <c r="H79" s="298"/>
      <c r="I79" s="298"/>
      <c r="J79" s="298"/>
      <c r="K79" s="298"/>
      <c r="L79" s="368"/>
      <c r="M79" s="298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1"/>
      <c r="C80" s="298"/>
      <c r="D80" s="298"/>
      <c r="E80" s="298"/>
      <c r="F80" s="298"/>
      <c r="G80" s="298"/>
      <c r="H80" s="298"/>
      <c r="I80" s="298"/>
      <c r="J80" s="298"/>
      <c r="K80" s="298"/>
      <c r="L80" s="368"/>
      <c r="M80" s="298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1"/>
      <c r="C81" s="298"/>
      <c r="D81" s="298"/>
      <c r="E81" s="298"/>
      <c r="F81" s="298"/>
      <c r="G81" s="298"/>
      <c r="H81" s="298"/>
      <c r="I81" s="298"/>
      <c r="J81" s="298"/>
      <c r="K81" s="298"/>
      <c r="L81" s="368"/>
      <c r="M81" s="298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1"/>
      <c r="C82" s="298"/>
      <c r="D82" s="298"/>
      <c r="E82" s="298"/>
      <c r="F82" s="298"/>
      <c r="G82" s="298"/>
      <c r="H82" s="298"/>
      <c r="I82" s="298"/>
      <c r="J82" s="298"/>
      <c r="K82" s="298"/>
      <c r="L82" s="368"/>
      <c r="M82" s="298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1"/>
      <c r="C83" s="298"/>
      <c r="D83" s="298"/>
      <c r="E83" s="298"/>
      <c r="F83" s="298"/>
      <c r="G83" s="298"/>
      <c r="H83" s="298"/>
      <c r="I83" s="298"/>
      <c r="J83" s="298"/>
      <c r="K83" s="298"/>
      <c r="L83" s="368"/>
      <c r="M83" s="298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1"/>
      <c r="C84" s="298"/>
      <c r="D84" s="298"/>
      <c r="E84" s="298"/>
      <c r="F84" s="298"/>
      <c r="G84" s="298"/>
      <c r="H84" s="298"/>
      <c r="I84" s="298"/>
      <c r="J84" s="298"/>
      <c r="K84" s="298"/>
      <c r="L84" s="368"/>
      <c r="M84" s="298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1"/>
      <c r="C85" s="298"/>
      <c r="D85" s="298"/>
      <c r="E85" s="298"/>
      <c r="F85" s="298"/>
      <c r="G85" s="298"/>
      <c r="H85" s="298"/>
      <c r="I85" s="298"/>
      <c r="J85" s="298"/>
      <c r="K85" s="298"/>
      <c r="L85" s="368"/>
      <c r="M85" s="298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/>
      <c r="B86" s="1"/>
      <c r="C86" s="298"/>
      <c r="D86" s="298"/>
      <c r="E86" s="298"/>
      <c r="F86" s="298"/>
      <c r="G86" s="298"/>
      <c r="H86" s="298"/>
      <c r="I86" s="298"/>
      <c r="J86" s="298"/>
      <c r="K86" s="298"/>
      <c r="L86" s="368"/>
      <c r="M86" s="298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"/>
      <c r="B87" s="1"/>
      <c r="C87" s="298"/>
      <c r="D87" s="298"/>
      <c r="E87" s="298"/>
      <c r="F87" s="298"/>
      <c r="G87" s="298"/>
      <c r="H87" s="298"/>
      <c r="I87" s="298"/>
      <c r="J87" s="298"/>
      <c r="K87" s="298"/>
      <c r="L87" s="368"/>
      <c r="M87" s="298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"/>
      <c r="B88" s="1"/>
      <c r="C88" s="298"/>
      <c r="D88" s="298"/>
      <c r="E88" s="298"/>
      <c r="F88" s="298"/>
      <c r="G88" s="298"/>
      <c r="H88" s="298"/>
      <c r="I88" s="298"/>
      <c r="J88" s="298"/>
      <c r="K88" s="298"/>
      <c r="L88" s="368"/>
      <c r="M88" s="298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"/>
      <c r="B89" s="1"/>
      <c r="C89" s="298"/>
      <c r="D89" s="298"/>
      <c r="E89" s="298"/>
      <c r="F89" s="298"/>
      <c r="G89" s="298"/>
      <c r="H89" s="298"/>
      <c r="I89" s="298"/>
      <c r="J89" s="298"/>
      <c r="K89" s="298"/>
      <c r="L89" s="368"/>
      <c r="M89" s="298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"/>
      <c r="B90" s="1"/>
      <c r="C90" s="298"/>
      <c r="D90" s="298"/>
      <c r="E90" s="298"/>
      <c r="F90" s="298"/>
      <c r="G90" s="298"/>
      <c r="H90" s="298"/>
      <c r="I90" s="298"/>
      <c r="J90" s="298"/>
      <c r="K90" s="298"/>
      <c r="L90" s="368"/>
      <c r="M90" s="298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1"/>
      <c r="C91" s="298"/>
      <c r="D91" s="298"/>
      <c r="E91" s="298"/>
      <c r="F91" s="298"/>
      <c r="G91" s="298"/>
      <c r="H91" s="298"/>
      <c r="I91" s="298"/>
      <c r="J91" s="298"/>
      <c r="K91" s="298"/>
      <c r="L91" s="368"/>
      <c r="M91" s="298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1"/>
      <c r="C92" s="298"/>
      <c r="D92" s="298"/>
      <c r="E92" s="298"/>
      <c r="F92" s="298"/>
      <c r="G92" s="298"/>
      <c r="H92" s="298"/>
      <c r="I92" s="298"/>
      <c r="J92" s="298"/>
      <c r="K92" s="298"/>
      <c r="L92" s="368"/>
      <c r="M92" s="298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1"/>
      <c r="C93" s="298"/>
      <c r="D93" s="298"/>
      <c r="E93" s="298"/>
      <c r="F93" s="298"/>
      <c r="G93" s="298"/>
      <c r="H93" s="298"/>
      <c r="I93" s="298"/>
      <c r="J93" s="298"/>
      <c r="K93" s="298"/>
      <c r="L93" s="368"/>
      <c r="M93" s="298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1"/>
      <c r="C94" s="298"/>
      <c r="D94" s="298"/>
      <c r="E94" s="298"/>
      <c r="F94" s="298"/>
      <c r="G94" s="298"/>
      <c r="H94" s="298"/>
      <c r="I94" s="298"/>
      <c r="J94" s="298"/>
      <c r="K94" s="298"/>
      <c r="L94" s="368"/>
      <c r="M94" s="298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1"/>
      <c r="C95" s="298"/>
      <c r="D95" s="298"/>
      <c r="E95" s="298"/>
      <c r="F95" s="298"/>
      <c r="G95" s="298"/>
      <c r="H95" s="298"/>
      <c r="I95" s="298"/>
      <c r="J95" s="298"/>
      <c r="K95" s="298"/>
      <c r="L95" s="368"/>
      <c r="M95" s="298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1"/>
      <c r="C96" s="298"/>
      <c r="D96" s="298"/>
      <c r="E96" s="298"/>
      <c r="F96" s="298"/>
      <c r="G96" s="298"/>
      <c r="H96" s="298"/>
      <c r="I96" s="298"/>
      <c r="J96" s="298"/>
      <c r="K96" s="298"/>
      <c r="L96" s="368"/>
      <c r="M96" s="298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1"/>
      <c r="C97" s="298"/>
      <c r="D97" s="298"/>
      <c r="E97" s="298"/>
      <c r="F97" s="298"/>
      <c r="G97" s="298"/>
      <c r="H97" s="298"/>
      <c r="I97" s="298"/>
      <c r="J97" s="298"/>
      <c r="K97" s="298"/>
      <c r="L97" s="368"/>
      <c r="M97" s="298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1"/>
      <c r="C98" s="298"/>
      <c r="D98" s="298"/>
      <c r="E98" s="298"/>
      <c r="F98" s="298"/>
      <c r="G98" s="298"/>
      <c r="H98" s="298"/>
      <c r="I98" s="298"/>
      <c r="J98" s="298"/>
      <c r="K98" s="298"/>
      <c r="L98" s="368"/>
      <c r="M98" s="298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1"/>
      <c r="C99" s="298"/>
      <c r="D99" s="298"/>
      <c r="E99" s="298"/>
      <c r="F99" s="298"/>
      <c r="G99" s="298"/>
      <c r="H99" s="298"/>
      <c r="I99" s="298"/>
      <c r="J99" s="298"/>
      <c r="K99" s="298"/>
      <c r="L99" s="368"/>
      <c r="M99" s="298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1"/>
      <c r="C100" s="298"/>
      <c r="D100" s="298"/>
      <c r="E100" s="298"/>
      <c r="F100" s="298"/>
      <c r="G100" s="298"/>
      <c r="H100" s="298"/>
      <c r="I100" s="298"/>
      <c r="J100" s="298"/>
      <c r="K100" s="298"/>
      <c r="L100" s="368"/>
      <c r="M100" s="298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1"/>
      <c r="C101" s="298"/>
      <c r="D101" s="298"/>
      <c r="E101" s="298"/>
      <c r="F101" s="298"/>
      <c r="G101" s="298"/>
      <c r="H101" s="298"/>
      <c r="I101" s="298"/>
      <c r="J101" s="298"/>
      <c r="K101" s="298"/>
      <c r="L101" s="368"/>
      <c r="M101" s="298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/>
      <c r="B102" s="1"/>
      <c r="C102" s="298"/>
      <c r="D102" s="298"/>
      <c r="E102" s="298"/>
      <c r="F102" s="298"/>
      <c r="G102" s="298"/>
      <c r="H102" s="298"/>
      <c r="I102" s="298"/>
      <c r="J102" s="298"/>
      <c r="K102" s="298"/>
      <c r="L102" s="368"/>
      <c r="M102" s="29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1"/>
      <c r="C103" s="298"/>
      <c r="D103" s="298"/>
      <c r="E103" s="298"/>
      <c r="F103" s="298"/>
      <c r="G103" s="298"/>
      <c r="H103" s="298"/>
      <c r="I103" s="298"/>
      <c r="J103" s="298"/>
      <c r="K103" s="298"/>
      <c r="L103" s="368"/>
      <c r="M103" s="298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/>
      <c r="B104" s="1"/>
      <c r="C104" s="298"/>
      <c r="D104" s="298"/>
      <c r="E104" s="298"/>
      <c r="F104" s="298"/>
      <c r="G104" s="298"/>
      <c r="H104" s="298"/>
      <c r="I104" s="298"/>
      <c r="J104" s="298"/>
      <c r="K104" s="298"/>
      <c r="L104" s="368"/>
      <c r="M104" s="29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"/>
      <c r="B105" s="1"/>
      <c r="C105" s="298"/>
      <c r="D105" s="298"/>
      <c r="E105" s="298"/>
      <c r="F105" s="298"/>
      <c r="G105" s="298"/>
      <c r="H105" s="298"/>
      <c r="I105" s="298"/>
      <c r="J105" s="298"/>
      <c r="K105" s="298"/>
      <c r="L105" s="368"/>
      <c r="M105" s="298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"/>
      <c r="B106" s="1"/>
      <c r="C106" s="298"/>
      <c r="D106" s="298"/>
      <c r="E106" s="298"/>
      <c r="F106" s="298"/>
      <c r="G106" s="298"/>
      <c r="H106" s="298"/>
      <c r="I106" s="298"/>
      <c r="J106" s="298"/>
      <c r="K106" s="298"/>
      <c r="L106" s="368"/>
      <c r="M106" s="298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"/>
      <c r="B107" s="1"/>
      <c r="C107" s="298"/>
      <c r="D107" s="298"/>
      <c r="E107" s="298"/>
      <c r="F107" s="298"/>
      <c r="G107" s="298"/>
      <c r="H107" s="298"/>
      <c r="I107" s="298"/>
      <c r="J107" s="298"/>
      <c r="K107" s="298"/>
      <c r="L107" s="368"/>
      <c r="M107" s="298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"/>
      <c r="B108" s="1"/>
      <c r="C108" s="298"/>
      <c r="D108" s="298"/>
      <c r="E108" s="298"/>
      <c r="F108" s="298"/>
      <c r="G108" s="298"/>
      <c r="H108" s="298"/>
      <c r="I108" s="298"/>
      <c r="J108" s="298"/>
      <c r="K108" s="298"/>
      <c r="L108" s="368"/>
      <c r="M108" s="298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"/>
      <c r="B109" s="1"/>
      <c r="C109" s="298"/>
      <c r="D109" s="298"/>
      <c r="E109" s="298"/>
      <c r="F109" s="298"/>
      <c r="G109" s="298"/>
      <c r="H109" s="298"/>
      <c r="I109" s="298"/>
      <c r="J109" s="298"/>
      <c r="K109" s="298"/>
      <c r="L109" s="368"/>
      <c r="M109" s="298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"/>
      <c r="B110" s="1"/>
      <c r="C110" s="298"/>
      <c r="D110" s="298"/>
      <c r="E110" s="298"/>
      <c r="F110" s="298"/>
      <c r="G110" s="298"/>
      <c r="H110" s="298"/>
      <c r="I110" s="298"/>
      <c r="J110" s="298"/>
      <c r="K110" s="298"/>
      <c r="L110" s="368"/>
      <c r="M110" s="298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"/>
      <c r="B111" s="1"/>
      <c r="C111" s="298"/>
      <c r="D111" s="298"/>
      <c r="E111" s="298"/>
      <c r="F111" s="298"/>
      <c r="G111" s="298"/>
      <c r="H111" s="298"/>
      <c r="I111" s="298"/>
      <c r="J111" s="298"/>
      <c r="K111" s="298"/>
      <c r="L111" s="368"/>
      <c r="M111" s="298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"/>
      <c r="B112" s="1"/>
      <c r="C112" s="298"/>
      <c r="D112" s="298"/>
      <c r="E112" s="298"/>
      <c r="F112" s="298"/>
      <c r="G112" s="298"/>
      <c r="H112" s="298"/>
      <c r="I112" s="298"/>
      <c r="J112" s="298"/>
      <c r="K112" s="298"/>
      <c r="L112" s="368"/>
      <c r="M112" s="298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"/>
      <c r="B113" s="1"/>
      <c r="C113" s="298"/>
      <c r="D113" s="298"/>
      <c r="E113" s="298"/>
      <c r="F113" s="298"/>
      <c r="G113" s="298"/>
      <c r="H113" s="298"/>
      <c r="I113" s="298"/>
      <c r="J113" s="298"/>
      <c r="K113" s="298"/>
      <c r="L113" s="368"/>
      <c r="M113" s="298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1"/>
      <c r="C114" s="298"/>
      <c r="D114" s="298"/>
      <c r="E114" s="298"/>
      <c r="F114" s="298"/>
      <c r="G114" s="298"/>
      <c r="H114" s="298"/>
      <c r="I114" s="298"/>
      <c r="J114" s="298"/>
      <c r="K114" s="298"/>
      <c r="L114" s="368"/>
      <c r="M114" s="298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1"/>
      <c r="C115" s="298"/>
      <c r="D115" s="298"/>
      <c r="E115" s="298"/>
      <c r="F115" s="298"/>
      <c r="G115" s="298"/>
      <c r="H115" s="298"/>
      <c r="I115" s="298"/>
      <c r="J115" s="298"/>
      <c r="K115" s="298"/>
      <c r="L115" s="368"/>
      <c r="M115" s="298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"/>
      <c r="B116" s="1"/>
      <c r="C116" s="298"/>
      <c r="D116" s="298"/>
      <c r="E116" s="298"/>
      <c r="F116" s="298"/>
      <c r="G116" s="298"/>
      <c r="H116" s="298"/>
      <c r="I116" s="298"/>
      <c r="J116" s="298"/>
      <c r="K116" s="298"/>
      <c r="L116" s="368"/>
      <c r="M116" s="298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1"/>
      <c r="C117" s="298"/>
      <c r="D117" s="298"/>
      <c r="E117" s="298"/>
      <c r="F117" s="298"/>
      <c r="G117" s="298"/>
      <c r="H117" s="298"/>
      <c r="I117" s="298"/>
      <c r="J117" s="298"/>
      <c r="K117" s="298"/>
      <c r="L117" s="368"/>
      <c r="M117" s="298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"/>
      <c r="B118" s="1"/>
      <c r="C118" s="298"/>
      <c r="D118" s="298"/>
      <c r="E118" s="298"/>
      <c r="F118" s="298"/>
      <c r="G118" s="298"/>
      <c r="H118" s="298"/>
      <c r="I118" s="298"/>
      <c r="J118" s="298"/>
      <c r="K118" s="298"/>
      <c r="L118" s="368"/>
      <c r="M118" s="298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1"/>
      <c r="C119" s="298"/>
      <c r="D119" s="298"/>
      <c r="E119" s="298"/>
      <c r="F119" s="298"/>
      <c r="G119" s="298"/>
      <c r="H119" s="298"/>
      <c r="I119" s="298"/>
      <c r="J119" s="298"/>
      <c r="K119" s="298"/>
      <c r="L119" s="368"/>
      <c r="M119" s="298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/>
      <c r="B120" s="1"/>
      <c r="C120" s="298"/>
      <c r="D120" s="298"/>
      <c r="E120" s="298"/>
      <c r="F120" s="298"/>
      <c r="G120" s="298"/>
      <c r="H120" s="298"/>
      <c r="I120" s="298"/>
      <c r="J120" s="298"/>
      <c r="K120" s="298"/>
      <c r="L120" s="368"/>
      <c r="M120" s="298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"/>
      <c r="B121" s="1"/>
      <c r="C121" s="298"/>
      <c r="D121" s="298"/>
      <c r="E121" s="298"/>
      <c r="F121" s="298"/>
      <c r="G121" s="298"/>
      <c r="H121" s="298"/>
      <c r="I121" s="298"/>
      <c r="J121" s="298"/>
      <c r="K121" s="298"/>
      <c r="L121" s="368"/>
      <c r="M121" s="298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"/>
      <c r="B122" s="1"/>
      <c r="C122" s="298"/>
      <c r="D122" s="298"/>
      <c r="E122" s="298"/>
      <c r="F122" s="298"/>
      <c r="G122" s="298"/>
      <c r="H122" s="298"/>
      <c r="I122" s="298"/>
      <c r="J122" s="298"/>
      <c r="K122" s="298"/>
      <c r="L122" s="368"/>
      <c r="M122" s="298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"/>
      <c r="B123" s="1"/>
      <c r="C123" s="298"/>
      <c r="D123" s="298"/>
      <c r="E123" s="298"/>
      <c r="F123" s="298"/>
      <c r="G123" s="298"/>
      <c r="H123" s="298"/>
      <c r="I123" s="298"/>
      <c r="J123" s="298"/>
      <c r="K123" s="298"/>
      <c r="L123" s="368"/>
      <c r="M123" s="298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"/>
      <c r="B124" s="1"/>
      <c r="C124" s="298"/>
      <c r="D124" s="298"/>
      <c r="E124" s="298"/>
      <c r="F124" s="298"/>
      <c r="G124" s="298"/>
      <c r="H124" s="298"/>
      <c r="I124" s="298"/>
      <c r="J124" s="298"/>
      <c r="K124" s="298"/>
      <c r="L124" s="368"/>
      <c r="M124" s="298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"/>
      <c r="B125" s="1"/>
      <c r="C125" s="298"/>
      <c r="D125" s="298"/>
      <c r="E125" s="298"/>
      <c r="F125" s="298"/>
      <c r="G125" s="298"/>
      <c r="H125" s="298"/>
      <c r="I125" s="298"/>
      <c r="J125" s="298"/>
      <c r="K125" s="298"/>
      <c r="L125" s="368"/>
      <c r="M125" s="298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"/>
      <c r="B126" s="1"/>
      <c r="C126" s="298"/>
      <c r="D126" s="298"/>
      <c r="E126" s="298"/>
      <c r="F126" s="298"/>
      <c r="G126" s="298"/>
      <c r="H126" s="298"/>
      <c r="I126" s="298"/>
      <c r="J126" s="298"/>
      <c r="K126" s="298"/>
      <c r="L126" s="368"/>
      <c r="M126" s="298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"/>
      <c r="B127" s="1"/>
      <c r="C127" s="298"/>
      <c r="D127" s="298"/>
      <c r="E127" s="298"/>
      <c r="F127" s="298"/>
      <c r="G127" s="298"/>
      <c r="H127" s="298"/>
      <c r="I127" s="298"/>
      <c r="J127" s="298"/>
      <c r="K127" s="298"/>
      <c r="L127" s="368"/>
      <c r="M127" s="298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"/>
      <c r="B128" s="1"/>
      <c r="C128" s="298"/>
      <c r="D128" s="298"/>
      <c r="E128" s="298"/>
      <c r="F128" s="298"/>
      <c r="G128" s="298"/>
      <c r="H128" s="298"/>
      <c r="I128" s="298"/>
      <c r="J128" s="298"/>
      <c r="K128" s="298"/>
      <c r="L128" s="368"/>
      <c r="M128" s="298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"/>
      <c r="B129" s="1"/>
      <c r="C129" s="298"/>
      <c r="D129" s="298"/>
      <c r="E129" s="298"/>
      <c r="F129" s="298"/>
      <c r="G129" s="298"/>
      <c r="H129" s="298"/>
      <c r="I129" s="298"/>
      <c r="J129" s="298"/>
      <c r="K129" s="298"/>
      <c r="L129" s="368"/>
      <c r="M129" s="298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"/>
      <c r="B130" s="1"/>
      <c r="C130" s="298"/>
      <c r="D130" s="298"/>
      <c r="E130" s="298"/>
      <c r="F130" s="298"/>
      <c r="G130" s="298"/>
      <c r="H130" s="298"/>
      <c r="I130" s="298"/>
      <c r="J130" s="298"/>
      <c r="K130" s="298"/>
      <c r="L130" s="368"/>
      <c r="M130" s="298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"/>
      <c r="B131" s="1"/>
      <c r="C131" s="298"/>
      <c r="D131" s="298"/>
      <c r="E131" s="298"/>
      <c r="F131" s="298"/>
      <c r="G131" s="298"/>
      <c r="H131" s="298"/>
      <c r="I131" s="298"/>
      <c r="J131" s="298"/>
      <c r="K131" s="298"/>
      <c r="L131" s="368"/>
      <c r="M131" s="298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"/>
      <c r="B132" s="1"/>
      <c r="C132" s="298"/>
      <c r="D132" s="298"/>
      <c r="E132" s="298"/>
      <c r="F132" s="298"/>
      <c r="G132" s="298"/>
      <c r="H132" s="298"/>
      <c r="I132" s="298"/>
      <c r="J132" s="298"/>
      <c r="K132" s="298"/>
      <c r="L132" s="368"/>
      <c r="M132" s="298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"/>
      <c r="B133" s="1"/>
      <c r="C133" s="298"/>
      <c r="D133" s="298"/>
      <c r="E133" s="298"/>
      <c r="F133" s="298"/>
      <c r="G133" s="298"/>
      <c r="H133" s="298"/>
      <c r="I133" s="298"/>
      <c r="J133" s="298"/>
      <c r="K133" s="298"/>
      <c r="L133" s="368"/>
      <c r="M133" s="298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"/>
      <c r="B134" s="1"/>
      <c r="C134" s="298"/>
      <c r="D134" s="298"/>
      <c r="E134" s="298"/>
      <c r="F134" s="298"/>
      <c r="G134" s="298"/>
      <c r="H134" s="298"/>
      <c r="I134" s="298"/>
      <c r="J134" s="298"/>
      <c r="K134" s="298"/>
      <c r="L134" s="368"/>
      <c r="M134" s="298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1"/>
      <c r="C135" s="298"/>
      <c r="D135" s="298"/>
      <c r="E135" s="298"/>
      <c r="F135" s="298"/>
      <c r="G135" s="298"/>
      <c r="H135" s="298"/>
      <c r="I135" s="298"/>
      <c r="J135" s="298"/>
      <c r="K135" s="298"/>
      <c r="L135" s="368"/>
      <c r="M135" s="298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"/>
      <c r="B136" s="1"/>
      <c r="C136" s="298"/>
      <c r="D136" s="298"/>
      <c r="E136" s="298"/>
      <c r="F136" s="298"/>
      <c r="G136" s="298"/>
      <c r="H136" s="298"/>
      <c r="I136" s="298"/>
      <c r="J136" s="298"/>
      <c r="K136" s="298"/>
      <c r="L136" s="368"/>
      <c r="M136" s="298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"/>
      <c r="B137" s="1"/>
      <c r="C137" s="298"/>
      <c r="D137" s="298"/>
      <c r="E137" s="298"/>
      <c r="F137" s="298"/>
      <c r="G137" s="298"/>
      <c r="H137" s="298"/>
      <c r="I137" s="298"/>
      <c r="J137" s="298"/>
      <c r="K137" s="298"/>
      <c r="L137" s="368"/>
      <c r="M137" s="298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"/>
      <c r="B138" s="1"/>
      <c r="C138" s="298"/>
      <c r="D138" s="298"/>
      <c r="E138" s="298"/>
      <c r="F138" s="298"/>
      <c r="G138" s="298"/>
      <c r="H138" s="298"/>
      <c r="I138" s="298"/>
      <c r="J138" s="298"/>
      <c r="K138" s="298"/>
      <c r="L138" s="368"/>
      <c r="M138" s="298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"/>
      <c r="B139" s="1"/>
      <c r="C139" s="298"/>
      <c r="D139" s="298"/>
      <c r="E139" s="298"/>
      <c r="F139" s="298"/>
      <c r="G139" s="298"/>
      <c r="H139" s="298"/>
      <c r="I139" s="298"/>
      <c r="J139" s="298"/>
      <c r="K139" s="298"/>
      <c r="L139" s="368"/>
      <c r="M139" s="298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"/>
      <c r="B140" s="1"/>
      <c r="C140" s="298"/>
      <c r="D140" s="298"/>
      <c r="E140" s="298"/>
      <c r="F140" s="298"/>
      <c r="G140" s="298"/>
      <c r="H140" s="298"/>
      <c r="I140" s="298"/>
      <c r="J140" s="298"/>
      <c r="K140" s="298"/>
      <c r="L140" s="368"/>
      <c r="M140" s="298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"/>
      <c r="B141" s="1"/>
      <c r="C141" s="298"/>
      <c r="D141" s="298"/>
      <c r="E141" s="298"/>
      <c r="F141" s="298"/>
      <c r="G141" s="298"/>
      <c r="H141" s="298"/>
      <c r="I141" s="298"/>
      <c r="J141" s="298"/>
      <c r="K141" s="298"/>
      <c r="L141" s="368"/>
      <c r="M141" s="298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"/>
      <c r="B142" s="1"/>
      <c r="C142" s="298"/>
      <c r="D142" s="298"/>
      <c r="E142" s="298"/>
      <c r="F142" s="298"/>
      <c r="G142" s="298"/>
      <c r="H142" s="298"/>
      <c r="I142" s="298"/>
      <c r="J142" s="298"/>
      <c r="K142" s="298"/>
      <c r="L142" s="368"/>
      <c r="M142" s="298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"/>
      <c r="B143" s="1"/>
      <c r="C143" s="298"/>
      <c r="D143" s="298"/>
      <c r="E143" s="298"/>
      <c r="F143" s="298"/>
      <c r="G143" s="298"/>
      <c r="H143" s="298"/>
      <c r="I143" s="298"/>
      <c r="J143" s="298"/>
      <c r="K143" s="298"/>
      <c r="L143" s="368"/>
      <c r="M143" s="298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"/>
      <c r="B144" s="1"/>
      <c r="C144" s="298"/>
      <c r="D144" s="298"/>
      <c r="E144" s="298"/>
      <c r="F144" s="298"/>
      <c r="G144" s="298"/>
      <c r="H144" s="298"/>
      <c r="I144" s="298"/>
      <c r="J144" s="298"/>
      <c r="K144" s="298"/>
      <c r="L144" s="368"/>
      <c r="M144" s="298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"/>
      <c r="B145" s="1"/>
      <c r="C145" s="298"/>
      <c r="D145" s="298"/>
      <c r="E145" s="298"/>
      <c r="F145" s="298"/>
      <c r="G145" s="298"/>
      <c r="H145" s="298"/>
      <c r="I145" s="298"/>
      <c r="J145" s="298"/>
      <c r="K145" s="298"/>
      <c r="L145" s="368"/>
      <c r="M145" s="298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"/>
      <c r="B146" s="1"/>
      <c r="C146" s="298"/>
      <c r="D146" s="298"/>
      <c r="E146" s="298"/>
      <c r="F146" s="298"/>
      <c r="G146" s="298"/>
      <c r="H146" s="298"/>
      <c r="I146" s="298"/>
      <c r="J146" s="298"/>
      <c r="K146" s="298"/>
      <c r="L146" s="368"/>
      <c r="M146" s="298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"/>
      <c r="B147" s="1"/>
      <c r="C147" s="298"/>
      <c r="D147" s="298"/>
      <c r="E147" s="298"/>
      <c r="F147" s="298"/>
      <c r="G147" s="298"/>
      <c r="H147" s="298"/>
      <c r="I147" s="298"/>
      <c r="J147" s="298"/>
      <c r="K147" s="298"/>
      <c r="L147" s="368"/>
      <c r="M147" s="298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"/>
      <c r="B148" s="1"/>
      <c r="C148" s="298"/>
      <c r="D148" s="298"/>
      <c r="E148" s="298"/>
      <c r="F148" s="298"/>
      <c r="G148" s="298"/>
      <c r="H148" s="298"/>
      <c r="I148" s="298"/>
      <c r="J148" s="298"/>
      <c r="K148" s="298"/>
      <c r="L148" s="368"/>
      <c r="M148" s="298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"/>
      <c r="B149" s="1"/>
      <c r="C149" s="298"/>
      <c r="D149" s="298"/>
      <c r="E149" s="298"/>
      <c r="F149" s="298"/>
      <c r="G149" s="298"/>
      <c r="H149" s="298"/>
      <c r="I149" s="298"/>
      <c r="J149" s="298"/>
      <c r="K149" s="298"/>
      <c r="L149" s="368"/>
      <c r="M149" s="298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"/>
      <c r="B150" s="1"/>
      <c r="C150" s="298"/>
      <c r="D150" s="298"/>
      <c r="E150" s="298"/>
      <c r="F150" s="298"/>
      <c r="G150" s="298"/>
      <c r="H150" s="298"/>
      <c r="I150" s="298"/>
      <c r="J150" s="298"/>
      <c r="K150" s="298"/>
      <c r="L150" s="368"/>
      <c r="M150" s="298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"/>
      <c r="B151" s="1"/>
      <c r="C151" s="298"/>
      <c r="D151" s="298"/>
      <c r="E151" s="298"/>
      <c r="F151" s="298"/>
      <c r="G151" s="298"/>
      <c r="H151" s="298"/>
      <c r="I151" s="298"/>
      <c r="J151" s="298"/>
      <c r="K151" s="298"/>
      <c r="L151" s="368"/>
      <c r="M151" s="298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"/>
      <c r="B152" s="1"/>
      <c r="C152" s="298"/>
      <c r="D152" s="298"/>
      <c r="E152" s="298"/>
      <c r="F152" s="298"/>
      <c r="G152" s="298"/>
      <c r="H152" s="298"/>
      <c r="I152" s="298"/>
      <c r="J152" s="298"/>
      <c r="K152" s="298"/>
      <c r="L152" s="368"/>
      <c r="M152" s="298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"/>
      <c r="B153" s="1"/>
      <c r="C153" s="298"/>
      <c r="D153" s="298"/>
      <c r="E153" s="298"/>
      <c r="F153" s="298"/>
      <c r="G153" s="298"/>
      <c r="H153" s="298"/>
      <c r="I153" s="298"/>
      <c r="J153" s="298"/>
      <c r="K153" s="298"/>
      <c r="L153" s="368"/>
      <c r="M153" s="298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"/>
      <c r="B154" s="1"/>
      <c r="C154" s="298"/>
      <c r="D154" s="298"/>
      <c r="E154" s="298"/>
      <c r="F154" s="298"/>
      <c r="G154" s="298"/>
      <c r="H154" s="298"/>
      <c r="I154" s="298"/>
      <c r="J154" s="298"/>
      <c r="K154" s="298"/>
      <c r="L154" s="368"/>
      <c r="M154" s="298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"/>
      <c r="B155" s="1"/>
      <c r="C155" s="298"/>
      <c r="D155" s="298"/>
      <c r="E155" s="298"/>
      <c r="F155" s="298"/>
      <c r="G155" s="298"/>
      <c r="H155" s="298"/>
      <c r="I155" s="298"/>
      <c r="J155" s="298"/>
      <c r="K155" s="298"/>
      <c r="L155" s="368"/>
      <c r="M155" s="298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"/>
      <c r="B156" s="1"/>
      <c r="C156" s="298"/>
      <c r="D156" s="298"/>
      <c r="E156" s="298"/>
      <c r="F156" s="298"/>
      <c r="G156" s="298"/>
      <c r="H156" s="298"/>
      <c r="I156" s="298"/>
      <c r="J156" s="298"/>
      <c r="K156" s="298"/>
      <c r="L156" s="368"/>
      <c r="M156" s="298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"/>
      <c r="B157" s="1"/>
      <c r="C157" s="298"/>
      <c r="D157" s="298"/>
      <c r="E157" s="298"/>
      <c r="F157" s="298"/>
      <c r="G157" s="298"/>
      <c r="H157" s="298"/>
      <c r="I157" s="298"/>
      <c r="J157" s="298"/>
      <c r="K157" s="298"/>
      <c r="L157" s="368"/>
      <c r="M157" s="298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"/>
      <c r="B158" s="1"/>
      <c r="C158" s="298"/>
      <c r="D158" s="298"/>
      <c r="E158" s="298"/>
      <c r="F158" s="298"/>
      <c r="G158" s="298"/>
      <c r="H158" s="298"/>
      <c r="I158" s="298"/>
      <c r="J158" s="298"/>
      <c r="K158" s="298"/>
      <c r="L158" s="368"/>
      <c r="M158" s="298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"/>
      <c r="B159" s="1"/>
      <c r="C159" s="298"/>
      <c r="D159" s="298"/>
      <c r="E159" s="298"/>
      <c r="F159" s="298"/>
      <c r="G159" s="298"/>
      <c r="H159" s="298"/>
      <c r="I159" s="298"/>
      <c r="J159" s="298"/>
      <c r="K159" s="298"/>
      <c r="L159" s="368"/>
      <c r="M159" s="298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"/>
      <c r="B160" s="1"/>
      <c r="C160" s="298"/>
      <c r="D160" s="298"/>
      <c r="E160" s="298"/>
      <c r="F160" s="298"/>
      <c r="G160" s="298"/>
      <c r="H160" s="298"/>
      <c r="I160" s="298"/>
      <c r="J160" s="298"/>
      <c r="K160" s="298"/>
      <c r="L160" s="368"/>
      <c r="M160" s="298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"/>
      <c r="B161" s="1"/>
      <c r="C161" s="298"/>
      <c r="D161" s="298"/>
      <c r="E161" s="298"/>
      <c r="F161" s="298"/>
      <c r="G161" s="298"/>
      <c r="H161" s="298"/>
      <c r="I161" s="298"/>
      <c r="J161" s="298"/>
      <c r="K161" s="298"/>
      <c r="L161" s="368"/>
      <c r="M161" s="298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"/>
      <c r="B162" s="1"/>
      <c r="C162" s="298"/>
      <c r="D162" s="298"/>
      <c r="E162" s="298"/>
      <c r="F162" s="298"/>
      <c r="G162" s="298"/>
      <c r="H162" s="298"/>
      <c r="I162" s="298"/>
      <c r="J162" s="298"/>
      <c r="K162" s="298"/>
      <c r="L162" s="368"/>
      <c r="M162" s="298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"/>
      <c r="B163" s="1"/>
      <c r="C163" s="298"/>
      <c r="D163" s="298"/>
      <c r="E163" s="298"/>
      <c r="F163" s="298"/>
      <c r="G163" s="298"/>
      <c r="H163" s="298"/>
      <c r="I163" s="298"/>
      <c r="J163" s="298"/>
      <c r="K163" s="298"/>
      <c r="L163" s="368"/>
      <c r="M163" s="298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"/>
      <c r="B164" s="1"/>
      <c r="C164" s="298"/>
      <c r="D164" s="298"/>
      <c r="E164" s="298"/>
      <c r="F164" s="298"/>
      <c r="G164" s="298"/>
      <c r="H164" s="298"/>
      <c r="I164" s="298"/>
      <c r="J164" s="298"/>
      <c r="K164" s="298"/>
      <c r="L164" s="368"/>
      <c r="M164" s="298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"/>
      <c r="B165" s="1"/>
      <c r="C165" s="298"/>
      <c r="D165" s="298"/>
      <c r="E165" s="298"/>
      <c r="F165" s="298"/>
      <c r="G165" s="298"/>
      <c r="H165" s="298"/>
      <c r="I165" s="298"/>
      <c r="J165" s="298"/>
      <c r="K165" s="298"/>
      <c r="L165" s="368"/>
      <c r="M165" s="298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"/>
      <c r="B166" s="1"/>
      <c r="C166" s="298"/>
      <c r="D166" s="298"/>
      <c r="E166" s="298"/>
      <c r="F166" s="298"/>
      <c r="G166" s="298"/>
      <c r="H166" s="298"/>
      <c r="I166" s="298"/>
      <c r="J166" s="298"/>
      <c r="K166" s="298"/>
      <c r="L166" s="368"/>
      <c r="M166" s="298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"/>
      <c r="B167" s="1"/>
      <c r="C167" s="298"/>
      <c r="D167" s="298"/>
      <c r="E167" s="298"/>
      <c r="F167" s="298"/>
      <c r="G167" s="298"/>
      <c r="H167" s="298"/>
      <c r="I167" s="298"/>
      <c r="J167" s="298"/>
      <c r="K167" s="298"/>
      <c r="L167" s="368"/>
      <c r="M167" s="298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"/>
      <c r="B168" s="1"/>
      <c r="C168" s="298"/>
      <c r="D168" s="298"/>
      <c r="E168" s="298"/>
      <c r="F168" s="298"/>
      <c r="G168" s="298"/>
      <c r="H168" s="298"/>
      <c r="I168" s="298"/>
      <c r="J168" s="298"/>
      <c r="K168" s="298"/>
      <c r="L168" s="368"/>
      <c r="M168" s="298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"/>
      <c r="B169" s="1"/>
      <c r="C169" s="298"/>
      <c r="D169" s="298"/>
      <c r="E169" s="298"/>
      <c r="F169" s="298"/>
      <c r="G169" s="298"/>
      <c r="H169" s="298"/>
      <c r="I169" s="298"/>
      <c r="J169" s="298"/>
      <c r="K169" s="298"/>
      <c r="L169" s="368"/>
      <c r="M169" s="298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"/>
      <c r="B170" s="1"/>
      <c r="C170" s="298"/>
      <c r="D170" s="298"/>
      <c r="E170" s="298"/>
      <c r="F170" s="298"/>
      <c r="G170" s="298"/>
      <c r="H170" s="298"/>
      <c r="I170" s="298"/>
      <c r="J170" s="298"/>
      <c r="K170" s="298"/>
      <c r="L170" s="368"/>
      <c r="M170" s="298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"/>
      <c r="B171" s="1"/>
      <c r="C171" s="298"/>
      <c r="D171" s="298"/>
      <c r="E171" s="298"/>
      <c r="F171" s="298"/>
      <c r="G171" s="298"/>
      <c r="H171" s="298"/>
      <c r="I171" s="298"/>
      <c r="J171" s="298"/>
      <c r="K171" s="298"/>
      <c r="L171" s="368"/>
      <c r="M171" s="298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"/>
      <c r="B172" s="1"/>
      <c r="C172" s="298"/>
      <c r="D172" s="298"/>
      <c r="E172" s="298"/>
      <c r="F172" s="298"/>
      <c r="G172" s="298"/>
      <c r="H172" s="298"/>
      <c r="I172" s="298"/>
      <c r="J172" s="298"/>
      <c r="K172" s="298"/>
      <c r="L172" s="368"/>
      <c r="M172" s="298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"/>
      <c r="B173" s="1"/>
      <c r="C173" s="298"/>
      <c r="D173" s="298"/>
      <c r="E173" s="298"/>
      <c r="F173" s="298"/>
      <c r="G173" s="298"/>
      <c r="H173" s="298"/>
      <c r="I173" s="298"/>
      <c r="J173" s="298"/>
      <c r="K173" s="298"/>
      <c r="L173" s="368"/>
      <c r="M173" s="298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"/>
      <c r="B174" s="1"/>
      <c r="C174" s="298"/>
      <c r="D174" s="298"/>
      <c r="E174" s="298"/>
      <c r="F174" s="298"/>
      <c r="G174" s="298"/>
      <c r="H174" s="298"/>
      <c r="I174" s="298"/>
      <c r="J174" s="298"/>
      <c r="K174" s="298"/>
      <c r="L174" s="368"/>
      <c r="M174" s="298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"/>
      <c r="B175" s="1"/>
      <c r="C175" s="298"/>
      <c r="D175" s="298"/>
      <c r="E175" s="298"/>
      <c r="F175" s="298"/>
      <c r="G175" s="298"/>
      <c r="H175" s="298"/>
      <c r="I175" s="298"/>
      <c r="J175" s="298"/>
      <c r="K175" s="298"/>
      <c r="L175" s="368"/>
      <c r="M175" s="298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"/>
      <c r="B176" s="1"/>
      <c r="C176" s="298"/>
      <c r="D176" s="298"/>
      <c r="E176" s="298"/>
      <c r="F176" s="298"/>
      <c r="G176" s="298"/>
      <c r="H176" s="298"/>
      <c r="I176" s="298"/>
      <c r="J176" s="298"/>
      <c r="K176" s="298"/>
      <c r="L176" s="368"/>
      <c r="M176" s="298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"/>
      <c r="B177" s="1"/>
      <c r="C177" s="298"/>
      <c r="D177" s="298"/>
      <c r="E177" s="298"/>
      <c r="F177" s="298"/>
      <c r="G177" s="298"/>
      <c r="H177" s="298"/>
      <c r="I177" s="298"/>
      <c r="J177" s="298"/>
      <c r="K177" s="298"/>
      <c r="L177" s="368"/>
      <c r="M177" s="298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"/>
      <c r="B178" s="1"/>
      <c r="C178" s="298"/>
      <c r="D178" s="298"/>
      <c r="E178" s="298"/>
      <c r="F178" s="298"/>
      <c r="G178" s="298"/>
      <c r="H178" s="298"/>
      <c r="I178" s="298"/>
      <c r="J178" s="298"/>
      <c r="K178" s="298"/>
      <c r="L178" s="368"/>
      <c r="M178" s="298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"/>
      <c r="B179" s="1"/>
      <c r="C179" s="298"/>
      <c r="D179" s="298"/>
      <c r="E179" s="298"/>
      <c r="F179" s="298"/>
      <c r="G179" s="298"/>
      <c r="H179" s="298"/>
      <c r="I179" s="298"/>
      <c r="J179" s="298"/>
      <c r="K179" s="298"/>
      <c r="L179" s="368"/>
      <c r="M179" s="298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"/>
      <c r="B180" s="1"/>
      <c r="C180" s="298"/>
      <c r="D180" s="298"/>
      <c r="E180" s="298"/>
      <c r="F180" s="298"/>
      <c r="G180" s="298"/>
      <c r="H180" s="298"/>
      <c r="I180" s="298"/>
      <c r="J180" s="298"/>
      <c r="K180" s="298"/>
      <c r="L180" s="368"/>
      <c r="M180" s="298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"/>
      <c r="B181" s="1"/>
      <c r="C181" s="298"/>
      <c r="D181" s="298"/>
      <c r="E181" s="298"/>
      <c r="F181" s="298"/>
      <c r="G181" s="298"/>
      <c r="H181" s="298"/>
      <c r="I181" s="298"/>
      <c r="J181" s="298"/>
      <c r="K181" s="298"/>
      <c r="L181" s="368"/>
      <c r="M181" s="298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"/>
      <c r="B182" s="1"/>
      <c r="C182" s="298"/>
      <c r="D182" s="298"/>
      <c r="E182" s="298"/>
      <c r="F182" s="298"/>
      <c r="G182" s="298"/>
      <c r="H182" s="298"/>
      <c r="I182" s="298"/>
      <c r="J182" s="298"/>
      <c r="K182" s="298"/>
      <c r="L182" s="368"/>
      <c r="M182" s="298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"/>
      <c r="B183" s="1"/>
      <c r="C183" s="298"/>
      <c r="D183" s="298"/>
      <c r="E183" s="298"/>
      <c r="F183" s="298"/>
      <c r="G183" s="298"/>
      <c r="H183" s="298"/>
      <c r="I183" s="298"/>
      <c r="J183" s="298"/>
      <c r="K183" s="298"/>
      <c r="L183" s="368"/>
      <c r="M183" s="298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"/>
      <c r="B184" s="1"/>
      <c r="C184" s="298"/>
      <c r="D184" s="298"/>
      <c r="E184" s="298"/>
      <c r="F184" s="298"/>
      <c r="G184" s="298"/>
      <c r="H184" s="298"/>
      <c r="I184" s="298"/>
      <c r="J184" s="298"/>
      <c r="K184" s="298"/>
      <c r="L184" s="368"/>
      <c r="M184" s="298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"/>
      <c r="B185" s="1"/>
      <c r="C185" s="298"/>
      <c r="D185" s="298"/>
      <c r="E185" s="298"/>
      <c r="F185" s="298"/>
      <c r="G185" s="298"/>
      <c r="H185" s="298"/>
      <c r="I185" s="298"/>
      <c r="J185" s="298"/>
      <c r="K185" s="298"/>
      <c r="L185" s="368"/>
      <c r="M185" s="298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"/>
      <c r="B186" s="1"/>
      <c r="C186" s="298"/>
      <c r="D186" s="298"/>
      <c r="E186" s="298"/>
      <c r="F186" s="298"/>
      <c r="G186" s="298"/>
      <c r="H186" s="298"/>
      <c r="I186" s="298"/>
      <c r="J186" s="298"/>
      <c r="K186" s="298"/>
      <c r="L186" s="368"/>
      <c r="M186" s="298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"/>
      <c r="B187" s="1"/>
      <c r="C187" s="298"/>
      <c r="D187" s="298"/>
      <c r="E187" s="298"/>
      <c r="F187" s="298"/>
      <c r="G187" s="298"/>
      <c r="H187" s="298"/>
      <c r="I187" s="298"/>
      <c r="J187" s="298"/>
      <c r="K187" s="298"/>
      <c r="L187" s="368"/>
      <c r="M187" s="298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"/>
      <c r="B188" s="1"/>
      <c r="C188" s="298"/>
      <c r="D188" s="298"/>
      <c r="E188" s="298"/>
      <c r="F188" s="298"/>
      <c r="G188" s="298"/>
      <c r="H188" s="298"/>
      <c r="I188" s="298"/>
      <c r="J188" s="298"/>
      <c r="K188" s="298"/>
      <c r="L188" s="368"/>
      <c r="M188" s="298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"/>
      <c r="B189" s="1"/>
      <c r="C189" s="298"/>
      <c r="D189" s="298"/>
      <c r="E189" s="298"/>
      <c r="F189" s="298"/>
      <c r="G189" s="298"/>
      <c r="H189" s="298"/>
      <c r="I189" s="298"/>
      <c r="J189" s="298"/>
      <c r="K189" s="298"/>
      <c r="L189" s="368"/>
      <c r="M189" s="298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"/>
      <c r="B190" s="1"/>
      <c r="C190" s="298"/>
      <c r="D190" s="298"/>
      <c r="E190" s="298"/>
      <c r="F190" s="298"/>
      <c r="G190" s="298"/>
      <c r="H190" s="298"/>
      <c r="I190" s="298"/>
      <c r="J190" s="298"/>
      <c r="K190" s="298"/>
      <c r="L190" s="368"/>
      <c r="M190" s="298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"/>
      <c r="B191" s="1"/>
      <c r="C191" s="298"/>
      <c r="D191" s="298"/>
      <c r="E191" s="298"/>
      <c r="F191" s="298"/>
      <c r="G191" s="298"/>
      <c r="H191" s="298"/>
      <c r="I191" s="298"/>
      <c r="J191" s="298"/>
      <c r="K191" s="298"/>
      <c r="L191" s="368"/>
      <c r="M191" s="298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"/>
      <c r="B192" s="1"/>
      <c r="C192" s="298"/>
      <c r="D192" s="298"/>
      <c r="E192" s="298"/>
      <c r="F192" s="298"/>
      <c r="G192" s="298"/>
      <c r="H192" s="298"/>
      <c r="I192" s="298"/>
      <c r="J192" s="298"/>
      <c r="K192" s="298"/>
      <c r="L192" s="368"/>
      <c r="M192" s="298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1"/>
      <c r="B193" s="1"/>
      <c r="C193" s="298"/>
      <c r="D193" s="298"/>
      <c r="E193" s="298"/>
      <c r="F193" s="298"/>
      <c r="G193" s="298"/>
      <c r="H193" s="298"/>
      <c r="I193" s="298"/>
      <c r="J193" s="298"/>
      <c r="K193" s="298"/>
      <c r="L193" s="368"/>
      <c r="M193" s="298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1"/>
      <c r="B194" s="1"/>
      <c r="C194" s="298"/>
      <c r="D194" s="298"/>
      <c r="E194" s="298"/>
      <c r="F194" s="298"/>
      <c r="G194" s="298"/>
      <c r="H194" s="298"/>
      <c r="I194" s="298"/>
      <c r="J194" s="298"/>
      <c r="K194" s="298"/>
      <c r="L194" s="368"/>
      <c r="M194" s="298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1"/>
      <c r="B195" s="1"/>
      <c r="C195" s="298"/>
      <c r="D195" s="298"/>
      <c r="E195" s="298"/>
      <c r="F195" s="298"/>
      <c r="G195" s="298"/>
      <c r="H195" s="298"/>
      <c r="I195" s="298"/>
      <c r="J195" s="298"/>
      <c r="K195" s="298"/>
      <c r="L195" s="368"/>
      <c r="M195" s="298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1"/>
      <c r="B196" s="1"/>
      <c r="C196" s="298"/>
      <c r="D196" s="298"/>
      <c r="E196" s="298"/>
      <c r="F196" s="298"/>
      <c r="G196" s="298"/>
      <c r="H196" s="298"/>
      <c r="I196" s="298"/>
      <c r="J196" s="298"/>
      <c r="K196" s="298"/>
      <c r="L196" s="368"/>
      <c r="M196" s="298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1"/>
      <c r="B197" s="1"/>
      <c r="C197" s="298"/>
      <c r="D197" s="298"/>
      <c r="E197" s="298"/>
      <c r="F197" s="298"/>
      <c r="G197" s="298"/>
      <c r="H197" s="298"/>
      <c r="I197" s="298"/>
      <c r="J197" s="298"/>
      <c r="K197" s="298"/>
      <c r="L197" s="368"/>
      <c r="M197" s="298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1"/>
      <c r="B198" s="1"/>
      <c r="C198" s="298"/>
      <c r="D198" s="298"/>
      <c r="E198" s="298"/>
      <c r="F198" s="298"/>
      <c r="G198" s="298"/>
      <c r="H198" s="298"/>
      <c r="I198" s="298"/>
      <c r="J198" s="298"/>
      <c r="K198" s="298"/>
      <c r="L198" s="368"/>
      <c r="M198" s="298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1"/>
      <c r="B199" s="1"/>
      <c r="C199" s="298"/>
      <c r="D199" s="298"/>
      <c r="E199" s="298"/>
      <c r="F199" s="298"/>
      <c r="G199" s="298"/>
      <c r="H199" s="298"/>
      <c r="I199" s="298"/>
      <c r="J199" s="298"/>
      <c r="K199" s="298"/>
      <c r="L199" s="368"/>
      <c r="M199" s="298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1"/>
      <c r="B200" s="1"/>
      <c r="C200" s="298"/>
      <c r="D200" s="298"/>
      <c r="E200" s="298"/>
      <c r="F200" s="298"/>
      <c r="G200" s="298"/>
      <c r="H200" s="298"/>
      <c r="I200" s="298"/>
      <c r="J200" s="298"/>
      <c r="K200" s="298"/>
      <c r="L200" s="368"/>
      <c r="M200" s="298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1"/>
      <c r="B201" s="1"/>
      <c r="C201" s="298"/>
      <c r="D201" s="298"/>
      <c r="E201" s="298"/>
      <c r="F201" s="298"/>
      <c r="G201" s="298"/>
      <c r="H201" s="298"/>
      <c r="I201" s="298"/>
      <c r="J201" s="298"/>
      <c r="K201" s="298"/>
      <c r="L201" s="368"/>
      <c r="M201" s="298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1"/>
      <c r="B202" s="1"/>
      <c r="C202" s="298"/>
      <c r="D202" s="298"/>
      <c r="E202" s="298"/>
      <c r="F202" s="298"/>
      <c r="G202" s="298"/>
      <c r="H202" s="298"/>
      <c r="I202" s="298"/>
      <c r="J202" s="298"/>
      <c r="K202" s="298"/>
      <c r="L202" s="368"/>
      <c r="M202" s="298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1"/>
      <c r="B203" s="1"/>
      <c r="C203" s="298"/>
      <c r="D203" s="298"/>
      <c r="E203" s="298"/>
      <c r="F203" s="298"/>
      <c r="G203" s="298"/>
      <c r="H203" s="298"/>
      <c r="I203" s="298"/>
      <c r="J203" s="298"/>
      <c r="K203" s="298"/>
      <c r="L203" s="368"/>
      <c r="M203" s="298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1"/>
      <c r="B204" s="1"/>
      <c r="C204" s="298"/>
      <c r="D204" s="298"/>
      <c r="E204" s="298"/>
      <c r="F204" s="298"/>
      <c r="G204" s="298"/>
      <c r="H204" s="298"/>
      <c r="I204" s="298"/>
      <c r="J204" s="298"/>
      <c r="K204" s="298"/>
      <c r="L204" s="368"/>
      <c r="M204" s="298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1"/>
      <c r="B205" s="1"/>
      <c r="C205" s="298"/>
      <c r="D205" s="298"/>
      <c r="E205" s="298"/>
      <c r="F205" s="298"/>
      <c r="G205" s="298"/>
      <c r="H205" s="298"/>
      <c r="I205" s="298"/>
      <c r="J205" s="298"/>
      <c r="K205" s="298"/>
      <c r="L205" s="368"/>
      <c r="M205" s="298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1"/>
      <c r="B206" s="1"/>
      <c r="C206" s="298"/>
      <c r="D206" s="298"/>
      <c r="E206" s="298"/>
      <c r="F206" s="298"/>
      <c r="G206" s="298"/>
      <c r="H206" s="298"/>
      <c r="I206" s="298"/>
      <c r="J206" s="298"/>
      <c r="K206" s="298"/>
      <c r="L206" s="368"/>
      <c r="M206" s="298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1"/>
      <c r="B207" s="1"/>
      <c r="C207" s="298"/>
      <c r="D207" s="298"/>
      <c r="E207" s="298"/>
      <c r="F207" s="298"/>
      <c r="G207" s="298"/>
      <c r="H207" s="298"/>
      <c r="I207" s="298"/>
      <c r="J207" s="298"/>
      <c r="K207" s="298"/>
      <c r="L207" s="368"/>
      <c r="M207" s="298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1"/>
      <c r="B208" s="1"/>
      <c r="C208" s="298"/>
      <c r="D208" s="298"/>
      <c r="E208" s="298"/>
      <c r="F208" s="298"/>
      <c r="G208" s="298"/>
      <c r="H208" s="298"/>
      <c r="I208" s="298"/>
      <c r="J208" s="298"/>
      <c r="K208" s="298"/>
      <c r="L208" s="368"/>
      <c r="M208" s="298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1"/>
      <c r="B209" s="1"/>
      <c r="C209" s="298"/>
      <c r="D209" s="298"/>
      <c r="E209" s="298"/>
      <c r="F209" s="298"/>
      <c r="G209" s="298"/>
      <c r="H209" s="298"/>
      <c r="I209" s="298"/>
      <c r="J209" s="298"/>
      <c r="K209" s="298"/>
      <c r="L209" s="368"/>
      <c r="M209" s="298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1"/>
      <c r="B210" s="1"/>
      <c r="C210" s="298"/>
      <c r="D210" s="298"/>
      <c r="E210" s="298"/>
      <c r="F210" s="298"/>
      <c r="G210" s="298"/>
      <c r="H210" s="298"/>
      <c r="I210" s="298"/>
      <c r="J210" s="298"/>
      <c r="K210" s="298"/>
      <c r="L210" s="368"/>
      <c r="M210" s="298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1"/>
      <c r="B211" s="1"/>
      <c r="C211" s="298"/>
      <c r="D211" s="298"/>
      <c r="E211" s="298"/>
      <c r="F211" s="298"/>
      <c r="G211" s="298"/>
      <c r="H211" s="298"/>
      <c r="I211" s="298"/>
      <c r="J211" s="298"/>
      <c r="K211" s="298"/>
      <c r="L211" s="368"/>
      <c r="M211" s="298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1"/>
      <c r="B212" s="1"/>
      <c r="C212" s="298"/>
      <c r="D212" s="298"/>
      <c r="E212" s="298"/>
      <c r="F212" s="298"/>
      <c r="G212" s="298"/>
      <c r="H212" s="298"/>
      <c r="I212" s="298"/>
      <c r="J212" s="298"/>
      <c r="K212" s="298"/>
      <c r="L212" s="368"/>
      <c r="M212" s="298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1"/>
      <c r="B213" s="1"/>
      <c r="C213" s="298"/>
      <c r="D213" s="298"/>
      <c r="E213" s="298"/>
      <c r="F213" s="298"/>
      <c r="G213" s="298"/>
      <c r="H213" s="298"/>
      <c r="I213" s="298"/>
      <c r="J213" s="298"/>
      <c r="K213" s="298"/>
      <c r="L213" s="368"/>
      <c r="M213" s="298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1"/>
      <c r="B214" s="1"/>
      <c r="C214" s="298"/>
      <c r="D214" s="298"/>
      <c r="E214" s="298"/>
      <c r="F214" s="298"/>
      <c r="G214" s="298"/>
      <c r="H214" s="298"/>
      <c r="I214" s="298"/>
      <c r="J214" s="298"/>
      <c r="K214" s="298"/>
      <c r="L214" s="368"/>
      <c r="M214" s="298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1"/>
      <c r="B215" s="1"/>
      <c r="C215" s="298"/>
      <c r="D215" s="298"/>
      <c r="E215" s="298"/>
      <c r="F215" s="298"/>
      <c r="G215" s="298"/>
      <c r="H215" s="298"/>
      <c r="I215" s="298"/>
      <c r="J215" s="298"/>
      <c r="K215" s="298"/>
      <c r="L215" s="368"/>
      <c r="M215" s="298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1"/>
      <c r="B216" s="1"/>
      <c r="C216" s="298"/>
      <c r="D216" s="298"/>
      <c r="E216" s="298"/>
      <c r="F216" s="298"/>
      <c r="G216" s="298"/>
      <c r="H216" s="298"/>
      <c r="I216" s="298"/>
      <c r="J216" s="298"/>
      <c r="K216" s="298"/>
      <c r="L216" s="368"/>
      <c r="M216" s="298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1"/>
      <c r="B217" s="1"/>
      <c r="C217" s="298"/>
      <c r="D217" s="298"/>
      <c r="E217" s="298"/>
      <c r="F217" s="298"/>
      <c r="G217" s="298"/>
      <c r="H217" s="298"/>
      <c r="I217" s="298"/>
      <c r="J217" s="298"/>
      <c r="K217" s="298"/>
      <c r="L217" s="368"/>
      <c r="M217" s="298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1"/>
      <c r="B218" s="1"/>
      <c r="C218" s="298"/>
      <c r="D218" s="298"/>
      <c r="E218" s="298"/>
      <c r="F218" s="298"/>
      <c r="G218" s="298"/>
      <c r="H218" s="298"/>
      <c r="I218" s="298"/>
      <c r="J218" s="298"/>
      <c r="K218" s="298"/>
      <c r="L218" s="368"/>
      <c r="M218" s="298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A219" s="1"/>
      <c r="B219" s="1"/>
      <c r="C219" s="298"/>
      <c r="D219" s="298"/>
      <c r="E219" s="298"/>
      <c r="F219" s="298"/>
      <c r="G219" s="298"/>
      <c r="H219" s="298"/>
      <c r="I219" s="298"/>
      <c r="J219" s="298"/>
      <c r="K219" s="298"/>
      <c r="L219" s="368"/>
      <c r="M219" s="298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>
      <c r="A220" s="1"/>
      <c r="B220" s="1"/>
      <c r="C220" s="298"/>
      <c r="D220" s="298"/>
      <c r="E220" s="298"/>
      <c r="F220" s="298"/>
      <c r="G220" s="298"/>
      <c r="H220" s="298"/>
      <c r="I220" s="298"/>
      <c r="J220" s="298"/>
      <c r="K220" s="298"/>
      <c r="L220" s="368"/>
      <c r="M220" s="298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>
      <c r="A221" s="1"/>
      <c r="B221" s="1"/>
      <c r="C221" s="298"/>
      <c r="D221" s="298"/>
      <c r="E221" s="298"/>
      <c r="F221" s="298"/>
      <c r="G221" s="298"/>
      <c r="H221" s="298"/>
      <c r="I221" s="298"/>
      <c r="J221" s="298"/>
      <c r="K221" s="298"/>
      <c r="L221" s="368"/>
      <c r="M221" s="298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1"/>
      <c r="B222" s="1"/>
      <c r="C222" s="298"/>
      <c r="D222" s="298"/>
      <c r="E222" s="298"/>
      <c r="F222" s="298"/>
      <c r="G222" s="298"/>
      <c r="H222" s="298"/>
      <c r="I222" s="298"/>
      <c r="J222" s="298"/>
      <c r="K222" s="298"/>
      <c r="L222" s="368"/>
      <c r="M222" s="298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1"/>
      <c r="B223" s="1"/>
      <c r="C223" s="298"/>
      <c r="D223" s="298"/>
      <c r="E223" s="298"/>
      <c r="F223" s="298"/>
      <c r="G223" s="298"/>
      <c r="H223" s="298"/>
      <c r="I223" s="298"/>
      <c r="J223" s="298"/>
      <c r="K223" s="298"/>
      <c r="L223" s="368"/>
      <c r="M223" s="298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1"/>
      <c r="B224" s="1"/>
      <c r="C224" s="298"/>
      <c r="D224" s="298"/>
      <c r="E224" s="298"/>
      <c r="F224" s="298"/>
      <c r="G224" s="298"/>
      <c r="H224" s="298"/>
      <c r="I224" s="298"/>
      <c r="J224" s="298"/>
      <c r="K224" s="298"/>
      <c r="L224" s="368"/>
      <c r="M224" s="298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1"/>
      <c r="B225" s="1"/>
      <c r="C225" s="298"/>
      <c r="D225" s="298"/>
      <c r="E225" s="298"/>
      <c r="F225" s="298"/>
      <c r="G225" s="298"/>
      <c r="H225" s="298"/>
      <c r="I225" s="298"/>
      <c r="J225" s="298"/>
      <c r="K225" s="298"/>
      <c r="L225" s="368"/>
      <c r="M225" s="298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1"/>
      <c r="B226" s="1"/>
      <c r="C226" s="298"/>
      <c r="D226" s="298"/>
      <c r="E226" s="298"/>
      <c r="F226" s="298"/>
      <c r="G226" s="298"/>
      <c r="H226" s="298"/>
      <c r="I226" s="298"/>
      <c r="J226" s="298"/>
      <c r="K226" s="298"/>
      <c r="L226" s="368"/>
      <c r="M226" s="298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1"/>
      <c r="B227" s="1"/>
      <c r="C227" s="298"/>
      <c r="D227" s="298"/>
      <c r="E227" s="298"/>
      <c r="F227" s="298"/>
      <c r="G227" s="298"/>
      <c r="H227" s="298"/>
      <c r="I227" s="298"/>
      <c r="J227" s="298"/>
      <c r="K227" s="298"/>
      <c r="L227" s="368"/>
      <c r="M227" s="298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1"/>
      <c r="B228" s="1"/>
      <c r="C228" s="298"/>
      <c r="D228" s="298"/>
      <c r="E228" s="298"/>
      <c r="F228" s="298"/>
      <c r="G228" s="298"/>
      <c r="H228" s="298"/>
      <c r="I228" s="298"/>
      <c r="J228" s="298"/>
      <c r="K228" s="298"/>
      <c r="L228" s="368"/>
      <c r="M228" s="298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1"/>
      <c r="B229" s="1"/>
      <c r="C229" s="298"/>
      <c r="D229" s="298"/>
      <c r="E229" s="298"/>
      <c r="F229" s="298"/>
      <c r="G229" s="298"/>
      <c r="H229" s="298"/>
      <c r="I229" s="298"/>
      <c r="J229" s="298"/>
      <c r="K229" s="298"/>
      <c r="L229" s="368"/>
      <c r="M229" s="298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1"/>
      <c r="B230" s="1"/>
      <c r="C230" s="298"/>
      <c r="D230" s="298"/>
      <c r="E230" s="298"/>
      <c r="F230" s="298"/>
      <c r="G230" s="298"/>
      <c r="H230" s="298"/>
      <c r="I230" s="298"/>
      <c r="J230" s="298"/>
      <c r="K230" s="298"/>
      <c r="L230" s="368"/>
      <c r="M230" s="298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1"/>
      <c r="B231" s="1"/>
      <c r="C231" s="298"/>
      <c r="D231" s="298"/>
      <c r="E231" s="298"/>
      <c r="F231" s="298"/>
      <c r="G231" s="298"/>
      <c r="H231" s="298"/>
      <c r="I231" s="298"/>
      <c r="J231" s="298"/>
      <c r="K231" s="298"/>
      <c r="L231" s="368"/>
      <c r="M231" s="298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1"/>
      <c r="B232" s="1"/>
      <c r="C232" s="298"/>
      <c r="D232" s="298"/>
      <c r="E232" s="298"/>
      <c r="F232" s="298"/>
      <c r="G232" s="298"/>
      <c r="H232" s="298"/>
      <c r="I232" s="298"/>
      <c r="J232" s="298"/>
      <c r="K232" s="298"/>
      <c r="L232" s="368"/>
      <c r="M232" s="298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1"/>
      <c r="B233" s="1"/>
      <c r="C233" s="298"/>
      <c r="D233" s="298"/>
      <c r="E233" s="298"/>
      <c r="F233" s="298"/>
      <c r="G233" s="298"/>
      <c r="H233" s="298"/>
      <c r="I233" s="298"/>
      <c r="J233" s="298"/>
      <c r="K233" s="298"/>
      <c r="L233" s="368"/>
      <c r="M233" s="298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1"/>
      <c r="B234" s="1"/>
      <c r="C234" s="298"/>
      <c r="D234" s="298"/>
      <c r="E234" s="298"/>
      <c r="F234" s="298"/>
      <c r="G234" s="298"/>
      <c r="H234" s="298"/>
      <c r="I234" s="298"/>
      <c r="J234" s="298"/>
      <c r="K234" s="298"/>
      <c r="L234" s="368"/>
      <c r="M234" s="298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1"/>
      <c r="B235" s="1"/>
      <c r="C235" s="298"/>
      <c r="D235" s="298"/>
      <c r="E235" s="298"/>
      <c r="F235" s="298"/>
      <c r="G235" s="298"/>
      <c r="H235" s="298"/>
      <c r="I235" s="298"/>
      <c r="J235" s="298"/>
      <c r="K235" s="298"/>
      <c r="L235" s="368"/>
      <c r="M235" s="298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1"/>
      <c r="B236" s="1"/>
      <c r="C236" s="298"/>
      <c r="D236" s="298"/>
      <c r="E236" s="298"/>
      <c r="F236" s="298"/>
      <c r="G236" s="298"/>
      <c r="H236" s="298"/>
      <c r="I236" s="298"/>
      <c r="J236" s="298"/>
      <c r="K236" s="298"/>
      <c r="L236" s="368"/>
      <c r="M236" s="298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1"/>
      <c r="B237" s="1"/>
      <c r="C237" s="298"/>
      <c r="D237" s="298"/>
      <c r="E237" s="298"/>
      <c r="F237" s="298"/>
      <c r="G237" s="298"/>
      <c r="H237" s="298"/>
      <c r="I237" s="298"/>
      <c r="J237" s="298"/>
      <c r="K237" s="298"/>
      <c r="L237" s="368"/>
      <c r="M237" s="298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1"/>
      <c r="B238" s="1"/>
      <c r="C238" s="298"/>
      <c r="D238" s="298"/>
      <c r="E238" s="298"/>
      <c r="F238" s="298"/>
      <c r="G238" s="298"/>
      <c r="H238" s="298"/>
      <c r="I238" s="298"/>
      <c r="J238" s="298"/>
      <c r="K238" s="298"/>
      <c r="L238" s="368"/>
      <c r="M238" s="298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1"/>
      <c r="B239" s="1"/>
      <c r="C239" s="298"/>
      <c r="D239" s="298"/>
      <c r="E239" s="298"/>
      <c r="F239" s="298"/>
      <c r="G239" s="298"/>
      <c r="H239" s="298"/>
      <c r="I239" s="298"/>
      <c r="J239" s="298"/>
      <c r="K239" s="298"/>
      <c r="L239" s="368"/>
      <c r="M239" s="298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1"/>
      <c r="B240" s="1"/>
      <c r="C240" s="298"/>
      <c r="D240" s="298"/>
      <c r="E240" s="298"/>
      <c r="F240" s="298"/>
      <c r="G240" s="298"/>
      <c r="H240" s="298"/>
      <c r="I240" s="298"/>
      <c r="J240" s="298"/>
      <c r="K240" s="298"/>
      <c r="L240" s="368"/>
      <c r="M240" s="298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1"/>
      <c r="B241" s="1"/>
      <c r="C241" s="298"/>
      <c r="D241" s="298"/>
      <c r="E241" s="298"/>
      <c r="F241" s="298"/>
      <c r="G241" s="298"/>
      <c r="H241" s="298"/>
      <c r="I241" s="298"/>
      <c r="J241" s="298"/>
      <c r="K241" s="298"/>
      <c r="L241" s="368"/>
      <c r="M241" s="298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1"/>
      <c r="B242" s="1"/>
      <c r="C242" s="298"/>
      <c r="D242" s="298"/>
      <c r="E242" s="298"/>
      <c r="F242" s="298"/>
      <c r="G242" s="298"/>
      <c r="H242" s="298"/>
      <c r="I242" s="298"/>
      <c r="J242" s="298"/>
      <c r="K242" s="298"/>
      <c r="L242" s="368"/>
      <c r="M242" s="298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1"/>
      <c r="B243" s="1"/>
      <c r="C243" s="298"/>
      <c r="D243" s="298"/>
      <c r="E243" s="298"/>
      <c r="F243" s="298"/>
      <c r="G243" s="298"/>
      <c r="H243" s="298"/>
      <c r="I243" s="298"/>
      <c r="J243" s="298"/>
      <c r="K243" s="298"/>
      <c r="L243" s="368"/>
      <c r="M243" s="298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1"/>
      <c r="B244" s="1"/>
      <c r="C244" s="298"/>
      <c r="D244" s="298"/>
      <c r="E244" s="298"/>
      <c r="F244" s="298"/>
      <c r="G244" s="298"/>
      <c r="H244" s="298"/>
      <c r="I244" s="298"/>
      <c r="J244" s="298"/>
      <c r="K244" s="298"/>
      <c r="L244" s="368"/>
      <c r="M244" s="298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1"/>
      <c r="B245" s="1"/>
      <c r="C245" s="298"/>
      <c r="D245" s="298"/>
      <c r="E245" s="298"/>
      <c r="F245" s="298"/>
      <c r="G245" s="298"/>
      <c r="H245" s="298"/>
      <c r="I245" s="298"/>
      <c r="J245" s="298"/>
      <c r="K245" s="298"/>
      <c r="L245" s="368"/>
      <c r="M245" s="298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1"/>
      <c r="B246" s="1"/>
      <c r="C246" s="298"/>
      <c r="D246" s="298"/>
      <c r="E246" s="298"/>
      <c r="F246" s="298"/>
      <c r="G246" s="298"/>
      <c r="H246" s="298"/>
      <c r="I246" s="298"/>
      <c r="J246" s="298"/>
      <c r="K246" s="298"/>
      <c r="L246" s="368"/>
      <c r="M246" s="298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1"/>
      <c r="B247" s="1"/>
      <c r="C247" s="298"/>
      <c r="D247" s="298"/>
      <c r="E247" s="298"/>
      <c r="F247" s="298"/>
      <c r="G247" s="298"/>
      <c r="H247" s="298"/>
      <c r="I247" s="298"/>
      <c r="J247" s="298"/>
      <c r="K247" s="298"/>
      <c r="L247" s="368"/>
      <c r="M247" s="298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1"/>
      <c r="B248" s="1"/>
      <c r="C248" s="298"/>
      <c r="D248" s="298"/>
      <c r="E248" s="298"/>
      <c r="F248" s="298"/>
      <c r="G248" s="298"/>
      <c r="H248" s="298"/>
      <c r="I248" s="298"/>
      <c r="J248" s="298"/>
      <c r="K248" s="298"/>
      <c r="L248" s="368"/>
      <c r="M248" s="298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1"/>
      <c r="B249" s="1"/>
      <c r="C249" s="298"/>
      <c r="D249" s="298"/>
      <c r="E249" s="298"/>
      <c r="F249" s="298"/>
      <c r="G249" s="298"/>
      <c r="H249" s="298"/>
      <c r="I249" s="298"/>
      <c r="J249" s="298"/>
      <c r="K249" s="298"/>
      <c r="L249" s="368"/>
      <c r="M249" s="298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1"/>
      <c r="B250" s="1"/>
      <c r="C250" s="298"/>
      <c r="D250" s="298"/>
      <c r="E250" s="298"/>
      <c r="F250" s="298"/>
      <c r="G250" s="298"/>
      <c r="H250" s="298"/>
      <c r="I250" s="298"/>
      <c r="J250" s="298"/>
      <c r="K250" s="298"/>
      <c r="L250" s="368"/>
      <c r="M250" s="298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1"/>
      <c r="B251" s="1"/>
      <c r="C251" s="298"/>
      <c r="D251" s="298"/>
      <c r="E251" s="298"/>
      <c r="F251" s="298"/>
      <c r="G251" s="298"/>
      <c r="H251" s="298"/>
      <c r="I251" s="298"/>
      <c r="J251" s="298"/>
      <c r="K251" s="298"/>
      <c r="L251" s="368"/>
      <c r="M251" s="298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1"/>
      <c r="B252" s="1"/>
      <c r="C252" s="298"/>
      <c r="D252" s="298"/>
      <c r="E252" s="298"/>
      <c r="F252" s="298"/>
      <c r="G252" s="298"/>
      <c r="H252" s="298"/>
      <c r="I252" s="298"/>
      <c r="J252" s="298"/>
      <c r="K252" s="298"/>
      <c r="L252" s="368"/>
      <c r="M252" s="298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1"/>
      <c r="B253" s="1"/>
      <c r="C253" s="298"/>
      <c r="D253" s="298"/>
      <c r="E253" s="298"/>
      <c r="F253" s="298"/>
      <c r="G253" s="298"/>
      <c r="H253" s="298"/>
      <c r="I253" s="298"/>
      <c r="J253" s="298"/>
      <c r="K253" s="298"/>
      <c r="L253" s="368"/>
      <c r="M253" s="298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1"/>
      <c r="B254" s="1"/>
      <c r="C254" s="298"/>
      <c r="D254" s="298"/>
      <c r="E254" s="298"/>
      <c r="F254" s="298"/>
      <c r="G254" s="298"/>
      <c r="H254" s="298"/>
      <c r="I254" s="298"/>
      <c r="J254" s="298"/>
      <c r="K254" s="298"/>
      <c r="L254" s="368"/>
      <c r="M254" s="298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1"/>
      <c r="B255" s="1"/>
      <c r="C255" s="298"/>
      <c r="D255" s="298"/>
      <c r="E255" s="298"/>
      <c r="F255" s="298"/>
      <c r="G255" s="298"/>
      <c r="H255" s="298"/>
      <c r="I255" s="298"/>
      <c r="J255" s="298"/>
      <c r="K255" s="298"/>
      <c r="L255" s="368"/>
      <c r="M255" s="298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1"/>
      <c r="B256" s="1"/>
      <c r="C256" s="298"/>
      <c r="D256" s="298"/>
      <c r="E256" s="298"/>
      <c r="F256" s="298"/>
      <c r="G256" s="298"/>
      <c r="H256" s="298"/>
      <c r="I256" s="298"/>
      <c r="J256" s="298"/>
      <c r="K256" s="298"/>
      <c r="L256" s="368"/>
      <c r="M256" s="298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1"/>
      <c r="B257" s="1"/>
      <c r="C257" s="298"/>
      <c r="D257" s="298"/>
      <c r="E257" s="298"/>
      <c r="F257" s="298"/>
      <c r="G257" s="298"/>
      <c r="H257" s="298"/>
      <c r="I257" s="298"/>
      <c r="J257" s="298"/>
      <c r="K257" s="298"/>
      <c r="L257" s="368"/>
      <c r="M257" s="298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1"/>
      <c r="B258" s="1"/>
      <c r="C258" s="298"/>
      <c r="D258" s="298"/>
      <c r="E258" s="298"/>
      <c r="F258" s="298"/>
      <c r="G258" s="298"/>
      <c r="H258" s="298"/>
      <c r="I258" s="298"/>
      <c r="J258" s="298"/>
      <c r="K258" s="298"/>
      <c r="L258" s="368"/>
      <c r="M258" s="298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1"/>
      <c r="B259" s="1"/>
      <c r="C259" s="298"/>
      <c r="D259" s="298"/>
      <c r="E259" s="298"/>
      <c r="F259" s="298"/>
      <c r="G259" s="298"/>
      <c r="H259" s="298"/>
      <c r="I259" s="298"/>
      <c r="J259" s="298"/>
      <c r="K259" s="298"/>
      <c r="L259" s="368"/>
      <c r="M259" s="298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1"/>
      <c r="B260" s="1"/>
      <c r="C260" s="298"/>
      <c r="D260" s="298"/>
      <c r="E260" s="298"/>
      <c r="F260" s="298"/>
      <c r="G260" s="298"/>
      <c r="H260" s="298"/>
      <c r="I260" s="298"/>
      <c r="J260" s="298"/>
      <c r="K260" s="298"/>
      <c r="L260" s="368"/>
      <c r="M260" s="298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1"/>
      <c r="B261" s="1"/>
      <c r="C261" s="298"/>
      <c r="D261" s="298"/>
      <c r="E261" s="298"/>
      <c r="F261" s="298"/>
      <c r="G261" s="298"/>
      <c r="H261" s="298"/>
      <c r="I261" s="298"/>
      <c r="J261" s="298"/>
      <c r="K261" s="298"/>
      <c r="L261" s="368"/>
      <c r="M261" s="298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1"/>
      <c r="B262" s="1"/>
      <c r="C262" s="298"/>
      <c r="D262" s="298"/>
      <c r="E262" s="298"/>
      <c r="F262" s="298"/>
      <c r="G262" s="298"/>
      <c r="H262" s="298"/>
      <c r="I262" s="298"/>
      <c r="J262" s="298"/>
      <c r="K262" s="298"/>
      <c r="L262" s="368"/>
      <c r="M262" s="298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1"/>
      <c r="B263" s="1"/>
      <c r="C263" s="298"/>
      <c r="D263" s="298"/>
      <c r="E263" s="298"/>
      <c r="F263" s="298"/>
      <c r="G263" s="298"/>
      <c r="H263" s="298"/>
      <c r="I263" s="298"/>
      <c r="J263" s="298"/>
      <c r="K263" s="298"/>
      <c r="L263" s="368"/>
      <c r="M263" s="298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368"/>
      <c r="D264" s="368"/>
      <c r="E264" s="368"/>
      <c r="F264" s="368"/>
      <c r="G264" s="368"/>
      <c r="H264" s="368"/>
      <c r="I264" s="368"/>
      <c r="J264" s="368"/>
      <c r="K264" s="368"/>
      <c r="L264" s="368"/>
      <c r="M264" s="368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368"/>
      <c r="D265" s="368"/>
      <c r="E265" s="368"/>
      <c r="F265" s="368"/>
      <c r="G265" s="368"/>
      <c r="H265" s="368"/>
      <c r="I265" s="368"/>
      <c r="J265" s="368"/>
      <c r="K265" s="368"/>
      <c r="L265" s="368"/>
      <c r="M265" s="368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368"/>
      <c r="D266" s="368"/>
      <c r="E266" s="368"/>
      <c r="F266" s="368"/>
      <c r="G266" s="368"/>
      <c r="H266" s="368"/>
      <c r="I266" s="368"/>
      <c r="J266" s="368"/>
      <c r="K266" s="368"/>
      <c r="L266" s="368"/>
      <c r="M266" s="368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368"/>
      <c r="D267" s="368"/>
      <c r="E267" s="368"/>
      <c r="F267" s="368"/>
      <c r="G267" s="368"/>
      <c r="H267" s="368"/>
      <c r="I267" s="368"/>
      <c r="J267" s="368"/>
      <c r="K267" s="368"/>
      <c r="L267" s="368"/>
      <c r="M267" s="368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368"/>
      <c r="D270" s="368"/>
      <c r="E270" s="368"/>
      <c r="F270" s="368"/>
      <c r="G270" s="368"/>
      <c r="H270" s="368"/>
      <c r="I270" s="368"/>
      <c r="J270" s="368"/>
      <c r="K270" s="368"/>
      <c r="L270" s="368"/>
      <c r="M270" s="368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368"/>
      <c r="D271" s="368"/>
      <c r="E271" s="368"/>
      <c r="F271" s="368"/>
      <c r="G271" s="368"/>
      <c r="H271" s="368"/>
      <c r="I271" s="368"/>
      <c r="J271" s="368"/>
      <c r="K271" s="368"/>
      <c r="L271" s="368"/>
      <c r="M271" s="368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368"/>
      <c r="D280" s="368"/>
      <c r="E280" s="368"/>
      <c r="F280" s="368"/>
      <c r="G280" s="368"/>
      <c r="H280" s="368"/>
      <c r="I280" s="368"/>
      <c r="J280" s="368"/>
      <c r="K280" s="368"/>
      <c r="L280" s="368"/>
      <c r="M280" s="368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368"/>
      <c r="D289" s="368"/>
      <c r="E289" s="368"/>
      <c r="F289" s="368"/>
      <c r="G289" s="368"/>
      <c r="H289" s="368"/>
      <c r="I289" s="368"/>
      <c r="J289" s="368"/>
      <c r="K289" s="368"/>
      <c r="L289" s="368"/>
      <c r="M289" s="368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368"/>
      <c r="D290" s="368"/>
      <c r="E290" s="368"/>
      <c r="F290" s="368"/>
      <c r="G290" s="368"/>
      <c r="H290" s="368"/>
      <c r="I290" s="368"/>
      <c r="J290" s="368"/>
      <c r="K290" s="368"/>
      <c r="L290" s="368"/>
      <c r="M290" s="368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368"/>
      <c r="D291" s="368"/>
      <c r="E291" s="368"/>
      <c r="F291" s="368"/>
      <c r="G291" s="368"/>
      <c r="H291" s="368"/>
      <c r="I291" s="368"/>
      <c r="J291" s="368"/>
      <c r="K291" s="368"/>
      <c r="L291" s="368"/>
      <c r="M291" s="368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368"/>
      <c r="D292" s="368"/>
      <c r="E292" s="368"/>
      <c r="F292" s="368"/>
      <c r="G292" s="368"/>
      <c r="H292" s="368"/>
      <c r="I292" s="368"/>
      <c r="J292" s="368"/>
      <c r="K292" s="368"/>
      <c r="L292" s="368"/>
      <c r="M292" s="368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368"/>
      <c r="D293" s="368"/>
      <c r="E293" s="368"/>
      <c r="F293" s="368"/>
      <c r="G293" s="368"/>
      <c r="H293" s="368"/>
      <c r="I293" s="368"/>
      <c r="J293" s="368"/>
      <c r="K293" s="368"/>
      <c r="L293" s="368"/>
      <c r="M293" s="368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368"/>
      <c r="D294" s="368"/>
      <c r="E294" s="368"/>
      <c r="F294" s="368"/>
      <c r="G294" s="368"/>
      <c r="H294" s="368"/>
      <c r="I294" s="368"/>
      <c r="J294" s="368"/>
      <c r="K294" s="368"/>
      <c r="L294" s="368"/>
      <c r="M294" s="368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368"/>
      <c r="D295" s="368"/>
      <c r="E295" s="368"/>
      <c r="F295" s="368"/>
      <c r="G295" s="368"/>
      <c r="H295" s="368"/>
      <c r="I295" s="368"/>
      <c r="J295" s="368"/>
      <c r="K295" s="368"/>
      <c r="L295" s="368"/>
      <c r="M295" s="368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368"/>
      <c r="D296" s="368"/>
      <c r="E296" s="368"/>
      <c r="F296" s="368"/>
      <c r="G296" s="368"/>
      <c r="H296" s="368"/>
      <c r="I296" s="368"/>
      <c r="J296" s="368"/>
      <c r="K296" s="368"/>
      <c r="L296" s="368"/>
      <c r="M296" s="368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368"/>
      <c r="D297" s="368"/>
      <c r="E297" s="368"/>
      <c r="F297" s="368"/>
      <c r="G297" s="368"/>
      <c r="H297" s="368"/>
      <c r="I297" s="368"/>
      <c r="J297" s="368"/>
      <c r="K297" s="368"/>
      <c r="L297" s="368"/>
      <c r="M297" s="368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368"/>
      <c r="D298" s="368"/>
      <c r="E298" s="368"/>
      <c r="F298" s="368"/>
      <c r="G298" s="368"/>
      <c r="H298" s="368"/>
      <c r="I298" s="368"/>
      <c r="J298" s="368"/>
      <c r="K298" s="368"/>
      <c r="L298" s="368"/>
      <c r="M298" s="368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368"/>
      <c r="D299" s="368"/>
      <c r="E299" s="368"/>
      <c r="F299" s="368"/>
      <c r="G299" s="368"/>
      <c r="H299" s="368"/>
      <c r="I299" s="368"/>
      <c r="J299" s="368"/>
      <c r="K299" s="368"/>
      <c r="L299" s="368"/>
      <c r="M299" s="368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368"/>
      <c r="D300" s="368"/>
      <c r="E300" s="368"/>
      <c r="F300" s="368"/>
      <c r="G300" s="368"/>
      <c r="H300" s="368"/>
      <c r="I300" s="368"/>
      <c r="J300" s="368"/>
      <c r="K300" s="368"/>
      <c r="L300" s="368"/>
      <c r="M300" s="368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368"/>
      <c r="D301" s="368"/>
      <c r="E301" s="368"/>
      <c r="F301" s="368"/>
      <c r="G301" s="368"/>
      <c r="H301" s="368"/>
      <c r="I301" s="368"/>
      <c r="J301" s="368"/>
      <c r="K301" s="368"/>
      <c r="L301" s="368"/>
      <c r="M301" s="368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368"/>
      <c r="D302" s="368"/>
      <c r="E302" s="368"/>
      <c r="F302" s="368"/>
      <c r="G302" s="368"/>
      <c r="H302" s="368"/>
      <c r="I302" s="368"/>
      <c r="J302" s="368"/>
      <c r="K302" s="368"/>
      <c r="L302" s="368"/>
      <c r="M302" s="368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368"/>
      <c r="D303" s="368"/>
      <c r="E303" s="368"/>
      <c r="F303" s="368"/>
      <c r="G303" s="368"/>
      <c r="H303" s="368"/>
      <c r="I303" s="368"/>
      <c r="J303" s="368"/>
      <c r="K303" s="368"/>
      <c r="L303" s="368"/>
      <c r="M303" s="368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368"/>
      <c r="D304" s="368"/>
      <c r="E304" s="368"/>
      <c r="F304" s="368"/>
      <c r="G304" s="368"/>
      <c r="H304" s="368"/>
      <c r="I304" s="368"/>
      <c r="J304" s="368"/>
      <c r="K304" s="368"/>
      <c r="L304" s="368"/>
      <c r="M304" s="368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368"/>
      <c r="D305" s="368"/>
      <c r="E305" s="368"/>
      <c r="F305" s="368"/>
      <c r="G305" s="368"/>
      <c r="H305" s="368"/>
      <c r="I305" s="368"/>
      <c r="J305" s="368"/>
      <c r="K305" s="368"/>
      <c r="L305" s="368"/>
      <c r="M305" s="368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368"/>
      <c r="D306" s="368"/>
      <c r="E306" s="368"/>
      <c r="F306" s="368"/>
      <c r="G306" s="368"/>
      <c r="H306" s="368"/>
      <c r="I306" s="368"/>
      <c r="J306" s="368"/>
      <c r="K306" s="368"/>
      <c r="L306" s="368"/>
      <c r="M306" s="368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368"/>
      <c r="D307" s="368"/>
      <c r="E307" s="368"/>
      <c r="F307" s="368"/>
      <c r="G307" s="368"/>
      <c r="H307" s="368"/>
      <c r="I307" s="368"/>
      <c r="J307" s="368"/>
      <c r="K307" s="368"/>
      <c r="L307" s="368"/>
      <c r="M307" s="368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368"/>
      <c r="D308" s="368"/>
      <c r="E308" s="368"/>
      <c r="F308" s="368"/>
      <c r="G308" s="368"/>
      <c r="H308" s="368"/>
      <c r="I308" s="368"/>
      <c r="J308" s="368"/>
      <c r="K308" s="368"/>
      <c r="L308" s="368"/>
      <c r="M308" s="368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368"/>
      <c r="D309" s="368"/>
      <c r="E309" s="368"/>
      <c r="F309" s="368"/>
      <c r="G309" s="368"/>
      <c r="H309" s="368"/>
      <c r="I309" s="368"/>
      <c r="J309" s="368"/>
      <c r="K309" s="368"/>
      <c r="L309" s="368"/>
      <c r="M309" s="368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368"/>
      <c r="D310" s="368"/>
      <c r="E310" s="368"/>
      <c r="F310" s="368"/>
      <c r="G310" s="368"/>
      <c r="H310" s="368"/>
      <c r="I310" s="368"/>
      <c r="J310" s="368"/>
      <c r="K310" s="368"/>
      <c r="L310" s="368"/>
      <c r="M310" s="368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368"/>
      <c r="D311" s="368"/>
      <c r="E311" s="368"/>
      <c r="F311" s="368"/>
      <c r="G311" s="368"/>
      <c r="H311" s="368"/>
      <c r="I311" s="368"/>
      <c r="J311" s="368"/>
      <c r="K311" s="368"/>
      <c r="L311" s="368"/>
      <c r="M311" s="368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368"/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368"/>
      <c r="D313" s="368"/>
      <c r="E313" s="368"/>
      <c r="F313" s="368"/>
      <c r="G313" s="368"/>
      <c r="H313" s="368"/>
      <c r="I313" s="368"/>
      <c r="J313" s="368"/>
      <c r="K313" s="368"/>
      <c r="L313" s="368"/>
      <c r="M313" s="368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368"/>
      <c r="D314" s="368"/>
      <c r="E314" s="368"/>
      <c r="F314" s="368"/>
      <c r="G314" s="368"/>
      <c r="H314" s="368"/>
      <c r="I314" s="368"/>
      <c r="J314" s="368"/>
      <c r="K314" s="368"/>
      <c r="L314" s="368"/>
      <c r="M314" s="368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368"/>
      <c r="D315" s="368"/>
      <c r="E315" s="368"/>
      <c r="F315" s="368"/>
      <c r="G315" s="368"/>
      <c r="H315" s="368"/>
      <c r="I315" s="368"/>
      <c r="J315" s="368"/>
      <c r="K315" s="368"/>
      <c r="L315" s="368"/>
      <c r="M315" s="368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368"/>
      <c r="D316" s="368"/>
      <c r="E316" s="368"/>
      <c r="F316" s="368"/>
      <c r="G316" s="368"/>
      <c r="H316" s="368"/>
      <c r="I316" s="368"/>
      <c r="J316" s="368"/>
      <c r="K316" s="368"/>
      <c r="L316" s="368"/>
      <c r="M316" s="368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368"/>
      <c r="D317" s="368"/>
      <c r="E317" s="368"/>
      <c r="F317" s="368"/>
      <c r="G317" s="368"/>
      <c r="H317" s="368"/>
      <c r="I317" s="368"/>
      <c r="J317" s="368"/>
      <c r="K317" s="368"/>
      <c r="L317" s="368"/>
      <c r="M317" s="368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368"/>
      <c r="D318" s="368"/>
      <c r="E318" s="368"/>
      <c r="F318" s="368"/>
      <c r="G318" s="368"/>
      <c r="H318" s="368"/>
      <c r="I318" s="368"/>
      <c r="J318" s="368"/>
      <c r="K318" s="368"/>
      <c r="L318" s="368"/>
      <c r="M318" s="368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368"/>
      <c r="D319" s="368"/>
      <c r="E319" s="368"/>
      <c r="F319" s="368"/>
      <c r="G319" s="368"/>
      <c r="H319" s="368"/>
      <c r="I319" s="368"/>
      <c r="J319" s="368"/>
      <c r="K319" s="368"/>
      <c r="L319" s="368"/>
      <c r="M319" s="368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368"/>
      <c r="D320" s="368"/>
      <c r="E320" s="368"/>
      <c r="F320" s="368"/>
      <c r="G320" s="368"/>
      <c r="H320" s="368"/>
      <c r="I320" s="368"/>
      <c r="J320" s="368"/>
      <c r="K320" s="368"/>
      <c r="L320" s="368"/>
      <c r="M320" s="368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368"/>
      <c r="D321" s="368"/>
      <c r="E321" s="368"/>
      <c r="F321" s="368"/>
      <c r="G321" s="368"/>
      <c r="H321" s="368"/>
      <c r="I321" s="368"/>
      <c r="J321" s="368"/>
      <c r="K321" s="368"/>
      <c r="L321" s="368"/>
      <c r="M321" s="368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368"/>
      <c r="D322" s="368"/>
      <c r="E322" s="368"/>
      <c r="F322" s="368"/>
      <c r="G322" s="368"/>
      <c r="H322" s="368"/>
      <c r="I322" s="368"/>
      <c r="J322" s="368"/>
      <c r="K322" s="368"/>
      <c r="L322" s="368"/>
      <c r="M322" s="368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368"/>
      <c r="D323" s="368"/>
      <c r="E323" s="368"/>
      <c r="F323" s="368"/>
      <c r="G323" s="368"/>
      <c r="H323" s="368"/>
      <c r="I323" s="368"/>
      <c r="J323" s="368"/>
      <c r="K323" s="368"/>
      <c r="L323" s="368"/>
      <c r="M323" s="368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368"/>
      <c r="D324" s="368"/>
      <c r="E324" s="368"/>
      <c r="F324" s="368"/>
      <c r="G324" s="368"/>
      <c r="H324" s="368"/>
      <c r="I324" s="368"/>
      <c r="J324" s="368"/>
      <c r="K324" s="368"/>
      <c r="L324" s="368"/>
      <c r="M324" s="368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368"/>
      <c r="D325" s="368"/>
      <c r="E325" s="368"/>
      <c r="F325" s="368"/>
      <c r="G325" s="368"/>
      <c r="H325" s="368"/>
      <c r="I325" s="368"/>
      <c r="J325" s="368"/>
      <c r="K325" s="368"/>
      <c r="L325" s="368"/>
      <c r="M325" s="368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368"/>
      <c r="D326" s="368"/>
      <c r="E326" s="368"/>
      <c r="F326" s="368"/>
      <c r="G326" s="368"/>
      <c r="H326" s="368"/>
      <c r="I326" s="368"/>
      <c r="J326" s="368"/>
      <c r="K326" s="368"/>
      <c r="L326" s="368"/>
      <c r="M326" s="368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368"/>
      <c r="D327" s="368"/>
      <c r="E327" s="368"/>
      <c r="F327" s="368"/>
      <c r="G327" s="368"/>
      <c r="H327" s="368"/>
      <c r="I327" s="368"/>
      <c r="J327" s="368"/>
      <c r="K327" s="368"/>
      <c r="L327" s="368"/>
      <c r="M327" s="368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368"/>
      <c r="D328" s="368"/>
      <c r="E328" s="368"/>
      <c r="F328" s="368"/>
      <c r="G328" s="368"/>
      <c r="H328" s="368"/>
      <c r="I328" s="368"/>
      <c r="J328" s="368"/>
      <c r="K328" s="368"/>
      <c r="L328" s="368"/>
      <c r="M328" s="368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368"/>
      <c r="D329" s="368"/>
      <c r="E329" s="368"/>
      <c r="F329" s="368"/>
      <c r="G329" s="368"/>
      <c r="H329" s="368"/>
      <c r="I329" s="368"/>
      <c r="J329" s="368"/>
      <c r="K329" s="368"/>
      <c r="L329" s="368"/>
      <c r="M329" s="368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368"/>
      <c r="D330" s="368"/>
      <c r="E330" s="368"/>
      <c r="F330" s="368"/>
      <c r="G330" s="368"/>
      <c r="H330" s="368"/>
      <c r="I330" s="368"/>
      <c r="J330" s="368"/>
      <c r="K330" s="368"/>
      <c r="L330" s="368"/>
      <c r="M330" s="368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368"/>
      <c r="D331" s="368"/>
      <c r="E331" s="368"/>
      <c r="F331" s="368"/>
      <c r="G331" s="368"/>
      <c r="H331" s="368"/>
      <c r="I331" s="368"/>
      <c r="J331" s="368"/>
      <c r="K331" s="368"/>
      <c r="L331" s="368"/>
      <c r="M331" s="368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368"/>
      <c r="D332" s="368"/>
      <c r="E332" s="368"/>
      <c r="F332" s="368"/>
      <c r="G332" s="368"/>
      <c r="H332" s="368"/>
      <c r="I332" s="368"/>
      <c r="J332" s="368"/>
      <c r="K332" s="368"/>
      <c r="L332" s="368"/>
      <c r="M332" s="368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368"/>
      <c r="D333" s="368"/>
      <c r="E333" s="368"/>
      <c r="F333" s="368"/>
      <c r="G333" s="368"/>
      <c r="H333" s="368"/>
      <c r="I333" s="368"/>
      <c r="J333" s="368"/>
      <c r="K333" s="368"/>
      <c r="L333" s="368"/>
      <c r="M333" s="368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368"/>
      <c r="D334" s="368"/>
      <c r="E334" s="368"/>
      <c r="F334" s="368"/>
      <c r="G334" s="368"/>
      <c r="H334" s="368"/>
      <c r="I334" s="368"/>
      <c r="J334" s="368"/>
      <c r="K334" s="368"/>
      <c r="L334" s="368"/>
      <c r="M334" s="368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368"/>
      <c r="D335" s="368"/>
      <c r="E335" s="368"/>
      <c r="F335" s="368"/>
      <c r="G335" s="368"/>
      <c r="H335" s="368"/>
      <c r="I335" s="368"/>
      <c r="J335" s="368"/>
      <c r="K335" s="368"/>
      <c r="L335" s="368"/>
      <c r="M335" s="368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368"/>
      <c r="D336" s="368"/>
      <c r="E336" s="368"/>
      <c r="F336" s="368"/>
      <c r="G336" s="368"/>
      <c r="H336" s="368"/>
      <c r="I336" s="368"/>
      <c r="J336" s="368"/>
      <c r="K336" s="368"/>
      <c r="L336" s="368"/>
      <c r="M336" s="368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368"/>
      <c r="D337" s="368"/>
      <c r="E337" s="368"/>
      <c r="F337" s="368"/>
      <c r="G337" s="368"/>
      <c r="H337" s="368"/>
      <c r="I337" s="368"/>
      <c r="J337" s="368"/>
      <c r="K337" s="368"/>
      <c r="L337" s="368"/>
      <c r="M337" s="368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368"/>
      <c r="D338" s="368"/>
      <c r="E338" s="368"/>
      <c r="F338" s="368"/>
      <c r="G338" s="368"/>
      <c r="H338" s="368"/>
      <c r="I338" s="368"/>
      <c r="J338" s="368"/>
      <c r="K338" s="368"/>
      <c r="L338" s="368"/>
      <c r="M338" s="368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368"/>
      <c r="D340" s="368"/>
      <c r="E340" s="368"/>
      <c r="F340" s="368"/>
      <c r="G340" s="368"/>
      <c r="H340" s="368"/>
      <c r="I340" s="368"/>
      <c r="J340" s="368"/>
      <c r="K340" s="368"/>
      <c r="L340" s="368"/>
      <c r="M340" s="368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368"/>
      <c r="D341" s="368"/>
      <c r="E341" s="368"/>
      <c r="F341" s="368"/>
      <c r="G341" s="368"/>
      <c r="H341" s="368"/>
      <c r="I341" s="368"/>
      <c r="J341" s="368"/>
      <c r="K341" s="368"/>
      <c r="L341" s="368"/>
      <c r="M341" s="368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368"/>
      <c r="D342" s="368"/>
      <c r="E342" s="368"/>
      <c r="F342" s="368"/>
      <c r="G342" s="368"/>
      <c r="H342" s="368"/>
      <c r="I342" s="368"/>
      <c r="J342" s="368"/>
      <c r="K342" s="368"/>
      <c r="L342" s="368"/>
      <c r="M342" s="368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368"/>
      <c r="D343" s="368"/>
      <c r="E343" s="368"/>
      <c r="F343" s="368"/>
      <c r="G343" s="368"/>
      <c r="H343" s="368"/>
      <c r="I343" s="368"/>
      <c r="J343" s="368"/>
      <c r="K343" s="368"/>
      <c r="L343" s="368"/>
      <c r="M343" s="368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368"/>
      <c r="D344" s="368"/>
      <c r="E344" s="368"/>
      <c r="F344" s="368"/>
      <c r="G344" s="368"/>
      <c r="H344" s="368"/>
      <c r="I344" s="368"/>
      <c r="J344" s="368"/>
      <c r="K344" s="368"/>
      <c r="L344" s="368"/>
      <c r="M344" s="368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368"/>
      <c r="D345" s="368"/>
      <c r="E345" s="368"/>
      <c r="F345" s="368"/>
      <c r="G345" s="368"/>
      <c r="H345" s="368"/>
      <c r="I345" s="368"/>
      <c r="J345" s="368"/>
      <c r="K345" s="368"/>
      <c r="L345" s="368"/>
      <c r="M345" s="368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368"/>
      <c r="D346" s="368"/>
      <c r="E346" s="368"/>
      <c r="F346" s="368"/>
      <c r="G346" s="368"/>
      <c r="H346" s="368"/>
      <c r="I346" s="368"/>
      <c r="J346" s="368"/>
      <c r="K346" s="368"/>
      <c r="L346" s="368"/>
      <c r="M346" s="368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368"/>
      <c r="D347" s="368"/>
      <c r="E347" s="368"/>
      <c r="F347" s="368"/>
      <c r="G347" s="368"/>
      <c r="H347" s="368"/>
      <c r="I347" s="368"/>
      <c r="J347" s="368"/>
      <c r="K347" s="368"/>
      <c r="L347" s="368"/>
      <c r="M347" s="368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368"/>
      <c r="D348" s="368"/>
      <c r="E348" s="368"/>
      <c r="F348" s="368"/>
      <c r="G348" s="368"/>
      <c r="H348" s="368"/>
      <c r="I348" s="368"/>
      <c r="J348" s="368"/>
      <c r="K348" s="368"/>
      <c r="L348" s="368"/>
      <c r="M348" s="368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368"/>
      <c r="D349" s="368"/>
      <c r="E349" s="368"/>
      <c r="F349" s="368"/>
      <c r="G349" s="368"/>
      <c r="H349" s="368"/>
      <c r="I349" s="368"/>
      <c r="J349" s="368"/>
      <c r="K349" s="368"/>
      <c r="L349" s="368"/>
      <c r="M349" s="368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368"/>
      <c r="D350" s="368"/>
      <c r="E350" s="368"/>
      <c r="F350" s="368"/>
      <c r="G350" s="368"/>
      <c r="H350" s="368"/>
      <c r="I350" s="368"/>
      <c r="J350" s="368"/>
      <c r="K350" s="368"/>
      <c r="L350" s="368"/>
      <c r="M350" s="368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368"/>
      <c r="D351" s="368"/>
      <c r="E351" s="368"/>
      <c r="F351" s="368"/>
      <c r="G351" s="368"/>
      <c r="H351" s="368"/>
      <c r="I351" s="368"/>
      <c r="J351" s="368"/>
      <c r="K351" s="368"/>
      <c r="L351" s="368"/>
      <c r="M351" s="368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368"/>
      <c r="D352" s="368"/>
      <c r="E352" s="368"/>
      <c r="F352" s="368"/>
      <c r="G352" s="368"/>
      <c r="H352" s="368"/>
      <c r="I352" s="368"/>
      <c r="J352" s="368"/>
      <c r="K352" s="368"/>
      <c r="L352" s="368"/>
      <c r="M352" s="368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368"/>
      <c r="D354" s="368"/>
      <c r="E354" s="368"/>
      <c r="F354" s="368"/>
      <c r="G354" s="368"/>
      <c r="H354" s="368"/>
      <c r="I354" s="368"/>
      <c r="J354" s="368"/>
      <c r="K354" s="368"/>
      <c r="L354" s="368"/>
      <c r="M354" s="368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368"/>
      <c r="D355" s="368"/>
      <c r="E355" s="368"/>
      <c r="F355" s="368"/>
      <c r="G355" s="368"/>
      <c r="H355" s="368"/>
      <c r="I355" s="368"/>
      <c r="J355" s="368"/>
      <c r="K355" s="368"/>
      <c r="L355" s="368"/>
      <c r="M355" s="368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368"/>
      <c r="D356" s="368"/>
      <c r="E356" s="368"/>
      <c r="F356" s="368"/>
      <c r="G356" s="368"/>
      <c r="H356" s="368"/>
      <c r="I356" s="368"/>
      <c r="J356" s="368"/>
      <c r="K356" s="368"/>
      <c r="L356" s="368"/>
      <c r="M356" s="368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368"/>
      <c r="D357" s="368"/>
      <c r="E357" s="368"/>
      <c r="F357" s="368"/>
      <c r="G357" s="368"/>
      <c r="H357" s="368"/>
      <c r="I357" s="368"/>
      <c r="J357" s="368"/>
      <c r="K357" s="368"/>
      <c r="L357" s="368"/>
      <c r="M357" s="368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368"/>
      <c r="D358" s="368"/>
      <c r="E358" s="368"/>
      <c r="F358" s="368"/>
      <c r="G358" s="368"/>
      <c r="H358" s="368"/>
      <c r="I358" s="368"/>
      <c r="J358" s="368"/>
      <c r="K358" s="368"/>
      <c r="L358" s="368"/>
      <c r="M358" s="368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368"/>
      <c r="D359" s="368"/>
      <c r="E359" s="368"/>
      <c r="F359" s="368"/>
      <c r="G359" s="368"/>
      <c r="H359" s="368"/>
      <c r="I359" s="368"/>
      <c r="J359" s="368"/>
      <c r="K359" s="368"/>
      <c r="L359" s="368"/>
      <c r="M359" s="368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368"/>
      <c r="D360" s="368"/>
      <c r="E360" s="368"/>
      <c r="F360" s="368"/>
      <c r="G360" s="368"/>
      <c r="H360" s="368"/>
      <c r="I360" s="368"/>
      <c r="J360" s="368"/>
      <c r="K360" s="368"/>
      <c r="L360" s="368"/>
      <c r="M360" s="368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368"/>
      <c r="D361" s="368"/>
      <c r="E361" s="368"/>
      <c r="F361" s="368"/>
      <c r="G361" s="368"/>
      <c r="H361" s="368"/>
      <c r="I361" s="368"/>
      <c r="J361" s="368"/>
      <c r="K361" s="368"/>
      <c r="L361" s="368"/>
      <c r="M361" s="368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368"/>
      <c r="D362" s="368"/>
      <c r="E362" s="368"/>
      <c r="F362" s="368"/>
      <c r="G362" s="368"/>
      <c r="H362" s="368"/>
      <c r="I362" s="368"/>
      <c r="J362" s="368"/>
      <c r="K362" s="368"/>
      <c r="L362" s="368"/>
      <c r="M362" s="368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368"/>
      <c r="D363" s="368"/>
      <c r="E363" s="368"/>
      <c r="F363" s="368"/>
      <c r="G363" s="368"/>
      <c r="H363" s="368"/>
      <c r="I363" s="368"/>
      <c r="J363" s="368"/>
      <c r="K363" s="368"/>
      <c r="L363" s="368"/>
      <c r="M363" s="368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368"/>
      <c r="D364" s="368"/>
      <c r="E364" s="368"/>
      <c r="F364" s="368"/>
      <c r="G364" s="368"/>
      <c r="H364" s="368"/>
      <c r="I364" s="368"/>
      <c r="J364" s="368"/>
      <c r="K364" s="368"/>
      <c r="L364" s="368"/>
      <c r="M364" s="368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368"/>
      <c r="D365" s="368"/>
      <c r="E365" s="368"/>
      <c r="F365" s="368"/>
      <c r="G365" s="368"/>
      <c r="H365" s="368"/>
      <c r="I365" s="368"/>
      <c r="J365" s="368"/>
      <c r="K365" s="368"/>
      <c r="L365" s="368"/>
      <c r="M365" s="368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368"/>
      <c r="D366" s="368"/>
      <c r="E366" s="368"/>
      <c r="F366" s="368"/>
      <c r="G366" s="368"/>
      <c r="H366" s="368"/>
      <c r="I366" s="368"/>
      <c r="J366" s="368"/>
      <c r="K366" s="368"/>
      <c r="L366" s="368"/>
      <c r="M366" s="368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368"/>
      <c r="D367" s="368"/>
      <c r="E367" s="368"/>
      <c r="F367" s="368"/>
      <c r="G367" s="368"/>
      <c r="H367" s="368"/>
      <c r="I367" s="368"/>
      <c r="J367" s="368"/>
      <c r="K367" s="368"/>
      <c r="L367" s="368"/>
      <c r="M367" s="368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368"/>
      <c r="D368" s="368"/>
      <c r="E368" s="368"/>
      <c r="F368" s="368"/>
      <c r="G368" s="368"/>
      <c r="H368" s="368"/>
      <c r="I368" s="368"/>
      <c r="J368" s="368"/>
      <c r="K368" s="368"/>
      <c r="L368" s="368"/>
      <c r="M368" s="368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368"/>
      <c r="D369" s="368"/>
      <c r="E369" s="368"/>
      <c r="F369" s="368"/>
      <c r="G369" s="368"/>
      <c r="H369" s="368"/>
      <c r="I369" s="368"/>
      <c r="J369" s="368"/>
      <c r="K369" s="368"/>
      <c r="L369" s="368"/>
      <c r="M369" s="368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368"/>
      <c r="D370" s="368"/>
      <c r="E370" s="368"/>
      <c r="F370" s="368"/>
      <c r="G370" s="368"/>
      <c r="H370" s="368"/>
      <c r="I370" s="368"/>
      <c r="J370" s="368"/>
      <c r="K370" s="368"/>
      <c r="L370" s="368"/>
      <c r="M370" s="368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368"/>
      <c r="D371" s="368"/>
      <c r="E371" s="368"/>
      <c r="F371" s="368"/>
      <c r="G371" s="368"/>
      <c r="H371" s="368"/>
      <c r="I371" s="368"/>
      <c r="J371" s="368"/>
      <c r="K371" s="368"/>
      <c r="L371" s="368"/>
      <c r="M371" s="368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368"/>
      <c r="D372" s="368"/>
      <c r="E372" s="368"/>
      <c r="F372" s="368"/>
      <c r="G372" s="368"/>
      <c r="H372" s="368"/>
      <c r="I372" s="368"/>
      <c r="J372" s="368"/>
      <c r="K372" s="368"/>
      <c r="L372" s="368"/>
      <c r="M372" s="368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368"/>
      <c r="D373" s="368"/>
      <c r="E373" s="368"/>
      <c r="F373" s="368"/>
      <c r="G373" s="368"/>
      <c r="H373" s="368"/>
      <c r="I373" s="368"/>
      <c r="J373" s="368"/>
      <c r="K373" s="368"/>
      <c r="L373" s="368"/>
      <c r="M373" s="368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368"/>
      <c r="D374" s="368"/>
      <c r="E374" s="368"/>
      <c r="F374" s="368"/>
      <c r="G374" s="368"/>
      <c r="H374" s="368"/>
      <c r="I374" s="368"/>
      <c r="J374" s="368"/>
      <c r="K374" s="368"/>
      <c r="L374" s="368"/>
      <c r="M374" s="368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368"/>
      <c r="D375" s="368"/>
      <c r="E375" s="368"/>
      <c r="F375" s="368"/>
      <c r="G375" s="368"/>
      <c r="H375" s="368"/>
      <c r="I375" s="368"/>
      <c r="J375" s="368"/>
      <c r="K375" s="368"/>
      <c r="L375" s="368"/>
      <c r="M375" s="368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368"/>
      <c r="D376" s="368"/>
      <c r="E376" s="368"/>
      <c r="F376" s="368"/>
      <c r="G376" s="368"/>
      <c r="H376" s="368"/>
      <c r="I376" s="368"/>
      <c r="J376" s="368"/>
      <c r="K376" s="368"/>
      <c r="L376" s="368"/>
      <c r="M376" s="368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368"/>
      <c r="D377" s="368"/>
      <c r="E377" s="368"/>
      <c r="F377" s="368"/>
      <c r="G377" s="368"/>
      <c r="H377" s="368"/>
      <c r="I377" s="368"/>
      <c r="J377" s="368"/>
      <c r="K377" s="368"/>
      <c r="L377" s="368"/>
      <c r="M377" s="368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368"/>
      <c r="D378" s="368"/>
      <c r="E378" s="368"/>
      <c r="F378" s="368"/>
      <c r="G378" s="368"/>
      <c r="H378" s="368"/>
      <c r="I378" s="368"/>
      <c r="J378" s="368"/>
      <c r="K378" s="368"/>
      <c r="L378" s="368"/>
      <c r="M378" s="368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368"/>
      <c r="D379" s="368"/>
      <c r="E379" s="368"/>
      <c r="F379" s="368"/>
      <c r="G379" s="368"/>
      <c r="H379" s="368"/>
      <c r="I379" s="368"/>
      <c r="J379" s="368"/>
      <c r="K379" s="368"/>
      <c r="L379" s="368"/>
      <c r="M379" s="368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368"/>
      <c r="D380" s="368"/>
      <c r="E380" s="368"/>
      <c r="F380" s="368"/>
      <c r="G380" s="368"/>
      <c r="H380" s="368"/>
      <c r="I380" s="368"/>
      <c r="J380" s="368"/>
      <c r="K380" s="368"/>
      <c r="L380" s="368"/>
      <c r="M380" s="368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368"/>
      <c r="D381" s="368"/>
      <c r="E381" s="368"/>
      <c r="F381" s="368"/>
      <c r="G381" s="368"/>
      <c r="H381" s="368"/>
      <c r="I381" s="368"/>
      <c r="J381" s="368"/>
      <c r="K381" s="368"/>
      <c r="L381" s="368"/>
      <c r="M381" s="368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368"/>
      <c r="D383" s="368"/>
      <c r="E383" s="368"/>
      <c r="F383" s="368"/>
      <c r="G383" s="368"/>
      <c r="H383" s="368"/>
      <c r="I383" s="368"/>
      <c r="J383" s="368"/>
      <c r="K383" s="368"/>
      <c r="L383" s="368"/>
      <c r="M383" s="368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368"/>
      <c r="D384" s="368"/>
      <c r="E384" s="368"/>
      <c r="F384" s="368"/>
      <c r="G384" s="368"/>
      <c r="H384" s="368"/>
      <c r="I384" s="368"/>
      <c r="J384" s="368"/>
      <c r="K384" s="368"/>
      <c r="L384" s="368"/>
      <c r="M384" s="368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368"/>
      <c r="D385" s="368"/>
      <c r="E385" s="368"/>
      <c r="F385" s="368"/>
      <c r="G385" s="368"/>
      <c r="H385" s="368"/>
      <c r="I385" s="368"/>
      <c r="J385" s="368"/>
      <c r="K385" s="368"/>
      <c r="L385" s="368"/>
      <c r="M385" s="368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368"/>
      <c r="D386" s="368"/>
      <c r="E386" s="368"/>
      <c r="F386" s="368"/>
      <c r="G386" s="368"/>
      <c r="H386" s="368"/>
      <c r="I386" s="368"/>
      <c r="J386" s="368"/>
      <c r="K386" s="368"/>
      <c r="L386" s="368"/>
      <c r="M386" s="368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368"/>
      <c r="D387" s="368"/>
      <c r="E387" s="368"/>
      <c r="F387" s="368"/>
      <c r="G387" s="368"/>
      <c r="H387" s="368"/>
      <c r="I387" s="368"/>
      <c r="J387" s="368"/>
      <c r="K387" s="368"/>
      <c r="L387" s="368"/>
      <c r="M387" s="368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368"/>
      <c r="D388" s="368"/>
      <c r="E388" s="368"/>
      <c r="F388" s="368"/>
      <c r="G388" s="368"/>
      <c r="H388" s="368"/>
      <c r="I388" s="368"/>
      <c r="J388" s="368"/>
      <c r="K388" s="368"/>
      <c r="L388" s="368"/>
      <c r="M388" s="368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368"/>
      <c r="D389" s="368"/>
      <c r="E389" s="368"/>
      <c r="F389" s="368"/>
      <c r="G389" s="368"/>
      <c r="H389" s="368"/>
      <c r="I389" s="368"/>
      <c r="J389" s="368"/>
      <c r="K389" s="368"/>
      <c r="L389" s="368"/>
      <c r="M389" s="368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368"/>
      <c r="D390" s="368"/>
      <c r="E390" s="368"/>
      <c r="F390" s="368"/>
      <c r="G390" s="368"/>
      <c r="H390" s="368"/>
      <c r="I390" s="368"/>
      <c r="J390" s="368"/>
      <c r="K390" s="368"/>
      <c r="L390" s="368"/>
      <c r="M390" s="368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368"/>
      <c r="D391" s="368"/>
      <c r="E391" s="368"/>
      <c r="F391" s="368"/>
      <c r="G391" s="368"/>
      <c r="H391" s="368"/>
      <c r="I391" s="368"/>
      <c r="J391" s="368"/>
      <c r="K391" s="368"/>
      <c r="L391" s="368"/>
      <c r="M391" s="368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368"/>
      <c r="D392" s="368"/>
      <c r="E392" s="368"/>
      <c r="F392" s="368"/>
      <c r="G392" s="368"/>
      <c r="H392" s="368"/>
      <c r="I392" s="368"/>
      <c r="J392" s="368"/>
      <c r="K392" s="368"/>
      <c r="L392" s="368"/>
      <c r="M392" s="368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368"/>
      <c r="D393" s="368"/>
      <c r="E393" s="368"/>
      <c r="F393" s="368"/>
      <c r="G393" s="368"/>
      <c r="H393" s="368"/>
      <c r="I393" s="368"/>
      <c r="J393" s="368"/>
      <c r="K393" s="368"/>
      <c r="L393" s="368"/>
      <c r="M393" s="368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368"/>
      <c r="D394" s="368"/>
      <c r="E394" s="368"/>
      <c r="F394" s="368"/>
      <c r="G394" s="368"/>
      <c r="H394" s="368"/>
      <c r="I394" s="368"/>
      <c r="J394" s="368"/>
      <c r="K394" s="368"/>
      <c r="L394" s="368"/>
      <c r="M394" s="368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368"/>
      <c r="D395" s="368"/>
      <c r="E395" s="368"/>
      <c r="F395" s="368"/>
      <c r="G395" s="368"/>
      <c r="H395" s="368"/>
      <c r="I395" s="368"/>
      <c r="J395" s="368"/>
      <c r="K395" s="368"/>
      <c r="L395" s="368"/>
      <c r="M395" s="368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368"/>
      <c r="D396" s="368"/>
      <c r="E396" s="368"/>
      <c r="F396" s="368"/>
      <c r="G396" s="368"/>
      <c r="H396" s="368"/>
      <c r="I396" s="368"/>
      <c r="J396" s="368"/>
      <c r="K396" s="368"/>
      <c r="L396" s="368"/>
      <c r="M396" s="368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368"/>
      <c r="D397" s="368"/>
      <c r="E397" s="368"/>
      <c r="F397" s="368"/>
      <c r="G397" s="368"/>
      <c r="H397" s="368"/>
      <c r="I397" s="368"/>
      <c r="J397" s="368"/>
      <c r="K397" s="368"/>
      <c r="L397" s="368"/>
      <c r="M397" s="368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368"/>
      <c r="D398" s="368"/>
      <c r="E398" s="368"/>
      <c r="F398" s="368"/>
      <c r="G398" s="368"/>
      <c r="H398" s="368"/>
      <c r="I398" s="368"/>
      <c r="J398" s="368"/>
      <c r="K398" s="368"/>
      <c r="L398" s="368"/>
      <c r="M398" s="368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368"/>
      <c r="D399" s="368"/>
      <c r="E399" s="368"/>
      <c r="F399" s="368"/>
      <c r="G399" s="368"/>
      <c r="H399" s="368"/>
      <c r="I399" s="368"/>
      <c r="J399" s="368"/>
      <c r="K399" s="368"/>
      <c r="L399" s="368"/>
      <c r="M399" s="368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368"/>
      <c r="D400" s="368"/>
      <c r="E400" s="368"/>
      <c r="F400" s="368"/>
      <c r="G400" s="368"/>
      <c r="H400" s="368"/>
      <c r="I400" s="368"/>
      <c r="J400" s="368"/>
      <c r="K400" s="368"/>
      <c r="L400" s="368"/>
      <c r="M400" s="368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368"/>
      <c r="D401" s="368"/>
      <c r="E401" s="368"/>
      <c r="F401" s="368"/>
      <c r="G401" s="368"/>
      <c r="H401" s="368"/>
      <c r="I401" s="368"/>
      <c r="J401" s="368"/>
      <c r="K401" s="368"/>
      <c r="L401" s="368"/>
      <c r="M401" s="368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368"/>
      <c r="D402" s="368"/>
      <c r="E402" s="368"/>
      <c r="F402" s="368"/>
      <c r="G402" s="368"/>
      <c r="H402" s="368"/>
      <c r="I402" s="368"/>
      <c r="J402" s="368"/>
      <c r="K402" s="368"/>
      <c r="L402" s="368"/>
      <c r="M402" s="368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368"/>
      <c r="D403" s="368"/>
      <c r="E403" s="368"/>
      <c r="F403" s="368"/>
      <c r="G403" s="368"/>
      <c r="H403" s="368"/>
      <c r="I403" s="368"/>
      <c r="J403" s="368"/>
      <c r="K403" s="368"/>
      <c r="L403" s="368"/>
      <c r="M403" s="368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368"/>
      <c r="D404" s="368"/>
      <c r="E404" s="368"/>
      <c r="F404" s="368"/>
      <c r="G404" s="368"/>
      <c r="H404" s="368"/>
      <c r="I404" s="368"/>
      <c r="J404" s="368"/>
      <c r="K404" s="368"/>
      <c r="L404" s="368"/>
      <c r="M404" s="368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368"/>
      <c r="D405" s="368"/>
      <c r="E405" s="368"/>
      <c r="F405" s="368"/>
      <c r="G405" s="368"/>
      <c r="H405" s="368"/>
      <c r="I405" s="368"/>
      <c r="J405" s="368"/>
      <c r="K405" s="368"/>
      <c r="L405" s="368"/>
      <c r="M405" s="368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368"/>
      <c r="D406" s="368"/>
      <c r="E406" s="368"/>
      <c r="F406" s="368"/>
      <c r="G406" s="368"/>
      <c r="H406" s="368"/>
      <c r="I406" s="368"/>
      <c r="J406" s="368"/>
      <c r="K406" s="368"/>
      <c r="L406" s="368"/>
      <c r="M406" s="368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368"/>
      <c r="D407" s="368"/>
      <c r="E407" s="368"/>
      <c r="F407" s="368"/>
      <c r="G407" s="368"/>
      <c r="H407" s="368"/>
      <c r="I407" s="368"/>
      <c r="J407" s="368"/>
      <c r="K407" s="368"/>
      <c r="L407" s="368"/>
      <c r="M407" s="368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368"/>
      <c r="D408" s="368"/>
      <c r="E408" s="368"/>
      <c r="F408" s="368"/>
      <c r="G408" s="368"/>
      <c r="H408" s="368"/>
      <c r="I408" s="368"/>
      <c r="J408" s="368"/>
      <c r="K408" s="368"/>
      <c r="L408" s="368"/>
      <c r="M408" s="368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368"/>
      <c r="D409" s="368"/>
      <c r="E409" s="368"/>
      <c r="F409" s="368"/>
      <c r="G409" s="368"/>
      <c r="H409" s="368"/>
      <c r="I409" s="368"/>
      <c r="J409" s="368"/>
      <c r="K409" s="368"/>
      <c r="L409" s="368"/>
      <c r="M409" s="368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368"/>
      <c r="D410" s="368"/>
      <c r="E410" s="368"/>
      <c r="F410" s="368"/>
      <c r="G410" s="368"/>
      <c r="H410" s="368"/>
      <c r="I410" s="368"/>
      <c r="J410" s="368"/>
      <c r="K410" s="368"/>
      <c r="L410" s="368"/>
      <c r="M410" s="368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368"/>
      <c r="D411" s="368"/>
      <c r="E411" s="368"/>
      <c r="F411" s="368"/>
      <c r="G411" s="368"/>
      <c r="H411" s="368"/>
      <c r="I411" s="368"/>
      <c r="J411" s="368"/>
      <c r="K411" s="368"/>
      <c r="L411" s="368"/>
      <c r="M411" s="368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368"/>
      <c r="D413" s="368"/>
      <c r="E413" s="368"/>
      <c r="F413" s="368"/>
      <c r="G413" s="368"/>
      <c r="H413" s="368"/>
      <c r="I413" s="368"/>
      <c r="J413" s="368"/>
      <c r="K413" s="368"/>
      <c r="L413" s="368"/>
      <c r="M413" s="368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368"/>
      <c r="D414" s="368"/>
      <c r="E414" s="368"/>
      <c r="F414" s="368"/>
      <c r="G414" s="368"/>
      <c r="H414" s="368"/>
      <c r="I414" s="368"/>
      <c r="J414" s="368"/>
      <c r="K414" s="368"/>
      <c r="L414" s="368"/>
      <c r="M414" s="368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368"/>
      <c r="D415" s="368"/>
      <c r="E415" s="368"/>
      <c r="F415" s="368"/>
      <c r="G415" s="368"/>
      <c r="H415" s="368"/>
      <c r="I415" s="368"/>
      <c r="J415" s="368"/>
      <c r="K415" s="368"/>
      <c r="L415" s="368"/>
      <c r="M415" s="368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368"/>
      <c r="D416" s="368"/>
      <c r="E416" s="368"/>
      <c r="F416" s="368"/>
      <c r="G416" s="368"/>
      <c r="H416" s="368"/>
      <c r="I416" s="368"/>
      <c r="J416" s="368"/>
      <c r="K416" s="368"/>
      <c r="L416" s="368"/>
      <c r="M416" s="368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368"/>
      <c r="D417" s="368"/>
      <c r="E417" s="368"/>
      <c r="F417" s="368"/>
      <c r="G417" s="368"/>
      <c r="H417" s="368"/>
      <c r="I417" s="368"/>
      <c r="J417" s="368"/>
      <c r="K417" s="368"/>
      <c r="L417" s="368"/>
      <c r="M417" s="368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368"/>
      <c r="D418" s="368"/>
      <c r="E418" s="368"/>
      <c r="F418" s="368"/>
      <c r="G418" s="368"/>
      <c r="H418" s="368"/>
      <c r="I418" s="368"/>
      <c r="J418" s="368"/>
      <c r="K418" s="368"/>
      <c r="L418" s="368"/>
      <c r="M418" s="368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368"/>
      <c r="D419" s="368"/>
      <c r="E419" s="368"/>
      <c r="F419" s="368"/>
      <c r="G419" s="368"/>
      <c r="H419" s="368"/>
      <c r="I419" s="368"/>
      <c r="J419" s="368"/>
      <c r="K419" s="368"/>
      <c r="L419" s="368"/>
      <c r="M419" s="368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368"/>
      <c r="D420" s="368"/>
      <c r="E420" s="368"/>
      <c r="F420" s="368"/>
      <c r="G420" s="368"/>
      <c r="H420" s="368"/>
      <c r="I420" s="368"/>
      <c r="J420" s="368"/>
      <c r="K420" s="368"/>
      <c r="L420" s="368"/>
      <c r="M420" s="368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368"/>
      <c r="D421" s="368"/>
      <c r="E421" s="368"/>
      <c r="F421" s="368"/>
      <c r="G421" s="368"/>
      <c r="H421" s="368"/>
      <c r="I421" s="368"/>
      <c r="J421" s="368"/>
      <c r="K421" s="368"/>
      <c r="L421" s="368"/>
      <c r="M421" s="368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368"/>
      <c r="D422" s="368"/>
      <c r="E422" s="368"/>
      <c r="F422" s="368"/>
      <c r="G422" s="368"/>
      <c r="H422" s="368"/>
      <c r="I422" s="368"/>
      <c r="J422" s="368"/>
      <c r="K422" s="368"/>
      <c r="L422" s="368"/>
      <c r="M422" s="368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368"/>
      <c r="D423" s="368"/>
      <c r="E423" s="368"/>
      <c r="F423" s="368"/>
      <c r="G423" s="368"/>
      <c r="H423" s="368"/>
      <c r="I423" s="368"/>
      <c r="J423" s="368"/>
      <c r="K423" s="368"/>
      <c r="L423" s="368"/>
      <c r="M423" s="368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368"/>
      <c r="D424" s="368"/>
      <c r="E424" s="368"/>
      <c r="F424" s="368"/>
      <c r="G424" s="368"/>
      <c r="H424" s="368"/>
      <c r="I424" s="368"/>
      <c r="J424" s="368"/>
      <c r="K424" s="368"/>
      <c r="L424" s="368"/>
      <c r="M424" s="368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368"/>
      <c r="D425" s="368"/>
      <c r="E425" s="368"/>
      <c r="F425" s="368"/>
      <c r="G425" s="368"/>
      <c r="H425" s="368"/>
      <c r="I425" s="368"/>
      <c r="J425" s="368"/>
      <c r="K425" s="368"/>
      <c r="L425" s="368"/>
      <c r="M425" s="368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368"/>
      <c r="D426" s="368"/>
      <c r="E426" s="368"/>
      <c r="F426" s="368"/>
      <c r="G426" s="368"/>
      <c r="H426" s="368"/>
      <c r="I426" s="368"/>
      <c r="J426" s="368"/>
      <c r="K426" s="368"/>
      <c r="L426" s="368"/>
      <c r="M426" s="368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368"/>
      <c r="D427" s="368"/>
      <c r="E427" s="368"/>
      <c r="F427" s="368"/>
      <c r="G427" s="368"/>
      <c r="H427" s="368"/>
      <c r="I427" s="368"/>
      <c r="J427" s="368"/>
      <c r="K427" s="368"/>
      <c r="L427" s="368"/>
      <c r="M427" s="368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368"/>
      <c r="D428" s="368"/>
      <c r="E428" s="368"/>
      <c r="F428" s="368"/>
      <c r="G428" s="368"/>
      <c r="H428" s="368"/>
      <c r="I428" s="368"/>
      <c r="J428" s="368"/>
      <c r="K428" s="368"/>
      <c r="L428" s="368"/>
      <c r="M428" s="368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368"/>
      <c r="D429" s="368"/>
      <c r="E429" s="368"/>
      <c r="F429" s="368"/>
      <c r="G429" s="368"/>
      <c r="H429" s="368"/>
      <c r="I429" s="368"/>
      <c r="J429" s="368"/>
      <c r="K429" s="368"/>
      <c r="L429" s="368"/>
      <c r="M429" s="368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368"/>
      <c r="D430" s="368"/>
      <c r="E430" s="368"/>
      <c r="F430" s="368"/>
      <c r="G430" s="368"/>
      <c r="H430" s="368"/>
      <c r="I430" s="368"/>
      <c r="J430" s="368"/>
      <c r="K430" s="368"/>
      <c r="L430" s="368"/>
      <c r="M430" s="368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368"/>
      <c r="D431" s="368"/>
      <c r="E431" s="368"/>
      <c r="F431" s="368"/>
      <c r="G431" s="368"/>
      <c r="H431" s="368"/>
      <c r="I431" s="368"/>
      <c r="J431" s="368"/>
      <c r="K431" s="368"/>
      <c r="L431" s="368"/>
      <c r="M431" s="368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368"/>
      <c r="D432" s="368"/>
      <c r="E432" s="368"/>
      <c r="F432" s="368"/>
      <c r="G432" s="368"/>
      <c r="H432" s="368"/>
      <c r="I432" s="368"/>
      <c r="J432" s="368"/>
      <c r="K432" s="368"/>
      <c r="L432" s="368"/>
      <c r="M432" s="368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368"/>
      <c r="D433" s="368"/>
      <c r="E433" s="368"/>
      <c r="F433" s="368"/>
      <c r="G433" s="368"/>
      <c r="H433" s="368"/>
      <c r="I433" s="368"/>
      <c r="J433" s="368"/>
      <c r="K433" s="368"/>
      <c r="L433" s="368"/>
      <c r="M433" s="368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368"/>
      <c r="D434" s="368"/>
      <c r="E434" s="368"/>
      <c r="F434" s="368"/>
      <c r="G434" s="368"/>
      <c r="H434" s="368"/>
      <c r="I434" s="368"/>
      <c r="J434" s="368"/>
      <c r="K434" s="368"/>
      <c r="L434" s="368"/>
      <c r="M434" s="368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368"/>
      <c r="D435" s="368"/>
      <c r="E435" s="368"/>
      <c r="F435" s="368"/>
      <c r="G435" s="368"/>
      <c r="H435" s="368"/>
      <c r="I435" s="368"/>
      <c r="J435" s="368"/>
      <c r="K435" s="368"/>
      <c r="L435" s="368"/>
      <c r="M435" s="368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368"/>
      <c r="D436" s="368"/>
      <c r="E436" s="368"/>
      <c r="F436" s="368"/>
      <c r="G436" s="368"/>
      <c r="H436" s="368"/>
      <c r="I436" s="368"/>
      <c r="J436" s="368"/>
      <c r="K436" s="368"/>
      <c r="L436" s="368"/>
      <c r="M436" s="368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368"/>
      <c r="D437" s="368"/>
      <c r="E437" s="368"/>
      <c r="F437" s="368"/>
      <c r="G437" s="368"/>
      <c r="H437" s="368"/>
      <c r="I437" s="368"/>
      <c r="J437" s="368"/>
      <c r="K437" s="368"/>
      <c r="L437" s="368"/>
      <c r="M437" s="368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368"/>
      <c r="D439" s="368"/>
      <c r="E439" s="368"/>
      <c r="F439" s="368"/>
      <c r="G439" s="368"/>
      <c r="H439" s="368"/>
      <c r="I439" s="368"/>
      <c r="J439" s="368"/>
      <c r="K439" s="368"/>
      <c r="L439" s="368"/>
      <c r="M439" s="368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368"/>
      <c r="D440" s="368"/>
      <c r="E440" s="368"/>
      <c r="F440" s="368"/>
      <c r="G440" s="368"/>
      <c r="H440" s="368"/>
      <c r="I440" s="368"/>
      <c r="J440" s="368"/>
      <c r="K440" s="368"/>
      <c r="L440" s="368"/>
      <c r="M440" s="368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368"/>
      <c r="D441" s="368"/>
      <c r="E441" s="368"/>
      <c r="F441" s="368"/>
      <c r="G441" s="368"/>
      <c r="H441" s="368"/>
      <c r="I441" s="368"/>
      <c r="J441" s="368"/>
      <c r="K441" s="368"/>
      <c r="L441" s="368"/>
      <c r="M441" s="368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368"/>
      <c r="D442" s="368"/>
      <c r="E442" s="368"/>
      <c r="F442" s="368"/>
      <c r="G442" s="368"/>
      <c r="H442" s="368"/>
      <c r="I442" s="368"/>
      <c r="J442" s="368"/>
      <c r="K442" s="368"/>
      <c r="L442" s="368"/>
      <c r="M442" s="368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368"/>
      <c r="D443" s="368"/>
      <c r="E443" s="368"/>
      <c r="F443" s="368"/>
      <c r="G443" s="368"/>
      <c r="H443" s="368"/>
      <c r="I443" s="368"/>
      <c r="J443" s="368"/>
      <c r="K443" s="368"/>
      <c r="L443" s="368"/>
      <c r="M443" s="368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368"/>
      <c r="D444" s="368"/>
      <c r="E444" s="368"/>
      <c r="F444" s="368"/>
      <c r="G444" s="368"/>
      <c r="H444" s="368"/>
      <c r="I444" s="368"/>
      <c r="J444" s="368"/>
      <c r="K444" s="368"/>
      <c r="L444" s="368"/>
      <c r="M444" s="368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368"/>
      <c r="D445" s="368"/>
      <c r="E445" s="368"/>
      <c r="F445" s="368"/>
      <c r="G445" s="368"/>
      <c r="H445" s="368"/>
      <c r="I445" s="368"/>
      <c r="J445" s="368"/>
      <c r="K445" s="368"/>
      <c r="L445" s="368"/>
      <c r="M445" s="368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368"/>
      <c r="D446" s="368"/>
      <c r="E446" s="368"/>
      <c r="F446" s="368"/>
      <c r="G446" s="368"/>
      <c r="H446" s="368"/>
      <c r="I446" s="368"/>
      <c r="J446" s="368"/>
      <c r="K446" s="368"/>
      <c r="L446" s="368"/>
      <c r="M446" s="368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368"/>
      <c r="D447" s="368"/>
      <c r="E447" s="368"/>
      <c r="F447" s="368"/>
      <c r="G447" s="368"/>
      <c r="H447" s="368"/>
      <c r="I447" s="368"/>
      <c r="J447" s="368"/>
      <c r="K447" s="368"/>
      <c r="L447" s="368"/>
      <c r="M447" s="368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368"/>
      <c r="D448" s="368"/>
      <c r="E448" s="368"/>
      <c r="F448" s="368"/>
      <c r="G448" s="368"/>
      <c r="H448" s="368"/>
      <c r="I448" s="368"/>
      <c r="J448" s="368"/>
      <c r="K448" s="368"/>
      <c r="L448" s="368"/>
      <c r="M448" s="368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368"/>
      <c r="D449" s="368"/>
      <c r="E449" s="368"/>
      <c r="F449" s="368"/>
      <c r="G449" s="368"/>
      <c r="H449" s="368"/>
      <c r="I449" s="368"/>
      <c r="J449" s="368"/>
      <c r="K449" s="368"/>
      <c r="L449" s="368"/>
      <c r="M449" s="368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368"/>
      <c r="D450" s="368"/>
      <c r="E450" s="368"/>
      <c r="F450" s="368"/>
      <c r="G450" s="368"/>
      <c r="H450" s="368"/>
      <c r="I450" s="368"/>
      <c r="J450" s="368"/>
      <c r="K450" s="368"/>
      <c r="L450" s="368"/>
      <c r="M450" s="368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368"/>
      <c r="D451" s="368"/>
      <c r="E451" s="368"/>
      <c r="F451" s="368"/>
      <c r="G451" s="368"/>
      <c r="H451" s="368"/>
      <c r="I451" s="368"/>
      <c r="J451" s="368"/>
      <c r="K451" s="368"/>
      <c r="L451" s="368"/>
      <c r="M451" s="368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368"/>
      <c r="D452" s="368"/>
      <c r="E452" s="368"/>
      <c r="F452" s="368"/>
      <c r="G452" s="368"/>
      <c r="H452" s="368"/>
      <c r="I452" s="368"/>
      <c r="J452" s="368"/>
      <c r="K452" s="368"/>
      <c r="L452" s="368"/>
      <c r="M452" s="368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368"/>
      <c r="D453" s="368"/>
      <c r="E453" s="368"/>
      <c r="F453" s="368"/>
      <c r="G453" s="368"/>
      <c r="H453" s="368"/>
      <c r="I453" s="368"/>
      <c r="J453" s="368"/>
      <c r="K453" s="368"/>
      <c r="L453" s="368"/>
      <c r="M453" s="368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368"/>
      <c r="D454" s="368"/>
      <c r="E454" s="368"/>
      <c r="F454" s="368"/>
      <c r="G454" s="368"/>
      <c r="H454" s="368"/>
      <c r="I454" s="368"/>
      <c r="J454" s="368"/>
      <c r="K454" s="368"/>
      <c r="L454" s="368"/>
      <c r="M454" s="368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368"/>
      <c r="D455" s="368"/>
      <c r="E455" s="368"/>
      <c r="F455" s="368"/>
      <c r="G455" s="368"/>
      <c r="H455" s="368"/>
      <c r="I455" s="368"/>
      <c r="J455" s="368"/>
      <c r="K455" s="368"/>
      <c r="L455" s="368"/>
      <c r="M455" s="368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368"/>
      <c r="D456" s="368"/>
      <c r="E456" s="368"/>
      <c r="F456" s="368"/>
      <c r="G456" s="368"/>
      <c r="H456" s="368"/>
      <c r="I456" s="368"/>
      <c r="J456" s="368"/>
      <c r="K456" s="368"/>
      <c r="L456" s="368"/>
      <c r="M456" s="368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368"/>
      <c r="D457" s="368"/>
      <c r="E457" s="368"/>
      <c r="F457" s="368"/>
      <c r="G457" s="368"/>
      <c r="H457" s="368"/>
      <c r="I457" s="368"/>
      <c r="J457" s="368"/>
      <c r="K457" s="368"/>
      <c r="L457" s="368"/>
      <c r="M457" s="368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368"/>
      <c r="D458" s="368"/>
      <c r="E458" s="368"/>
      <c r="F458" s="368"/>
      <c r="G458" s="368"/>
      <c r="H458" s="368"/>
      <c r="I458" s="368"/>
      <c r="J458" s="368"/>
      <c r="K458" s="368"/>
      <c r="L458" s="368"/>
      <c r="M458" s="368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368"/>
      <c r="D459" s="368"/>
      <c r="E459" s="368"/>
      <c r="F459" s="368"/>
      <c r="G459" s="368"/>
      <c r="H459" s="368"/>
      <c r="I459" s="368"/>
      <c r="J459" s="368"/>
      <c r="K459" s="368"/>
      <c r="L459" s="368"/>
      <c r="M459" s="368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368"/>
      <c r="D460" s="368"/>
      <c r="E460" s="368"/>
      <c r="F460" s="368"/>
      <c r="G460" s="368"/>
      <c r="H460" s="368"/>
      <c r="I460" s="368"/>
      <c r="J460" s="368"/>
      <c r="K460" s="368"/>
      <c r="L460" s="368"/>
      <c r="M460" s="368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368"/>
      <c r="D461" s="368"/>
      <c r="E461" s="368"/>
      <c r="F461" s="368"/>
      <c r="G461" s="368"/>
      <c r="H461" s="368"/>
      <c r="I461" s="368"/>
      <c r="J461" s="368"/>
      <c r="K461" s="368"/>
      <c r="L461" s="368"/>
      <c r="M461" s="368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368"/>
      <c r="D462" s="368"/>
      <c r="E462" s="368"/>
      <c r="F462" s="368"/>
      <c r="G462" s="368"/>
      <c r="H462" s="368"/>
      <c r="I462" s="368"/>
      <c r="J462" s="368"/>
      <c r="K462" s="368"/>
      <c r="L462" s="368"/>
      <c r="M462" s="368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368"/>
      <c r="D463" s="368"/>
      <c r="E463" s="368"/>
      <c r="F463" s="368"/>
      <c r="G463" s="368"/>
      <c r="H463" s="368"/>
      <c r="I463" s="368"/>
      <c r="J463" s="368"/>
      <c r="K463" s="368"/>
      <c r="L463" s="368"/>
      <c r="M463" s="368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368"/>
      <c r="D464" s="368"/>
      <c r="E464" s="368"/>
      <c r="F464" s="368"/>
      <c r="G464" s="368"/>
      <c r="H464" s="368"/>
      <c r="I464" s="368"/>
      <c r="J464" s="368"/>
      <c r="K464" s="368"/>
      <c r="L464" s="368"/>
      <c r="M464" s="368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368"/>
      <c r="D465" s="368"/>
      <c r="E465" s="368"/>
      <c r="F465" s="368"/>
      <c r="G465" s="368"/>
      <c r="H465" s="368"/>
      <c r="I465" s="368"/>
      <c r="J465" s="368"/>
      <c r="K465" s="368"/>
      <c r="L465" s="368"/>
      <c r="M465" s="368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368"/>
      <c r="D466" s="368"/>
      <c r="E466" s="368"/>
      <c r="F466" s="368"/>
      <c r="G466" s="368"/>
      <c r="H466" s="368"/>
      <c r="I466" s="368"/>
      <c r="J466" s="368"/>
      <c r="K466" s="368"/>
      <c r="L466" s="368"/>
      <c r="M466" s="368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368"/>
      <c r="D467" s="368"/>
      <c r="E467" s="368"/>
      <c r="F467" s="368"/>
      <c r="G467" s="368"/>
      <c r="H467" s="368"/>
      <c r="I467" s="368"/>
      <c r="J467" s="368"/>
      <c r="K467" s="368"/>
      <c r="L467" s="368"/>
      <c r="M467" s="368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368"/>
      <c r="D468" s="368"/>
      <c r="E468" s="368"/>
      <c r="F468" s="368"/>
      <c r="G468" s="368"/>
      <c r="H468" s="368"/>
      <c r="I468" s="368"/>
      <c r="J468" s="368"/>
      <c r="K468" s="368"/>
      <c r="L468" s="368"/>
      <c r="M468" s="368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368"/>
      <c r="D470" s="368"/>
      <c r="E470" s="368"/>
      <c r="F470" s="368"/>
      <c r="G470" s="368"/>
      <c r="H470" s="368"/>
      <c r="I470" s="368"/>
      <c r="J470" s="368"/>
      <c r="K470" s="368"/>
      <c r="L470" s="368"/>
      <c r="M470" s="368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368"/>
      <c r="D471" s="368"/>
      <c r="E471" s="368"/>
      <c r="F471" s="368"/>
      <c r="G471" s="368"/>
      <c r="H471" s="368"/>
      <c r="I471" s="368"/>
      <c r="J471" s="368"/>
      <c r="K471" s="368"/>
      <c r="L471" s="368"/>
      <c r="M471" s="368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368"/>
      <c r="D472" s="368"/>
      <c r="E472" s="368"/>
      <c r="F472" s="368"/>
      <c r="G472" s="368"/>
      <c r="H472" s="368"/>
      <c r="I472" s="368"/>
      <c r="J472" s="368"/>
      <c r="K472" s="368"/>
      <c r="L472" s="368"/>
      <c r="M472" s="368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368"/>
      <c r="D473" s="368"/>
      <c r="E473" s="368"/>
      <c r="F473" s="368"/>
      <c r="G473" s="368"/>
      <c r="H473" s="368"/>
      <c r="I473" s="368"/>
      <c r="J473" s="368"/>
      <c r="K473" s="368"/>
      <c r="L473" s="368"/>
      <c r="M473" s="368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368"/>
      <c r="D474" s="368"/>
      <c r="E474" s="368"/>
      <c r="F474" s="368"/>
      <c r="G474" s="368"/>
      <c r="H474" s="368"/>
      <c r="I474" s="368"/>
      <c r="J474" s="368"/>
      <c r="K474" s="368"/>
      <c r="L474" s="368"/>
      <c r="M474" s="368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368"/>
      <c r="D475" s="368"/>
      <c r="E475" s="368"/>
      <c r="F475" s="368"/>
      <c r="G475" s="368"/>
      <c r="H475" s="368"/>
      <c r="I475" s="368"/>
      <c r="J475" s="368"/>
      <c r="K475" s="368"/>
      <c r="L475" s="368"/>
      <c r="M475" s="368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368"/>
      <c r="D476" s="368"/>
      <c r="E476" s="368"/>
      <c r="F476" s="368"/>
      <c r="G476" s="368"/>
      <c r="H476" s="368"/>
      <c r="I476" s="368"/>
      <c r="J476" s="368"/>
      <c r="K476" s="368"/>
      <c r="L476" s="368"/>
      <c r="M476" s="368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368"/>
      <c r="D477" s="368"/>
      <c r="E477" s="368"/>
      <c r="F477" s="368"/>
      <c r="G477" s="368"/>
      <c r="H477" s="368"/>
      <c r="I477" s="368"/>
      <c r="J477" s="368"/>
      <c r="K477" s="368"/>
      <c r="L477" s="368"/>
      <c r="M477" s="368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368"/>
      <c r="D478" s="368"/>
      <c r="E478" s="368"/>
      <c r="F478" s="368"/>
      <c r="G478" s="368"/>
      <c r="H478" s="368"/>
      <c r="I478" s="368"/>
      <c r="J478" s="368"/>
      <c r="K478" s="368"/>
      <c r="L478" s="368"/>
      <c r="M478" s="368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368"/>
      <c r="D479" s="368"/>
      <c r="E479" s="368"/>
      <c r="F479" s="368"/>
      <c r="G479" s="368"/>
      <c r="H479" s="368"/>
      <c r="I479" s="368"/>
      <c r="J479" s="368"/>
      <c r="K479" s="368"/>
      <c r="L479" s="368"/>
      <c r="M479" s="368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368"/>
      <c r="D481" s="368"/>
      <c r="E481" s="368"/>
      <c r="F481" s="368"/>
      <c r="G481" s="368"/>
      <c r="H481" s="368"/>
      <c r="I481" s="368"/>
      <c r="J481" s="368"/>
      <c r="K481" s="368"/>
      <c r="L481" s="368"/>
      <c r="M481" s="368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368"/>
      <c r="D482" s="368"/>
      <c r="E482" s="368"/>
      <c r="F482" s="368"/>
      <c r="G482" s="368"/>
      <c r="H482" s="368"/>
      <c r="I482" s="368"/>
      <c r="J482" s="368"/>
      <c r="K482" s="368"/>
      <c r="L482" s="368"/>
      <c r="M482" s="368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368"/>
      <c r="D483" s="368"/>
      <c r="E483" s="368"/>
      <c r="F483" s="368"/>
      <c r="G483" s="368"/>
      <c r="H483" s="368"/>
      <c r="I483" s="368"/>
      <c r="J483" s="368"/>
      <c r="K483" s="368"/>
      <c r="L483" s="368"/>
      <c r="M483" s="368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368"/>
      <c r="D484" s="368"/>
      <c r="E484" s="368"/>
      <c r="F484" s="368"/>
      <c r="G484" s="368"/>
      <c r="H484" s="368"/>
      <c r="I484" s="368"/>
      <c r="J484" s="368"/>
      <c r="K484" s="368"/>
      <c r="L484" s="368"/>
      <c r="M484" s="368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368"/>
      <c r="D485" s="368"/>
      <c r="E485" s="368"/>
      <c r="F485" s="368"/>
      <c r="G485" s="368"/>
      <c r="H485" s="368"/>
      <c r="I485" s="368"/>
      <c r="J485" s="368"/>
      <c r="K485" s="368"/>
      <c r="L485" s="368"/>
      <c r="M485" s="368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368"/>
      <c r="D486" s="368"/>
      <c r="E486" s="368"/>
      <c r="F486" s="368"/>
      <c r="G486" s="368"/>
      <c r="H486" s="368"/>
      <c r="I486" s="368"/>
      <c r="J486" s="368"/>
      <c r="K486" s="368"/>
      <c r="L486" s="368"/>
      <c r="M486" s="368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368"/>
      <c r="D487" s="368"/>
      <c r="E487" s="368"/>
      <c r="F487" s="368"/>
      <c r="G487" s="368"/>
      <c r="H487" s="368"/>
      <c r="I487" s="368"/>
      <c r="J487" s="368"/>
      <c r="K487" s="368"/>
      <c r="L487" s="368"/>
      <c r="M487" s="368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368"/>
      <c r="D488" s="368"/>
      <c r="E488" s="368"/>
      <c r="F488" s="368"/>
      <c r="G488" s="368"/>
      <c r="H488" s="368"/>
      <c r="I488" s="368"/>
      <c r="J488" s="368"/>
      <c r="K488" s="368"/>
      <c r="L488" s="368"/>
      <c r="M488" s="368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368"/>
      <c r="D489" s="368"/>
      <c r="E489" s="368"/>
      <c r="F489" s="368"/>
      <c r="G489" s="368"/>
      <c r="H489" s="368"/>
      <c r="I489" s="368"/>
      <c r="J489" s="368"/>
      <c r="K489" s="368"/>
      <c r="L489" s="368"/>
      <c r="M489" s="368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368"/>
      <c r="D490" s="368"/>
      <c r="E490" s="368"/>
      <c r="F490" s="368"/>
      <c r="G490" s="368"/>
      <c r="H490" s="368"/>
      <c r="I490" s="368"/>
      <c r="J490" s="368"/>
      <c r="K490" s="368"/>
      <c r="L490" s="368"/>
      <c r="M490" s="368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368"/>
      <c r="D491" s="368"/>
      <c r="E491" s="368"/>
      <c r="F491" s="368"/>
      <c r="G491" s="368"/>
      <c r="H491" s="368"/>
      <c r="I491" s="368"/>
      <c r="J491" s="368"/>
      <c r="K491" s="368"/>
      <c r="L491" s="368"/>
      <c r="M491" s="368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368"/>
      <c r="D492" s="368"/>
      <c r="E492" s="368"/>
      <c r="F492" s="368"/>
      <c r="G492" s="368"/>
      <c r="H492" s="368"/>
      <c r="I492" s="368"/>
      <c r="J492" s="368"/>
      <c r="K492" s="368"/>
      <c r="L492" s="368"/>
      <c r="M492" s="368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368"/>
      <c r="D493" s="368"/>
      <c r="E493" s="368"/>
      <c r="F493" s="368"/>
      <c r="G493" s="368"/>
      <c r="H493" s="368"/>
      <c r="I493" s="368"/>
      <c r="J493" s="368"/>
      <c r="K493" s="368"/>
      <c r="L493" s="368"/>
      <c r="M493" s="368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368"/>
      <c r="D494" s="368"/>
      <c r="E494" s="368"/>
      <c r="F494" s="368"/>
      <c r="G494" s="368"/>
      <c r="H494" s="368"/>
      <c r="I494" s="368"/>
      <c r="J494" s="368"/>
      <c r="K494" s="368"/>
      <c r="L494" s="368"/>
      <c r="M494" s="368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368"/>
      <c r="D495" s="368"/>
      <c r="E495" s="368"/>
      <c r="F495" s="368"/>
      <c r="G495" s="368"/>
      <c r="H495" s="368"/>
      <c r="I495" s="368"/>
      <c r="J495" s="368"/>
      <c r="K495" s="368"/>
      <c r="L495" s="368"/>
      <c r="M495" s="368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368"/>
      <c r="D496" s="368"/>
      <c r="E496" s="368"/>
      <c r="F496" s="368"/>
      <c r="G496" s="368"/>
      <c r="H496" s="368"/>
      <c r="I496" s="368"/>
      <c r="J496" s="368"/>
      <c r="K496" s="368"/>
      <c r="L496" s="368"/>
      <c r="M496" s="368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368"/>
      <c r="D497" s="368"/>
      <c r="E497" s="368"/>
      <c r="F497" s="368"/>
      <c r="G497" s="368"/>
      <c r="H497" s="368"/>
      <c r="I497" s="368"/>
      <c r="J497" s="368"/>
      <c r="K497" s="368"/>
      <c r="L497" s="368"/>
      <c r="M497" s="368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368"/>
      <c r="D498" s="368"/>
      <c r="E498" s="368"/>
      <c r="F498" s="368"/>
      <c r="G498" s="368"/>
      <c r="H498" s="368"/>
      <c r="I498" s="368"/>
      <c r="J498" s="368"/>
      <c r="K498" s="368"/>
      <c r="L498" s="368"/>
      <c r="M498" s="368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368"/>
      <c r="D500" s="368"/>
      <c r="E500" s="368"/>
      <c r="F500" s="368"/>
      <c r="G500" s="368"/>
      <c r="H500" s="368"/>
      <c r="I500" s="368"/>
      <c r="J500" s="368"/>
      <c r="K500" s="368"/>
      <c r="L500" s="368"/>
      <c r="M500" s="368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368"/>
      <c r="D502" s="368"/>
      <c r="E502" s="368"/>
      <c r="F502" s="368"/>
      <c r="G502" s="368"/>
      <c r="H502" s="368"/>
      <c r="I502" s="368"/>
      <c r="J502" s="368"/>
      <c r="K502" s="368"/>
      <c r="L502" s="368"/>
      <c r="M502" s="368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368"/>
      <c r="D503" s="368"/>
      <c r="E503" s="368"/>
      <c r="F503" s="368"/>
      <c r="G503" s="368"/>
      <c r="H503" s="368"/>
      <c r="I503" s="368"/>
      <c r="J503" s="368"/>
      <c r="K503" s="368"/>
      <c r="L503" s="368"/>
      <c r="M503" s="368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368"/>
      <c r="D504" s="368"/>
      <c r="E504" s="368"/>
      <c r="F504" s="368"/>
      <c r="G504" s="368"/>
      <c r="H504" s="368"/>
      <c r="I504" s="368"/>
      <c r="J504" s="368"/>
      <c r="K504" s="368"/>
      <c r="L504" s="368"/>
      <c r="M504" s="368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368"/>
      <c r="D505" s="368"/>
      <c r="E505" s="368"/>
      <c r="F505" s="368"/>
      <c r="G505" s="368"/>
      <c r="H505" s="368"/>
      <c r="I505" s="368"/>
      <c r="J505" s="368"/>
      <c r="K505" s="368"/>
      <c r="L505" s="368"/>
      <c r="M505" s="368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368"/>
      <c r="D506" s="368"/>
      <c r="E506" s="368"/>
      <c r="F506" s="368"/>
      <c r="G506" s="368"/>
      <c r="H506" s="368"/>
      <c r="I506" s="368"/>
      <c r="J506" s="368"/>
      <c r="K506" s="368"/>
      <c r="L506" s="368"/>
      <c r="M506" s="368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368"/>
      <c r="D507" s="368"/>
      <c r="E507" s="368"/>
      <c r="F507" s="368"/>
      <c r="G507" s="368"/>
      <c r="H507" s="368"/>
      <c r="I507" s="368"/>
      <c r="J507" s="368"/>
      <c r="K507" s="368"/>
      <c r="L507" s="368"/>
      <c r="M507" s="368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368"/>
      <c r="D508" s="368"/>
      <c r="E508" s="368"/>
      <c r="F508" s="368"/>
      <c r="G508" s="368"/>
      <c r="H508" s="368"/>
      <c r="I508" s="368"/>
      <c r="J508" s="368"/>
      <c r="K508" s="368"/>
      <c r="L508" s="368"/>
      <c r="M508" s="368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368"/>
      <c r="D509" s="368"/>
      <c r="E509" s="368"/>
      <c r="F509" s="368"/>
      <c r="G509" s="368"/>
      <c r="H509" s="368"/>
      <c r="I509" s="368"/>
      <c r="J509" s="368"/>
      <c r="K509" s="368"/>
      <c r="L509" s="368"/>
      <c r="M509" s="368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368"/>
      <c r="D510" s="368"/>
      <c r="E510" s="368"/>
      <c r="F510" s="368"/>
      <c r="G510" s="368"/>
      <c r="H510" s="368"/>
      <c r="I510" s="368"/>
      <c r="J510" s="368"/>
      <c r="K510" s="368"/>
      <c r="L510" s="368"/>
      <c r="M510" s="368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368"/>
      <c r="D511" s="368"/>
      <c r="E511" s="368"/>
      <c r="F511" s="368"/>
      <c r="G511" s="368"/>
      <c r="H511" s="368"/>
      <c r="I511" s="368"/>
      <c r="J511" s="368"/>
      <c r="K511" s="368"/>
      <c r="L511" s="368"/>
      <c r="M511" s="368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368"/>
      <c r="D512" s="368"/>
      <c r="E512" s="368"/>
      <c r="F512" s="368"/>
      <c r="G512" s="368"/>
      <c r="H512" s="368"/>
      <c r="I512" s="368"/>
      <c r="J512" s="368"/>
      <c r="K512" s="368"/>
      <c r="L512" s="368"/>
      <c r="M512" s="368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368"/>
      <c r="D513" s="368"/>
      <c r="E513" s="368"/>
      <c r="F513" s="368"/>
      <c r="G513" s="368"/>
      <c r="H513" s="368"/>
      <c r="I513" s="368"/>
      <c r="J513" s="368"/>
      <c r="K513" s="368"/>
      <c r="L513" s="368"/>
      <c r="M513" s="368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368"/>
      <c r="D514" s="368"/>
      <c r="E514" s="368"/>
      <c r="F514" s="368"/>
      <c r="G514" s="368"/>
      <c r="H514" s="368"/>
      <c r="I514" s="368"/>
      <c r="J514" s="368"/>
      <c r="K514" s="368"/>
      <c r="L514" s="368"/>
      <c r="M514" s="368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368"/>
      <c r="D515" s="368"/>
      <c r="E515" s="368"/>
      <c r="F515" s="368"/>
      <c r="G515" s="368"/>
      <c r="H515" s="368"/>
      <c r="I515" s="368"/>
      <c r="J515" s="368"/>
      <c r="K515" s="368"/>
      <c r="L515" s="368"/>
      <c r="M515" s="368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368"/>
      <c r="D516" s="368"/>
      <c r="E516" s="368"/>
      <c r="F516" s="368"/>
      <c r="G516" s="368"/>
      <c r="H516" s="368"/>
      <c r="I516" s="368"/>
      <c r="J516" s="368"/>
      <c r="K516" s="368"/>
      <c r="L516" s="368"/>
      <c r="M516" s="368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368"/>
      <c r="D517" s="368"/>
      <c r="E517" s="368"/>
      <c r="F517" s="368"/>
      <c r="G517" s="368"/>
      <c r="H517" s="368"/>
      <c r="I517" s="368"/>
      <c r="J517" s="368"/>
      <c r="K517" s="368"/>
      <c r="L517" s="368"/>
      <c r="M517" s="368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368"/>
      <c r="D518" s="368"/>
      <c r="E518" s="368"/>
      <c r="F518" s="368"/>
      <c r="G518" s="368"/>
      <c r="H518" s="368"/>
      <c r="I518" s="368"/>
      <c r="J518" s="368"/>
      <c r="K518" s="368"/>
      <c r="L518" s="368"/>
      <c r="M518" s="368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368"/>
      <c r="D519" s="368"/>
      <c r="E519" s="368"/>
      <c r="F519" s="368"/>
      <c r="G519" s="368"/>
      <c r="H519" s="368"/>
      <c r="I519" s="368"/>
      <c r="J519" s="368"/>
      <c r="K519" s="368"/>
      <c r="L519" s="368"/>
      <c r="M519" s="368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368"/>
      <c r="D520" s="368"/>
      <c r="E520" s="368"/>
      <c r="F520" s="368"/>
      <c r="G520" s="368"/>
      <c r="H520" s="368"/>
      <c r="I520" s="368"/>
      <c r="J520" s="368"/>
      <c r="K520" s="368"/>
      <c r="L520" s="368"/>
      <c r="M520" s="368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368"/>
      <c r="D521" s="368"/>
      <c r="E521" s="368"/>
      <c r="F521" s="368"/>
      <c r="G521" s="368"/>
      <c r="H521" s="368"/>
      <c r="I521" s="368"/>
      <c r="J521" s="368"/>
      <c r="K521" s="368"/>
      <c r="L521" s="368"/>
      <c r="M521" s="368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368"/>
      <c r="D522" s="368"/>
      <c r="E522" s="368"/>
      <c r="F522" s="368"/>
      <c r="G522" s="368"/>
      <c r="H522" s="368"/>
      <c r="I522" s="368"/>
      <c r="J522" s="368"/>
      <c r="K522" s="368"/>
      <c r="L522" s="368"/>
      <c r="M522" s="368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368"/>
      <c r="D524" s="368"/>
      <c r="E524" s="368"/>
      <c r="F524" s="368"/>
      <c r="G524" s="368"/>
      <c r="H524" s="368"/>
      <c r="I524" s="368"/>
      <c r="J524" s="368"/>
      <c r="K524" s="368"/>
      <c r="L524" s="368"/>
      <c r="M524" s="368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368"/>
      <c r="D525" s="368"/>
      <c r="E525" s="368"/>
      <c r="F525" s="368"/>
      <c r="G525" s="368"/>
      <c r="H525" s="368"/>
      <c r="I525" s="368"/>
      <c r="J525" s="368"/>
      <c r="K525" s="368"/>
      <c r="L525" s="368"/>
      <c r="M525" s="368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368"/>
      <c r="D526" s="368"/>
      <c r="E526" s="368"/>
      <c r="F526" s="368"/>
      <c r="G526" s="368"/>
      <c r="H526" s="368"/>
      <c r="I526" s="368"/>
      <c r="J526" s="368"/>
      <c r="K526" s="368"/>
      <c r="L526" s="368"/>
      <c r="M526" s="368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368"/>
      <c r="D527" s="368"/>
      <c r="E527" s="368"/>
      <c r="F527" s="368"/>
      <c r="G527" s="368"/>
      <c r="H527" s="368"/>
      <c r="I527" s="368"/>
      <c r="J527" s="368"/>
      <c r="K527" s="368"/>
      <c r="L527" s="368"/>
      <c r="M527" s="368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368"/>
      <c r="D528" s="368"/>
      <c r="E528" s="368"/>
      <c r="F528" s="368"/>
      <c r="G528" s="368"/>
      <c r="H528" s="368"/>
      <c r="I528" s="368"/>
      <c r="J528" s="368"/>
      <c r="K528" s="368"/>
      <c r="L528" s="368"/>
      <c r="M528" s="368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368"/>
      <c r="D529" s="368"/>
      <c r="E529" s="368"/>
      <c r="F529" s="368"/>
      <c r="G529" s="368"/>
      <c r="H529" s="368"/>
      <c r="I529" s="368"/>
      <c r="J529" s="368"/>
      <c r="K529" s="368"/>
      <c r="L529" s="368"/>
      <c r="M529" s="368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368"/>
      <c r="D530" s="368"/>
      <c r="E530" s="368"/>
      <c r="F530" s="368"/>
      <c r="G530" s="368"/>
      <c r="H530" s="368"/>
      <c r="I530" s="368"/>
      <c r="J530" s="368"/>
      <c r="K530" s="368"/>
      <c r="L530" s="368"/>
      <c r="M530" s="368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368"/>
      <c r="D531" s="368"/>
      <c r="E531" s="368"/>
      <c r="F531" s="368"/>
      <c r="G531" s="368"/>
      <c r="H531" s="368"/>
      <c r="I531" s="368"/>
      <c r="J531" s="368"/>
      <c r="K531" s="368"/>
      <c r="L531" s="368"/>
      <c r="M531" s="368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368"/>
      <c r="D532" s="368"/>
      <c r="E532" s="368"/>
      <c r="F532" s="368"/>
      <c r="G532" s="368"/>
      <c r="H532" s="368"/>
      <c r="I532" s="368"/>
      <c r="J532" s="368"/>
      <c r="K532" s="368"/>
      <c r="L532" s="368"/>
      <c r="M532" s="368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368"/>
      <c r="D533" s="368"/>
      <c r="E533" s="368"/>
      <c r="F533" s="368"/>
      <c r="G533" s="368"/>
      <c r="H533" s="368"/>
      <c r="I533" s="368"/>
      <c r="J533" s="368"/>
      <c r="K533" s="368"/>
      <c r="L533" s="368"/>
      <c r="M533" s="368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368"/>
      <c r="D534" s="368"/>
      <c r="E534" s="368"/>
      <c r="F534" s="368"/>
      <c r="G534" s="368"/>
      <c r="H534" s="368"/>
      <c r="I534" s="368"/>
      <c r="J534" s="368"/>
      <c r="K534" s="368"/>
      <c r="L534" s="368"/>
      <c r="M534" s="368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368"/>
      <c r="D535" s="368"/>
      <c r="E535" s="368"/>
      <c r="F535" s="368"/>
      <c r="G535" s="368"/>
      <c r="H535" s="368"/>
      <c r="I535" s="368"/>
      <c r="J535" s="368"/>
      <c r="K535" s="368"/>
      <c r="L535" s="368"/>
      <c r="M535" s="368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368"/>
      <c r="D536" s="368"/>
      <c r="E536" s="368"/>
      <c r="F536" s="368"/>
      <c r="G536" s="368"/>
      <c r="H536" s="368"/>
      <c r="I536" s="368"/>
      <c r="J536" s="368"/>
      <c r="K536" s="368"/>
      <c r="L536" s="368"/>
      <c r="M536" s="368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368"/>
      <c r="D537" s="368"/>
      <c r="E537" s="368"/>
      <c r="F537" s="368"/>
      <c r="G537" s="368"/>
      <c r="H537" s="368"/>
      <c r="I537" s="368"/>
      <c r="J537" s="368"/>
      <c r="K537" s="368"/>
      <c r="L537" s="368"/>
      <c r="M537" s="368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368"/>
      <c r="D538" s="368"/>
      <c r="E538" s="368"/>
      <c r="F538" s="368"/>
      <c r="G538" s="368"/>
      <c r="H538" s="368"/>
      <c r="I538" s="368"/>
      <c r="J538" s="368"/>
      <c r="K538" s="368"/>
      <c r="L538" s="368"/>
      <c r="M538" s="368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368"/>
      <c r="D539" s="368"/>
      <c r="E539" s="368"/>
      <c r="F539" s="368"/>
      <c r="G539" s="368"/>
      <c r="H539" s="368"/>
      <c r="I539" s="368"/>
      <c r="J539" s="368"/>
      <c r="K539" s="368"/>
      <c r="L539" s="368"/>
      <c r="M539" s="368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368"/>
      <c r="D540" s="368"/>
      <c r="E540" s="368"/>
      <c r="F540" s="368"/>
      <c r="G540" s="368"/>
      <c r="H540" s="368"/>
      <c r="I540" s="368"/>
      <c r="J540" s="368"/>
      <c r="K540" s="368"/>
      <c r="L540" s="368"/>
      <c r="M540" s="368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368"/>
      <c r="D541" s="368"/>
      <c r="E541" s="368"/>
      <c r="F541" s="368"/>
      <c r="G541" s="368"/>
      <c r="H541" s="368"/>
      <c r="I541" s="368"/>
      <c r="J541" s="368"/>
      <c r="K541" s="368"/>
      <c r="L541" s="368"/>
      <c r="M541" s="368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368"/>
      <c r="D542" s="368"/>
      <c r="E542" s="368"/>
      <c r="F542" s="368"/>
      <c r="G542" s="368"/>
      <c r="H542" s="368"/>
      <c r="I542" s="368"/>
      <c r="J542" s="368"/>
      <c r="K542" s="368"/>
      <c r="L542" s="368"/>
      <c r="M542" s="368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368"/>
      <c r="D543" s="368"/>
      <c r="E543" s="368"/>
      <c r="F543" s="368"/>
      <c r="G543" s="368"/>
      <c r="H543" s="368"/>
      <c r="I543" s="368"/>
      <c r="J543" s="368"/>
      <c r="K543" s="368"/>
      <c r="L543" s="368"/>
      <c r="M543" s="368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368"/>
      <c r="D544" s="368"/>
      <c r="E544" s="368"/>
      <c r="F544" s="368"/>
      <c r="G544" s="368"/>
      <c r="H544" s="368"/>
      <c r="I544" s="368"/>
      <c r="J544" s="368"/>
      <c r="K544" s="368"/>
      <c r="L544" s="368"/>
      <c r="M544" s="368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368"/>
      <c r="D545" s="368"/>
      <c r="E545" s="368"/>
      <c r="F545" s="368"/>
      <c r="G545" s="368"/>
      <c r="H545" s="368"/>
      <c r="I545" s="368"/>
      <c r="J545" s="368"/>
      <c r="K545" s="368"/>
      <c r="L545" s="368"/>
      <c r="M545" s="368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368"/>
      <c r="D546" s="368"/>
      <c r="E546" s="368"/>
      <c r="F546" s="368"/>
      <c r="G546" s="368"/>
      <c r="H546" s="368"/>
      <c r="I546" s="368"/>
      <c r="J546" s="368"/>
      <c r="K546" s="368"/>
      <c r="L546" s="368"/>
      <c r="M546" s="368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368"/>
      <c r="D547" s="368"/>
      <c r="E547" s="368"/>
      <c r="F547" s="368"/>
      <c r="G547" s="368"/>
      <c r="H547" s="368"/>
      <c r="I547" s="368"/>
      <c r="J547" s="368"/>
      <c r="K547" s="368"/>
      <c r="L547" s="368"/>
      <c r="M547" s="368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368"/>
      <c r="D548" s="368"/>
      <c r="E548" s="368"/>
      <c r="F548" s="368"/>
      <c r="G548" s="368"/>
      <c r="H548" s="368"/>
      <c r="I548" s="368"/>
      <c r="J548" s="368"/>
      <c r="K548" s="368"/>
      <c r="L548" s="368"/>
      <c r="M548" s="368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368"/>
      <c r="D549" s="368"/>
      <c r="E549" s="368"/>
      <c r="F549" s="368"/>
      <c r="G549" s="368"/>
      <c r="H549" s="368"/>
      <c r="I549" s="368"/>
      <c r="J549" s="368"/>
      <c r="K549" s="368"/>
      <c r="L549" s="368"/>
      <c r="M549" s="368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368"/>
      <c r="D550" s="368"/>
      <c r="E550" s="368"/>
      <c r="F550" s="368"/>
      <c r="G550" s="368"/>
      <c r="H550" s="368"/>
      <c r="I550" s="368"/>
      <c r="J550" s="368"/>
      <c r="K550" s="368"/>
      <c r="L550" s="368"/>
      <c r="M550" s="368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368"/>
      <c r="D551" s="368"/>
      <c r="E551" s="368"/>
      <c r="F551" s="368"/>
      <c r="G551" s="368"/>
      <c r="H551" s="368"/>
      <c r="I551" s="368"/>
      <c r="J551" s="368"/>
      <c r="K551" s="368"/>
      <c r="L551" s="368"/>
      <c r="M551" s="368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368"/>
      <c r="D552" s="368"/>
      <c r="E552" s="368"/>
      <c r="F552" s="368"/>
      <c r="G552" s="368"/>
      <c r="H552" s="368"/>
      <c r="I552" s="368"/>
      <c r="J552" s="368"/>
      <c r="K552" s="368"/>
      <c r="L552" s="368"/>
      <c r="M552" s="368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368"/>
      <c r="D553" s="368"/>
      <c r="E553" s="368"/>
      <c r="F553" s="368"/>
      <c r="G553" s="368"/>
      <c r="H553" s="368"/>
      <c r="I553" s="368"/>
      <c r="J553" s="368"/>
      <c r="K553" s="368"/>
      <c r="L553" s="368"/>
      <c r="M553" s="368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368"/>
      <c r="D554" s="368"/>
      <c r="E554" s="368"/>
      <c r="F554" s="368"/>
      <c r="G554" s="368"/>
      <c r="H554" s="368"/>
      <c r="I554" s="368"/>
      <c r="J554" s="368"/>
      <c r="K554" s="368"/>
      <c r="L554" s="368"/>
      <c r="M554" s="368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368"/>
      <c r="D555" s="368"/>
      <c r="E555" s="368"/>
      <c r="F555" s="368"/>
      <c r="G555" s="368"/>
      <c r="H555" s="368"/>
      <c r="I555" s="368"/>
      <c r="J555" s="368"/>
      <c r="K555" s="368"/>
      <c r="L555" s="368"/>
      <c r="M555" s="368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368"/>
      <c r="D556" s="368"/>
      <c r="E556" s="368"/>
      <c r="F556" s="368"/>
      <c r="G556" s="368"/>
      <c r="H556" s="368"/>
      <c r="I556" s="368"/>
      <c r="J556" s="368"/>
      <c r="K556" s="368"/>
      <c r="L556" s="368"/>
      <c r="M556" s="368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368"/>
      <c r="D557" s="368"/>
      <c r="E557" s="368"/>
      <c r="F557" s="368"/>
      <c r="G557" s="368"/>
      <c r="H557" s="368"/>
      <c r="I557" s="368"/>
      <c r="J557" s="368"/>
      <c r="K557" s="368"/>
      <c r="L557" s="368"/>
      <c r="M557" s="368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368"/>
      <c r="D558" s="368"/>
      <c r="E558" s="368"/>
      <c r="F558" s="368"/>
      <c r="G558" s="368"/>
      <c r="H558" s="368"/>
      <c r="I558" s="368"/>
      <c r="J558" s="368"/>
      <c r="K558" s="368"/>
      <c r="L558" s="368"/>
      <c r="M558" s="368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368"/>
      <c r="D559" s="368"/>
      <c r="E559" s="368"/>
      <c r="F559" s="368"/>
      <c r="G559" s="368"/>
      <c r="H559" s="368"/>
      <c r="I559" s="368"/>
      <c r="J559" s="368"/>
      <c r="K559" s="368"/>
      <c r="L559" s="368"/>
      <c r="M559" s="368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368"/>
      <c r="D560" s="368"/>
      <c r="E560" s="368"/>
      <c r="F560" s="368"/>
      <c r="G560" s="368"/>
      <c r="H560" s="368"/>
      <c r="I560" s="368"/>
      <c r="J560" s="368"/>
      <c r="K560" s="368"/>
      <c r="L560" s="368"/>
      <c r="M560" s="368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368"/>
      <c r="D561" s="368"/>
      <c r="E561" s="368"/>
      <c r="F561" s="368"/>
      <c r="G561" s="368"/>
      <c r="H561" s="368"/>
      <c r="I561" s="368"/>
      <c r="J561" s="368"/>
      <c r="K561" s="368"/>
      <c r="L561" s="368"/>
      <c r="M561" s="368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368"/>
      <c r="D562" s="368"/>
      <c r="E562" s="368"/>
      <c r="F562" s="368"/>
      <c r="G562" s="368"/>
      <c r="H562" s="368"/>
      <c r="I562" s="368"/>
      <c r="J562" s="368"/>
      <c r="K562" s="368"/>
      <c r="L562" s="368"/>
      <c r="M562" s="368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368"/>
      <c r="D563" s="368"/>
      <c r="E563" s="368"/>
      <c r="F563" s="368"/>
      <c r="G563" s="368"/>
      <c r="H563" s="368"/>
      <c r="I563" s="368"/>
      <c r="J563" s="368"/>
      <c r="K563" s="368"/>
      <c r="L563" s="368"/>
      <c r="M563" s="368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368"/>
      <c r="D564" s="368"/>
      <c r="E564" s="368"/>
      <c r="F564" s="368"/>
      <c r="G564" s="368"/>
      <c r="H564" s="368"/>
      <c r="I564" s="368"/>
      <c r="J564" s="368"/>
      <c r="K564" s="368"/>
      <c r="L564" s="368"/>
      <c r="M564" s="368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368"/>
      <c r="D565" s="368"/>
      <c r="E565" s="368"/>
      <c r="F565" s="368"/>
      <c r="G565" s="368"/>
      <c r="H565" s="368"/>
      <c r="I565" s="368"/>
      <c r="J565" s="368"/>
      <c r="K565" s="368"/>
      <c r="L565" s="368"/>
      <c r="M565" s="368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368"/>
      <c r="D566" s="368"/>
      <c r="E566" s="368"/>
      <c r="F566" s="368"/>
      <c r="G566" s="368"/>
      <c r="H566" s="368"/>
      <c r="I566" s="368"/>
      <c r="J566" s="368"/>
      <c r="K566" s="368"/>
      <c r="L566" s="368"/>
      <c r="M566" s="368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368"/>
      <c r="D567" s="368"/>
      <c r="E567" s="368"/>
      <c r="F567" s="368"/>
      <c r="G567" s="368"/>
      <c r="H567" s="368"/>
      <c r="I567" s="368"/>
      <c r="J567" s="368"/>
      <c r="K567" s="368"/>
      <c r="L567" s="368"/>
      <c r="M567" s="368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368"/>
      <c r="D568" s="368"/>
      <c r="E568" s="368"/>
      <c r="F568" s="368"/>
      <c r="G568" s="368"/>
      <c r="H568" s="368"/>
      <c r="I568" s="368"/>
      <c r="J568" s="368"/>
      <c r="K568" s="368"/>
      <c r="L568" s="368"/>
      <c r="M568" s="368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368"/>
      <c r="D569" s="368"/>
      <c r="E569" s="368"/>
      <c r="F569" s="368"/>
      <c r="G569" s="368"/>
      <c r="H569" s="368"/>
      <c r="I569" s="368"/>
      <c r="J569" s="368"/>
      <c r="K569" s="368"/>
      <c r="L569" s="368"/>
      <c r="M569" s="368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368"/>
      <c r="D570" s="368"/>
      <c r="E570" s="368"/>
      <c r="F570" s="368"/>
      <c r="G570" s="368"/>
      <c r="H570" s="368"/>
      <c r="I570" s="368"/>
      <c r="J570" s="368"/>
      <c r="K570" s="368"/>
      <c r="L570" s="368"/>
      <c r="M570" s="368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368"/>
      <c r="D571" s="368"/>
      <c r="E571" s="368"/>
      <c r="F571" s="368"/>
      <c r="G571" s="368"/>
      <c r="H571" s="368"/>
      <c r="I571" s="368"/>
      <c r="J571" s="368"/>
      <c r="K571" s="368"/>
      <c r="L571" s="368"/>
      <c r="M571" s="368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368"/>
      <c r="D572" s="368"/>
      <c r="E572" s="368"/>
      <c r="F572" s="368"/>
      <c r="G572" s="368"/>
      <c r="H572" s="368"/>
      <c r="I572" s="368"/>
      <c r="J572" s="368"/>
      <c r="K572" s="368"/>
      <c r="L572" s="368"/>
      <c r="M572" s="368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368"/>
      <c r="D573" s="368"/>
      <c r="E573" s="368"/>
      <c r="F573" s="368"/>
      <c r="G573" s="368"/>
      <c r="H573" s="368"/>
      <c r="I573" s="368"/>
      <c r="J573" s="368"/>
      <c r="K573" s="368"/>
      <c r="L573" s="368"/>
      <c r="M573" s="368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368"/>
      <c r="D574" s="368"/>
      <c r="E574" s="368"/>
      <c r="F574" s="368"/>
      <c r="G574" s="368"/>
      <c r="H574" s="368"/>
      <c r="I574" s="368"/>
      <c r="J574" s="368"/>
      <c r="K574" s="368"/>
      <c r="L574" s="368"/>
      <c r="M574" s="368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368"/>
      <c r="D575" s="368"/>
      <c r="E575" s="368"/>
      <c r="F575" s="368"/>
      <c r="G575" s="368"/>
      <c r="H575" s="368"/>
      <c r="I575" s="368"/>
      <c r="J575" s="368"/>
      <c r="K575" s="368"/>
      <c r="L575" s="368"/>
      <c r="M575" s="368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368"/>
      <c r="D576" s="368"/>
      <c r="E576" s="368"/>
      <c r="F576" s="368"/>
      <c r="G576" s="368"/>
      <c r="H576" s="368"/>
      <c r="I576" s="368"/>
      <c r="J576" s="368"/>
      <c r="K576" s="368"/>
      <c r="L576" s="368"/>
      <c r="M576" s="368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368"/>
      <c r="D577" s="368"/>
      <c r="E577" s="368"/>
      <c r="F577" s="368"/>
      <c r="G577" s="368"/>
      <c r="H577" s="368"/>
      <c r="I577" s="368"/>
      <c r="J577" s="368"/>
      <c r="K577" s="368"/>
      <c r="L577" s="368"/>
      <c r="M577" s="368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368"/>
      <c r="D578" s="368"/>
      <c r="E578" s="368"/>
      <c r="F578" s="368"/>
      <c r="G578" s="368"/>
      <c r="H578" s="368"/>
      <c r="I578" s="368"/>
      <c r="J578" s="368"/>
      <c r="K578" s="368"/>
      <c r="L578" s="368"/>
      <c r="M578" s="368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368"/>
      <c r="D579" s="368"/>
      <c r="E579" s="368"/>
      <c r="F579" s="368"/>
      <c r="G579" s="368"/>
      <c r="H579" s="368"/>
      <c r="I579" s="368"/>
      <c r="J579" s="368"/>
      <c r="K579" s="368"/>
      <c r="L579" s="368"/>
      <c r="M579" s="368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368"/>
      <c r="D580" s="368"/>
      <c r="E580" s="368"/>
      <c r="F580" s="368"/>
      <c r="G580" s="368"/>
      <c r="H580" s="368"/>
      <c r="I580" s="368"/>
      <c r="J580" s="368"/>
      <c r="K580" s="368"/>
      <c r="L580" s="368"/>
      <c r="M580" s="368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368"/>
      <c r="D581" s="368"/>
      <c r="E581" s="368"/>
      <c r="F581" s="368"/>
      <c r="G581" s="368"/>
      <c r="H581" s="368"/>
      <c r="I581" s="368"/>
      <c r="J581" s="368"/>
      <c r="K581" s="368"/>
      <c r="L581" s="368"/>
      <c r="M581" s="368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368"/>
      <c r="D582" s="368"/>
      <c r="E582" s="368"/>
      <c r="F582" s="368"/>
      <c r="G582" s="368"/>
      <c r="H582" s="368"/>
      <c r="I582" s="368"/>
      <c r="J582" s="368"/>
      <c r="K582" s="368"/>
      <c r="L582" s="368"/>
      <c r="M582" s="368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368"/>
      <c r="D583" s="368"/>
      <c r="E583" s="368"/>
      <c r="F583" s="368"/>
      <c r="G583" s="368"/>
      <c r="H583" s="368"/>
      <c r="I583" s="368"/>
      <c r="J583" s="368"/>
      <c r="K583" s="368"/>
      <c r="L583" s="368"/>
      <c r="M583" s="368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368"/>
      <c r="D584" s="368"/>
      <c r="E584" s="368"/>
      <c r="F584" s="368"/>
      <c r="G584" s="368"/>
      <c r="H584" s="368"/>
      <c r="I584" s="368"/>
      <c r="J584" s="368"/>
      <c r="K584" s="368"/>
      <c r="L584" s="368"/>
      <c r="M584" s="368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368"/>
      <c r="D585" s="368"/>
      <c r="E585" s="368"/>
      <c r="F585" s="368"/>
      <c r="G585" s="368"/>
      <c r="H585" s="368"/>
      <c r="I585" s="368"/>
      <c r="J585" s="368"/>
      <c r="K585" s="368"/>
      <c r="L585" s="368"/>
      <c r="M585" s="368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368"/>
      <c r="D586" s="368"/>
      <c r="E586" s="368"/>
      <c r="F586" s="368"/>
      <c r="G586" s="368"/>
      <c r="H586" s="368"/>
      <c r="I586" s="368"/>
      <c r="J586" s="368"/>
      <c r="K586" s="368"/>
      <c r="L586" s="368"/>
      <c r="M586" s="368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368"/>
      <c r="D587" s="368"/>
      <c r="E587" s="368"/>
      <c r="F587" s="368"/>
      <c r="G587" s="368"/>
      <c r="H587" s="368"/>
      <c r="I587" s="368"/>
      <c r="J587" s="368"/>
      <c r="K587" s="368"/>
      <c r="L587" s="368"/>
      <c r="M587" s="368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368"/>
      <c r="D588" s="368"/>
      <c r="E588" s="368"/>
      <c r="F588" s="368"/>
      <c r="G588" s="368"/>
      <c r="H588" s="368"/>
      <c r="I588" s="368"/>
      <c r="J588" s="368"/>
      <c r="K588" s="368"/>
      <c r="L588" s="368"/>
      <c r="M588" s="368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368"/>
      <c r="D589" s="368"/>
      <c r="E589" s="368"/>
      <c r="F589" s="368"/>
      <c r="G589" s="368"/>
      <c r="H589" s="368"/>
      <c r="I589" s="368"/>
      <c r="J589" s="368"/>
      <c r="K589" s="368"/>
      <c r="L589" s="368"/>
      <c r="M589" s="368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368"/>
      <c r="D590" s="368"/>
      <c r="E590" s="368"/>
      <c r="F590" s="368"/>
      <c r="G590" s="368"/>
      <c r="H590" s="368"/>
      <c r="I590" s="368"/>
      <c r="J590" s="368"/>
      <c r="K590" s="368"/>
      <c r="L590" s="368"/>
      <c r="M590" s="368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368"/>
      <c r="D591" s="368"/>
      <c r="E591" s="368"/>
      <c r="F591" s="368"/>
      <c r="G591" s="368"/>
      <c r="H591" s="368"/>
      <c r="I591" s="368"/>
      <c r="J591" s="368"/>
      <c r="K591" s="368"/>
      <c r="L591" s="368"/>
      <c r="M591" s="368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368"/>
      <c r="D592" s="368"/>
      <c r="E592" s="368"/>
      <c r="F592" s="368"/>
      <c r="G592" s="368"/>
      <c r="H592" s="368"/>
      <c r="I592" s="368"/>
      <c r="J592" s="368"/>
      <c r="K592" s="368"/>
      <c r="L592" s="368"/>
      <c r="M592" s="368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368"/>
      <c r="D593" s="368"/>
      <c r="E593" s="368"/>
      <c r="F593" s="368"/>
      <c r="G593" s="368"/>
      <c r="H593" s="368"/>
      <c r="I593" s="368"/>
      <c r="J593" s="368"/>
      <c r="K593" s="368"/>
      <c r="L593" s="368"/>
      <c r="M593" s="368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368"/>
      <c r="D594" s="368"/>
      <c r="E594" s="368"/>
      <c r="F594" s="368"/>
      <c r="G594" s="368"/>
      <c r="H594" s="368"/>
      <c r="I594" s="368"/>
      <c r="J594" s="368"/>
      <c r="K594" s="368"/>
      <c r="L594" s="368"/>
      <c r="M594" s="368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368"/>
      <c r="D595" s="368"/>
      <c r="E595" s="368"/>
      <c r="F595" s="368"/>
      <c r="G595" s="368"/>
      <c r="H595" s="368"/>
      <c r="I595" s="368"/>
      <c r="J595" s="368"/>
      <c r="K595" s="368"/>
      <c r="L595" s="368"/>
      <c r="M595" s="368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368"/>
      <c r="D596" s="368"/>
      <c r="E596" s="368"/>
      <c r="F596" s="368"/>
      <c r="G596" s="368"/>
      <c r="H596" s="368"/>
      <c r="I596" s="368"/>
      <c r="J596" s="368"/>
      <c r="K596" s="368"/>
      <c r="L596" s="368"/>
      <c r="M596" s="368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368"/>
      <c r="D597" s="368"/>
      <c r="E597" s="368"/>
      <c r="F597" s="368"/>
      <c r="G597" s="368"/>
      <c r="H597" s="368"/>
      <c r="I597" s="368"/>
      <c r="J597" s="368"/>
      <c r="K597" s="368"/>
      <c r="L597" s="368"/>
      <c r="M597" s="368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368"/>
      <c r="D598" s="368"/>
      <c r="E598" s="368"/>
      <c r="F598" s="368"/>
      <c r="G598" s="368"/>
      <c r="H598" s="368"/>
      <c r="I598" s="368"/>
      <c r="J598" s="368"/>
      <c r="K598" s="368"/>
      <c r="L598" s="368"/>
      <c r="M598" s="368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368"/>
      <c r="D599" s="368"/>
      <c r="E599" s="368"/>
      <c r="F599" s="368"/>
      <c r="G599" s="368"/>
      <c r="H599" s="368"/>
      <c r="I599" s="368"/>
      <c r="J599" s="368"/>
      <c r="K599" s="368"/>
      <c r="L599" s="368"/>
      <c r="M599" s="368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368"/>
      <c r="D600" s="368"/>
      <c r="E600" s="368"/>
      <c r="F600" s="368"/>
      <c r="G600" s="368"/>
      <c r="H600" s="368"/>
      <c r="I600" s="368"/>
      <c r="J600" s="368"/>
      <c r="K600" s="368"/>
      <c r="L600" s="368"/>
      <c r="M600" s="368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368"/>
      <c r="D601" s="368"/>
      <c r="E601" s="368"/>
      <c r="F601" s="368"/>
      <c r="G601" s="368"/>
      <c r="H601" s="368"/>
      <c r="I601" s="368"/>
      <c r="J601" s="368"/>
      <c r="K601" s="368"/>
      <c r="L601" s="368"/>
      <c r="M601" s="368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368"/>
      <c r="D602" s="368"/>
      <c r="E602" s="368"/>
      <c r="F602" s="368"/>
      <c r="G602" s="368"/>
      <c r="H602" s="368"/>
      <c r="I602" s="368"/>
      <c r="J602" s="368"/>
      <c r="K602" s="368"/>
      <c r="L602" s="368"/>
      <c r="M602" s="368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368"/>
      <c r="D603" s="368"/>
      <c r="E603" s="368"/>
      <c r="F603" s="368"/>
      <c r="G603" s="368"/>
      <c r="H603" s="368"/>
      <c r="I603" s="368"/>
      <c r="J603" s="368"/>
      <c r="K603" s="368"/>
      <c r="L603" s="368"/>
      <c r="M603" s="368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368"/>
      <c r="D604" s="368"/>
      <c r="E604" s="368"/>
      <c r="F604" s="368"/>
      <c r="G604" s="368"/>
      <c r="H604" s="368"/>
      <c r="I604" s="368"/>
      <c r="J604" s="368"/>
      <c r="K604" s="368"/>
      <c r="L604" s="368"/>
      <c r="M604" s="368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368"/>
      <c r="D605" s="368"/>
      <c r="E605" s="368"/>
      <c r="F605" s="368"/>
      <c r="G605" s="368"/>
      <c r="H605" s="368"/>
      <c r="I605" s="368"/>
      <c r="J605" s="368"/>
      <c r="K605" s="368"/>
      <c r="L605" s="368"/>
      <c r="M605" s="368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368"/>
      <c r="D606" s="368"/>
      <c r="E606" s="368"/>
      <c r="F606" s="368"/>
      <c r="G606" s="368"/>
      <c r="H606" s="368"/>
      <c r="I606" s="368"/>
      <c r="J606" s="368"/>
      <c r="K606" s="368"/>
      <c r="L606" s="368"/>
      <c r="M606" s="368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368"/>
      <c r="D607" s="368"/>
      <c r="E607" s="368"/>
      <c r="F607" s="368"/>
      <c r="G607" s="368"/>
      <c r="H607" s="368"/>
      <c r="I607" s="368"/>
      <c r="J607" s="368"/>
      <c r="K607" s="368"/>
      <c r="L607" s="368"/>
      <c r="M607" s="368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368"/>
      <c r="D608" s="368"/>
      <c r="E608" s="368"/>
      <c r="F608" s="368"/>
      <c r="G608" s="368"/>
      <c r="H608" s="368"/>
      <c r="I608" s="368"/>
      <c r="J608" s="368"/>
      <c r="K608" s="368"/>
      <c r="L608" s="368"/>
      <c r="M608" s="368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368"/>
      <c r="D609" s="368"/>
      <c r="E609" s="368"/>
      <c r="F609" s="368"/>
      <c r="G609" s="368"/>
      <c r="H609" s="368"/>
      <c r="I609" s="368"/>
      <c r="J609" s="368"/>
      <c r="K609" s="368"/>
      <c r="L609" s="368"/>
      <c r="M609" s="368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368"/>
      <c r="D610" s="368"/>
      <c r="E610" s="368"/>
      <c r="F610" s="368"/>
      <c r="G610" s="368"/>
      <c r="H610" s="368"/>
      <c r="I610" s="368"/>
      <c r="J610" s="368"/>
      <c r="K610" s="368"/>
      <c r="L610" s="368"/>
      <c r="M610" s="368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368"/>
      <c r="D611" s="368"/>
      <c r="E611" s="368"/>
      <c r="F611" s="368"/>
      <c r="G611" s="368"/>
      <c r="H611" s="368"/>
      <c r="I611" s="368"/>
      <c r="J611" s="368"/>
      <c r="K611" s="368"/>
      <c r="L611" s="368"/>
      <c r="M611" s="368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368"/>
      <c r="D612" s="368"/>
      <c r="E612" s="368"/>
      <c r="F612" s="368"/>
      <c r="G612" s="368"/>
      <c r="H612" s="368"/>
      <c r="I612" s="368"/>
      <c r="J612" s="368"/>
      <c r="K612" s="368"/>
      <c r="L612" s="368"/>
      <c r="M612" s="368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368"/>
      <c r="D613" s="368"/>
      <c r="E613" s="368"/>
      <c r="F613" s="368"/>
      <c r="G613" s="368"/>
      <c r="H613" s="368"/>
      <c r="I613" s="368"/>
      <c r="J613" s="368"/>
      <c r="K613" s="368"/>
      <c r="L613" s="368"/>
      <c r="M613" s="368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368"/>
      <c r="D614" s="368"/>
      <c r="E614" s="368"/>
      <c r="F614" s="368"/>
      <c r="G614" s="368"/>
      <c r="H614" s="368"/>
      <c r="I614" s="368"/>
      <c r="J614" s="368"/>
      <c r="K614" s="368"/>
      <c r="L614" s="368"/>
      <c r="M614" s="368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368"/>
      <c r="D615" s="368"/>
      <c r="E615" s="368"/>
      <c r="F615" s="368"/>
      <c r="G615" s="368"/>
      <c r="H615" s="368"/>
      <c r="I615" s="368"/>
      <c r="J615" s="368"/>
      <c r="K615" s="368"/>
      <c r="L615" s="368"/>
      <c r="M615" s="368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368"/>
      <c r="D616" s="368"/>
      <c r="E616" s="368"/>
      <c r="F616" s="368"/>
      <c r="G616" s="368"/>
      <c r="H616" s="368"/>
      <c r="I616" s="368"/>
      <c r="J616" s="368"/>
      <c r="K616" s="368"/>
      <c r="L616" s="368"/>
      <c r="M616" s="368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368"/>
      <c r="D617" s="368"/>
      <c r="E617" s="368"/>
      <c r="F617" s="368"/>
      <c r="G617" s="368"/>
      <c r="H617" s="368"/>
      <c r="I617" s="368"/>
      <c r="J617" s="368"/>
      <c r="K617" s="368"/>
      <c r="L617" s="368"/>
      <c r="M617" s="368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368"/>
      <c r="D618" s="368"/>
      <c r="E618" s="368"/>
      <c r="F618" s="368"/>
      <c r="G618" s="368"/>
      <c r="H618" s="368"/>
      <c r="I618" s="368"/>
      <c r="J618" s="368"/>
      <c r="K618" s="368"/>
      <c r="L618" s="368"/>
      <c r="M618" s="368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368"/>
      <c r="D619" s="368"/>
      <c r="E619" s="368"/>
      <c r="F619" s="368"/>
      <c r="G619" s="368"/>
      <c r="H619" s="368"/>
      <c r="I619" s="368"/>
      <c r="J619" s="368"/>
      <c r="K619" s="368"/>
      <c r="L619" s="368"/>
      <c r="M619" s="368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368"/>
      <c r="D620" s="368"/>
      <c r="E620" s="368"/>
      <c r="F620" s="368"/>
      <c r="G620" s="368"/>
      <c r="H620" s="368"/>
      <c r="I620" s="368"/>
      <c r="J620" s="368"/>
      <c r="K620" s="368"/>
      <c r="L620" s="368"/>
      <c r="M620" s="368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368"/>
      <c r="D621" s="368"/>
      <c r="E621" s="368"/>
      <c r="F621" s="368"/>
      <c r="G621" s="368"/>
      <c r="H621" s="368"/>
      <c r="I621" s="368"/>
      <c r="J621" s="368"/>
      <c r="K621" s="368"/>
      <c r="L621" s="368"/>
      <c r="M621" s="368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368"/>
      <c r="D622" s="368"/>
      <c r="E622" s="368"/>
      <c r="F622" s="368"/>
      <c r="G622" s="368"/>
      <c r="H622" s="368"/>
      <c r="I622" s="368"/>
      <c r="J622" s="368"/>
      <c r="K622" s="368"/>
      <c r="L622" s="368"/>
      <c r="M622" s="368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368"/>
      <c r="D623" s="368"/>
      <c r="E623" s="368"/>
      <c r="F623" s="368"/>
      <c r="G623" s="368"/>
      <c r="H623" s="368"/>
      <c r="I623" s="368"/>
      <c r="J623" s="368"/>
      <c r="K623" s="368"/>
      <c r="L623" s="368"/>
      <c r="M623" s="368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368"/>
      <c r="D624" s="368"/>
      <c r="E624" s="368"/>
      <c r="F624" s="368"/>
      <c r="G624" s="368"/>
      <c r="H624" s="368"/>
      <c r="I624" s="368"/>
      <c r="J624" s="368"/>
      <c r="K624" s="368"/>
      <c r="L624" s="368"/>
      <c r="M624" s="368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368"/>
      <c r="D625" s="368"/>
      <c r="E625" s="368"/>
      <c r="F625" s="368"/>
      <c r="G625" s="368"/>
      <c r="H625" s="368"/>
      <c r="I625" s="368"/>
      <c r="J625" s="368"/>
      <c r="K625" s="368"/>
      <c r="L625" s="368"/>
      <c r="M625" s="368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368"/>
      <c r="D626" s="368"/>
      <c r="E626" s="368"/>
      <c r="F626" s="368"/>
      <c r="G626" s="368"/>
      <c r="H626" s="368"/>
      <c r="I626" s="368"/>
      <c r="J626" s="368"/>
      <c r="K626" s="368"/>
      <c r="L626" s="368"/>
      <c r="M626" s="368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368"/>
      <c r="D627" s="368"/>
      <c r="E627" s="368"/>
      <c r="F627" s="368"/>
      <c r="G627" s="368"/>
      <c r="H627" s="368"/>
      <c r="I627" s="368"/>
      <c r="J627" s="368"/>
      <c r="K627" s="368"/>
      <c r="L627" s="368"/>
      <c r="M627" s="368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368"/>
      <c r="D628" s="368"/>
      <c r="E628" s="368"/>
      <c r="F628" s="368"/>
      <c r="G628" s="368"/>
      <c r="H628" s="368"/>
      <c r="I628" s="368"/>
      <c r="J628" s="368"/>
      <c r="K628" s="368"/>
      <c r="L628" s="368"/>
      <c r="M628" s="368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368"/>
      <c r="D629" s="368"/>
      <c r="E629" s="368"/>
      <c r="F629" s="368"/>
      <c r="G629" s="368"/>
      <c r="H629" s="368"/>
      <c r="I629" s="368"/>
      <c r="J629" s="368"/>
      <c r="K629" s="368"/>
      <c r="L629" s="368"/>
      <c r="M629" s="368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368"/>
      <c r="D630" s="368"/>
      <c r="E630" s="368"/>
      <c r="F630" s="368"/>
      <c r="G630" s="368"/>
      <c r="H630" s="368"/>
      <c r="I630" s="368"/>
      <c r="J630" s="368"/>
      <c r="K630" s="368"/>
      <c r="L630" s="368"/>
      <c r="M630" s="368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368"/>
      <c r="D631" s="368"/>
      <c r="E631" s="368"/>
      <c r="F631" s="368"/>
      <c r="G631" s="368"/>
      <c r="H631" s="368"/>
      <c r="I631" s="368"/>
      <c r="J631" s="368"/>
      <c r="K631" s="368"/>
      <c r="L631" s="368"/>
      <c r="M631" s="368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368"/>
      <c r="D632" s="368"/>
      <c r="E632" s="368"/>
      <c r="F632" s="368"/>
      <c r="G632" s="368"/>
      <c r="H632" s="368"/>
      <c r="I632" s="368"/>
      <c r="J632" s="368"/>
      <c r="K632" s="368"/>
      <c r="L632" s="368"/>
      <c r="M632" s="368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368"/>
      <c r="D633" s="368"/>
      <c r="E633" s="368"/>
      <c r="F633" s="368"/>
      <c r="G633" s="368"/>
      <c r="H633" s="368"/>
      <c r="I633" s="368"/>
      <c r="J633" s="368"/>
      <c r="K633" s="368"/>
      <c r="L633" s="368"/>
      <c r="M633" s="368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368"/>
      <c r="D634" s="368"/>
      <c r="E634" s="368"/>
      <c r="F634" s="368"/>
      <c r="G634" s="368"/>
      <c r="H634" s="368"/>
      <c r="I634" s="368"/>
      <c r="J634" s="368"/>
      <c r="K634" s="368"/>
      <c r="L634" s="368"/>
      <c r="M634" s="368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368"/>
      <c r="D635" s="368"/>
      <c r="E635" s="368"/>
      <c r="F635" s="368"/>
      <c r="G635" s="368"/>
      <c r="H635" s="368"/>
      <c r="I635" s="368"/>
      <c r="J635" s="368"/>
      <c r="K635" s="368"/>
      <c r="L635" s="368"/>
      <c r="M635" s="368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368"/>
      <c r="D636" s="368"/>
      <c r="E636" s="368"/>
      <c r="F636" s="368"/>
      <c r="G636" s="368"/>
      <c r="H636" s="368"/>
      <c r="I636" s="368"/>
      <c r="J636" s="368"/>
      <c r="K636" s="368"/>
      <c r="L636" s="368"/>
      <c r="M636" s="368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368"/>
      <c r="D637" s="368"/>
      <c r="E637" s="368"/>
      <c r="F637" s="368"/>
      <c r="G637" s="368"/>
      <c r="H637" s="368"/>
      <c r="I637" s="368"/>
      <c r="J637" s="368"/>
      <c r="K637" s="368"/>
      <c r="L637" s="368"/>
      <c r="M637" s="368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368"/>
      <c r="D638" s="368"/>
      <c r="E638" s="368"/>
      <c r="F638" s="368"/>
      <c r="G638" s="368"/>
      <c r="H638" s="368"/>
      <c r="I638" s="368"/>
      <c r="J638" s="368"/>
      <c r="K638" s="368"/>
      <c r="L638" s="368"/>
      <c r="M638" s="368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368"/>
      <c r="D639" s="368"/>
      <c r="E639" s="368"/>
      <c r="F639" s="368"/>
      <c r="G639" s="368"/>
      <c r="H639" s="368"/>
      <c r="I639" s="368"/>
      <c r="J639" s="368"/>
      <c r="K639" s="368"/>
      <c r="L639" s="368"/>
      <c r="M639" s="368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368"/>
      <c r="D640" s="368"/>
      <c r="E640" s="368"/>
      <c r="F640" s="368"/>
      <c r="G640" s="368"/>
      <c r="H640" s="368"/>
      <c r="I640" s="368"/>
      <c r="J640" s="368"/>
      <c r="K640" s="368"/>
      <c r="L640" s="368"/>
      <c r="M640" s="368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368"/>
      <c r="D641" s="368"/>
      <c r="E641" s="368"/>
      <c r="F641" s="368"/>
      <c r="G641" s="368"/>
      <c r="H641" s="368"/>
      <c r="I641" s="368"/>
      <c r="J641" s="368"/>
      <c r="K641" s="368"/>
      <c r="L641" s="368"/>
      <c r="M641" s="368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368"/>
      <c r="D642" s="368"/>
      <c r="E642" s="368"/>
      <c r="F642" s="368"/>
      <c r="G642" s="368"/>
      <c r="H642" s="368"/>
      <c r="I642" s="368"/>
      <c r="J642" s="368"/>
      <c r="K642" s="368"/>
      <c r="L642" s="368"/>
      <c r="M642" s="368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368"/>
      <c r="D643" s="368"/>
      <c r="E643" s="368"/>
      <c r="F643" s="368"/>
      <c r="G643" s="368"/>
      <c r="H643" s="368"/>
      <c r="I643" s="368"/>
      <c r="J643" s="368"/>
      <c r="K643" s="368"/>
      <c r="L643" s="368"/>
      <c r="M643" s="368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368"/>
      <c r="D644" s="368"/>
      <c r="E644" s="368"/>
      <c r="F644" s="368"/>
      <c r="G644" s="368"/>
      <c r="H644" s="368"/>
      <c r="I644" s="368"/>
      <c r="J644" s="368"/>
      <c r="K644" s="368"/>
      <c r="L644" s="368"/>
      <c r="M644" s="368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368"/>
      <c r="D645" s="368"/>
      <c r="E645" s="368"/>
      <c r="F645" s="368"/>
      <c r="G645" s="368"/>
      <c r="H645" s="368"/>
      <c r="I645" s="368"/>
      <c r="J645" s="368"/>
      <c r="K645" s="368"/>
      <c r="L645" s="368"/>
      <c r="M645" s="368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368"/>
      <c r="D646" s="368"/>
      <c r="E646" s="368"/>
      <c r="F646" s="368"/>
      <c r="G646" s="368"/>
      <c r="H646" s="368"/>
      <c r="I646" s="368"/>
      <c r="J646" s="368"/>
      <c r="K646" s="368"/>
      <c r="L646" s="368"/>
      <c r="M646" s="368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368"/>
      <c r="D647" s="368"/>
      <c r="E647" s="368"/>
      <c r="F647" s="368"/>
      <c r="G647" s="368"/>
      <c r="H647" s="368"/>
      <c r="I647" s="368"/>
      <c r="J647" s="368"/>
      <c r="K647" s="368"/>
      <c r="L647" s="368"/>
      <c r="M647" s="368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368"/>
      <c r="D648" s="368"/>
      <c r="E648" s="368"/>
      <c r="F648" s="368"/>
      <c r="G648" s="368"/>
      <c r="H648" s="368"/>
      <c r="I648" s="368"/>
      <c r="J648" s="368"/>
      <c r="K648" s="368"/>
      <c r="L648" s="368"/>
      <c r="M648" s="368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368"/>
      <c r="D649" s="368"/>
      <c r="E649" s="368"/>
      <c r="F649" s="368"/>
      <c r="G649" s="368"/>
      <c r="H649" s="368"/>
      <c r="I649" s="368"/>
      <c r="J649" s="368"/>
      <c r="K649" s="368"/>
      <c r="L649" s="368"/>
      <c r="M649" s="368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368"/>
      <c r="D650" s="368"/>
      <c r="E650" s="368"/>
      <c r="F650" s="368"/>
      <c r="G650" s="368"/>
      <c r="H650" s="368"/>
      <c r="I650" s="368"/>
      <c r="J650" s="368"/>
      <c r="K650" s="368"/>
      <c r="L650" s="368"/>
      <c r="M650" s="368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368"/>
      <c r="D651" s="368"/>
      <c r="E651" s="368"/>
      <c r="F651" s="368"/>
      <c r="G651" s="368"/>
      <c r="H651" s="368"/>
      <c r="I651" s="368"/>
      <c r="J651" s="368"/>
      <c r="K651" s="368"/>
      <c r="L651" s="368"/>
      <c r="M651" s="368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368"/>
      <c r="D652" s="368"/>
      <c r="E652" s="368"/>
      <c r="F652" s="368"/>
      <c r="G652" s="368"/>
      <c r="H652" s="368"/>
      <c r="I652" s="368"/>
      <c r="J652" s="368"/>
      <c r="K652" s="368"/>
      <c r="L652" s="368"/>
      <c r="M652" s="368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368"/>
      <c r="D653" s="368"/>
      <c r="E653" s="368"/>
      <c r="F653" s="368"/>
      <c r="G653" s="368"/>
      <c r="H653" s="368"/>
      <c r="I653" s="368"/>
      <c r="J653" s="368"/>
      <c r="K653" s="368"/>
      <c r="L653" s="368"/>
      <c r="M653" s="368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368"/>
      <c r="D654" s="368"/>
      <c r="E654" s="368"/>
      <c r="F654" s="368"/>
      <c r="G654" s="368"/>
      <c r="H654" s="368"/>
      <c r="I654" s="368"/>
      <c r="J654" s="368"/>
      <c r="K654" s="368"/>
      <c r="L654" s="368"/>
      <c r="M654" s="368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368"/>
      <c r="D655" s="368"/>
      <c r="E655" s="368"/>
      <c r="F655" s="368"/>
      <c r="G655" s="368"/>
      <c r="H655" s="368"/>
      <c r="I655" s="368"/>
      <c r="J655" s="368"/>
      <c r="K655" s="368"/>
      <c r="L655" s="368"/>
      <c r="M655" s="368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368"/>
      <c r="D656" s="368"/>
      <c r="E656" s="368"/>
      <c r="F656" s="368"/>
      <c r="G656" s="368"/>
      <c r="H656" s="368"/>
      <c r="I656" s="368"/>
      <c r="J656" s="368"/>
      <c r="K656" s="368"/>
      <c r="L656" s="368"/>
      <c r="M656" s="368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368"/>
      <c r="D657" s="368"/>
      <c r="E657" s="368"/>
      <c r="F657" s="368"/>
      <c r="G657" s="368"/>
      <c r="H657" s="368"/>
      <c r="I657" s="368"/>
      <c r="J657" s="368"/>
      <c r="K657" s="368"/>
      <c r="L657" s="368"/>
      <c r="M657" s="368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368"/>
      <c r="D658" s="368"/>
      <c r="E658" s="368"/>
      <c r="F658" s="368"/>
      <c r="G658" s="368"/>
      <c r="H658" s="368"/>
      <c r="I658" s="368"/>
      <c r="J658" s="368"/>
      <c r="K658" s="368"/>
      <c r="L658" s="368"/>
      <c r="M658" s="368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368"/>
      <c r="D659" s="368"/>
      <c r="E659" s="368"/>
      <c r="F659" s="368"/>
      <c r="G659" s="368"/>
      <c r="H659" s="368"/>
      <c r="I659" s="368"/>
      <c r="J659" s="368"/>
      <c r="K659" s="368"/>
      <c r="L659" s="368"/>
      <c r="M659" s="368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368"/>
      <c r="D660" s="368"/>
      <c r="E660" s="368"/>
      <c r="F660" s="368"/>
      <c r="G660" s="368"/>
      <c r="H660" s="368"/>
      <c r="I660" s="368"/>
      <c r="J660" s="368"/>
      <c r="K660" s="368"/>
      <c r="L660" s="368"/>
      <c r="M660" s="368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368"/>
      <c r="D661" s="368"/>
      <c r="E661" s="368"/>
      <c r="F661" s="368"/>
      <c r="G661" s="368"/>
      <c r="H661" s="368"/>
      <c r="I661" s="368"/>
      <c r="J661" s="368"/>
      <c r="K661" s="368"/>
      <c r="L661" s="368"/>
      <c r="M661" s="368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368"/>
      <c r="D662" s="368"/>
      <c r="E662" s="368"/>
      <c r="F662" s="368"/>
      <c r="G662" s="368"/>
      <c r="H662" s="368"/>
      <c r="I662" s="368"/>
      <c r="J662" s="368"/>
      <c r="K662" s="368"/>
      <c r="L662" s="368"/>
      <c r="M662" s="368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368"/>
      <c r="D663" s="368"/>
      <c r="E663" s="368"/>
      <c r="F663" s="368"/>
      <c r="G663" s="368"/>
      <c r="H663" s="368"/>
      <c r="I663" s="368"/>
      <c r="J663" s="368"/>
      <c r="K663" s="368"/>
      <c r="L663" s="368"/>
      <c r="M663" s="368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368"/>
      <c r="D664" s="368"/>
      <c r="E664" s="368"/>
      <c r="F664" s="368"/>
      <c r="G664" s="368"/>
      <c r="H664" s="368"/>
      <c r="I664" s="368"/>
      <c r="J664" s="368"/>
      <c r="K664" s="368"/>
      <c r="L664" s="368"/>
      <c r="M664" s="368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368"/>
      <c r="D665" s="368"/>
      <c r="E665" s="368"/>
      <c r="F665" s="368"/>
      <c r="G665" s="368"/>
      <c r="H665" s="368"/>
      <c r="I665" s="368"/>
      <c r="J665" s="368"/>
      <c r="K665" s="368"/>
      <c r="L665" s="368"/>
      <c r="M665" s="368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368"/>
      <c r="D666" s="368"/>
      <c r="E666" s="368"/>
      <c r="F666" s="368"/>
      <c r="G666" s="368"/>
      <c r="H666" s="368"/>
      <c r="I666" s="368"/>
      <c r="J666" s="368"/>
      <c r="K666" s="368"/>
      <c r="L666" s="368"/>
      <c r="M666" s="368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368"/>
      <c r="D667" s="368"/>
      <c r="E667" s="368"/>
      <c r="F667" s="368"/>
      <c r="G667" s="368"/>
      <c r="H667" s="368"/>
      <c r="I667" s="368"/>
      <c r="J667" s="368"/>
      <c r="K667" s="368"/>
      <c r="L667" s="368"/>
      <c r="M667" s="368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368"/>
      <c r="D668" s="368"/>
      <c r="E668" s="368"/>
      <c r="F668" s="368"/>
      <c r="G668" s="368"/>
      <c r="H668" s="368"/>
      <c r="I668" s="368"/>
      <c r="J668" s="368"/>
      <c r="K668" s="368"/>
      <c r="L668" s="368"/>
      <c r="M668" s="368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368"/>
      <c r="D669" s="368"/>
      <c r="E669" s="368"/>
      <c r="F669" s="368"/>
      <c r="G669" s="368"/>
      <c r="H669" s="368"/>
      <c r="I669" s="368"/>
      <c r="J669" s="368"/>
      <c r="K669" s="368"/>
      <c r="L669" s="368"/>
      <c r="M669" s="368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368"/>
      <c r="D670" s="368"/>
      <c r="E670" s="368"/>
      <c r="F670" s="368"/>
      <c r="G670" s="368"/>
      <c r="H670" s="368"/>
      <c r="I670" s="368"/>
      <c r="J670" s="368"/>
      <c r="K670" s="368"/>
      <c r="L670" s="368"/>
      <c r="M670" s="368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368"/>
      <c r="D671" s="368"/>
      <c r="E671" s="368"/>
      <c r="F671" s="368"/>
      <c r="G671" s="368"/>
      <c r="H671" s="368"/>
      <c r="I671" s="368"/>
      <c r="J671" s="368"/>
      <c r="K671" s="368"/>
      <c r="L671" s="368"/>
      <c r="M671" s="368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368"/>
      <c r="D672" s="368"/>
      <c r="E672" s="368"/>
      <c r="F672" s="368"/>
      <c r="G672" s="368"/>
      <c r="H672" s="368"/>
      <c r="I672" s="368"/>
      <c r="J672" s="368"/>
      <c r="K672" s="368"/>
      <c r="L672" s="368"/>
      <c r="M672" s="368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368"/>
      <c r="D673" s="368"/>
      <c r="E673" s="368"/>
      <c r="F673" s="368"/>
      <c r="G673" s="368"/>
      <c r="H673" s="368"/>
      <c r="I673" s="368"/>
      <c r="J673" s="368"/>
      <c r="K673" s="368"/>
      <c r="L673" s="368"/>
      <c r="M673" s="368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368"/>
      <c r="D674" s="368"/>
      <c r="E674" s="368"/>
      <c r="F674" s="368"/>
      <c r="G674" s="368"/>
      <c r="H674" s="368"/>
      <c r="I674" s="368"/>
      <c r="J674" s="368"/>
      <c r="K674" s="368"/>
      <c r="L674" s="368"/>
      <c r="M674" s="368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368"/>
      <c r="D675" s="368"/>
      <c r="E675" s="368"/>
      <c r="F675" s="368"/>
      <c r="G675" s="368"/>
      <c r="H675" s="368"/>
      <c r="I675" s="368"/>
      <c r="J675" s="368"/>
      <c r="K675" s="368"/>
      <c r="L675" s="368"/>
      <c r="M675" s="368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368"/>
      <c r="D676" s="368"/>
      <c r="E676" s="368"/>
      <c r="F676" s="368"/>
      <c r="G676" s="368"/>
      <c r="H676" s="368"/>
      <c r="I676" s="368"/>
      <c r="J676" s="368"/>
      <c r="K676" s="368"/>
      <c r="L676" s="368"/>
      <c r="M676" s="368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368"/>
      <c r="D677" s="368"/>
      <c r="E677" s="368"/>
      <c r="F677" s="368"/>
      <c r="G677" s="368"/>
      <c r="H677" s="368"/>
      <c r="I677" s="368"/>
      <c r="J677" s="368"/>
      <c r="K677" s="368"/>
      <c r="L677" s="368"/>
      <c r="M677" s="368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368"/>
      <c r="D678" s="368"/>
      <c r="E678" s="368"/>
      <c r="F678" s="368"/>
      <c r="G678" s="368"/>
      <c r="H678" s="368"/>
      <c r="I678" s="368"/>
      <c r="J678" s="368"/>
      <c r="K678" s="368"/>
      <c r="L678" s="368"/>
      <c r="M678" s="368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368"/>
      <c r="D679" s="368"/>
      <c r="E679" s="368"/>
      <c r="F679" s="368"/>
      <c r="G679" s="368"/>
      <c r="H679" s="368"/>
      <c r="I679" s="368"/>
      <c r="J679" s="368"/>
      <c r="K679" s="368"/>
      <c r="L679" s="368"/>
      <c r="M679" s="368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368"/>
      <c r="D680" s="368"/>
      <c r="E680" s="368"/>
      <c r="F680" s="368"/>
      <c r="G680" s="368"/>
      <c r="H680" s="368"/>
      <c r="I680" s="368"/>
      <c r="J680" s="368"/>
      <c r="K680" s="368"/>
      <c r="L680" s="368"/>
      <c r="M680" s="368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368"/>
      <c r="D681" s="368"/>
      <c r="E681" s="368"/>
      <c r="F681" s="368"/>
      <c r="G681" s="368"/>
      <c r="H681" s="368"/>
      <c r="I681" s="368"/>
      <c r="J681" s="368"/>
      <c r="K681" s="368"/>
      <c r="L681" s="368"/>
      <c r="M681" s="368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368"/>
      <c r="D682" s="368"/>
      <c r="E682" s="368"/>
      <c r="F682" s="368"/>
      <c r="G682" s="368"/>
      <c r="H682" s="368"/>
      <c r="I682" s="368"/>
      <c r="J682" s="368"/>
      <c r="K682" s="368"/>
      <c r="L682" s="368"/>
      <c r="M682" s="368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368"/>
      <c r="D683" s="368"/>
      <c r="E683" s="368"/>
      <c r="F683" s="368"/>
      <c r="G683" s="368"/>
      <c r="H683" s="368"/>
      <c r="I683" s="368"/>
      <c r="J683" s="368"/>
      <c r="K683" s="368"/>
      <c r="L683" s="368"/>
      <c r="M683" s="368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368"/>
      <c r="D684" s="368"/>
      <c r="E684" s="368"/>
      <c r="F684" s="368"/>
      <c r="G684" s="368"/>
      <c r="H684" s="368"/>
      <c r="I684" s="368"/>
      <c r="J684" s="368"/>
      <c r="K684" s="368"/>
      <c r="L684" s="368"/>
      <c r="M684" s="368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368"/>
      <c r="D685" s="368"/>
      <c r="E685" s="368"/>
      <c r="F685" s="368"/>
      <c r="G685" s="368"/>
      <c r="H685" s="368"/>
      <c r="I685" s="368"/>
      <c r="J685" s="368"/>
      <c r="K685" s="368"/>
      <c r="L685" s="368"/>
      <c r="M685" s="368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368"/>
      <c r="D686" s="368"/>
      <c r="E686" s="368"/>
      <c r="F686" s="368"/>
      <c r="G686" s="368"/>
      <c r="H686" s="368"/>
      <c r="I686" s="368"/>
      <c r="J686" s="368"/>
      <c r="K686" s="368"/>
      <c r="L686" s="368"/>
      <c r="M686" s="368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368"/>
      <c r="D687" s="368"/>
      <c r="E687" s="368"/>
      <c r="F687" s="368"/>
      <c r="G687" s="368"/>
      <c r="H687" s="368"/>
      <c r="I687" s="368"/>
      <c r="J687" s="368"/>
      <c r="K687" s="368"/>
      <c r="L687" s="368"/>
      <c r="M687" s="368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368"/>
      <c r="D688" s="368"/>
      <c r="E688" s="368"/>
      <c r="F688" s="368"/>
      <c r="G688" s="368"/>
      <c r="H688" s="368"/>
      <c r="I688" s="368"/>
      <c r="J688" s="368"/>
      <c r="K688" s="368"/>
      <c r="L688" s="368"/>
      <c r="M688" s="368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368"/>
      <c r="D689" s="368"/>
      <c r="E689" s="368"/>
      <c r="F689" s="368"/>
      <c r="G689" s="368"/>
      <c r="H689" s="368"/>
      <c r="I689" s="368"/>
      <c r="J689" s="368"/>
      <c r="K689" s="368"/>
      <c r="L689" s="368"/>
      <c r="M689" s="368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368"/>
      <c r="D690" s="368"/>
      <c r="E690" s="368"/>
      <c r="F690" s="368"/>
      <c r="G690" s="368"/>
      <c r="H690" s="368"/>
      <c r="I690" s="368"/>
      <c r="J690" s="368"/>
      <c r="K690" s="368"/>
      <c r="L690" s="368"/>
      <c r="M690" s="368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368"/>
      <c r="D691" s="368"/>
      <c r="E691" s="368"/>
      <c r="F691" s="368"/>
      <c r="G691" s="368"/>
      <c r="H691" s="368"/>
      <c r="I691" s="368"/>
      <c r="J691" s="368"/>
      <c r="K691" s="368"/>
      <c r="L691" s="368"/>
      <c r="M691" s="368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368"/>
      <c r="D692" s="368"/>
      <c r="E692" s="368"/>
      <c r="F692" s="368"/>
      <c r="G692" s="368"/>
      <c r="H692" s="368"/>
      <c r="I692" s="368"/>
      <c r="J692" s="368"/>
      <c r="K692" s="368"/>
      <c r="L692" s="368"/>
      <c r="M692" s="368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368"/>
      <c r="D693" s="368"/>
      <c r="E693" s="368"/>
      <c r="F693" s="368"/>
      <c r="G693" s="368"/>
      <c r="H693" s="368"/>
      <c r="I693" s="368"/>
      <c r="J693" s="368"/>
      <c r="K693" s="368"/>
      <c r="L693" s="368"/>
      <c r="M693" s="368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368"/>
      <c r="D694" s="368"/>
      <c r="E694" s="368"/>
      <c r="F694" s="368"/>
      <c r="G694" s="368"/>
      <c r="H694" s="368"/>
      <c r="I694" s="368"/>
      <c r="J694" s="368"/>
      <c r="K694" s="368"/>
      <c r="L694" s="368"/>
      <c r="M694" s="368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368"/>
      <c r="D695" s="368"/>
      <c r="E695" s="368"/>
      <c r="F695" s="368"/>
      <c r="G695" s="368"/>
      <c r="H695" s="368"/>
      <c r="I695" s="368"/>
      <c r="J695" s="368"/>
      <c r="K695" s="368"/>
      <c r="L695" s="368"/>
      <c r="M695" s="368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368"/>
      <c r="D696" s="368"/>
      <c r="E696" s="368"/>
      <c r="F696" s="368"/>
      <c r="G696" s="368"/>
      <c r="H696" s="368"/>
      <c r="I696" s="368"/>
      <c r="J696" s="368"/>
      <c r="K696" s="368"/>
      <c r="L696" s="368"/>
      <c r="M696" s="368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368"/>
      <c r="D697" s="368"/>
      <c r="E697" s="368"/>
      <c r="F697" s="368"/>
      <c r="G697" s="368"/>
      <c r="H697" s="368"/>
      <c r="I697" s="368"/>
      <c r="J697" s="368"/>
      <c r="K697" s="368"/>
      <c r="L697" s="368"/>
      <c r="M697" s="368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368"/>
      <c r="D698" s="368"/>
      <c r="E698" s="368"/>
      <c r="F698" s="368"/>
      <c r="G698" s="368"/>
      <c r="H698" s="368"/>
      <c r="I698" s="368"/>
      <c r="J698" s="368"/>
      <c r="K698" s="368"/>
      <c r="L698" s="368"/>
      <c r="M698" s="368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368"/>
      <c r="D699" s="368"/>
      <c r="E699" s="368"/>
      <c r="F699" s="368"/>
      <c r="G699" s="368"/>
      <c r="H699" s="368"/>
      <c r="I699" s="368"/>
      <c r="J699" s="368"/>
      <c r="K699" s="368"/>
      <c r="L699" s="368"/>
      <c r="M699" s="368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368"/>
      <c r="D700" s="368"/>
      <c r="E700" s="368"/>
      <c r="F700" s="368"/>
      <c r="G700" s="368"/>
      <c r="H700" s="368"/>
      <c r="I700" s="368"/>
      <c r="J700" s="368"/>
      <c r="K700" s="368"/>
      <c r="L700" s="368"/>
      <c r="M700" s="368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368"/>
      <c r="D701" s="368"/>
      <c r="E701" s="368"/>
      <c r="F701" s="368"/>
      <c r="G701" s="368"/>
      <c r="H701" s="368"/>
      <c r="I701" s="368"/>
      <c r="J701" s="368"/>
      <c r="K701" s="368"/>
      <c r="L701" s="368"/>
      <c r="M701" s="368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368"/>
      <c r="D702" s="368"/>
      <c r="E702" s="368"/>
      <c r="F702" s="368"/>
      <c r="G702" s="368"/>
      <c r="H702" s="368"/>
      <c r="I702" s="368"/>
      <c r="J702" s="368"/>
      <c r="K702" s="368"/>
      <c r="L702" s="368"/>
      <c r="M702" s="368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368"/>
      <c r="D703" s="368"/>
      <c r="E703" s="368"/>
      <c r="F703" s="368"/>
      <c r="G703" s="368"/>
      <c r="H703" s="368"/>
      <c r="I703" s="368"/>
      <c r="J703" s="368"/>
      <c r="K703" s="368"/>
      <c r="L703" s="368"/>
      <c r="M703" s="368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368"/>
      <c r="D704" s="368"/>
      <c r="E704" s="368"/>
      <c r="F704" s="368"/>
      <c r="G704" s="368"/>
      <c r="H704" s="368"/>
      <c r="I704" s="368"/>
      <c r="J704" s="368"/>
      <c r="K704" s="368"/>
      <c r="L704" s="368"/>
      <c r="M704" s="368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368"/>
      <c r="D705" s="368"/>
      <c r="E705" s="368"/>
      <c r="F705" s="368"/>
      <c r="G705" s="368"/>
      <c r="H705" s="368"/>
      <c r="I705" s="368"/>
      <c r="J705" s="368"/>
      <c r="K705" s="368"/>
      <c r="L705" s="368"/>
      <c r="M705" s="368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368"/>
      <c r="D706" s="368"/>
      <c r="E706" s="368"/>
      <c r="F706" s="368"/>
      <c r="G706" s="368"/>
      <c r="H706" s="368"/>
      <c r="I706" s="368"/>
      <c r="J706" s="368"/>
      <c r="K706" s="368"/>
      <c r="L706" s="368"/>
      <c r="M706" s="368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368"/>
      <c r="D707" s="368"/>
      <c r="E707" s="368"/>
      <c r="F707" s="368"/>
      <c r="G707" s="368"/>
      <c r="H707" s="368"/>
      <c r="I707" s="368"/>
      <c r="J707" s="368"/>
      <c r="K707" s="368"/>
      <c r="L707" s="368"/>
      <c r="M707" s="368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368"/>
      <c r="D708" s="368"/>
      <c r="E708" s="368"/>
      <c r="F708" s="368"/>
      <c r="G708" s="368"/>
      <c r="H708" s="368"/>
      <c r="I708" s="368"/>
      <c r="J708" s="368"/>
      <c r="K708" s="368"/>
      <c r="L708" s="368"/>
      <c r="M708" s="368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368"/>
      <c r="D709" s="368"/>
      <c r="E709" s="368"/>
      <c r="F709" s="368"/>
      <c r="G709" s="368"/>
      <c r="H709" s="368"/>
      <c r="I709" s="368"/>
      <c r="J709" s="368"/>
      <c r="K709" s="368"/>
      <c r="L709" s="368"/>
      <c r="M709" s="368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368"/>
      <c r="D710" s="368"/>
      <c r="E710" s="368"/>
      <c r="F710" s="368"/>
      <c r="G710" s="368"/>
      <c r="H710" s="368"/>
      <c r="I710" s="368"/>
      <c r="J710" s="368"/>
      <c r="K710" s="368"/>
      <c r="L710" s="368"/>
      <c r="M710" s="368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368"/>
      <c r="D711" s="368"/>
      <c r="E711" s="368"/>
      <c r="F711" s="368"/>
      <c r="G711" s="368"/>
      <c r="H711" s="368"/>
      <c r="I711" s="368"/>
      <c r="J711" s="368"/>
      <c r="K711" s="368"/>
      <c r="L711" s="368"/>
      <c r="M711" s="368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368"/>
      <c r="D712" s="368"/>
      <c r="E712" s="368"/>
      <c r="F712" s="368"/>
      <c r="G712" s="368"/>
      <c r="H712" s="368"/>
      <c r="I712" s="368"/>
      <c r="J712" s="368"/>
      <c r="K712" s="368"/>
      <c r="L712" s="368"/>
      <c r="M712" s="368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368"/>
      <c r="D713" s="368"/>
      <c r="E713" s="368"/>
      <c r="F713" s="368"/>
      <c r="G713" s="368"/>
      <c r="H713" s="368"/>
      <c r="I713" s="368"/>
      <c r="J713" s="368"/>
      <c r="K713" s="368"/>
      <c r="L713" s="368"/>
      <c r="M713" s="368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368"/>
      <c r="D714" s="368"/>
      <c r="E714" s="368"/>
      <c r="F714" s="368"/>
      <c r="G714" s="368"/>
      <c r="H714" s="368"/>
      <c r="I714" s="368"/>
      <c r="J714" s="368"/>
      <c r="K714" s="368"/>
      <c r="L714" s="368"/>
      <c r="M714" s="368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368"/>
      <c r="D715" s="368"/>
      <c r="E715" s="368"/>
      <c r="F715" s="368"/>
      <c r="G715" s="368"/>
      <c r="H715" s="368"/>
      <c r="I715" s="368"/>
      <c r="J715" s="368"/>
      <c r="K715" s="368"/>
      <c r="L715" s="368"/>
      <c r="M715" s="368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368"/>
      <c r="D716" s="368"/>
      <c r="E716" s="368"/>
      <c r="F716" s="368"/>
      <c r="G716" s="368"/>
      <c r="H716" s="368"/>
      <c r="I716" s="368"/>
      <c r="J716" s="368"/>
      <c r="K716" s="368"/>
      <c r="L716" s="368"/>
      <c r="M716" s="368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368"/>
      <c r="D717" s="368"/>
      <c r="E717" s="368"/>
      <c r="F717" s="368"/>
      <c r="G717" s="368"/>
      <c r="H717" s="368"/>
      <c r="I717" s="368"/>
      <c r="J717" s="368"/>
      <c r="K717" s="368"/>
      <c r="L717" s="368"/>
      <c r="M717" s="368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368"/>
      <c r="D718" s="368"/>
      <c r="E718" s="368"/>
      <c r="F718" s="368"/>
      <c r="G718" s="368"/>
      <c r="H718" s="368"/>
      <c r="I718" s="368"/>
      <c r="J718" s="368"/>
      <c r="K718" s="368"/>
      <c r="L718" s="368"/>
      <c r="M718" s="368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368"/>
      <c r="D719" s="368"/>
      <c r="E719" s="368"/>
      <c r="F719" s="368"/>
      <c r="G719" s="368"/>
      <c r="H719" s="368"/>
      <c r="I719" s="368"/>
      <c r="J719" s="368"/>
      <c r="K719" s="368"/>
      <c r="L719" s="368"/>
      <c r="M719" s="368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368"/>
      <c r="D720" s="368"/>
      <c r="E720" s="368"/>
      <c r="F720" s="368"/>
      <c r="G720" s="368"/>
      <c r="H720" s="368"/>
      <c r="I720" s="368"/>
      <c r="J720" s="368"/>
      <c r="K720" s="368"/>
      <c r="L720" s="368"/>
      <c r="M720" s="368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368"/>
      <c r="D721" s="368"/>
      <c r="E721" s="368"/>
      <c r="F721" s="368"/>
      <c r="G721" s="368"/>
      <c r="H721" s="368"/>
      <c r="I721" s="368"/>
      <c r="J721" s="368"/>
      <c r="K721" s="368"/>
      <c r="L721" s="368"/>
      <c r="M721" s="368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368"/>
      <c r="D722" s="368"/>
      <c r="E722" s="368"/>
      <c r="F722" s="368"/>
      <c r="G722" s="368"/>
      <c r="H722" s="368"/>
      <c r="I722" s="368"/>
      <c r="J722" s="368"/>
      <c r="K722" s="368"/>
      <c r="L722" s="368"/>
      <c r="M722" s="368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368"/>
      <c r="D723" s="368"/>
      <c r="E723" s="368"/>
      <c r="F723" s="368"/>
      <c r="G723" s="368"/>
      <c r="H723" s="368"/>
      <c r="I723" s="368"/>
      <c r="J723" s="368"/>
      <c r="K723" s="368"/>
      <c r="L723" s="368"/>
      <c r="M723" s="368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368"/>
      <c r="D724" s="368"/>
      <c r="E724" s="368"/>
      <c r="F724" s="368"/>
      <c r="G724" s="368"/>
      <c r="H724" s="368"/>
      <c r="I724" s="368"/>
      <c r="J724" s="368"/>
      <c r="K724" s="368"/>
      <c r="L724" s="368"/>
      <c r="M724" s="368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368"/>
      <c r="D725" s="368"/>
      <c r="E725" s="368"/>
      <c r="F725" s="368"/>
      <c r="G725" s="368"/>
      <c r="H725" s="368"/>
      <c r="I725" s="368"/>
      <c r="J725" s="368"/>
      <c r="K725" s="368"/>
      <c r="L725" s="368"/>
      <c r="M725" s="368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368"/>
      <c r="D726" s="368"/>
      <c r="E726" s="368"/>
      <c r="F726" s="368"/>
      <c r="G726" s="368"/>
      <c r="H726" s="368"/>
      <c r="I726" s="368"/>
      <c r="J726" s="368"/>
      <c r="K726" s="368"/>
      <c r="L726" s="368"/>
      <c r="M726" s="368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368"/>
      <c r="D727" s="368"/>
      <c r="E727" s="368"/>
      <c r="F727" s="368"/>
      <c r="G727" s="368"/>
      <c r="H727" s="368"/>
      <c r="I727" s="368"/>
      <c r="J727" s="368"/>
      <c r="K727" s="368"/>
      <c r="L727" s="368"/>
      <c r="M727" s="368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368"/>
      <c r="D728" s="368"/>
      <c r="E728" s="368"/>
      <c r="F728" s="368"/>
      <c r="G728" s="368"/>
      <c r="H728" s="368"/>
      <c r="I728" s="368"/>
      <c r="J728" s="368"/>
      <c r="K728" s="368"/>
      <c r="L728" s="368"/>
      <c r="M728" s="368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368"/>
      <c r="D729" s="368"/>
      <c r="E729" s="368"/>
      <c r="F729" s="368"/>
      <c r="G729" s="368"/>
      <c r="H729" s="368"/>
      <c r="I729" s="368"/>
      <c r="J729" s="368"/>
      <c r="K729" s="368"/>
      <c r="L729" s="368"/>
      <c r="M729" s="368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368"/>
      <c r="D730" s="368"/>
      <c r="E730" s="368"/>
      <c r="F730" s="368"/>
      <c r="G730" s="368"/>
      <c r="H730" s="368"/>
      <c r="I730" s="368"/>
      <c r="J730" s="368"/>
      <c r="K730" s="368"/>
      <c r="L730" s="368"/>
      <c r="M730" s="368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368"/>
      <c r="D731" s="368"/>
      <c r="E731" s="368"/>
      <c r="F731" s="368"/>
      <c r="G731" s="368"/>
      <c r="H731" s="368"/>
      <c r="I731" s="368"/>
      <c r="J731" s="368"/>
      <c r="K731" s="368"/>
      <c r="L731" s="368"/>
      <c r="M731" s="368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368"/>
      <c r="D732" s="368"/>
      <c r="E732" s="368"/>
      <c r="F732" s="368"/>
      <c r="G732" s="368"/>
      <c r="H732" s="368"/>
      <c r="I732" s="368"/>
      <c r="J732" s="368"/>
      <c r="K732" s="368"/>
      <c r="L732" s="368"/>
      <c r="M732" s="368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368"/>
      <c r="D733" s="368"/>
      <c r="E733" s="368"/>
      <c r="F733" s="368"/>
      <c r="G733" s="368"/>
      <c r="H733" s="368"/>
      <c r="I733" s="368"/>
      <c r="J733" s="368"/>
      <c r="K733" s="368"/>
      <c r="L733" s="368"/>
      <c r="M733" s="368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368"/>
      <c r="D734" s="368"/>
      <c r="E734" s="368"/>
      <c r="F734" s="368"/>
      <c r="G734" s="368"/>
      <c r="H734" s="368"/>
      <c r="I734" s="368"/>
      <c r="J734" s="368"/>
      <c r="K734" s="368"/>
      <c r="L734" s="368"/>
      <c r="M734" s="368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368"/>
      <c r="D735" s="368"/>
      <c r="E735" s="368"/>
      <c r="F735" s="368"/>
      <c r="G735" s="368"/>
      <c r="H735" s="368"/>
      <c r="I735" s="368"/>
      <c r="J735" s="368"/>
      <c r="K735" s="368"/>
      <c r="L735" s="368"/>
      <c r="M735" s="368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368"/>
      <c r="D736" s="368"/>
      <c r="E736" s="368"/>
      <c r="F736" s="368"/>
      <c r="G736" s="368"/>
      <c r="H736" s="368"/>
      <c r="I736" s="368"/>
      <c r="J736" s="368"/>
      <c r="K736" s="368"/>
      <c r="L736" s="368"/>
      <c r="M736" s="368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368"/>
      <c r="D737" s="368"/>
      <c r="E737" s="368"/>
      <c r="F737" s="368"/>
      <c r="G737" s="368"/>
      <c r="H737" s="368"/>
      <c r="I737" s="368"/>
      <c r="J737" s="368"/>
      <c r="K737" s="368"/>
      <c r="L737" s="368"/>
      <c r="M737" s="368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368"/>
      <c r="D738" s="368"/>
      <c r="E738" s="368"/>
      <c r="F738" s="368"/>
      <c r="G738" s="368"/>
      <c r="H738" s="368"/>
      <c r="I738" s="368"/>
      <c r="J738" s="368"/>
      <c r="K738" s="368"/>
      <c r="L738" s="368"/>
      <c r="M738" s="368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368"/>
      <c r="D739" s="368"/>
      <c r="E739" s="368"/>
      <c r="F739" s="368"/>
      <c r="G739" s="368"/>
      <c r="H739" s="368"/>
      <c r="I739" s="368"/>
      <c r="J739" s="368"/>
      <c r="K739" s="368"/>
      <c r="L739" s="368"/>
      <c r="M739" s="368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368"/>
      <c r="D740" s="368"/>
      <c r="E740" s="368"/>
      <c r="F740" s="368"/>
      <c r="G740" s="368"/>
      <c r="H740" s="368"/>
      <c r="I740" s="368"/>
      <c r="J740" s="368"/>
      <c r="K740" s="368"/>
      <c r="L740" s="368"/>
      <c r="M740" s="368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368"/>
      <c r="D741" s="368"/>
      <c r="E741" s="368"/>
      <c r="F741" s="368"/>
      <c r="G741" s="368"/>
      <c r="H741" s="368"/>
      <c r="I741" s="368"/>
      <c r="J741" s="368"/>
      <c r="K741" s="368"/>
      <c r="L741" s="368"/>
      <c r="M741" s="368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368"/>
      <c r="D742" s="368"/>
      <c r="E742" s="368"/>
      <c r="F742" s="368"/>
      <c r="G742" s="368"/>
      <c r="H742" s="368"/>
      <c r="I742" s="368"/>
      <c r="J742" s="368"/>
      <c r="K742" s="368"/>
      <c r="L742" s="368"/>
      <c r="M742" s="368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368"/>
      <c r="D743" s="368"/>
      <c r="E743" s="368"/>
      <c r="F743" s="368"/>
      <c r="G743" s="368"/>
      <c r="H743" s="368"/>
      <c r="I743" s="368"/>
      <c r="J743" s="368"/>
      <c r="K743" s="368"/>
      <c r="L743" s="368"/>
      <c r="M743" s="368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368"/>
      <c r="D744" s="368"/>
      <c r="E744" s="368"/>
      <c r="F744" s="368"/>
      <c r="G744" s="368"/>
      <c r="H744" s="368"/>
      <c r="I744" s="368"/>
      <c r="J744" s="368"/>
      <c r="K744" s="368"/>
      <c r="L744" s="368"/>
      <c r="M744" s="368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368"/>
      <c r="D745" s="368"/>
      <c r="E745" s="368"/>
      <c r="F745" s="368"/>
      <c r="G745" s="368"/>
      <c r="H745" s="368"/>
      <c r="I745" s="368"/>
      <c r="J745" s="368"/>
      <c r="K745" s="368"/>
      <c r="L745" s="368"/>
      <c r="M745" s="368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368"/>
      <c r="D746" s="368"/>
      <c r="E746" s="368"/>
      <c r="F746" s="368"/>
      <c r="G746" s="368"/>
      <c r="H746" s="368"/>
      <c r="I746" s="368"/>
      <c r="J746" s="368"/>
      <c r="K746" s="368"/>
      <c r="L746" s="368"/>
      <c r="M746" s="368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368"/>
      <c r="D747" s="368"/>
      <c r="E747" s="368"/>
      <c r="F747" s="368"/>
      <c r="G747" s="368"/>
      <c r="H747" s="368"/>
      <c r="I747" s="368"/>
      <c r="J747" s="368"/>
      <c r="K747" s="368"/>
      <c r="L747" s="368"/>
      <c r="M747" s="368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368"/>
      <c r="D748" s="368"/>
      <c r="E748" s="368"/>
      <c r="F748" s="368"/>
      <c r="G748" s="368"/>
      <c r="H748" s="368"/>
      <c r="I748" s="368"/>
      <c r="J748" s="368"/>
      <c r="K748" s="368"/>
      <c r="L748" s="368"/>
      <c r="M748" s="368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368"/>
      <c r="D749" s="368"/>
      <c r="E749" s="368"/>
      <c r="F749" s="368"/>
      <c r="G749" s="368"/>
      <c r="H749" s="368"/>
      <c r="I749" s="368"/>
      <c r="J749" s="368"/>
      <c r="K749" s="368"/>
      <c r="L749" s="368"/>
      <c r="M749" s="368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368"/>
      <c r="D750" s="368"/>
      <c r="E750" s="368"/>
      <c r="F750" s="368"/>
      <c r="G750" s="368"/>
      <c r="H750" s="368"/>
      <c r="I750" s="368"/>
      <c r="J750" s="368"/>
      <c r="K750" s="368"/>
      <c r="L750" s="368"/>
      <c r="M750" s="368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368"/>
      <c r="D751" s="368"/>
      <c r="E751" s="368"/>
      <c r="F751" s="368"/>
      <c r="G751" s="368"/>
      <c r="H751" s="368"/>
      <c r="I751" s="368"/>
      <c r="J751" s="368"/>
      <c r="K751" s="368"/>
      <c r="L751" s="368"/>
      <c r="M751" s="368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368"/>
      <c r="D752" s="368"/>
      <c r="E752" s="368"/>
      <c r="F752" s="368"/>
      <c r="G752" s="368"/>
      <c r="H752" s="368"/>
      <c r="I752" s="368"/>
      <c r="J752" s="368"/>
      <c r="K752" s="368"/>
      <c r="L752" s="368"/>
      <c r="M752" s="368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368"/>
      <c r="D753" s="368"/>
      <c r="E753" s="368"/>
      <c r="F753" s="368"/>
      <c r="G753" s="368"/>
      <c r="H753" s="368"/>
      <c r="I753" s="368"/>
      <c r="J753" s="368"/>
      <c r="K753" s="368"/>
      <c r="L753" s="368"/>
      <c r="M753" s="368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368"/>
      <c r="D754" s="368"/>
      <c r="E754" s="368"/>
      <c r="F754" s="368"/>
      <c r="G754" s="368"/>
      <c r="H754" s="368"/>
      <c r="I754" s="368"/>
      <c r="J754" s="368"/>
      <c r="K754" s="368"/>
      <c r="L754" s="368"/>
      <c r="M754" s="368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368"/>
      <c r="D755" s="368"/>
      <c r="E755" s="368"/>
      <c r="F755" s="368"/>
      <c r="G755" s="368"/>
      <c r="H755" s="368"/>
      <c r="I755" s="368"/>
      <c r="J755" s="368"/>
      <c r="K755" s="368"/>
      <c r="L755" s="368"/>
      <c r="M755" s="368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368"/>
      <c r="D756" s="368"/>
      <c r="E756" s="368"/>
      <c r="F756" s="368"/>
      <c r="G756" s="368"/>
      <c r="H756" s="368"/>
      <c r="I756" s="368"/>
      <c r="J756" s="368"/>
      <c r="K756" s="368"/>
      <c r="L756" s="368"/>
      <c r="M756" s="368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368"/>
      <c r="D757" s="368"/>
      <c r="E757" s="368"/>
      <c r="F757" s="368"/>
      <c r="G757" s="368"/>
      <c r="H757" s="368"/>
      <c r="I757" s="368"/>
      <c r="J757" s="368"/>
      <c r="K757" s="368"/>
      <c r="L757" s="368"/>
      <c r="M757" s="368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368"/>
      <c r="D758" s="368"/>
      <c r="E758" s="368"/>
      <c r="F758" s="368"/>
      <c r="G758" s="368"/>
      <c r="H758" s="368"/>
      <c r="I758" s="368"/>
      <c r="J758" s="368"/>
      <c r="K758" s="368"/>
      <c r="L758" s="368"/>
      <c r="M758" s="368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368"/>
      <c r="D759" s="368"/>
      <c r="E759" s="368"/>
      <c r="F759" s="368"/>
      <c r="G759" s="368"/>
      <c r="H759" s="368"/>
      <c r="I759" s="368"/>
      <c r="J759" s="368"/>
      <c r="K759" s="368"/>
      <c r="L759" s="368"/>
      <c r="M759" s="368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368"/>
      <c r="D760" s="368"/>
      <c r="E760" s="368"/>
      <c r="F760" s="368"/>
      <c r="G760" s="368"/>
      <c r="H760" s="368"/>
      <c r="I760" s="368"/>
      <c r="J760" s="368"/>
      <c r="K760" s="368"/>
      <c r="L760" s="368"/>
      <c r="M760" s="368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368"/>
      <c r="D761" s="368"/>
      <c r="E761" s="368"/>
      <c r="F761" s="368"/>
      <c r="G761" s="368"/>
      <c r="H761" s="368"/>
      <c r="I761" s="368"/>
      <c r="J761" s="368"/>
      <c r="K761" s="368"/>
      <c r="L761" s="368"/>
      <c r="M761" s="368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368"/>
      <c r="D762" s="368"/>
      <c r="E762" s="368"/>
      <c r="F762" s="368"/>
      <c r="G762" s="368"/>
      <c r="H762" s="368"/>
      <c r="I762" s="368"/>
      <c r="J762" s="368"/>
      <c r="K762" s="368"/>
      <c r="L762" s="368"/>
      <c r="M762" s="368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368"/>
      <c r="D763" s="368"/>
      <c r="E763" s="368"/>
      <c r="F763" s="368"/>
      <c r="G763" s="368"/>
      <c r="H763" s="368"/>
      <c r="I763" s="368"/>
      <c r="J763" s="368"/>
      <c r="K763" s="368"/>
      <c r="L763" s="368"/>
      <c r="M763" s="368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368"/>
      <c r="D764" s="368"/>
      <c r="E764" s="368"/>
      <c r="F764" s="368"/>
      <c r="G764" s="368"/>
      <c r="H764" s="368"/>
      <c r="I764" s="368"/>
      <c r="J764" s="368"/>
      <c r="K764" s="368"/>
      <c r="L764" s="368"/>
      <c r="M764" s="368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368"/>
      <c r="D765" s="368"/>
      <c r="E765" s="368"/>
      <c r="F765" s="368"/>
      <c r="G765" s="368"/>
      <c r="H765" s="368"/>
      <c r="I765" s="368"/>
      <c r="J765" s="368"/>
      <c r="K765" s="368"/>
      <c r="L765" s="368"/>
      <c r="M765" s="368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368"/>
      <c r="D766" s="368"/>
      <c r="E766" s="368"/>
      <c r="F766" s="368"/>
      <c r="G766" s="368"/>
      <c r="H766" s="368"/>
      <c r="I766" s="368"/>
      <c r="J766" s="368"/>
      <c r="K766" s="368"/>
      <c r="L766" s="368"/>
      <c r="M766" s="368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368"/>
      <c r="D767" s="368"/>
      <c r="E767" s="368"/>
      <c r="F767" s="368"/>
      <c r="G767" s="368"/>
      <c r="H767" s="368"/>
      <c r="I767" s="368"/>
      <c r="J767" s="368"/>
      <c r="K767" s="368"/>
      <c r="L767" s="368"/>
      <c r="M767" s="368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368"/>
      <c r="D768" s="368"/>
      <c r="E768" s="368"/>
      <c r="F768" s="368"/>
      <c r="G768" s="368"/>
      <c r="H768" s="368"/>
      <c r="I768" s="368"/>
      <c r="J768" s="368"/>
      <c r="K768" s="368"/>
      <c r="L768" s="368"/>
      <c r="M768" s="368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368"/>
      <c r="D769" s="368"/>
      <c r="E769" s="368"/>
      <c r="F769" s="368"/>
      <c r="G769" s="368"/>
      <c r="H769" s="368"/>
      <c r="I769" s="368"/>
      <c r="J769" s="368"/>
      <c r="K769" s="368"/>
      <c r="L769" s="368"/>
      <c r="M769" s="368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368"/>
      <c r="D770" s="368"/>
      <c r="E770" s="368"/>
      <c r="F770" s="368"/>
      <c r="G770" s="368"/>
      <c r="H770" s="368"/>
      <c r="I770" s="368"/>
      <c r="J770" s="368"/>
      <c r="K770" s="368"/>
      <c r="L770" s="368"/>
      <c r="M770" s="368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368"/>
      <c r="D771" s="368"/>
      <c r="E771" s="368"/>
      <c r="F771" s="368"/>
      <c r="G771" s="368"/>
      <c r="H771" s="368"/>
      <c r="I771" s="368"/>
      <c r="J771" s="368"/>
      <c r="K771" s="368"/>
      <c r="L771" s="368"/>
      <c r="M771" s="368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368"/>
      <c r="D772" s="368"/>
      <c r="E772" s="368"/>
      <c r="F772" s="368"/>
      <c r="G772" s="368"/>
      <c r="H772" s="368"/>
      <c r="I772" s="368"/>
      <c r="J772" s="368"/>
      <c r="K772" s="368"/>
      <c r="L772" s="368"/>
      <c r="M772" s="368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368"/>
      <c r="D773" s="368"/>
      <c r="E773" s="368"/>
      <c r="F773" s="368"/>
      <c r="G773" s="368"/>
      <c r="H773" s="368"/>
      <c r="I773" s="368"/>
      <c r="J773" s="368"/>
      <c r="K773" s="368"/>
      <c r="L773" s="368"/>
      <c r="M773" s="368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368"/>
      <c r="D774" s="368"/>
      <c r="E774" s="368"/>
      <c r="F774" s="368"/>
      <c r="G774" s="368"/>
      <c r="H774" s="368"/>
      <c r="I774" s="368"/>
      <c r="J774" s="368"/>
      <c r="K774" s="368"/>
      <c r="L774" s="368"/>
      <c r="M774" s="368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368"/>
      <c r="D775" s="368"/>
      <c r="E775" s="368"/>
      <c r="F775" s="368"/>
      <c r="G775" s="368"/>
      <c r="H775" s="368"/>
      <c r="I775" s="368"/>
      <c r="J775" s="368"/>
      <c r="K775" s="368"/>
      <c r="L775" s="368"/>
      <c r="M775" s="368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368"/>
      <c r="D776" s="368"/>
      <c r="E776" s="368"/>
      <c r="F776" s="368"/>
      <c r="G776" s="368"/>
      <c r="H776" s="368"/>
      <c r="I776" s="368"/>
      <c r="J776" s="368"/>
      <c r="K776" s="368"/>
      <c r="L776" s="368"/>
      <c r="M776" s="368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368"/>
      <c r="D777" s="368"/>
      <c r="E777" s="368"/>
      <c r="F777" s="368"/>
      <c r="G777" s="368"/>
      <c r="H777" s="368"/>
      <c r="I777" s="368"/>
      <c r="J777" s="368"/>
      <c r="K777" s="368"/>
      <c r="L777" s="368"/>
      <c r="M777" s="368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368"/>
      <c r="D778" s="368"/>
      <c r="E778" s="368"/>
      <c r="F778" s="368"/>
      <c r="G778" s="368"/>
      <c r="H778" s="368"/>
      <c r="I778" s="368"/>
      <c r="J778" s="368"/>
      <c r="K778" s="368"/>
      <c r="L778" s="368"/>
      <c r="M778" s="368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368"/>
      <c r="D779" s="368"/>
      <c r="E779" s="368"/>
      <c r="F779" s="368"/>
      <c r="G779" s="368"/>
      <c r="H779" s="368"/>
      <c r="I779" s="368"/>
      <c r="J779" s="368"/>
      <c r="K779" s="368"/>
      <c r="L779" s="368"/>
      <c r="M779" s="368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368"/>
      <c r="D780" s="368"/>
      <c r="E780" s="368"/>
      <c r="F780" s="368"/>
      <c r="G780" s="368"/>
      <c r="H780" s="368"/>
      <c r="I780" s="368"/>
      <c r="J780" s="368"/>
      <c r="K780" s="368"/>
      <c r="L780" s="368"/>
      <c r="M780" s="368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368"/>
      <c r="D781" s="368"/>
      <c r="E781" s="368"/>
      <c r="F781" s="368"/>
      <c r="G781" s="368"/>
      <c r="H781" s="368"/>
      <c r="I781" s="368"/>
      <c r="J781" s="368"/>
      <c r="K781" s="368"/>
      <c r="L781" s="368"/>
      <c r="M781" s="368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368"/>
      <c r="D782" s="368"/>
      <c r="E782" s="368"/>
      <c r="F782" s="368"/>
      <c r="G782" s="368"/>
      <c r="H782" s="368"/>
      <c r="I782" s="368"/>
      <c r="J782" s="368"/>
      <c r="K782" s="368"/>
      <c r="L782" s="368"/>
      <c r="M782" s="368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368"/>
      <c r="D783" s="368"/>
      <c r="E783" s="368"/>
      <c r="F783" s="368"/>
      <c r="G783" s="368"/>
      <c r="H783" s="368"/>
      <c r="I783" s="368"/>
      <c r="J783" s="368"/>
      <c r="K783" s="368"/>
      <c r="L783" s="368"/>
      <c r="M783" s="368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368"/>
      <c r="D784" s="368"/>
      <c r="E784" s="368"/>
      <c r="F784" s="368"/>
      <c r="G784" s="368"/>
      <c r="H784" s="368"/>
      <c r="I784" s="368"/>
      <c r="J784" s="368"/>
      <c r="K784" s="368"/>
      <c r="L784" s="368"/>
      <c r="M784" s="368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368"/>
      <c r="D785" s="368"/>
      <c r="E785" s="368"/>
      <c r="F785" s="368"/>
      <c r="G785" s="368"/>
      <c r="H785" s="368"/>
      <c r="I785" s="368"/>
      <c r="J785" s="368"/>
      <c r="K785" s="368"/>
      <c r="L785" s="368"/>
      <c r="M785" s="368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368"/>
      <c r="D786" s="368"/>
      <c r="E786" s="368"/>
      <c r="F786" s="368"/>
      <c r="G786" s="368"/>
      <c r="H786" s="368"/>
      <c r="I786" s="368"/>
      <c r="J786" s="368"/>
      <c r="K786" s="368"/>
      <c r="L786" s="368"/>
      <c r="M786" s="368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368"/>
      <c r="D787" s="368"/>
      <c r="E787" s="368"/>
      <c r="F787" s="368"/>
      <c r="G787" s="368"/>
      <c r="H787" s="368"/>
      <c r="I787" s="368"/>
      <c r="J787" s="368"/>
      <c r="K787" s="368"/>
      <c r="L787" s="368"/>
      <c r="M787" s="368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368"/>
      <c r="D788" s="368"/>
      <c r="E788" s="368"/>
      <c r="F788" s="368"/>
      <c r="G788" s="368"/>
      <c r="H788" s="368"/>
      <c r="I788" s="368"/>
      <c r="J788" s="368"/>
      <c r="K788" s="368"/>
      <c r="L788" s="368"/>
      <c r="M788" s="368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368"/>
      <c r="D789" s="368"/>
      <c r="E789" s="368"/>
      <c r="F789" s="368"/>
      <c r="G789" s="368"/>
      <c r="H789" s="368"/>
      <c r="I789" s="368"/>
      <c r="J789" s="368"/>
      <c r="K789" s="368"/>
      <c r="L789" s="368"/>
      <c r="M789" s="368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368"/>
      <c r="D790" s="368"/>
      <c r="E790" s="368"/>
      <c r="F790" s="368"/>
      <c r="G790" s="368"/>
      <c r="H790" s="368"/>
      <c r="I790" s="368"/>
      <c r="J790" s="368"/>
      <c r="K790" s="368"/>
      <c r="L790" s="368"/>
      <c r="M790" s="368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368"/>
      <c r="D791" s="368"/>
      <c r="E791" s="368"/>
      <c r="F791" s="368"/>
      <c r="G791" s="368"/>
      <c r="H791" s="368"/>
      <c r="I791" s="368"/>
      <c r="J791" s="368"/>
      <c r="K791" s="368"/>
      <c r="L791" s="368"/>
      <c r="M791" s="368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368"/>
      <c r="D792" s="368"/>
      <c r="E792" s="368"/>
      <c r="F792" s="368"/>
      <c r="G792" s="368"/>
      <c r="H792" s="368"/>
      <c r="I792" s="368"/>
      <c r="J792" s="368"/>
      <c r="K792" s="368"/>
      <c r="L792" s="368"/>
      <c r="M792" s="368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368"/>
      <c r="D793" s="368"/>
      <c r="E793" s="368"/>
      <c r="F793" s="368"/>
      <c r="G793" s="368"/>
      <c r="H793" s="368"/>
      <c r="I793" s="368"/>
      <c r="J793" s="368"/>
      <c r="K793" s="368"/>
      <c r="L793" s="368"/>
      <c r="M793" s="368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368"/>
      <c r="D794" s="368"/>
      <c r="E794" s="368"/>
      <c r="F794" s="368"/>
      <c r="G794" s="368"/>
      <c r="H794" s="368"/>
      <c r="I794" s="368"/>
      <c r="J794" s="368"/>
      <c r="K794" s="368"/>
      <c r="L794" s="368"/>
      <c r="M794" s="368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368"/>
      <c r="D795" s="368"/>
      <c r="E795" s="368"/>
      <c r="F795" s="368"/>
      <c r="G795" s="368"/>
      <c r="H795" s="368"/>
      <c r="I795" s="368"/>
      <c r="J795" s="368"/>
      <c r="K795" s="368"/>
      <c r="L795" s="368"/>
      <c r="M795" s="368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368"/>
      <c r="D796" s="368"/>
      <c r="E796" s="368"/>
      <c r="F796" s="368"/>
      <c r="G796" s="368"/>
      <c r="H796" s="368"/>
      <c r="I796" s="368"/>
      <c r="J796" s="368"/>
      <c r="K796" s="368"/>
      <c r="L796" s="368"/>
      <c r="M796" s="368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368"/>
      <c r="D797" s="368"/>
      <c r="E797" s="368"/>
      <c r="F797" s="368"/>
      <c r="G797" s="368"/>
      <c r="H797" s="368"/>
      <c r="I797" s="368"/>
      <c r="J797" s="368"/>
      <c r="K797" s="368"/>
      <c r="L797" s="368"/>
      <c r="M797" s="368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368"/>
      <c r="D798" s="368"/>
      <c r="E798" s="368"/>
      <c r="F798" s="368"/>
      <c r="G798" s="368"/>
      <c r="H798" s="368"/>
      <c r="I798" s="368"/>
      <c r="J798" s="368"/>
      <c r="K798" s="368"/>
      <c r="L798" s="368"/>
      <c r="M798" s="368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368"/>
      <c r="D799" s="368"/>
      <c r="E799" s="368"/>
      <c r="F799" s="368"/>
      <c r="G799" s="368"/>
      <c r="H799" s="368"/>
      <c r="I799" s="368"/>
      <c r="J799" s="368"/>
      <c r="K799" s="368"/>
      <c r="L799" s="368"/>
      <c r="M799" s="368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368"/>
      <c r="D800" s="368"/>
      <c r="E800" s="368"/>
      <c r="F800" s="368"/>
      <c r="G800" s="368"/>
      <c r="H800" s="368"/>
      <c r="I800" s="368"/>
      <c r="J800" s="368"/>
      <c r="K800" s="368"/>
      <c r="L800" s="368"/>
      <c r="M800" s="368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368"/>
      <c r="D801" s="368"/>
      <c r="E801" s="368"/>
      <c r="F801" s="368"/>
      <c r="G801" s="368"/>
      <c r="H801" s="368"/>
      <c r="I801" s="368"/>
      <c r="J801" s="368"/>
      <c r="K801" s="368"/>
      <c r="L801" s="368"/>
      <c r="M801" s="368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368"/>
      <c r="D802" s="368"/>
      <c r="E802" s="368"/>
      <c r="F802" s="368"/>
      <c r="G802" s="368"/>
      <c r="H802" s="368"/>
      <c r="I802" s="368"/>
      <c r="J802" s="368"/>
      <c r="K802" s="368"/>
      <c r="L802" s="368"/>
      <c r="M802" s="368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368"/>
      <c r="D803" s="368"/>
      <c r="E803" s="368"/>
      <c r="F803" s="368"/>
      <c r="G803" s="368"/>
      <c r="H803" s="368"/>
      <c r="I803" s="368"/>
      <c r="J803" s="368"/>
      <c r="K803" s="368"/>
      <c r="L803" s="368"/>
      <c r="M803" s="368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368"/>
      <c r="D804" s="368"/>
      <c r="E804" s="368"/>
      <c r="F804" s="368"/>
      <c r="G804" s="368"/>
      <c r="H804" s="368"/>
      <c r="I804" s="368"/>
      <c r="J804" s="368"/>
      <c r="K804" s="368"/>
      <c r="L804" s="368"/>
      <c r="M804" s="368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368"/>
      <c r="D805" s="368"/>
      <c r="E805" s="368"/>
      <c r="F805" s="368"/>
      <c r="G805" s="368"/>
      <c r="H805" s="368"/>
      <c r="I805" s="368"/>
      <c r="J805" s="368"/>
      <c r="K805" s="368"/>
      <c r="L805" s="368"/>
      <c r="M805" s="368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368"/>
      <c r="D806" s="368"/>
      <c r="E806" s="368"/>
      <c r="F806" s="368"/>
      <c r="G806" s="368"/>
      <c r="H806" s="368"/>
      <c r="I806" s="368"/>
      <c r="J806" s="368"/>
      <c r="K806" s="368"/>
      <c r="L806" s="368"/>
      <c r="M806" s="368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368"/>
      <c r="D807" s="368"/>
      <c r="E807" s="368"/>
      <c r="F807" s="368"/>
      <c r="G807" s="368"/>
      <c r="H807" s="368"/>
      <c r="I807" s="368"/>
      <c r="J807" s="368"/>
      <c r="K807" s="368"/>
      <c r="L807" s="368"/>
      <c r="M807" s="368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368"/>
      <c r="D808" s="368"/>
      <c r="E808" s="368"/>
      <c r="F808" s="368"/>
      <c r="G808" s="368"/>
      <c r="H808" s="368"/>
      <c r="I808" s="368"/>
      <c r="J808" s="368"/>
      <c r="K808" s="368"/>
      <c r="L808" s="368"/>
      <c r="M808" s="368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368"/>
      <c r="D809" s="368"/>
      <c r="E809" s="368"/>
      <c r="F809" s="368"/>
      <c r="G809" s="368"/>
      <c r="H809" s="368"/>
      <c r="I809" s="368"/>
      <c r="J809" s="368"/>
      <c r="K809" s="368"/>
      <c r="L809" s="368"/>
      <c r="M809" s="368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368"/>
      <c r="D810" s="368"/>
      <c r="E810" s="368"/>
      <c r="F810" s="368"/>
      <c r="G810" s="368"/>
      <c r="H810" s="368"/>
      <c r="I810" s="368"/>
      <c r="J810" s="368"/>
      <c r="K810" s="368"/>
      <c r="L810" s="368"/>
      <c r="M810" s="368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368"/>
      <c r="D811" s="368"/>
      <c r="E811" s="368"/>
      <c r="F811" s="368"/>
      <c r="G811" s="368"/>
      <c r="H811" s="368"/>
      <c r="I811" s="368"/>
      <c r="J811" s="368"/>
      <c r="K811" s="368"/>
      <c r="L811" s="368"/>
      <c r="M811" s="368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368"/>
      <c r="D812" s="368"/>
      <c r="E812" s="368"/>
      <c r="F812" s="368"/>
      <c r="G812" s="368"/>
      <c r="H812" s="368"/>
      <c r="I812" s="368"/>
      <c r="J812" s="368"/>
      <c r="K812" s="368"/>
      <c r="L812" s="368"/>
      <c r="M812" s="368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368"/>
      <c r="D813" s="368"/>
      <c r="E813" s="368"/>
      <c r="F813" s="368"/>
      <c r="G813" s="368"/>
      <c r="H813" s="368"/>
      <c r="I813" s="368"/>
      <c r="J813" s="368"/>
      <c r="K813" s="368"/>
      <c r="L813" s="368"/>
      <c r="M813" s="368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368"/>
      <c r="D814" s="368"/>
      <c r="E814" s="368"/>
      <c r="F814" s="368"/>
      <c r="G814" s="368"/>
      <c r="H814" s="368"/>
      <c r="I814" s="368"/>
      <c r="J814" s="368"/>
      <c r="K814" s="368"/>
      <c r="L814" s="368"/>
      <c r="M814" s="368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368"/>
      <c r="D815" s="368"/>
      <c r="E815" s="368"/>
      <c r="F815" s="368"/>
      <c r="G815" s="368"/>
      <c r="H815" s="368"/>
      <c r="I815" s="368"/>
      <c r="J815" s="368"/>
      <c r="K815" s="368"/>
      <c r="L815" s="368"/>
      <c r="M815" s="368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368"/>
      <c r="D816" s="368"/>
      <c r="E816" s="368"/>
      <c r="F816" s="368"/>
      <c r="G816" s="368"/>
      <c r="H816" s="368"/>
      <c r="I816" s="368"/>
      <c r="J816" s="368"/>
      <c r="K816" s="368"/>
      <c r="L816" s="368"/>
      <c r="M816" s="368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368"/>
      <c r="D817" s="368"/>
      <c r="E817" s="368"/>
      <c r="F817" s="368"/>
      <c r="G817" s="368"/>
      <c r="H817" s="368"/>
      <c r="I817" s="368"/>
      <c r="J817" s="368"/>
      <c r="K817" s="368"/>
      <c r="L817" s="368"/>
      <c r="M817" s="368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368"/>
      <c r="D818" s="368"/>
      <c r="E818" s="368"/>
      <c r="F818" s="368"/>
      <c r="G818" s="368"/>
      <c r="H818" s="368"/>
      <c r="I818" s="368"/>
      <c r="J818" s="368"/>
      <c r="K818" s="368"/>
      <c r="L818" s="368"/>
      <c r="M818" s="368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368"/>
      <c r="D819" s="368"/>
      <c r="E819" s="368"/>
      <c r="F819" s="368"/>
      <c r="G819" s="368"/>
      <c r="H819" s="368"/>
      <c r="I819" s="368"/>
      <c r="J819" s="368"/>
      <c r="K819" s="368"/>
      <c r="L819" s="368"/>
      <c r="M819" s="368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368"/>
      <c r="D820" s="368"/>
      <c r="E820" s="368"/>
      <c r="F820" s="368"/>
      <c r="G820" s="368"/>
      <c r="H820" s="368"/>
      <c r="I820" s="368"/>
      <c r="J820" s="368"/>
      <c r="K820" s="368"/>
      <c r="L820" s="368"/>
      <c r="M820" s="368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368"/>
      <c r="D821" s="368"/>
      <c r="E821" s="368"/>
      <c r="F821" s="368"/>
      <c r="G821" s="368"/>
      <c r="H821" s="368"/>
      <c r="I821" s="368"/>
      <c r="J821" s="368"/>
      <c r="K821" s="368"/>
      <c r="L821" s="368"/>
      <c r="M821" s="368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368"/>
      <c r="D822" s="368"/>
      <c r="E822" s="368"/>
      <c r="F822" s="368"/>
      <c r="G822" s="368"/>
      <c r="H822" s="368"/>
      <c r="I822" s="368"/>
      <c r="J822" s="368"/>
      <c r="K822" s="368"/>
      <c r="L822" s="368"/>
      <c r="M822" s="368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368"/>
      <c r="D823" s="368"/>
      <c r="E823" s="368"/>
      <c r="F823" s="368"/>
      <c r="G823" s="368"/>
      <c r="H823" s="368"/>
      <c r="I823" s="368"/>
      <c r="J823" s="368"/>
      <c r="K823" s="368"/>
      <c r="L823" s="368"/>
      <c r="M823" s="368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368"/>
      <c r="D824" s="368"/>
      <c r="E824" s="368"/>
      <c r="F824" s="368"/>
      <c r="G824" s="368"/>
      <c r="H824" s="368"/>
      <c r="I824" s="368"/>
      <c r="J824" s="368"/>
      <c r="K824" s="368"/>
      <c r="L824" s="368"/>
      <c r="M824" s="368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368"/>
      <c r="D825" s="368"/>
      <c r="E825" s="368"/>
      <c r="F825" s="368"/>
      <c r="G825" s="368"/>
      <c r="H825" s="368"/>
      <c r="I825" s="368"/>
      <c r="J825" s="368"/>
      <c r="K825" s="368"/>
      <c r="L825" s="368"/>
      <c r="M825" s="368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368"/>
      <c r="D826" s="368"/>
      <c r="E826" s="368"/>
      <c r="F826" s="368"/>
      <c r="G826" s="368"/>
      <c r="H826" s="368"/>
      <c r="I826" s="368"/>
      <c r="J826" s="368"/>
      <c r="K826" s="368"/>
      <c r="L826" s="368"/>
      <c r="M826" s="368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368"/>
      <c r="D827" s="368"/>
      <c r="E827" s="368"/>
      <c r="F827" s="368"/>
      <c r="G827" s="368"/>
      <c r="H827" s="368"/>
      <c r="I827" s="368"/>
      <c r="J827" s="368"/>
      <c r="K827" s="368"/>
      <c r="L827" s="368"/>
      <c r="M827" s="368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368"/>
      <c r="D828" s="368"/>
      <c r="E828" s="368"/>
      <c r="F828" s="368"/>
      <c r="G828" s="368"/>
      <c r="H828" s="368"/>
      <c r="I828" s="368"/>
      <c r="J828" s="368"/>
      <c r="K828" s="368"/>
      <c r="L828" s="368"/>
      <c r="M828" s="368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368"/>
      <c r="D829" s="368"/>
      <c r="E829" s="368"/>
      <c r="F829" s="368"/>
      <c r="G829" s="368"/>
      <c r="H829" s="368"/>
      <c r="I829" s="368"/>
      <c r="J829" s="368"/>
      <c r="K829" s="368"/>
      <c r="L829" s="368"/>
      <c r="M829" s="368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368"/>
      <c r="D830" s="368"/>
      <c r="E830" s="368"/>
      <c r="F830" s="368"/>
      <c r="G830" s="368"/>
      <c r="H830" s="368"/>
      <c r="I830" s="368"/>
      <c r="J830" s="368"/>
      <c r="K830" s="368"/>
      <c r="L830" s="368"/>
      <c r="M830" s="368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368"/>
      <c r="D831" s="368"/>
      <c r="E831" s="368"/>
      <c r="F831" s="368"/>
      <c r="G831" s="368"/>
      <c r="H831" s="368"/>
      <c r="I831" s="368"/>
      <c r="J831" s="368"/>
      <c r="K831" s="368"/>
      <c r="L831" s="368"/>
      <c r="M831" s="368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368"/>
      <c r="D832" s="368"/>
      <c r="E832" s="368"/>
      <c r="F832" s="368"/>
      <c r="G832" s="368"/>
      <c r="H832" s="368"/>
      <c r="I832" s="368"/>
      <c r="J832" s="368"/>
      <c r="K832" s="368"/>
      <c r="L832" s="368"/>
      <c r="M832" s="368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368"/>
      <c r="D833" s="368"/>
      <c r="E833" s="368"/>
      <c r="F833" s="368"/>
      <c r="G833" s="368"/>
      <c r="H833" s="368"/>
      <c r="I833" s="368"/>
      <c r="J833" s="368"/>
      <c r="K833" s="368"/>
      <c r="L833" s="368"/>
      <c r="M833" s="368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368"/>
      <c r="D834" s="368"/>
      <c r="E834" s="368"/>
      <c r="F834" s="368"/>
      <c r="G834" s="368"/>
      <c r="H834" s="368"/>
      <c r="I834" s="368"/>
      <c r="J834" s="368"/>
      <c r="K834" s="368"/>
      <c r="L834" s="368"/>
      <c r="M834" s="368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368"/>
      <c r="D835" s="368"/>
      <c r="E835" s="368"/>
      <c r="F835" s="368"/>
      <c r="G835" s="368"/>
      <c r="H835" s="368"/>
      <c r="I835" s="368"/>
      <c r="J835" s="368"/>
      <c r="K835" s="368"/>
      <c r="L835" s="368"/>
      <c r="M835" s="368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368"/>
      <c r="D836" s="368"/>
      <c r="E836" s="368"/>
      <c r="F836" s="368"/>
      <c r="G836" s="368"/>
      <c r="H836" s="368"/>
      <c r="I836" s="368"/>
      <c r="J836" s="368"/>
      <c r="K836" s="368"/>
      <c r="L836" s="368"/>
      <c r="M836" s="368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368"/>
      <c r="D837" s="368"/>
      <c r="E837" s="368"/>
      <c r="F837" s="368"/>
      <c r="G837" s="368"/>
      <c r="H837" s="368"/>
      <c r="I837" s="368"/>
      <c r="J837" s="368"/>
      <c r="K837" s="368"/>
      <c r="L837" s="368"/>
      <c r="M837" s="368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368"/>
      <c r="D838" s="368"/>
      <c r="E838" s="368"/>
      <c r="F838" s="368"/>
      <c r="G838" s="368"/>
      <c r="H838" s="368"/>
      <c r="I838" s="368"/>
      <c r="J838" s="368"/>
      <c r="K838" s="368"/>
      <c r="L838" s="368"/>
      <c r="M838" s="368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368"/>
      <c r="D839" s="368"/>
      <c r="E839" s="368"/>
      <c r="F839" s="368"/>
      <c r="G839" s="368"/>
      <c r="H839" s="368"/>
      <c r="I839" s="368"/>
      <c r="J839" s="368"/>
      <c r="K839" s="368"/>
      <c r="L839" s="368"/>
      <c r="M839" s="368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368"/>
      <c r="D840" s="368"/>
      <c r="E840" s="368"/>
      <c r="F840" s="368"/>
      <c r="G840" s="368"/>
      <c r="H840" s="368"/>
      <c r="I840" s="368"/>
      <c r="J840" s="368"/>
      <c r="K840" s="368"/>
      <c r="L840" s="368"/>
      <c r="M840" s="368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368"/>
      <c r="D841" s="368"/>
      <c r="E841" s="368"/>
      <c r="F841" s="368"/>
      <c r="G841" s="368"/>
      <c r="H841" s="368"/>
      <c r="I841" s="368"/>
      <c r="J841" s="368"/>
      <c r="K841" s="368"/>
      <c r="L841" s="368"/>
      <c r="M841" s="368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368"/>
      <c r="D842" s="368"/>
      <c r="E842" s="368"/>
      <c r="F842" s="368"/>
      <c r="G842" s="368"/>
      <c r="H842" s="368"/>
      <c r="I842" s="368"/>
      <c r="J842" s="368"/>
      <c r="K842" s="368"/>
      <c r="L842" s="368"/>
      <c r="M842" s="368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368"/>
      <c r="D843" s="368"/>
      <c r="E843" s="368"/>
      <c r="F843" s="368"/>
      <c r="G843" s="368"/>
      <c r="H843" s="368"/>
      <c r="I843" s="368"/>
      <c r="J843" s="368"/>
      <c r="K843" s="368"/>
      <c r="L843" s="368"/>
      <c r="M843" s="368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368"/>
      <c r="D844" s="368"/>
      <c r="E844" s="368"/>
      <c r="F844" s="368"/>
      <c r="G844" s="368"/>
      <c r="H844" s="368"/>
      <c r="I844" s="368"/>
      <c r="J844" s="368"/>
      <c r="K844" s="368"/>
      <c r="L844" s="368"/>
      <c r="M844" s="368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368"/>
      <c r="D845" s="368"/>
      <c r="E845" s="368"/>
      <c r="F845" s="368"/>
      <c r="G845" s="368"/>
      <c r="H845" s="368"/>
      <c r="I845" s="368"/>
      <c r="J845" s="368"/>
      <c r="K845" s="368"/>
      <c r="L845" s="368"/>
      <c r="M845" s="368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368"/>
      <c r="D846" s="368"/>
      <c r="E846" s="368"/>
      <c r="F846" s="368"/>
      <c r="G846" s="368"/>
      <c r="H846" s="368"/>
      <c r="I846" s="368"/>
      <c r="J846" s="368"/>
      <c r="K846" s="368"/>
      <c r="L846" s="368"/>
      <c r="M846" s="368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368"/>
      <c r="D847" s="368"/>
      <c r="E847" s="368"/>
      <c r="F847" s="368"/>
      <c r="G847" s="368"/>
      <c r="H847" s="368"/>
      <c r="I847" s="368"/>
      <c r="J847" s="368"/>
      <c r="K847" s="368"/>
      <c r="L847" s="368"/>
      <c r="M847" s="368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368"/>
      <c r="D848" s="368"/>
      <c r="E848" s="368"/>
      <c r="F848" s="368"/>
      <c r="G848" s="368"/>
      <c r="H848" s="368"/>
      <c r="I848" s="368"/>
      <c r="J848" s="368"/>
      <c r="K848" s="368"/>
      <c r="L848" s="368"/>
      <c r="M848" s="368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368"/>
      <c r="D849" s="368"/>
      <c r="E849" s="368"/>
      <c r="F849" s="368"/>
      <c r="G849" s="368"/>
      <c r="H849" s="368"/>
      <c r="I849" s="368"/>
      <c r="J849" s="368"/>
      <c r="K849" s="368"/>
      <c r="L849" s="368"/>
      <c r="M849" s="368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368"/>
      <c r="D850" s="368"/>
      <c r="E850" s="368"/>
      <c r="F850" s="368"/>
      <c r="G850" s="368"/>
      <c r="H850" s="368"/>
      <c r="I850" s="368"/>
      <c r="J850" s="368"/>
      <c r="K850" s="368"/>
      <c r="L850" s="368"/>
      <c r="M850" s="368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368"/>
      <c r="D851" s="368"/>
      <c r="E851" s="368"/>
      <c r="F851" s="368"/>
      <c r="G851" s="368"/>
      <c r="H851" s="368"/>
      <c r="I851" s="368"/>
      <c r="J851" s="368"/>
      <c r="K851" s="368"/>
      <c r="L851" s="368"/>
      <c r="M851" s="368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368"/>
      <c r="D852" s="368"/>
      <c r="E852" s="368"/>
      <c r="F852" s="368"/>
      <c r="G852" s="368"/>
      <c r="H852" s="368"/>
      <c r="I852" s="368"/>
      <c r="J852" s="368"/>
      <c r="K852" s="368"/>
      <c r="L852" s="368"/>
      <c r="M852" s="368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368"/>
      <c r="D853" s="368"/>
      <c r="E853" s="368"/>
      <c r="F853" s="368"/>
      <c r="G853" s="368"/>
      <c r="H853" s="368"/>
      <c r="I853" s="368"/>
      <c r="J853" s="368"/>
      <c r="K853" s="368"/>
      <c r="L853" s="368"/>
      <c r="M853" s="368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368"/>
      <c r="D854" s="368"/>
      <c r="E854" s="368"/>
      <c r="F854" s="368"/>
      <c r="G854" s="368"/>
      <c r="H854" s="368"/>
      <c r="I854" s="368"/>
      <c r="J854" s="368"/>
      <c r="K854" s="368"/>
      <c r="L854" s="368"/>
      <c r="M854" s="368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368"/>
      <c r="D855" s="368"/>
      <c r="E855" s="368"/>
      <c r="F855" s="368"/>
      <c r="G855" s="368"/>
      <c r="H855" s="368"/>
      <c r="I855" s="368"/>
      <c r="J855" s="368"/>
      <c r="K855" s="368"/>
      <c r="L855" s="368"/>
      <c r="M855" s="368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368"/>
      <c r="D856" s="368"/>
      <c r="E856" s="368"/>
      <c r="F856" s="368"/>
      <c r="G856" s="368"/>
      <c r="H856" s="368"/>
      <c r="I856" s="368"/>
      <c r="J856" s="368"/>
      <c r="K856" s="368"/>
      <c r="L856" s="368"/>
      <c r="M856" s="368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368"/>
      <c r="D857" s="368"/>
      <c r="E857" s="368"/>
      <c r="F857" s="368"/>
      <c r="G857" s="368"/>
      <c r="H857" s="368"/>
      <c r="I857" s="368"/>
      <c r="J857" s="368"/>
      <c r="K857" s="368"/>
      <c r="L857" s="368"/>
      <c r="M857" s="368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368"/>
      <c r="D858" s="368"/>
      <c r="E858" s="368"/>
      <c r="F858" s="368"/>
      <c r="G858" s="368"/>
      <c r="H858" s="368"/>
      <c r="I858" s="368"/>
      <c r="J858" s="368"/>
      <c r="K858" s="368"/>
      <c r="L858" s="368"/>
      <c r="M858" s="368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368"/>
      <c r="D859" s="368"/>
      <c r="E859" s="368"/>
      <c r="F859" s="368"/>
      <c r="G859" s="368"/>
      <c r="H859" s="368"/>
      <c r="I859" s="368"/>
      <c r="J859" s="368"/>
      <c r="K859" s="368"/>
      <c r="L859" s="368"/>
      <c r="M859" s="368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368"/>
      <c r="D860" s="368"/>
      <c r="E860" s="368"/>
      <c r="F860" s="368"/>
      <c r="G860" s="368"/>
      <c r="H860" s="368"/>
      <c r="I860" s="368"/>
      <c r="J860" s="368"/>
      <c r="K860" s="368"/>
      <c r="L860" s="368"/>
      <c r="M860" s="368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368"/>
      <c r="D861" s="368"/>
      <c r="E861" s="368"/>
      <c r="F861" s="368"/>
      <c r="G861" s="368"/>
      <c r="H861" s="368"/>
      <c r="I861" s="368"/>
      <c r="J861" s="368"/>
      <c r="K861" s="368"/>
      <c r="L861" s="368"/>
      <c r="M861" s="368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368"/>
      <c r="D862" s="368"/>
      <c r="E862" s="368"/>
      <c r="F862" s="368"/>
      <c r="G862" s="368"/>
      <c r="H862" s="368"/>
      <c r="I862" s="368"/>
      <c r="J862" s="368"/>
      <c r="K862" s="368"/>
      <c r="L862" s="368"/>
      <c r="M862" s="368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368"/>
      <c r="D863" s="368"/>
      <c r="E863" s="368"/>
      <c r="F863" s="368"/>
      <c r="G863" s="368"/>
      <c r="H863" s="368"/>
      <c r="I863" s="368"/>
      <c r="J863" s="368"/>
      <c r="K863" s="368"/>
      <c r="L863" s="368"/>
      <c r="M863" s="368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368"/>
      <c r="D864" s="368"/>
      <c r="E864" s="368"/>
      <c r="F864" s="368"/>
      <c r="G864" s="368"/>
      <c r="H864" s="368"/>
      <c r="I864" s="368"/>
      <c r="J864" s="368"/>
      <c r="K864" s="368"/>
      <c r="L864" s="368"/>
      <c r="M864" s="368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368"/>
      <c r="D865" s="368"/>
      <c r="E865" s="368"/>
      <c r="F865" s="368"/>
      <c r="G865" s="368"/>
      <c r="H865" s="368"/>
      <c r="I865" s="368"/>
      <c r="J865" s="368"/>
      <c r="K865" s="368"/>
      <c r="L865" s="368"/>
      <c r="M865" s="368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368"/>
      <c r="D866" s="368"/>
      <c r="E866" s="368"/>
      <c r="F866" s="368"/>
      <c r="G866" s="368"/>
      <c r="H866" s="368"/>
      <c r="I866" s="368"/>
      <c r="J866" s="368"/>
      <c r="K866" s="368"/>
      <c r="L866" s="368"/>
      <c r="M866" s="368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368"/>
      <c r="D867" s="368"/>
      <c r="E867" s="368"/>
      <c r="F867" s="368"/>
      <c r="G867" s="368"/>
      <c r="H867" s="368"/>
      <c r="I867" s="368"/>
      <c r="J867" s="368"/>
      <c r="K867" s="368"/>
      <c r="L867" s="368"/>
      <c r="M867" s="368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368"/>
      <c r="D868" s="368"/>
      <c r="E868" s="368"/>
      <c r="F868" s="368"/>
      <c r="G868" s="368"/>
      <c r="H868" s="368"/>
      <c r="I868" s="368"/>
      <c r="J868" s="368"/>
      <c r="K868" s="368"/>
      <c r="L868" s="368"/>
      <c r="M868" s="368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368"/>
      <c r="D869" s="368"/>
      <c r="E869" s="368"/>
      <c r="F869" s="368"/>
      <c r="G869" s="368"/>
      <c r="H869" s="368"/>
      <c r="I869" s="368"/>
      <c r="J869" s="368"/>
      <c r="K869" s="368"/>
      <c r="L869" s="368"/>
      <c r="M869" s="368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368"/>
      <c r="D870" s="368"/>
      <c r="E870" s="368"/>
      <c r="F870" s="368"/>
      <c r="G870" s="368"/>
      <c r="H870" s="368"/>
      <c r="I870" s="368"/>
      <c r="J870" s="368"/>
      <c r="K870" s="368"/>
      <c r="L870" s="368"/>
      <c r="M870" s="368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368"/>
      <c r="D871" s="368"/>
      <c r="E871" s="368"/>
      <c r="F871" s="368"/>
      <c r="G871" s="368"/>
      <c r="H871" s="368"/>
      <c r="I871" s="368"/>
      <c r="J871" s="368"/>
      <c r="K871" s="368"/>
      <c r="L871" s="368"/>
      <c r="M871" s="368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368"/>
      <c r="D872" s="368"/>
      <c r="E872" s="368"/>
      <c r="F872" s="368"/>
      <c r="G872" s="368"/>
      <c r="H872" s="368"/>
      <c r="I872" s="368"/>
      <c r="J872" s="368"/>
      <c r="K872" s="368"/>
      <c r="L872" s="368"/>
      <c r="M872" s="368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368"/>
      <c r="D873" s="368"/>
      <c r="E873" s="368"/>
      <c r="F873" s="368"/>
      <c r="G873" s="368"/>
      <c r="H873" s="368"/>
      <c r="I873" s="368"/>
      <c r="J873" s="368"/>
      <c r="K873" s="368"/>
      <c r="L873" s="368"/>
      <c r="M873" s="368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368"/>
      <c r="D874" s="368"/>
      <c r="E874" s="368"/>
      <c r="F874" s="368"/>
      <c r="G874" s="368"/>
      <c r="H874" s="368"/>
      <c r="I874" s="368"/>
      <c r="J874" s="368"/>
      <c r="K874" s="368"/>
      <c r="L874" s="368"/>
      <c r="M874" s="368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368"/>
      <c r="D875" s="368"/>
      <c r="E875" s="368"/>
      <c r="F875" s="368"/>
      <c r="G875" s="368"/>
      <c r="H875" s="368"/>
      <c r="I875" s="368"/>
      <c r="J875" s="368"/>
      <c r="K875" s="368"/>
      <c r="L875" s="368"/>
      <c r="M875" s="368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368"/>
      <c r="D876" s="368"/>
      <c r="E876" s="368"/>
      <c r="F876" s="368"/>
      <c r="G876" s="368"/>
      <c r="H876" s="368"/>
      <c r="I876" s="368"/>
      <c r="J876" s="368"/>
      <c r="K876" s="368"/>
      <c r="L876" s="368"/>
      <c r="M876" s="368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368"/>
      <c r="D877" s="368"/>
      <c r="E877" s="368"/>
      <c r="F877" s="368"/>
      <c r="G877" s="368"/>
      <c r="H877" s="368"/>
      <c r="I877" s="368"/>
      <c r="J877" s="368"/>
      <c r="K877" s="368"/>
      <c r="L877" s="368"/>
      <c r="M877" s="368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368"/>
      <c r="D878" s="368"/>
      <c r="E878" s="368"/>
      <c r="F878" s="368"/>
      <c r="G878" s="368"/>
      <c r="H878" s="368"/>
      <c r="I878" s="368"/>
      <c r="J878" s="368"/>
      <c r="K878" s="368"/>
      <c r="L878" s="368"/>
      <c r="M878" s="368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368"/>
      <c r="D879" s="368"/>
      <c r="E879" s="368"/>
      <c r="F879" s="368"/>
      <c r="G879" s="368"/>
      <c r="H879" s="368"/>
      <c r="I879" s="368"/>
      <c r="J879" s="368"/>
      <c r="K879" s="368"/>
      <c r="L879" s="368"/>
      <c r="M879" s="368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368"/>
      <c r="D880" s="368"/>
      <c r="E880" s="368"/>
      <c r="F880" s="368"/>
      <c r="G880" s="368"/>
      <c r="H880" s="368"/>
      <c r="I880" s="368"/>
      <c r="J880" s="368"/>
      <c r="K880" s="368"/>
      <c r="L880" s="368"/>
      <c r="M880" s="368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368"/>
      <c r="D881" s="368"/>
      <c r="E881" s="368"/>
      <c r="F881" s="368"/>
      <c r="G881" s="368"/>
      <c r="H881" s="368"/>
      <c r="I881" s="368"/>
      <c r="J881" s="368"/>
      <c r="K881" s="368"/>
      <c r="L881" s="368"/>
      <c r="M881" s="368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368"/>
      <c r="D882" s="368"/>
      <c r="E882" s="368"/>
      <c r="F882" s="368"/>
      <c r="G882" s="368"/>
      <c r="H882" s="368"/>
      <c r="I882" s="368"/>
      <c r="J882" s="368"/>
      <c r="K882" s="368"/>
      <c r="L882" s="368"/>
      <c r="M882" s="368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368"/>
      <c r="D883" s="368"/>
      <c r="E883" s="368"/>
      <c r="F883" s="368"/>
      <c r="G883" s="368"/>
      <c r="H883" s="368"/>
      <c r="I883" s="368"/>
      <c r="J883" s="368"/>
      <c r="K883" s="368"/>
      <c r="L883" s="368"/>
      <c r="M883" s="368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368"/>
      <c r="D884" s="368"/>
      <c r="E884" s="368"/>
      <c r="F884" s="368"/>
      <c r="G884" s="368"/>
      <c r="H884" s="368"/>
      <c r="I884" s="368"/>
      <c r="J884" s="368"/>
      <c r="K884" s="368"/>
      <c r="L884" s="368"/>
      <c r="M884" s="368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368"/>
      <c r="D885" s="368"/>
      <c r="E885" s="368"/>
      <c r="F885" s="368"/>
      <c r="G885" s="368"/>
      <c r="H885" s="368"/>
      <c r="I885" s="368"/>
      <c r="J885" s="368"/>
      <c r="K885" s="368"/>
      <c r="L885" s="368"/>
      <c r="M885" s="368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368"/>
      <c r="D886" s="368"/>
      <c r="E886" s="368"/>
      <c r="F886" s="368"/>
      <c r="G886" s="368"/>
      <c r="H886" s="368"/>
      <c r="I886" s="368"/>
      <c r="J886" s="368"/>
      <c r="K886" s="368"/>
      <c r="L886" s="368"/>
      <c r="M886" s="368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368"/>
      <c r="D887" s="368"/>
      <c r="E887" s="368"/>
      <c r="F887" s="368"/>
      <c r="G887" s="368"/>
      <c r="H887" s="368"/>
      <c r="I887" s="368"/>
      <c r="J887" s="368"/>
      <c r="K887" s="368"/>
      <c r="L887" s="368"/>
      <c r="M887" s="368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368"/>
      <c r="D888" s="368"/>
      <c r="E888" s="368"/>
      <c r="F888" s="368"/>
      <c r="G888" s="368"/>
      <c r="H888" s="368"/>
      <c r="I888" s="368"/>
      <c r="J888" s="368"/>
      <c r="K888" s="368"/>
      <c r="L888" s="368"/>
      <c r="M888" s="368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368"/>
      <c r="D889" s="368"/>
      <c r="E889" s="368"/>
      <c r="F889" s="368"/>
      <c r="G889" s="368"/>
      <c r="H889" s="368"/>
      <c r="I889" s="368"/>
      <c r="J889" s="368"/>
      <c r="K889" s="368"/>
      <c r="L889" s="368"/>
      <c r="M889" s="368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368"/>
      <c r="D890" s="368"/>
      <c r="E890" s="368"/>
      <c r="F890" s="368"/>
      <c r="G890" s="368"/>
      <c r="H890" s="368"/>
      <c r="I890" s="368"/>
      <c r="J890" s="368"/>
      <c r="K890" s="368"/>
      <c r="L890" s="368"/>
      <c r="M890" s="368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368"/>
      <c r="D891" s="368"/>
      <c r="E891" s="368"/>
      <c r="F891" s="368"/>
      <c r="G891" s="368"/>
      <c r="H891" s="368"/>
      <c r="I891" s="368"/>
      <c r="J891" s="368"/>
      <c r="K891" s="368"/>
      <c r="L891" s="368"/>
      <c r="M891" s="368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368"/>
      <c r="D892" s="368"/>
      <c r="E892" s="368"/>
      <c r="F892" s="368"/>
      <c r="G892" s="368"/>
      <c r="H892" s="368"/>
      <c r="I892" s="368"/>
      <c r="J892" s="368"/>
      <c r="K892" s="368"/>
      <c r="L892" s="368"/>
      <c r="M892" s="368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368"/>
      <c r="D893" s="368"/>
      <c r="E893" s="368"/>
      <c r="F893" s="368"/>
      <c r="G893" s="368"/>
      <c r="H893" s="368"/>
      <c r="I893" s="368"/>
      <c r="J893" s="368"/>
      <c r="K893" s="368"/>
      <c r="L893" s="368"/>
      <c r="M893" s="368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368"/>
      <c r="D894" s="368"/>
      <c r="E894" s="368"/>
      <c r="F894" s="368"/>
      <c r="G894" s="368"/>
      <c r="H894" s="368"/>
      <c r="I894" s="368"/>
      <c r="J894" s="368"/>
      <c r="K894" s="368"/>
      <c r="L894" s="368"/>
      <c r="M894" s="368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368"/>
      <c r="D895" s="368"/>
      <c r="E895" s="368"/>
      <c r="F895" s="368"/>
      <c r="G895" s="368"/>
      <c r="H895" s="368"/>
      <c r="I895" s="368"/>
      <c r="J895" s="368"/>
      <c r="K895" s="368"/>
      <c r="L895" s="368"/>
      <c r="M895" s="368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368"/>
      <c r="D896" s="368"/>
      <c r="E896" s="368"/>
      <c r="F896" s="368"/>
      <c r="G896" s="368"/>
      <c r="H896" s="368"/>
      <c r="I896" s="368"/>
      <c r="J896" s="368"/>
      <c r="K896" s="368"/>
      <c r="L896" s="368"/>
      <c r="M896" s="368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368"/>
      <c r="D897" s="368"/>
      <c r="E897" s="368"/>
      <c r="F897" s="368"/>
      <c r="G897" s="368"/>
      <c r="H897" s="368"/>
      <c r="I897" s="368"/>
      <c r="J897" s="368"/>
      <c r="K897" s="368"/>
      <c r="L897" s="368"/>
      <c r="M897" s="368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368"/>
      <c r="D898" s="368"/>
      <c r="E898" s="368"/>
      <c r="F898" s="368"/>
      <c r="G898" s="368"/>
      <c r="H898" s="368"/>
      <c r="I898" s="368"/>
      <c r="J898" s="368"/>
      <c r="K898" s="368"/>
      <c r="L898" s="368"/>
      <c r="M898" s="368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368"/>
      <c r="D899" s="368"/>
      <c r="E899" s="368"/>
      <c r="F899" s="368"/>
      <c r="G899" s="368"/>
      <c r="H899" s="368"/>
      <c r="I899" s="368"/>
      <c r="J899" s="368"/>
      <c r="K899" s="368"/>
      <c r="L899" s="368"/>
      <c r="M899" s="368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368"/>
      <c r="D900" s="368"/>
      <c r="E900" s="368"/>
      <c r="F900" s="368"/>
      <c r="G900" s="368"/>
      <c r="H900" s="368"/>
      <c r="I900" s="368"/>
      <c r="J900" s="368"/>
      <c r="K900" s="368"/>
      <c r="L900" s="368"/>
      <c r="M900" s="368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368"/>
      <c r="D901" s="368"/>
      <c r="E901" s="368"/>
      <c r="F901" s="368"/>
      <c r="G901" s="368"/>
      <c r="H901" s="368"/>
      <c r="I901" s="368"/>
      <c r="J901" s="368"/>
      <c r="K901" s="368"/>
      <c r="L901" s="368"/>
      <c r="M901" s="368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368"/>
      <c r="D902" s="368"/>
      <c r="E902" s="368"/>
      <c r="F902" s="368"/>
      <c r="G902" s="368"/>
      <c r="H902" s="368"/>
      <c r="I902" s="368"/>
      <c r="J902" s="368"/>
      <c r="K902" s="368"/>
      <c r="L902" s="368"/>
      <c r="M902" s="368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368"/>
      <c r="D903" s="368"/>
      <c r="E903" s="368"/>
      <c r="F903" s="368"/>
      <c r="G903" s="368"/>
      <c r="H903" s="368"/>
      <c r="I903" s="368"/>
      <c r="J903" s="368"/>
      <c r="K903" s="368"/>
      <c r="L903" s="368"/>
      <c r="M903" s="368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368"/>
      <c r="D904" s="368"/>
      <c r="E904" s="368"/>
      <c r="F904" s="368"/>
      <c r="G904" s="368"/>
      <c r="H904" s="368"/>
      <c r="I904" s="368"/>
      <c r="J904" s="368"/>
      <c r="K904" s="368"/>
      <c r="L904" s="368"/>
      <c r="M904" s="368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368"/>
      <c r="D905" s="368"/>
      <c r="E905" s="368"/>
      <c r="F905" s="368"/>
      <c r="G905" s="368"/>
      <c r="H905" s="368"/>
      <c r="I905" s="368"/>
      <c r="J905" s="368"/>
      <c r="K905" s="368"/>
      <c r="L905" s="368"/>
      <c r="M905" s="368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368"/>
      <c r="D906" s="368"/>
      <c r="E906" s="368"/>
      <c r="F906" s="368"/>
      <c r="G906" s="368"/>
      <c r="H906" s="368"/>
      <c r="I906" s="368"/>
      <c r="J906" s="368"/>
      <c r="K906" s="368"/>
      <c r="L906" s="368"/>
      <c r="M906" s="368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368"/>
      <c r="D907" s="368"/>
      <c r="E907" s="368"/>
      <c r="F907" s="368"/>
      <c r="G907" s="368"/>
      <c r="H907" s="368"/>
      <c r="I907" s="368"/>
      <c r="J907" s="368"/>
      <c r="K907" s="368"/>
      <c r="L907" s="368"/>
      <c r="M907" s="368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368"/>
      <c r="D908" s="368"/>
      <c r="E908" s="368"/>
      <c r="F908" s="368"/>
      <c r="G908" s="368"/>
      <c r="H908" s="368"/>
      <c r="I908" s="368"/>
      <c r="J908" s="368"/>
      <c r="K908" s="368"/>
      <c r="L908" s="368"/>
      <c r="M908" s="368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368"/>
      <c r="D909" s="368"/>
      <c r="E909" s="368"/>
      <c r="F909" s="368"/>
      <c r="G909" s="368"/>
      <c r="H909" s="368"/>
      <c r="I909" s="368"/>
      <c r="J909" s="368"/>
      <c r="K909" s="368"/>
      <c r="L909" s="368"/>
      <c r="M909" s="368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368"/>
      <c r="D910" s="368"/>
      <c r="E910" s="368"/>
      <c r="F910" s="368"/>
      <c r="G910" s="368"/>
      <c r="H910" s="368"/>
      <c r="I910" s="368"/>
      <c r="J910" s="368"/>
      <c r="K910" s="368"/>
      <c r="L910" s="368"/>
      <c r="M910" s="368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368"/>
      <c r="D911" s="368"/>
      <c r="E911" s="368"/>
      <c r="F911" s="368"/>
      <c r="G911" s="368"/>
      <c r="H911" s="368"/>
      <c r="I911" s="368"/>
      <c r="J911" s="368"/>
      <c r="K911" s="368"/>
      <c r="L911" s="368"/>
      <c r="M911" s="368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368"/>
      <c r="D912" s="368"/>
      <c r="E912" s="368"/>
      <c r="F912" s="368"/>
      <c r="G912" s="368"/>
      <c r="H912" s="368"/>
      <c r="I912" s="368"/>
      <c r="J912" s="368"/>
      <c r="K912" s="368"/>
      <c r="L912" s="368"/>
      <c r="M912" s="368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368"/>
      <c r="D913" s="368"/>
      <c r="E913" s="368"/>
      <c r="F913" s="368"/>
      <c r="G913" s="368"/>
      <c r="H913" s="368"/>
      <c r="I913" s="368"/>
      <c r="J913" s="368"/>
      <c r="K913" s="368"/>
      <c r="L913" s="368"/>
      <c r="M913" s="368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368"/>
      <c r="D914" s="368"/>
      <c r="E914" s="368"/>
      <c r="F914" s="368"/>
      <c r="G914" s="368"/>
      <c r="H914" s="368"/>
      <c r="I914" s="368"/>
      <c r="J914" s="368"/>
      <c r="K914" s="368"/>
      <c r="L914" s="368"/>
      <c r="M914" s="368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368"/>
      <c r="D915" s="368"/>
      <c r="E915" s="368"/>
      <c r="F915" s="368"/>
      <c r="G915" s="368"/>
      <c r="H915" s="368"/>
      <c r="I915" s="368"/>
      <c r="J915" s="368"/>
      <c r="K915" s="368"/>
      <c r="L915" s="368"/>
      <c r="M915" s="368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368"/>
      <c r="D916" s="368"/>
      <c r="E916" s="368"/>
      <c r="F916" s="368"/>
      <c r="G916" s="368"/>
      <c r="H916" s="368"/>
      <c r="I916" s="368"/>
      <c r="J916" s="368"/>
      <c r="K916" s="368"/>
      <c r="L916" s="368"/>
      <c r="M916" s="368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368"/>
      <c r="D917" s="368"/>
      <c r="E917" s="368"/>
      <c r="F917" s="368"/>
      <c r="G917" s="368"/>
      <c r="H917" s="368"/>
      <c r="I917" s="368"/>
      <c r="J917" s="368"/>
      <c r="K917" s="368"/>
      <c r="L917" s="368"/>
      <c r="M917" s="368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368"/>
      <c r="D918" s="368"/>
      <c r="E918" s="368"/>
      <c r="F918" s="368"/>
      <c r="G918" s="368"/>
      <c r="H918" s="368"/>
      <c r="I918" s="368"/>
      <c r="J918" s="368"/>
      <c r="K918" s="368"/>
      <c r="L918" s="368"/>
      <c r="M918" s="368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368"/>
      <c r="D919" s="368"/>
      <c r="E919" s="368"/>
      <c r="F919" s="368"/>
      <c r="G919" s="368"/>
      <c r="H919" s="368"/>
      <c r="I919" s="368"/>
      <c r="J919" s="368"/>
      <c r="K919" s="368"/>
      <c r="L919" s="368"/>
      <c r="M919" s="368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368"/>
      <c r="D920" s="368"/>
      <c r="E920" s="368"/>
      <c r="F920" s="368"/>
      <c r="G920" s="368"/>
      <c r="H920" s="368"/>
      <c r="I920" s="368"/>
      <c r="J920" s="368"/>
      <c r="K920" s="368"/>
      <c r="L920" s="368"/>
      <c r="M920" s="368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368"/>
      <c r="D921" s="368"/>
      <c r="E921" s="368"/>
      <c r="F921" s="368"/>
      <c r="G921" s="368"/>
      <c r="H921" s="368"/>
      <c r="I921" s="368"/>
      <c r="J921" s="368"/>
      <c r="K921" s="368"/>
      <c r="L921" s="368"/>
      <c r="M921" s="368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368"/>
      <c r="D922" s="368"/>
      <c r="E922" s="368"/>
      <c r="F922" s="368"/>
      <c r="G922" s="368"/>
      <c r="H922" s="368"/>
      <c r="I922" s="368"/>
      <c r="J922" s="368"/>
      <c r="K922" s="368"/>
      <c r="L922" s="368"/>
      <c r="M922" s="368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368"/>
      <c r="D923" s="368"/>
      <c r="E923" s="368"/>
      <c r="F923" s="368"/>
      <c r="G923" s="368"/>
      <c r="H923" s="368"/>
      <c r="I923" s="368"/>
      <c r="J923" s="368"/>
      <c r="K923" s="368"/>
      <c r="L923" s="368"/>
      <c r="M923" s="368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368"/>
      <c r="D924" s="368"/>
      <c r="E924" s="368"/>
      <c r="F924" s="368"/>
      <c r="G924" s="368"/>
      <c r="H924" s="368"/>
      <c r="I924" s="368"/>
      <c r="J924" s="368"/>
      <c r="K924" s="368"/>
      <c r="L924" s="368"/>
      <c r="M924" s="368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368"/>
      <c r="D925" s="368"/>
      <c r="E925" s="368"/>
      <c r="F925" s="368"/>
      <c r="G925" s="368"/>
      <c r="H925" s="368"/>
      <c r="I925" s="368"/>
      <c r="J925" s="368"/>
      <c r="K925" s="368"/>
      <c r="L925" s="368"/>
      <c r="M925" s="368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368"/>
      <c r="D926" s="368"/>
      <c r="E926" s="368"/>
      <c r="F926" s="368"/>
      <c r="G926" s="368"/>
      <c r="H926" s="368"/>
      <c r="I926" s="368"/>
      <c r="J926" s="368"/>
      <c r="K926" s="368"/>
      <c r="L926" s="368"/>
      <c r="M926" s="368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368"/>
      <c r="D927" s="368"/>
      <c r="E927" s="368"/>
      <c r="F927" s="368"/>
      <c r="G927" s="368"/>
      <c r="H927" s="368"/>
      <c r="I927" s="368"/>
      <c r="J927" s="368"/>
      <c r="K927" s="368"/>
      <c r="L927" s="368"/>
      <c r="M927" s="368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368"/>
      <c r="D928" s="368"/>
      <c r="E928" s="368"/>
      <c r="F928" s="368"/>
      <c r="G928" s="368"/>
      <c r="H928" s="368"/>
      <c r="I928" s="368"/>
      <c r="J928" s="368"/>
      <c r="K928" s="368"/>
      <c r="L928" s="368"/>
      <c r="M928" s="368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368"/>
      <c r="D929" s="368"/>
      <c r="E929" s="368"/>
      <c r="F929" s="368"/>
      <c r="G929" s="368"/>
      <c r="H929" s="368"/>
      <c r="I929" s="368"/>
      <c r="J929" s="368"/>
      <c r="K929" s="368"/>
      <c r="L929" s="368"/>
      <c r="M929" s="368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368"/>
      <c r="D930" s="368"/>
      <c r="E930" s="368"/>
      <c r="F930" s="368"/>
      <c r="G930" s="368"/>
      <c r="H930" s="368"/>
      <c r="I930" s="368"/>
      <c r="J930" s="368"/>
      <c r="K930" s="368"/>
      <c r="L930" s="368"/>
      <c r="M930" s="368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368"/>
      <c r="D931" s="368"/>
      <c r="E931" s="368"/>
      <c r="F931" s="368"/>
      <c r="G931" s="368"/>
      <c r="H931" s="368"/>
      <c r="I931" s="368"/>
      <c r="J931" s="368"/>
      <c r="K931" s="368"/>
      <c r="L931" s="368"/>
      <c r="M931" s="368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368"/>
      <c r="D932" s="368"/>
      <c r="E932" s="368"/>
      <c r="F932" s="368"/>
      <c r="G932" s="368"/>
      <c r="H932" s="368"/>
      <c r="I932" s="368"/>
      <c r="J932" s="368"/>
      <c r="K932" s="368"/>
      <c r="L932" s="368"/>
      <c r="M932" s="368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368"/>
      <c r="D933" s="368"/>
      <c r="E933" s="368"/>
      <c r="F933" s="368"/>
      <c r="G933" s="368"/>
      <c r="H933" s="368"/>
      <c r="I933" s="368"/>
      <c r="J933" s="368"/>
      <c r="K933" s="368"/>
      <c r="L933" s="368"/>
      <c r="M933" s="368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368"/>
      <c r="D934" s="368"/>
      <c r="E934" s="368"/>
      <c r="F934" s="368"/>
      <c r="G934" s="368"/>
      <c r="H934" s="368"/>
      <c r="I934" s="368"/>
      <c r="J934" s="368"/>
      <c r="K934" s="368"/>
      <c r="L934" s="368"/>
      <c r="M934" s="368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368"/>
      <c r="D935" s="368"/>
      <c r="E935" s="368"/>
      <c r="F935" s="368"/>
      <c r="G935" s="368"/>
      <c r="H935" s="368"/>
      <c r="I935" s="368"/>
      <c r="J935" s="368"/>
      <c r="K935" s="368"/>
      <c r="L935" s="368"/>
      <c r="M935" s="368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368"/>
      <c r="D936" s="368"/>
      <c r="E936" s="368"/>
      <c r="F936" s="368"/>
      <c r="G936" s="368"/>
      <c r="H936" s="368"/>
      <c r="I936" s="368"/>
      <c r="J936" s="368"/>
      <c r="K936" s="368"/>
      <c r="L936" s="368"/>
      <c r="M936" s="368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368"/>
      <c r="D937" s="368"/>
      <c r="E937" s="368"/>
      <c r="F937" s="368"/>
      <c r="G937" s="368"/>
      <c r="H937" s="368"/>
      <c r="I937" s="368"/>
      <c r="J937" s="368"/>
      <c r="K937" s="368"/>
      <c r="L937" s="368"/>
      <c r="M937" s="368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368"/>
      <c r="D938" s="368"/>
      <c r="E938" s="368"/>
      <c r="F938" s="368"/>
      <c r="G938" s="368"/>
      <c r="H938" s="368"/>
      <c r="I938" s="368"/>
      <c r="J938" s="368"/>
      <c r="K938" s="368"/>
      <c r="L938" s="368"/>
      <c r="M938" s="368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368"/>
      <c r="D939" s="368"/>
      <c r="E939" s="368"/>
      <c r="F939" s="368"/>
      <c r="G939" s="368"/>
      <c r="H939" s="368"/>
      <c r="I939" s="368"/>
      <c r="J939" s="368"/>
      <c r="K939" s="368"/>
      <c r="L939" s="368"/>
      <c r="M939" s="368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368"/>
      <c r="D940" s="368"/>
      <c r="E940" s="368"/>
      <c r="F940" s="368"/>
      <c r="G940" s="368"/>
      <c r="H940" s="368"/>
      <c r="I940" s="368"/>
      <c r="J940" s="368"/>
      <c r="K940" s="368"/>
      <c r="L940" s="368"/>
      <c r="M940" s="368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368"/>
      <c r="D941" s="368"/>
      <c r="E941" s="368"/>
      <c r="F941" s="368"/>
      <c r="G941" s="368"/>
      <c r="H941" s="368"/>
      <c r="I941" s="368"/>
      <c r="J941" s="368"/>
      <c r="K941" s="368"/>
      <c r="L941" s="368"/>
      <c r="M941" s="368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368"/>
      <c r="D942" s="368"/>
      <c r="E942" s="368"/>
      <c r="F942" s="368"/>
      <c r="G942" s="368"/>
      <c r="H942" s="368"/>
      <c r="I942" s="368"/>
      <c r="J942" s="368"/>
      <c r="K942" s="368"/>
      <c r="L942" s="368"/>
      <c r="M942" s="368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368"/>
      <c r="D943" s="368"/>
      <c r="E943" s="368"/>
      <c r="F943" s="368"/>
      <c r="G943" s="368"/>
      <c r="H943" s="368"/>
      <c r="I943" s="368"/>
      <c r="J943" s="368"/>
      <c r="K943" s="368"/>
      <c r="L943" s="368"/>
      <c r="M943" s="368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368"/>
      <c r="D944" s="368"/>
      <c r="E944" s="368"/>
      <c r="F944" s="368"/>
      <c r="G944" s="368"/>
      <c r="H944" s="368"/>
      <c r="I944" s="368"/>
      <c r="J944" s="368"/>
      <c r="K944" s="368"/>
      <c r="L944" s="368"/>
      <c r="M944" s="368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368"/>
      <c r="D945" s="368"/>
      <c r="E945" s="368"/>
      <c r="F945" s="368"/>
      <c r="G945" s="368"/>
      <c r="H945" s="368"/>
      <c r="I945" s="368"/>
      <c r="J945" s="368"/>
      <c r="K945" s="368"/>
      <c r="L945" s="368"/>
      <c r="M945" s="368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368"/>
      <c r="D946" s="368"/>
      <c r="E946" s="368"/>
      <c r="F946" s="368"/>
      <c r="G946" s="368"/>
      <c r="H946" s="368"/>
      <c r="I946" s="368"/>
      <c r="J946" s="368"/>
      <c r="K946" s="368"/>
      <c r="L946" s="368"/>
      <c r="M946" s="368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368"/>
      <c r="D947" s="368"/>
      <c r="E947" s="368"/>
      <c r="F947" s="368"/>
      <c r="G947" s="368"/>
      <c r="H947" s="368"/>
      <c r="I947" s="368"/>
      <c r="J947" s="368"/>
      <c r="K947" s="368"/>
      <c r="L947" s="368"/>
      <c r="M947" s="368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368"/>
      <c r="D948" s="368"/>
      <c r="E948" s="368"/>
      <c r="F948" s="368"/>
      <c r="G948" s="368"/>
      <c r="H948" s="368"/>
      <c r="I948" s="368"/>
      <c r="J948" s="368"/>
      <c r="K948" s="368"/>
      <c r="L948" s="368"/>
      <c r="M948" s="368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368"/>
      <c r="D949" s="368"/>
      <c r="E949" s="368"/>
      <c r="F949" s="368"/>
      <c r="G949" s="368"/>
      <c r="H949" s="368"/>
      <c r="I949" s="368"/>
      <c r="J949" s="368"/>
      <c r="K949" s="368"/>
      <c r="L949" s="368"/>
      <c r="M949" s="368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368"/>
      <c r="D950" s="368"/>
      <c r="E950" s="368"/>
      <c r="F950" s="368"/>
      <c r="G950" s="368"/>
      <c r="H950" s="368"/>
      <c r="I950" s="368"/>
      <c r="J950" s="368"/>
      <c r="K950" s="368"/>
      <c r="L950" s="368"/>
      <c r="M950" s="368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368"/>
      <c r="D951" s="368"/>
      <c r="E951" s="368"/>
      <c r="F951" s="368"/>
      <c r="G951" s="368"/>
      <c r="H951" s="368"/>
      <c r="I951" s="368"/>
      <c r="J951" s="368"/>
      <c r="K951" s="368"/>
      <c r="L951" s="368"/>
      <c r="M951" s="368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368"/>
      <c r="D952" s="368"/>
      <c r="E952" s="368"/>
      <c r="F952" s="368"/>
      <c r="G952" s="368"/>
      <c r="H952" s="368"/>
      <c r="I952" s="368"/>
      <c r="J952" s="368"/>
      <c r="K952" s="368"/>
      <c r="L952" s="368"/>
      <c r="M952" s="368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368"/>
      <c r="D953" s="368"/>
      <c r="E953" s="368"/>
      <c r="F953" s="368"/>
      <c r="G953" s="368"/>
      <c r="H953" s="368"/>
      <c r="I953" s="368"/>
      <c r="J953" s="368"/>
      <c r="K953" s="368"/>
      <c r="L953" s="368"/>
      <c r="M953" s="368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368"/>
      <c r="D954" s="368"/>
      <c r="E954" s="368"/>
      <c r="F954" s="368"/>
      <c r="G954" s="368"/>
      <c r="H954" s="368"/>
      <c r="I954" s="368"/>
      <c r="J954" s="368"/>
      <c r="K954" s="368"/>
      <c r="L954" s="368"/>
      <c r="M954" s="368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368"/>
      <c r="D955" s="368"/>
      <c r="E955" s="368"/>
      <c r="F955" s="368"/>
      <c r="G955" s="368"/>
      <c r="H955" s="368"/>
      <c r="I955" s="368"/>
      <c r="J955" s="368"/>
      <c r="K955" s="368"/>
      <c r="L955" s="368"/>
      <c r="M955" s="368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368"/>
      <c r="D956" s="368"/>
      <c r="E956" s="368"/>
      <c r="F956" s="368"/>
      <c r="G956" s="368"/>
      <c r="H956" s="368"/>
      <c r="I956" s="368"/>
      <c r="J956" s="368"/>
      <c r="K956" s="368"/>
      <c r="L956" s="368"/>
      <c r="M956" s="368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368"/>
      <c r="D957" s="368"/>
      <c r="E957" s="368"/>
      <c r="F957" s="368"/>
      <c r="G957" s="368"/>
      <c r="H957" s="368"/>
      <c r="I957" s="368"/>
      <c r="J957" s="368"/>
      <c r="K957" s="368"/>
      <c r="L957" s="368"/>
      <c r="M957" s="368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368"/>
      <c r="D958" s="368"/>
      <c r="E958" s="368"/>
      <c r="F958" s="368"/>
      <c r="G958" s="368"/>
      <c r="H958" s="368"/>
      <c r="I958" s="368"/>
      <c r="J958" s="368"/>
      <c r="K958" s="368"/>
      <c r="L958" s="368"/>
      <c r="M958" s="368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368"/>
      <c r="D959" s="368"/>
      <c r="E959" s="368"/>
      <c r="F959" s="368"/>
      <c r="G959" s="368"/>
      <c r="H959" s="368"/>
      <c r="I959" s="368"/>
      <c r="J959" s="368"/>
      <c r="K959" s="368"/>
      <c r="L959" s="368"/>
      <c r="M959" s="368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368"/>
      <c r="D960" s="368"/>
      <c r="E960" s="368"/>
      <c r="F960" s="368"/>
      <c r="G960" s="368"/>
      <c r="H960" s="368"/>
      <c r="I960" s="368"/>
      <c r="J960" s="368"/>
      <c r="K960" s="368"/>
      <c r="L960" s="368"/>
      <c r="M960" s="368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368"/>
      <c r="D961" s="368"/>
      <c r="E961" s="368"/>
      <c r="F961" s="368"/>
      <c r="G961" s="368"/>
      <c r="H961" s="368"/>
      <c r="I961" s="368"/>
      <c r="J961" s="368"/>
      <c r="K961" s="368"/>
      <c r="L961" s="368"/>
      <c r="M961" s="368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368"/>
      <c r="D962" s="368"/>
      <c r="E962" s="368"/>
      <c r="F962" s="368"/>
      <c r="G962" s="368"/>
      <c r="H962" s="368"/>
      <c r="I962" s="368"/>
      <c r="J962" s="368"/>
      <c r="K962" s="368"/>
      <c r="L962" s="368"/>
      <c r="M962" s="368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368"/>
      <c r="D963" s="368"/>
      <c r="E963" s="368"/>
      <c r="F963" s="368"/>
      <c r="G963" s="368"/>
      <c r="H963" s="368"/>
      <c r="I963" s="368"/>
      <c r="J963" s="368"/>
      <c r="K963" s="368"/>
      <c r="L963" s="368"/>
      <c r="M963" s="368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368"/>
      <c r="D964" s="368"/>
      <c r="E964" s="368"/>
      <c r="F964" s="368"/>
      <c r="G964" s="368"/>
      <c r="H964" s="368"/>
      <c r="I964" s="368"/>
      <c r="J964" s="368"/>
      <c r="K964" s="368"/>
      <c r="L964" s="368"/>
      <c r="M964" s="368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368"/>
      <c r="D965" s="368"/>
      <c r="E965" s="368"/>
      <c r="F965" s="368"/>
      <c r="G965" s="368"/>
      <c r="H965" s="368"/>
      <c r="I965" s="368"/>
      <c r="J965" s="368"/>
      <c r="K965" s="368"/>
      <c r="L965" s="368"/>
      <c r="M965" s="368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368"/>
      <c r="D966" s="368"/>
      <c r="E966" s="368"/>
      <c r="F966" s="368"/>
      <c r="G966" s="368"/>
      <c r="H966" s="368"/>
      <c r="I966" s="368"/>
      <c r="J966" s="368"/>
      <c r="K966" s="368"/>
      <c r="L966" s="368"/>
      <c r="M966" s="368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368"/>
      <c r="D967" s="368"/>
      <c r="E967" s="368"/>
      <c r="F967" s="368"/>
      <c r="G967" s="368"/>
      <c r="H967" s="368"/>
      <c r="I967" s="368"/>
      <c r="J967" s="368"/>
      <c r="K967" s="368"/>
      <c r="L967" s="368"/>
      <c r="M967" s="368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368"/>
      <c r="D968" s="368"/>
      <c r="E968" s="368"/>
      <c r="F968" s="368"/>
      <c r="G968" s="368"/>
      <c r="H968" s="368"/>
      <c r="I968" s="368"/>
      <c r="J968" s="368"/>
      <c r="K968" s="368"/>
      <c r="L968" s="368"/>
      <c r="M968" s="368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368"/>
      <c r="D969" s="368"/>
      <c r="E969" s="368"/>
      <c r="F969" s="368"/>
      <c r="G969" s="368"/>
      <c r="H969" s="368"/>
      <c r="I969" s="368"/>
      <c r="J969" s="368"/>
      <c r="K969" s="368"/>
      <c r="L969" s="368"/>
      <c r="M969" s="368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368"/>
      <c r="D970" s="368"/>
      <c r="E970" s="368"/>
      <c r="F970" s="368"/>
      <c r="G970" s="368"/>
      <c r="H970" s="368"/>
      <c r="I970" s="368"/>
      <c r="J970" s="368"/>
      <c r="K970" s="368"/>
      <c r="L970" s="368"/>
      <c r="M970" s="368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368"/>
      <c r="D971" s="368"/>
      <c r="E971" s="368"/>
      <c r="F971" s="368"/>
      <c r="G971" s="368"/>
      <c r="H971" s="368"/>
      <c r="I971" s="368"/>
      <c r="J971" s="368"/>
      <c r="K971" s="368"/>
      <c r="L971" s="368"/>
      <c r="M971" s="368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368"/>
      <c r="D972" s="368"/>
      <c r="E972" s="368"/>
      <c r="F972" s="368"/>
      <c r="G972" s="368"/>
      <c r="H972" s="368"/>
      <c r="I972" s="368"/>
      <c r="J972" s="368"/>
      <c r="K972" s="368"/>
      <c r="L972" s="368"/>
      <c r="M972" s="368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368"/>
      <c r="D973" s="368"/>
      <c r="E973" s="368"/>
      <c r="F973" s="368"/>
      <c r="G973" s="368"/>
      <c r="H973" s="368"/>
      <c r="I973" s="368"/>
      <c r="J973" s="368"/>
      <c r="K973" s="368"/>
      <c r="L973" s="368"/>
      <c r="M973" s="368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368"/>
      <c r="D974" s="368"/>
      <c r="E974" s="368"/>
      <c r="F974" s="368"/>
      <c r="G974" s="368"/>
      <c r="H974" s="368"/>
      <c r="I974" s="368"/>
      <c r="J974" s="368"/>
      <c r="K974" s="368"/>
      <c r="L974" s="368"/>
      <c r="M974" s="368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368"/>
      <c r="D975" s="368"/>
      <c r="E975" s="368"/>
      <c r="F975" s="368"/>
      <c r="G975" s="368"/>
      <c r="H975" s="368"/>
      <c r="I975" s="368"/>
      <c r="J975" s="368"/>
      <c r="K975" s="368"/>
      <c r="L975" s="368"/>
      <c r="M975" s="368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368"/>
      <c r="D976" s="368"/>
      <c r="E976" s="368"/>
      <c r="F976" s="368"/>
      <c r="G976" s="368"/>
      <c r="H976" s="368"/>
      <c r="I976" s="368"/>
      <c r="J976" s="368"/>
      <c r="K976" s="368"/>
      <c r="L976" s="368"/>
      <c r="M976" s="368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368"/>
      <c r="D977" s="368"/>
      <c r="E977" s="368"/>
      <c r="F977" s="368"/>
      <c r="G977" s="368"/>
      <c r="H977" s="368"/>
      <c r="I977" s="368"/>
      <c r="J977" s="368"/>
      <c r="K977" s="368"/>
      <c r="L977" s="368"/>
      <c r="M977" s="368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368"/>
      <c r="D978" s="368"/>
      <c r="E978" s="368"/>
      <c r="F978" s="368"/>
      <c r="G978" s="368"/>
      <c r="H978" s="368"/>
      <c r="I978" s="368"/>
      <c r="J978" s="368"/>
      <c r="K978" s="368"/>
      <c r="L978" s="368"/>
      <c r="M978" s="368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368"/>
      <c r="D979" s="368"/>
      <c r="E979" s="368"/>
      <c r="F979" s="368"/>
      <c r="G979" s="368"/>
      <c r="H979" s="368"/>
      <c r="I979" s="368"/>
      <c r="J979" s="368"/>
      <c r="K979" s="368"/>
      <c r="L979" s="368"/>
      <c r="M979" s="368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368"/>
      <c r="D980" s="368"/>
      <c r="E980" s="368"/>
      <c r="F980" s="368"/>
      <c r="G980" s="368"/>
      <c r="H980" s="368"/>
      <c r="I980" s="368"/>
      <c r="J980" s="368"/>
      <c r="K980" s="368"/>
      <c r="L980" s="368"/>
      <c r="M980" s="368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368"/>
      <c r="D981" s="368"/>
      <c r="E981" s="368"/>
      <c r="F981" s="368"/>
      <c r="G981" s="368"/>
      <c r="H981" s="368"/>
      <c r="I981" s="368"/>
      <c r="J981" s="368"/>
      <c r="K981" s="368"/>
      <c r="L981" s="368"/>
      <c r="M981" s="368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368"/>
      <c r="D982" s="368"/>
      <c r="E982" s="368"/>
      <c r="F982" s="368"/>
      <c r="G982" s="368"/>
      <c r="H982" s="368"/>
      <c r="I982" s="368"/>
      <c r="J982" s="368"/>
      <c r="K982" s="368"/>
      <c r="L982" s="368"/>
      <c r="M982" s="368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368"/>
      <c r="D983" s="368"/>
      <c r="E983" s="368"/>
      <c r="F983" s="368"/>
      <c r="G983" s="368"/>
      <c r="H983" s="368"/>
      <c r="I983" s="368"/>
      <c r="J983" s="368"/>
      <c r="K983" s="368"/>
      <c r="L983" s="368"/>
      <c r="M983" s="368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368"/>
      <c r="D984" s="368"/>
      <c r="E984" s="368"/>
      <c r="F984" s="368"/>
      <c r="G984" s="368"/>
      <c r="H984" s="368"/>
      <c r="I984" s="368"/>
      <c r="J984" s="368"/>
      <c r="K984" s="368"/>
      <c r="L984" s="368"/>
      <c r="M984" s="368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368"/>
      <c r="D985" s="368"/>
      <c r="E985" s="368"/>
      <c r="F985" s="368"/>
      <c r="G985" s="368"/>
      <c r="H985" s="368"/>
      <c r="I985" s="368"/>
      <c r="J985" s="368"/>
      <c r="K985" s="368"/>
      <c r="L985" s="368"/>
      <c r="M985" s="368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368"/>
      <c r="D986" s="368"/>
      <c r="E986" s="368"/>
      <c r="F986" s="368"/>
      <c r="G986" s="368"/>
      <c r="H986" s="368"/>
      <c r="I986" s="368"/>
      <c r="J986" s="368"/>
      <c r="K986" s="368"/>
      <c r="L986" s="368"/>
      <c r="M986" s="368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368"/>
      <c r="D987" s="368"/>
      <c r="E987" s="368"/>
      <c r="F987" s="368"/>
      <c r="G987" s="368"/>
      <c r="H987" s="368"/>
      <c r="I987" s="368"/>
      <c r="J987" s="368"/>
      <c r="K987" s="368"/>
      <c r="L987" s="368"/>
      <c r="M987" s="368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368"/>
      <c r="D988" s="368"/>
      <c r="E988" s="368"/>
      <c r="F988" s="368"/>
      <c r="G988" s="368"/>
      <c r="H988" s="368"/>
      <c r="I988" s="368"/>
      <c r="J988" s="368"/>
      <c r="K988" s="368"/>
      <c r="L988" s="368"/>
      <c r="M988" s="368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368"/>
      <c r="D989" s="368"/>
      <c r="E989" s="368"/>
      <c r="F989" s="368"/>
      <c r="G989" s="368"/>
      <c r="H989" s="368"/>
      <c r="I989" s="368"/>
      <c r="J989" s="368"/>
      <c r="K989" s="368"/>
      <c r="L989" s="368"/>
      <c r="M989" s="368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368"/>
      <c r="D990" s="368"/>
      <c r="E990" s="368"/>
      <c r="F990" s="368"/>
      <c r="G990" s="368"/>
      <c r="H990" s="368"/>
      <c r="I990" s="368"/>
      <c r="J990" s="368"/>
      <c r="K990" s="368"/>
      <c r="L990" s="368"/>
      <c r="M990" s="368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368"/>
      <c r="D991" s="368"/>
      <c r="E991" s="368"/>
      <c r="F991" s="368"/>
      <c r="G991" s="368"/>
      <c r="H991" s="368"/>
      <c r="I991" s="368"/>
      <c r="J991" s="368"/>
      <c r="K991" s="368"/>
      <c r="L991" s="368"/>
      <c r="M991" s="368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368"/>
      <c r="D992" s="368"/>
      <c r="E992" s="368"/>
      <c r="F992" s="368"/>
      <c r="G992" s="368"/>
      <c r="H992" s="368"/>
      <c r="I992" s="368"/>
      <c r="J992" s="368"/>
      <c r="K992" s="368"/>
      <c r="L992" s="368"/>
      <c r="M992" s="368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368"/>
      <c r="D993" s="368"/>
      <c r="E993" s="368"/>
      <c r="F993" s="368"/>
      <c r="G993" s="368"/>
      <c r="H993" s="368"/>
      <c r="I993" s="368"/>
      <c r="J993" s="368"/>
      <c r="K993" s="368"/>
      <c r="L993" s="368"/>
      <c r="M993" s="368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368"/>
      <c r="D994" s="368"/>
      <c r="E994" s="368"/>
      <c r="F994" s="368"/>
      <c r="G994" s="368"/>
      <c r="H994" s="368"/>
      <c r="I994" s="368"/>
      <c r="J994" s="368"/>
      <c r="K994" s="368"/>
      <c r="L994" s="368"/>
      <c r="M994" s="368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368"/>
      <c r="D995" s="368"/>
      <c r="E995" s="368"/>
      <c r="F995" s="368"/>
      <c r="G995" s="368"/>
      <c r="H995" s="368"/>
      <c r="I995" s="368"/>
      <c r="J995" s="368"/>
      <c r="K995" s="368"/>
      <c r="L995" s="368"/>
      <c r="M995" s="368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368"/>
      <c r="D996" s="368"/>
      <c r="E996" s="368"/>
      <c r="F996" s="368"/>
      <c r="G996" s="368"/>
      <c r="H996" s="368"/>
      <c r="I996" s="368"/>
      <c r="J996" s="368"/>
      <c r="K996" s="368"/>
      <c r="L996" s="368"/>
      <c r="M996" s="368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368"/>
      <c r="D997" s="368"/>
      <c r="E997" s="368"/>
      <c r="F997" s="368"/>
      <c r="G997" s="368"/>
      <c r="H997" s="368"/>
      <c r="I997" s="368"/>
      <c r="J997" s="368"/>
      <c r="K997" s="368"/>
      <c r="L997" s="368"/>
      <c r="M997" s="368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368"/>
      <c r="D998" s="368"/>
      <c r="E998" s="368"/>
      <c r="F998" s="368"/>
      <c r="G998" s="368"/>
      <c r="H998" s="368"/>
      <c r="I998" s="368"/>
      <c r="J998" s="368"/>
      <c r="K998" s="368"/>
      <c r="L998" s="368"/>
      <c r="M998" s="368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368"/>
      <c r="D999" s="368"/>
      <c r="E999" s="368"/>
      <c r="F999" s="368"/>
      <c r="G999" s="368"/>
      <c r="H999" s="368"/>
      <c r="I999" s="368"/>
      <c r="J999" s="368"/>
      <c r="K999" s="368"/>
      <c r="L999" s="368"/>
      <c r="M999" s="368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368"/>
      <c r="D1000" s="368"/>
      <c r="E1000" s="368"/>
      <c r="F1000" s="368"/>
      <c r="G1000" s="368"/>
      <c r="H1000" s="368"/>
      <c r="I1000" s="368"/>
      <c r="J1000" s="368"/>
      <c r="K1000" s="368"/>
      <c r="L1000" s="368"/>
      <c r="M1000" s="368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.75" customHeight="1">
      <c r="A1001" s="2"/>
      <c r="B1001" s="2"/>
      <c r="C1001" s="368"/>
      <c r="D1001" s="368"/>
      <c r="E1001" s="368"/>
      <c r="F1001" s="368"/>
      <c r="G1001" s="368"/>
      <c r="H1001" s="368"/>
      <c r="I1001" s="368"/>
      <c r="J1001" s="368"/>
      <c r="K1001" s="368"/>
      <c r="L1001" s="368"/>
      <c r="M1001" s="368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.75" customHeight="1">
      <c r="A1002" s="2"/>
      <c r="B1002" s="2"/>
      <c r="C1002" s="368"/>
      <c r="D1002" s="368"/>
      <c r="E1002" s="368"/>
      <c r="F1002" s="368"/>
      <c r="G1002" s="368"/>
      <c r="H1002" s="368"/>
      <c r="I1002" s="368"/>
      <c r="J1002" s="368"/>
      <c r="K1002" s="368"/>
      <c r="L1002" s="368"/>
      <c r="M1002" s="368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.75" customHeight="1">
      <c r="A1003" s="2"/>
      <c r="B1003" s="2"/>
      <c r="C1003" s="368"/>
      <c r="D1003" s="368"/>
      <c r="E1003" s="368"/>
      <c r="F1003" s="368"/>
      <c r="G1003" s="368"/>
      <c r="H1003" s="368"/>
      <c r="I1003" s="368"/>
      <c r="J1003" s="368"/>
      <c r="K1003" s="368"/>
      <c r="L1003" s="368"/>
      <c r="M1003" s="368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.75" customHeight="1">
      <c r="A1004" s="2"/>
      <c r="B1004" s="2"/>
      <c r="C1004" s="368"/>
      <c r="D1004" s="368"/>
      <c r="E1004" s="368"/>
      <c r="F1004" s="368"/>
      <c r="G1004" s="368"/>
      <c r="H1004" s="368"/>
      <c r="I1004" s="368"/>
      <c r="J1004" s="368"/>
      <c r="K1004" s="368"/>
      <c r="L1004" s="368"/>
      <c r="M1004" s="368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C5E0B3"/>
  </sheetPr>
  <dimension ref="A1:U994"/>
  <sheetViews>
    <sheetView zoomScale="77" zoomScaleNormal="77" workbookViewId="0">
      <selection activeCell="L39" sqref="L39"/>
    </sheetView>
  </sheetViews>
  <sheetFormatPr defaultColWidth="12.5703125" defaultRowHeight="12.95" customHeight="1"/>
  <cols>
    <col min="1" max="1" width="7.5703125" customWidth="1"/>
    <col min="2" max="2" width="32.42578125" customWidth="1"/>
    <col min="3" max="3" width="4.140625" customWidth="1"/>
    <col min="4" max="4" width="14" bestFit="1" customWidth="1"/>
    <col min="5" max="5" width="2.5703125" customWidth="1"/>
    <col min="6" max="6" width="14" bestFit="1" customWidth="1"/>
    <col min="7" max="7" width="2" customWidth="1"/>
    <col min="8" max="8" width="8.42578125" bestFit="1" customWidth="1"/>
    <col min="9" max="9" width="2" customWidth="1"/>
    <col min="10" max="10" width="14" bestFit="1" customWidth="1"/>
    <col min="11" max="11" width="1.5703125" customWidth="1"/>
    <col min="12" max="12" width="14" bestFit="1" customWidth="1"/>
    <col min="13" max="13" width="2.140625" customWidth="1"/>
    <col min="14" max="14" width="14.42578125" bestFit="1" customWidth="1"/>
    <col min="15" max="15" width="9" bestFit="1" customWidth="1"/>
    <col min="16" max="18" width="14.42578125" customWidth="1"/>
    <col min="19" max="19" width="14.42578125" style="293" customWidth="1"/>
    <col min="20" max="21" width="14.42578125" customWidth="1"/>
  </cols>
  <sheetData>
    <row r="1" spans="1:21" ht="12.95" customHeight="1">
      <c r="A1" s="1"/>
      <c r="B1" s="1"/>
      <c r="C1" s="59"/>
      <c r="D1" s="19"/>
      <c r="E1" s="19"/>
      <c r="F1" s="19"/>
      <c r="G1" s="19"/>
      <c r="H1" s="19"/>
      <c r="I1" s="19"/>
      <c r="J1" s="19"/>
      <c r="K1" s="19"/>
      <c r="L1" s="19"/>
      <c r="M1" s="59"/>
      <c r="N1" s="19"/>
      <c r="P1" s="2"/>
      <c r="Q1" s="2"/>
      <c r="R1" s="2"/>
      <c r="S1" s="368"/>
      <c r="T1" s="2"/>
      <c r="U1" s="2"/>
    </row>
    <row r="2" spans="1:21" ht="12.95" customHeight="1">
      <c r="A2" s="1"/>
      <c r="B2" s="1"/>
      <c r="C2" s="59"/>
      <c r="D2" s="19"/>
      <c r="E2" s="19"/>
      <c r="F2" s="19"/>
      <c r="G2" s="19"/>
      <c r="H2" s="19"/>
      <c r="I2" s="19"/>
      <c r="J2" s="19"/>
      <c r="K2" s="19"/>
      <c r="L2" s="19"/>
      <c r="M2" s="59"/>
      <c r="N2" s="19"/>
      <c r="P2" s="2"/>
      <c r="Q2" s="2"/>
      <c r="R2" s="2"/>
      <c r="S2" s="368"/>
      <c r="T2" s="2"/>
      <c r="U2" s="2"/>
    </row>
    <row r="3" spans="1:21" ht="12.95" customHeight="1">
      <c r="A3" s="1"/>
      <c r="B3" s="1"/>
      <c r="C3" s="46"/>
      <c r="D3" s="542">
        <v>2022</v>
      </c>
      <c r="E3" s="60"/>
      <c r="F3" s="542">
        <v>2022</v>
      </c>
      <c r="G3" s="60"/>
      <c r="H3" s="542">
        <v>2022</v>
      </c>
      <c r="I3" s="60"/>
      <c r="J3" s="542">
        <v>2022</v>
      </c>
      <c r="K3" s="60"/>
      <c r="L3" s="542">
        <v>2022</v>
      </c>
      <c r="M3" s="46"/>
      <c r="N3" s="542">
        <v>2022</v>
      </c>
      <c r="P3" s="2"/>
      <c r="Q3" s="2"/>
      <c r="R3" s="2"/>
      <c r="S3" s="368"/>
      <c r="T3" s="2"/>
      <c r="U3" s="2"/>
    </row>
    <row r="4" spans="1:21" ht="12.95" customHeight="1">
      <c r="A4" s="1"/>
      <c r="B4" s="1"/>
      <c r="C4" s="61"/>
      <c r="D4" s="568" t="s">
        <v>283</v>
      </c>
      <c r="E4" s="569"/>
      <c r="F4" s="568" t="s">
        <v>284</v>
      </c>
      <c r="G4" s="569"/>
      <c r="H4" s="568" t="s">
        <v>1553</v>
      </c>
      <c r="I4" s="569"/>
      <c r="J4" s="568" t="s">
        <v>296</v>
      </c>
      <c r="K4" s="569"/>
      <c r="L4" s="568" t="s">
        <v>296</v>
      </c>
      <c r="M4" s="570"/>
      <c r="N4" s="568" t="s">
        <v>296</v>
      </c>
      <c r="P4" s="2"/>
      <c r="Q4" s="2"/>
      <c r="R4" s="2"/>
      <c r="S4" s="368"/>
      <c r="T4" s="2"/>
      <c r="U4" s="2"/>
    </row>
    <row r="5" spans="1:21" ht="12.95" customHeight="1">
      <c r="A5" s="1"/>
      <c r="B5" s="1"/>
      <c r="C5" s="59"/>
      <c r="D5" s="571" t="s">
        <v>32</v>
      </c>
      <c r="E5" s="569"/>
      <c r="F5" s="571" t="s">
        <v>32</v>
      </c>
      <c r="G5" s="569"/>
      <c r="H5" s="571" t="s">
        <v>32</v>
      </c>
      <c r="I5" s="569"/>
      <c r="J5" s="571" t="s">
        <v>32</v>
      </c>
      <c r="K5" s="569"/>
      <c r="L5" s="571" t="s">
        <v>32</v>
      </c>
      <c r="M5" s="570"/>
      <c r="N5" s="571" t="s">
        <v>421</v>
      </c>
      <c r="P5" s="2"/>
      <c r="Q5" s="2"/>
      <c r="R5" s="2"/>
      <c r="S5" s="368"/>
      <c r="T5" s="2"/>
      <c r="U5" s="2"/>
    </row>
    <row r="6" spans="1:21" ht="12.95" customHeight="1">
      <c r="A6" s="1"/>
      <c r="B6" s="1"/>
      <c r="C6" s="1"/>
      <c r="D6" s="19"/>
      <c r="E6" s="19"/>
      <c r="F6" s="19"/>
      <c r="G6" s="19"/>
      <c r="H6" s="19"/>
      <c r="I6" s="19"/>
      <c r="J6" s="19"/>
      <c r="K6" s="19"/>
      <c r="L6" s="19"/>
      <c r="M6" s="1"/>
      <c r="N6" s="19"/>
      <c r="P6" s="2"/>
      <c r="Q6" s="2"/>
      <c r="R6" s="2"/>
      <c r="S6" s="368"/>
      <c r="T6" s="2"/>
      <c r="U6" s="2"/>
    </row>
    <row r="7" spans="1:21" ht="12.95" customHeight="1">
      <c r="A7" s="57"/>
      <c r="B7" s="62" t="s">
        <v>499</v>
      </c>
      <c r="C7" s="63"/>
      <c r="D7" s="546">
        <f>SUMIF('P&amp;L LTD  USD'!C:C,B:B,'P&amp;L LTD  USD'!F:F)</f>
        <v>-334239531.53999996</v>
      </c>
      <c r="E7" s="546"/>
      <c r="F7" s="546">
        <f>SUMIF('P&amp;L INC'!B:B,'P&amp;L USD CONS'!$B:$B,'P&amp;L INC'!F:F)</f>
        <v>-384589713.30000001</v>
      </c>
      <c r="G7" s="546"/>
      <c r="H7" s="546">
        <f>SUMIF('P&amp;L India'!B:B,'P&amp;L USD CONS'!$B:$B,'P&amp;L India'!D:D)</f>
        <v>0</v>
      </c>
      <c r="I7" s="546"/>
      <c r="J7" s="546">
        <f>-F7</f>
        <v>384589713.30000001</v>
      </c>
      <c r="K7" s="546"/>
      <c r="L7" s="546">
        <f>(+F7+D7+H7+J7)</f>
        <v>-334239531.5399999</v>
      </c>
      <c r="M7" s="546"/>
      <c r="N7" s="546">
        <f>L7/1000</f>
        <v>-334239.53153999988</v>
      </c>
      <c r="P7" s="2"/>
      <c r="Q7" s="2"/>
      <c r="R7" s="2"/>
      <c r="S7" s="368"/>
      <c r="T7" s="2"/>
      <c r="U7" s="2"/>
    </row>
    <row r="8" spans="1:21" ht="12.95" customHeight="1">
      <c r="A8" s="57"/>
      <c r="B8" s="1"/>
      <c r="C8" s="64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P8" s="2"/>
      <c r="Q8" s="2"/>
      <c r="R8" s="2"/>
      <c r="S8" s="368"/>
      <c r="T8" s="2"/>
      <c r="U8" s="2"/>
    </row>
    <row r="9" spans="1:21" ht="12.95" customHeight="1">
      <c r="A9" s="57"/>
      <c r="B9" s="41" t="s">
        <v>618</v>
      </c>
      <c r="C9" s="55"/>
      <c r="D9" s="546">
        <f>SUMIF('P&amp;L LTD  USD'!C:C,B:B,'P&amp;L LTD  USD'!F:F)</f>
        <v>23057127.010000002</v>
      </c>
      <c r="E9" s="546"/>
      <c r="F9" s="546">
        <f>SUMIF('P&amp;L INC'!B:B,'P&amp;L USD CONS'!$B:$B,'P&amp;L INC'!F:F)</f>
        <v>19761871.789999999</v>
      </c>
      <c r="G9" s="546"/>
      <c r="H9" s="546">
        <f>SUMIF('P&amp;L India'!B:B,'P&amp;L USD CONS'!$B:$B,'P&amp;L India'!D:D)</f>
        <v>0</v>
      </c>
      <c r="I9" s="546"/>
      <c r="J9" s="546">
        <f>-F9</f>
        <v>-19761871.789999999</v>
      </c>
      <c r="K9" s="546"/>
      <c r="L9" s="546">
        <f>(+F9+D9+H9+J9)</f>
        <v>23057127.009999998</v>
      </c>
      <c r="M9" s="546"/>
      <c r="N9" s="546">
        <f>L9/1000</f>
        <v>23057.127009999997</v>
      </c>
      <c r="O9" s="316"/>
      <c r="P9" s="2"/>
      <c r="Q9" s="2"/>
      <c r="R9" s="2"/>
      <c r="S9" s="368"/>
      <c r="T9" s="2"/>
      <c r="U9" s="2"/>
    </row>
    <row r="10" spans="1:21" ht="12.95" customHeight="1">
      <c r="A10" s="57"/>
      <c r="B10" s="41"/>
      <c r="C10" s="55"/>
      <c r="D10" s="546"/>
      <c r="E10" s="546"/>
      <c r="F10" s="546"/>
      <c r="G10" s="546"/>
      <c r="H10" s="546"/>
      <c r="I10" s="546"/>
      <c r="J10" s="546"/>
      <c r="K10" s="546"/>
      <c r="L10" s="546"/>
      <c r="M10" s="546"/>
      <c r="N10" s="546"/>
      <c r="O10" s="316"/>
      <c r="P10" s="2"/>
      <c r="Q10" s="2"/>
      <c r="R10" s="2"/>
      <c r="S10" s="368"/>
      <c r="T10" s="2"/>
      <c r="U10" s="2"/>
    </row>
    <row r="11" spans="1:21" ht="12.95" customHeight="1" thickBot="1">
      <c r="A11" s="57"/>
      <c r="B11" s="574" t="s">
        <v>297</v>
      </c>
      <c r="C11" s="572"/>
      <c r="D11" s="575">
        <f>D9+D7</f>
        <v>-311182404.52999997</v>
      </c>
      <c r="E11" s="573"/>
      <c r="F11" s="575">
        <f>F9+F7</f>
        <v>-364827841.50999999</v>
      </c>
      <c r="G11" s="573"/>
      <c r="H11" s="575">
        <f>H9+H7</f>
        <v>0</v>
      </c>
      <c r="I11" s="573"/>
      <c r="J11" s="575">
        <f>J9+J7</f>
        <v>364827841.50999999</v>
      </c>
      <c r="K11" s="573"/>
      <c r="L11" s="575">
        <f>L9+L7</f>
        <v>-311182404.52999991</v>
      </c>
      <c r="M11" s="573"/>
      <c r="N11" s="575">
        <f>N9+N7</f>
        <v>-311182.40452999988</v>
      </c>
      <c r="P11" s="66"/>
      <c r="Q11" s="66"/>
      <c r="R11" s="66"/>
      <c r="S11" s="313"/>
      <c r="T11" s="66"/>
      <c r="U11" s="66"/>
    </row>
    <row r="12" spans="1:21" ht="12.95" customHeight="1">
      <c r="A12" s="21"/>
      <c r="B12" s="41"/>
      <c r="C12" s="63"/>
      <c r="D12" s="298"/>
      <c r="E12" s="564"/>
      <c r="F12" s="298"/>
      <c r="G12" s="564"/>
      <c r="H12" s="298"/>
      <c r="I12" s="564"/>
      <c r="J12" s="298"/>
      <c r="K12" s="564"/>
      <c r="L12" s="298"/>
      <c r="M12" s="564"/>
      <c r="N12" s="298"/>
      <c r="P12" s="2"/>
      <c r="Q12" s="2"/>
      <c r="R12" s="2"/>
      <c r="S12" s="368"/>
      <c r="T12" s="2"/>
      <c r="U12" s="2"/>
    </row>
    <row r="13" spans="1:21" ht="12.95" customHeight="1">
      <c r="A13" s="57"/>
      <c r="B13" s="41" t="s">
        <v>151</v>
      </c>
      <c r="C13" s="55"/>
      <c r="D13" s="546">
        <f>SUMIF('P&amp;L LTD  USD'!C:C,B:B,'P&amp;L LTD  USD'!F:F)</f>
        <v>20781725.32</v>
      </c>
      <c r="E13" s="546"/>
      <c r="F13" s="546">
        <f>SUMIF('P&amp;L INC'!B:B,'P&amp;L USD CONS'!$B:$B,'P&amp;L INC'!F:F)</f>
        <v>0</v>
      </c>
      <c r="G13" s="546"/>
      <c r="H13" s="546">
        <f>-SUMIF('P&amp;L India'!B:B,'P&amp;L USD CONS'!$B:$B,'P&amp;L India'!D:D)</f>
        <v>0</v>
      </c>
      <c r="I13" s="546"/>
      <c r="J13" s="546"/>
      <c r="K13" s="546"/>
      <c r="L13" s="546">
        <f>(+F13+D13+H13+J13)</f>
        <v>20781725.32</v>
      </c>
      <c r="M13" s="546"/>
      <c r="N13" s="546">
        <f>L13/1000</f>
        <v>20781.725320000001</v>
      </c>
      <c r="P13" s="2"/>
      <c r="Q13" s="2"/>
      <c r="R13" s="2"/>
      <c r="S13" s="368"/>
      <c r="T13" s="2"/>
      <c r="U13" s="2"/>
    </row>
    <row r="14" spans="1:21" ht="12.95" customHeight="1">
      <c r="A14" s="57"/>
      <c r="B14" s="41"/>
      <c r="C14" s="63"/>
      <c r="D14" s="546"/>
      <c r="E14" s="546"/>
      <c r="F14" s="546"/>
      <c r="G14" s="546"/>
      <c r="H14" s="546"/>
      <c r="I14" s="546"/>
      <c r="J14" s="546"/>
      <c r="K14" s="546"/>
      <c r="L14" s="546"/>
      <c r="M14" s="546"/>
      <c r="N14" s="546"/>
      <c r="P14" s="2"/>
      <c r="Q14" s="2"/>
      <c r="R14" s="2"/>
      <c r="S14" s="368"/>
      <c r="T14" s="2"/>
      <c r="U14" s="2"/>
    </row>
    <row r="15" spans="1:21" ht="12.95" customHeight="1">
      <c r="A15" s="57"/>
      <c r="B15" s="41" t="s">
        <v>149</v>
      </c>
      <c r="C15" s="55"/>
      <c r="D15" s="546">
        <f>SUMIF('P&amp;L LTD  USD'!C:C,B:B,'P&amp;L LTD  USD'!F:F)</f>
        <v>256017748.69</v>
      </c>
      <c r="E15" s="546"/>
      <c r="F15" s="546">
        <f>SUMIF('P&amp;L INC'!B:B,'P&amp;L USD CONS'!$B:$B,'P&amp;L INC'!F:F)</f>
        <v>24957327.619999997</v>
      </c>
      <c r="G15" s="546"/>
      <c r="H15" s="546">
        <f>SUMIF('P&amp;L India'!B:B,'P&amp;L USD CONS'!$B:$B,'P&amp;L India'!D:D)</f>
        <v>30322.73</v>
      </c>
      <c r="I15" s="546"/>
      <c r="J15" s="546">
        <f>-F15</f>
        <v>-24957327.619999997</v>
      </c>
      <c r="K15" s="546"/>
      <c r="L15" s="546">
        <f>(+F15+D15+H15+J15)</f>
        <v>256048071.42000002</v>
      </c>
      <c r="M15" s="546"/>
      <c r="N15" s="546">
        <f>L15/1000</f>
        <v>256048.07142000002</v>
      </c>
      <c r="P15" s="421"/>
      <c r="Q15" s="2"/>
      <c r="R15" s="2"/>
      <c r="S15" s="368"/>
      <c r="T15" s="2"/>
      <c r="U15" s="2"/>
    </row>
    <row r="16" spans="1:21" ht="12.95" customHeight="1">
      <c r="A16" s="57"/>
      <c r="B16" s="41"/>
      <c r="C16" s="63"/>
      <c r="D16" s="546"/>
      <c r="E16" s="546"/>
      <c r="F16" s="546"/>
      <c r="G16" s="546"/>
      <c r="H16" s="546"/>
      <c r="I16" s="546"/>
      <c r="J16" s="546"/>
      <c r="K16" s="546"/>
      <c r="L16" s="546"/>
      <c r="M16" s="546"/>
      <c r="N16" s="546"/>
      <c r="P16" s="2"/>
      <c r="Q16" s="2"/>
      <c r="R16" s="2"/>
      <c r="S16" s="368"/>
      <c r="T16" s="2"/>
      <c r="U16" s="2"/>
    </row>
    <row r="17" spans="1:21" ht="12.95" customHeight="1">
      <c r="A17" s="57"/>
      <c r="B17" s="41" t="s">
        <v>152</v>
      </c>
      <c r="C17" s="55"/>
      <c r="D17" s="546">
        <f>SUMIF('P&amp;L LTD  USD'!C:C,B:B,'P&amp;L LTD  USD'!F:F)</f>
        <v>8244728.4100000011</v>
      </c>
      <c r="E17" s="546"/>
      <c r="F17" s="546">
        <f>SUMIF('P&amp;L INC'!B:B,'P&amp;L USD CONS'!$B:$B,'P&amp;L INC'!F:F)</f>
        <v>182761.94999999998</v>
      </c>
      <c r="G17" s="546"/>
      <c r="H17" s="546">
        <f>SUMIF('P&amp;L India'!B:B,'P&amp;L USD CONS'!$B:$B,'P&amp;L India'!D:D)</f>
        <v>20751.2</v>
      </c>
      <c r="I17" s="546"/>
      <c r="J17" s="546">
        <f>-F17*1.07</f>
        <v>-195555.28649999999</v>
      </c>
      <c r="K17" s="546"/>
      <c r="L17" s="546">
        <f>(+F17+D17+H17+J17)</f>
        <v>8252686.2735000001</v>
      </c>
      <c r="M17" s="546"/>
      <c r="N17" s="546">
        <f>L17/1000</f>
        <v>8252.6862734999995</v>
      </c>
      <c r="O17" s="316">
        <f>J17+F17</f>
        <v>-12793.336500000005</v>
      </c>
      <c r="P17" s="2"/>
      <c r="Q17" s="2"/>
      <c r="R17" s="2"/>
      <c r="S17" s="368"/>
      <c r="T17" s="2"/>
      <c r="U17" s="2"/>
    </row>
    <row r="18" spans="1:21" ht="12.95" customHeight="1">
      <c r="A18" s="57"/>
      <c r="B18" s="41"/>
      <c r="C18" s="63"/>
      <c r="D18" s="546"/>
      <c r="E18" s="546"/>
      <c r="F18" s="546"/>
      <c r="G18" s="546"/>
      <c r="H18" s="546"/>
      <c r="I18" s="546"/>
      <c r="J18" s="546"/>
      <c r="K18" s="546"/>
      <c r="L18" s="546"/>
      <c r="M18" s="546"/>
      <c r="N18" s="546"/>
      <c r="P18" s="2"/>
      <c r="Q18" s="2"/>
      <c r="R18" s="2"/>
      <c r="S18" s="368"/>
      <c r="T18" s="2"/>
      <c r="U18" s="2"/>
    </row>
    <row r="19" spans="1:21" ht="12.95" customHeight="1">
      <c r="A19" s="41"/>
      <c r="B19" s="67" t="s">
        <v>298</v>
      </c>
      <c r="C19" s="68"/>
      <c r="D19" s="565">
        <f>+D17+D15+D13</f>
        <v>285044202.42000002</v>
      </c>
      <c r="E19" s="380"/>
      <c r="F19" s="565">
        <f>+F17+F15+F13</f>
        <v>25140089.569999997</v>
      </c>
      <c r="G19" s="380"/>
      <c r="H19" s="565">
        <f>+H17+H15+H13</f>
        <v>51073.93</v>
      </c>
      <c r="I19" s="380"/>
      <c r="J19" s="565">
        <f>+J17+J15+J13</f>
        <v>-25152882.906499997</v>
      </c>
      <c r="K19" s="380"/>
      <c r="L19" s="565">
        <f>+L17+L15+L13</f>
        <v>285082483.01350003</v>
      </c>
      <c r="M19" s="380"/>
      <c r="N19" s="565">
        <f>+N17+N15+N13</f>
        <v>285082.48301350005</v>
      </c>
      <c r="P19" s="41"/>
      <c r="Q19" s="41"/>
      <c r="R19" s="41"/>
      <c r="S19" s="380"/>
      <c r="T19" s="41"/>
      <c r="U19" s="41"/>
    </row>
    <row r="20" spans="1:21" ht="12.95" customHeight="1">
      <c r="A20" s="57"/>
      <c r="B20" s="41"/>
      <c r="C20" s="1"/>
      <c r="D20" s="313"/>
      <c r="E20" s="298"/>
      <c r="F20" s="313"/>
      <c r="G20" s="298"/>
      <c r="H20" s="313"/>
      <c r="I20" s="298"/>
      <c r="J20" s="313"/>
      <c r="K20" s="298"/>
      <c r="L20" s="313"/>
      <c r="M20" s="298"/>
      <c r="N20" s="313"/>
      <c r="P20" s="2"/>
      <c r="Q20" s="2"/>
      <c r="R20" s="2"/>
      <c r="S20" s="368"/>
      <c r="T20" s="2"/>
      <c r="U20" s="2"/>
    </row>
    <row r="21" spans="1:21" ht="12.95" customHeight="1" thickBot="1">
      <c r="A21" s="576"/>
      <c r="B21" s="578" t="s">
        <v>299</v>
      </c>
      <c r="C21" s="70"/>
      <c r="D21" s="579">
        <f>SUMIF('P&amp;L LTD  USD'!C:C,B:B,'P&amp;L LTD  USD'!F:F)</f>
        <v>-26138202.109999955</v>
      </c>
      <c r="E21" s="577"/>
      <c r="F21" s="579">
        <f>F11+F19</f>
        <v>-339687751.94</v>
      </c>
      <c r="G21" s="577"/>
      <c r="H21" s="579">
        <f>H11+H19</f>
        <v>51073.93</v>
      </c>
      <c r="I21" s="577"/>
      <c r="J21" s="579">
        <f>J11+J19</f>
        <v>339674958.60350001</v>
      </c>
      <c r="K21" s="577"/>
      <c r="L21" s="579">
        <f>L11+L19</f>
        <v>-26099921.516499877</v>
      </c>
      <c r="M21" s="577"/>
      <c r="N21" s="579">
        <f>N19+N11</f>
        <v>-26099.921516499831</v>
      </c>
      <c r="P21" s="70"/>
      <c r="Q21" s="70"/>
      <c r="R21" s="70"/>
      <c r="S21" s="381"/>
      <c r="T21" s="70"/>
      <c r="U21" s="70"/>
    </row>
    <row r="22" spans="1:21" ht="12.95" customHeight="1">
      <c r="A22" s="62"/>
      <c r="B22" s="62"/>
      <c r="C22" s="62"/>
      <c r="D22" s="381"/>
      <c r="E22" s="381"/>
      <c r="F22" s="381"/>
      <c r="G22" s="381"/>
      <c r="H22" s="381"/>
      <c r="I22" s="381"/>
      <c r="J22" s="381"/>
      <c r="K22" s="381"/>
      <c r="L22" s="381"/>
      <c r="M22" s="381"/>
      <c r="N22" s="381"/>
      <c r="P22" s="62"/>
      <c r="Q22" s="62"/>
      <c r="R22" s="62"/>
      <c r="S22" s="381"/>
      <c r="T22" s="62"/>
      <c r="U22" s="62"/>
    </row>
    <row r="23" spans="1:21" ht="12.95" customHeight="1">
      <c r="A23" s="57"/>
      <c r="B23" s="62" t="s">
        <v>163</v>
      </c>
      <c r="C23" s="55"/>
      <c r="D23" s="546">
        <f>SUMIF('P&amp;L LTD  USD'!C:C,B:B,'P&amp;L LTD  USD'!F:F)</f>
        <v>242412.35000000003</v>
      </c>
      <c r="E23" s="546"/>
      <c r="F23" s="546">
        <f>SUMIF('P&amp;L INC'!B:B,'P&amp;L USD CONS'!$B:$B,'P&amp;L INC'!F:F)</f>
        <v>179789.70000000007</v>
      </c>
      <c r="G23" s="546"/>
      <c r="H23" s="546">
        <f>SUMIF('P&amp;L India'!B:B,'P&amp;L USD CONS'!$B:$B,'P&amp;L India'!D:D)</f>
        <v>262.11</v>
      </c>
      <c r="I23" s="546"/>
      <c r="J23" s="546">
        <f>-F23</f>
        <v>-179789.70000000007</v>
      </c>
      <c r="K23" s="546"/>
      <c r="L23" s="546">
        <f>(+F23+D23+H23+J23)</f>
        <v>242674.46000000002</v>
      </c>
      <c r="M23" s="546"/>
      <c r="N23" s="546">
        <f>L23/1000</f>
        <v>242.67446000000001</v>
      </c>
      <c r="P23" s="2"/>
      <c r="Q23" s="2"/>
      <c r="R23" s="2"/>
      <c r="S23" s="368"/>
      <c r="T23" s="2"/>
      <c r="U23" s="2"/>
    </row>
    <row r="24" spans="1:21" ht="12.95" customHeight="1">
      <c r="A24" s="57"/>
      <c r="B24" s="41"/>
      <c r="C24" s="1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P24" s="2"/>
      <c r="Q24" s="2"/>
      <c r="R24" s="2"/>
      <c r="S24" s="368"/>
      <c r="T24" s="2"/>
      <c r="U24" s="2"/>
    </row>
    <row r="25" spans="1:21" ht="12.95" customHeight="1">
      <c r="A25" s="57"/>
      <c r="B25" s="41" t="s">
        <v>300</v>
      </c>
      <c r="C25" s="55"/>
      <c r="D25" s="546">
        <f>SUMIF('P&amp;L LTD  USD'!C:C,B:B,'P&amp;L LTD  USD'!F:F)</f>
        <v>0</v>
      </c>
      <c r="E25" s="546"/>
      <c r="F25" s="546">
        <f>SUMIF('P&amp;L INC'!B:B,'P&amp;L USD CONS'!$B:$B,'P&amp;L INC'!F:F)</f>
        <v>339405831.35000002</v>
      </c>
      <c r="G25" s="546"/>
      <c r="H25" s="546">
        <f>SUMIF('P&amp;L India'!B:B,'P&amp;L USD CONS'!$B:$B,'P&amp;L India'!D:D)</f>
        <v>0</v>
      </c>
      <c r="I25" s="546"/>
      <c r="J25" s="546">
        <f>-F25</f>
        <v>-339405831.35000002</v>
      </c>
      <c r="K25" s="546"/>
      <c r="L25" s="546">
        <f>(+F25+D25+H25+J25)</f>
        <v>0</v>
      </c>
      <c r="M25" s="546"/>
      <c r="N25" s="546">
        <f>L25/1000</f>
        <v>0</v>
      </c>
      <c r="P25" s="2"/>
      <c r="Q25" s="2"/>
      <c r="R25" s="2"/>
      <c r="S25" s="368"/>
      <c r="T25" s="2"/>
      <c r="U25" s="2"/>
    </row>
    <row r="26" spans="1:21" ht="12.95" customHeight="1">
      <c r="A26" s="57"/>
      <c r="B26" s="41"/>
      <c r="C26" s="1"/>
      <c r="D26" s="546"/>
      <c r="E26" s="546"/>
      <c r="F26" s="546"/>
      <c r="G26" s="546"/>
      <c r="H26" s="546"/>
      <c r="I26" s="546"/>
      <c r="J26" s="546"/>
      <c r="K26" s="546"/>
      <c r="L26" s="546"/>
      <c r="M26" s="546"/>
      <c r="N26" s="546"/>
      <c r="P26" s="2"/>
      <c r="Q26" s="2"/>
      <c r="R26" s="2"/>
      <c r="S26" s="368"/>
      <c r="T26" s="2"/>
      <c r="U26" s="2"/>
    </row>
    <row r="27" spans="1:21" ht="12.95" customHeight="1">
      <c r="A27" s="57"/>
      <c r="B27" s="41" t="s">
        <v>274</v>
      </c>
      <c r="C27" s="55"/>
      <c r="D27" s="546">
        <f>SUMIF('P&amp;L LTD  USD'!C:C,B:B,'P&amp;L LTD  USD'!F:F)</f>
        <v>-12793.339999973701</v>
      </c>
      <c r="E27" s="546"/>
      <c r="F27" s="546">
        <f>SUMIF('P&amp;L INC'!B:B,'P&amp;L USD CONS'!$B:$B,'P&amp;L INC'!D:D)</f>
        <v>0</v>
      </c>
      <c r="G27" s="546"/>
      <c r="H27" s="546">
        <f>SUMIF('P&amp;L India'!B:B,'P&amp;L USD CONS'!$B:$B,'P&amp;L India'!D:D)</f>
        <v>0</v>
      </c>
      <c r="I27" s="546"/>
      <c r="J27" s="546"/>
      <c r="K27" s="546"/>
      <c r="L27" s="546">
        <f>(+F27+D27+H27)</f>
        <v>-12793.339999973701</v>
      </c>
      <c r="M27" s="546"/>
      <c r="N27" s="546">
        <f>L27/1000</f>
        <v>-12.793339999973702</v>
      </c>
      <c r="P27" s="2"/>
      <c r="Q27" s="2"/>
      <c r="R27" s="2"/>
      <c r="S27" s="368"/>
      <c r="T27" s="2"/>
      <c r="U27" s="2"/>
    </row>
    <row r="28" spans="1:21" ht="12.95" customHeight="1">
      <c r="A28" s="57"/>
      <c r="B28" s="41"/>
      <c r="C28" s="1"/>
      <c r="D28" s="313"/>
      <c r="E28" s="298"/>
      <c r="F28" s="313"/>
      <c r="G28" s="298"/>
      <c r="H28" s="313"/>
      <c r="I28" s="298"/>
      <c r="J28" s="313"/>
      <c r="K28" s="298"/>
      <c r="L28" s="313"/>
      <c r="M28" s="298"/>
      <c r="N28" s="313"/>
      <c r="P28" s="2"/>
      <c r="Q28" s="2"/>
      <c r="R28" s="2"/>
      <c r="S28" s="368"/>
      <c r="T28" s="2"/>
      <c r="U28" s="2"/>
    </row>
    <row r="29" spans="1:21" ht="12.95" customHeight="1" thickBot="1">
      <c r="A29" s="57"/>
      <c r="B29" s="581" t="s">
        <v>301</v>
      </c>
      <c r="C29" s="57"/>
      <c r="D29" s="580">
        <f>SUM(D21:D27)</f>
        <v>-25908583.099999927</v>
      </c>
      <c r="E29" s="298"/>
      <c r="F29" s="580">
        <f>SUM(F21:F27)</f>
        <v>-102130.88999998569</v>
      </c>
      <c r="G29" s="298"/>
      <c r="H29" s="580">
        <f>SUM(H21:H27)</f>
        <v>51336.04</v>
      </c>
      <c r="I29" s="298"/>
      <c r="J29" s="580">
        <f>SUM(J21:J27)</f>
        <v>89337.553499996662</v>
      </c>
      <c r="K29" s="298"/>
      <c r="L29" s="580">
        <f>SUM(L21:L27)</f>
        <v>-25870040.39649985</v>
      </c>
      <c r="M29" s="313"/>
      <c r="N29" s="580">
        <f>SUM(N21:N27)</f>
        <v>-25870.040396499808</v>
      </c>
      <c r="P29" s="2"/>
      <c r="Q29" s="2"/>
      <c r="R29" s="2"/>
      <c r="S29" s="368"/>
      <c r="T29" s="2"/>
      <c r="U29" s="2"/>
    </row>
    <row r="30" spans="1:21" ht="12.95" customHeight="1" thickTop="1">
      <c r="A30" s="57"/>
      <c r="B30" s="41"/>
      <c r="C30" s="1"/>
      <c r="D30" s="313"/>
      <c r="E30" s="298"/>
      <c r="F30" s="313"/>
      <c r="G30" s="298"/>
      <c r="H30" s="313"/>
      <c r="I30" s="298"/>
      <c r="J30" s="313"/>
      <c r="K30" s="298"/>
      <c r="L30" s="313"/>
      <c r="M30" s="298"/>
      <c r="N30" s="313"/>
      <c r="P30" s="2"/>
      <c r="Q30" s="2"/>
      <c r="R30" s="2"/>
      <c r="S30" s="368"/>
      <c r="T30" s="2"/>
      <c r="U30" s="2"/>
    </row>
    <row r="31" spans="1:21" ht="12.95" customHeight="1">
      <c r="A31" s="57"/>
      <c r="B31" s="41" t="s">
        <v>182</v>
      </c>
      <c r="C31" s="55"/>
      <c r="D31" s="546">
        <f>SUMIF('P&amp;L LTD  USD'!C:C,B:B,'P&amp;L LTD  USD'!F:F)</f>
        <v>3503498.7428835426</v>
      </c>
      <c r="E31" s="546"/>
      <c r="F31" s="546">
        <f>SUMIF('P&amp;L INC'!B:B,'P&amp;L USD CONS'!$B:$B,'P&amp;L INC'!F:F)</f>
        <v>89337.55</v>
      </c>
      <c r="G31" s="546"/>
      <c r="H31" s="546">
        <f>SUMIF('P&amp;L India'!B:B,'P&amp;L USD CONS'!$B:$B,'P&amp;L India'!D:D)</f>
        <v>0</v>
      </c>
      <c r="I31" s="546"/>
      <c r="J31" s="546">
        <f>-F31</f>
        <v>-89337.55</v>
      </c>
      <c r="K31" s="546"/>
      <c r="L31" s="546">
        <f>(+F31+D31+H31+J31)</f>
        <v>3503498.7428835426</v>
      </c>
      <c r="M31" s="546"/>
      <c r="N31" s="546">
        <f>L31/1000</f>
        <v>3503.4987428835425</v>
      </c>
      <c r="P31" s="2"/>
      <c r="Q31" s="2"/>
      <c r="R31" s="2"/>
      <c r="S31" s="368"/>
      <c r="T31" s="2"/>
      <c r="U31" s="2"/>
    </row>
    <row r="32" spans="1:21" ht="12.95" customHeight="1">
      <c r="A32" s="57"/>
      <c r="B32" s="41"/>
      <c r="C32" s="1"/>
      <c r="D32" s="313"/>
      <c r="E32" s="298"/>
      <c r="F32" s="313"/>
      <c r="G32" s="298"/>
      <c r="H32" s="313"/>
      <c r="I32" s="298"/>
      <c r="J32" s="313"/>
      <c r="K32" s="298"/>
      <c r="L32" s="313"/>
      <c r="M32" s="298"/>
      <c r="N32" s="313"/>
      <c r="P32" s="2"/>
      <c r="Q32" s="2"/>
      <c r="R32" s="2"/>
      <c r="S32" s="368"/>
      <c r="T32" s="2"/>
      <c r="U32" s="2"/>
    </row>
    <row r="33" spans="1:21" ht="12.95" customHeight="1" thickBot="1">
      <c r="A33" s="72"/>
      <c r="B33" s="582" t="s">
        <v>302</v>
      </c>
      <c r="C33" s="57"/>
      <c r="D33" s="583">
        <f>+D29+D31</f>
        <v>-22405084.357116386</v>
      </c>
      <c r="E33" s="369"/>
      <c r="F33" s="583">
        <f>+F31+F29</f>
        <v>-12793.339999985692</v>
      </c>
      <c r="G33" s="369"/>
      <c r="H33" s="583">
        <f>+H31+H29</f>
        <v>51336.04</v>
      </c>
      <c r="I33" s="369"/>
      <c r="J33" s="583">
        <f>+J31+J29</f>
        <v>3.4999966592295095E-3</v>
      </c>
      <c r="K33" s="369"/>
      <c r="L33" s="583">
        <f>+L29+L31</f>
        <v>-22366541.653616309</v>
      </c>
      <c r="M33" s="566"/>
      <c r="N33" s="583">
        <f>+N29+N31</f>
        <v>-22366.541653616267</v>
      </c>
      <c r="P33" s="74"/>
      <c r="Q33" s="74"/>
      <c r="R33" s="74"/>
      <c r="S33" s="382"/>
      <c r="T33" s="74"/>
      <c r="U33" s="74"/>
    </row>
    <row r="34" spans="1:21" ht="12.95" customHeight="1" thickTop="1">
      <c r="A34" s="57"/>
      <c r="B34" s="1"/>
      <c r="C34" s="1"/>
      <c r="D34" s="313">
        <f>D33-'P&amp;L LTD  USD'!F122</f>
        <v>0</v>
      </c>
      <c r="E34" s="298"/>
      <c r="F34" s="313">
        <f>F33-'P&amp;L INC'!F51</f>
        <v>-1.1990778148174286E-8</v>
      </c>
      <c r="G34" s="298"/>
      <c r="H34" s="566">
        <f>'P&amp;L India'!D28-H33</f>
        <v>0</v>
      </c>
      <c r="I34" s="298"/>
      <c r="J34" s="566"/>
      <c r="K34" s="298"/>
      <c r="L34" s="566"/>
      <c r="M34" s="567"/>
      <c r="N34" s="566"/>
      <c r="P34" s="2"/>
      <c r="Q34" s="2"/>
      <c r="R34" s="2"/>
      <c r="S34" s="368"/>
      <c r="T34" s="2"/>
      <c r="U34" s="2"/>
    </row>
    <row r="35" spans="1:21" ht="12.95" customHeight="1">
      <c r="A35" s="57"/>
      <c r="B35" s="1"/>
      <c r="C35" s="1"/>
      <c r="D35" s="566">
        <f>D9+D13+D15+D17+D23+D31</f>
        <v>311847240.52288359</v>
      </c>
      <c r="E35" s="298"/>
      <c r="F35" s="566">
        <f>F9+F13+F15+F17+F23+F31</f>
        <v>45171088.609999999</v>
      </c>
      <c r="G35" s="298"/>
      <c r="H35" s="566">
        <f>H9+H13+H15+H17+H23+H31</f>
        <v>51336.04</v>
      </c>
      <c r="I35" s="298"/>
      <c r="J35" s="566"/>
      <c r="K35" s="298"/>
      <c r="L35" s="566">
        <f>L9+L13+L15+L17+L23+L31</f>
        <v>311885783.22638357</v>
      </c>
      <c r="M35" s="567"/>
      <c r="N35" s="566">
        <v>-21787.447367065721</v>
      </c>
      <c r="P35" s="2"/>
      <c r="Q35" s="2"/>
      <c r="R35" s="2"/>
      <c r="S35" s="368"/>
      <c r="T35" s="2"/>
      <c r="U35" s="2"/>
    </row>
    <row r="36" spans="1:21" ht="12.95" customHeight="1">
      <c r="A36" s="1"/>
      <c r="B36" s="1"/>
      <c r="C36" s="1"/>
      <c r="D36" s="298"/>
      <c r="E36" s="298"/>
      <c r="F36" s="298"/>
      <c r="G36" s="298"/>
      <c r="H36" s="567"/>
      <c r="I36" s="298"/>
      <c r="J36" s="567"/>
      <c r="K36" s="298"/>
      <c r="L36" s="567"/>
      <c r="M36" s="567"/>
      <c r="N36" s="567">
        <f>N35-N33</f>
        <v>579.0942865505458</v>
      </c>
      <c r="P36" s="2"/>
      <c r="Q36" s="2"/>
      <c r="R36" s="2"/>
      <c r="S36" s="368"/>
      <c r="T36" s="2"/>
      <c r="U36" s="2"/>
    </row>
    <row r="37" spans="1:21" ht="12.95" customHeight="1">
      <c r="A37" s="1"/>
      <c r="B37" s="1"/>
      <c r="C37" s="1"/>
      <c r="D37" s="19"/>
      <c r="E37" s="19"/>
      <c r="F37" s="19"/>
      <c r="G37" s="19"/>
      <c r="H37" s="213"/>
      <c r="I37" s="19"/>
      <c r="J37" s="213"/>
      <c r="K37" s="19"/>
      <c r="L37" s="213"/>
      <c r="M37" s="563"/>
      <c r="N37" s="213"/>
      <c r="P37" s="2"/>
      <c r="Q37" s="2"/>
      <c r="R37" s="2"/>
      <c r="S37" s="368"/>
      <c r="T37" s="2"/>
      <c r="U37" s="2"/>
    </row>
    <row r="38" spans="1:21" ht="12.95" customHeight="1">
      <c r="A38" s="1"/>
      <c r="B38" s="1"/>
      <c r="C38" s="1"/>
      <c r="D38" s="19"/>
      <c r="E38" s="19"/>
      <c r="F38" s="19"/>
      <c r="G38" s="19"/>
      <c r="H38" s="213"/>
      <c r="I38" s="19"/>
      <c r="J38" s="213"/>
      <c r="K38" s="19"/>
      <c r="L38" s="213"/>
      <c r="M38" s="563"/>
      <c r="N38" s="213"/>
      <c r="P38" s="2"/>
      <c r="Q38" s="2"/>
      <c r="R38" s="2"/>
      <c r="S38" s="368"/>
      <c r="T38" s="2"/>
      <c r="U38" s="2"/>
    </row>
    <row r="39" spans="1:21" ht="12.95" customHeight="1">
      <c r="A39" s="1"/>
      <c r="B39" s="1"/>
      <c r="C39" s="1"/>
      <c r="D39" s="19"/>
      <c r="E39" s="19"/>
      <c r="F39" s="19"/>
      <c r="G39" s="19"/>
      <c r="H39" s="213"/>
      <c r="I39" s="19"/>
      <c r="J39" s="213"/>
      <c r="K39" s="19"/>
      <c r="L39" s="213"/>
      <c r="M39" s="563"/>
      <c r="N39" s="213"/>
      <c r="P39" s="2"/>
      <c r="Q39" s="2"/>
      <c r="R39" s="2"/>
      <c r="S39" s="368"/>
      <c r="T39" s="2"/>
      <c r="U39" s="2"/>
    </row>
    <row r="40" spans="1:21" ht="12.95" customHeight="1">
      <c r="A40" s="1"/>
      <c r="B40" s="1"/>
      <c r="C40" s="1"/>
      <c r="D40" s="19"/>
      <c r="E40" s="19"/>
      <c r="F40" s="19"/>
      <c r="G40" s="19"/>
      <c r="H40" s="19"/>
      <c r="I40" s="19"/>
      <c r="J40" s="19"/>
      <c r="K40" s="19"/>
      <c r="L40" s="19"/>
      <c r="M40" s="1"/>
      <c r="N40" s="19"/>
      <c r="P40" s="2"/>
      <c r="Q40" s="2"/>
      <c r="R40" s="2"/>
      <c r="S40" s="368"/>
      <c r="T40" s="2"/>
      <c r="U40" s="2"/>
    </row>
    <row r="41" spans="1:21" ht="12.95" customHeight="1">
      <c r="A41" s="1"/>
      <c r="B41" s="1"/>
      <c r="C41" s="1"/>
      <c r="D41" s="19"/>
      <c r="E41" s="19"/>
      <c r="F41" s="19"/>
      <c r="G41" s="19"/>
      <c r="H41" s="19"/>
      <c r="I41" s="19"/>
      <c r="J41" s="19"/>
      <c r="K41" s="19"/>
      <c r="L41" s="19"/>
      <c r="M41" s="1"/>
      <c r="N41" s="19"/>
      <c r="P41" s="2"/>
      <c r="Q41" s="2"/>
      <c r="R41" s="2"/>
      <c r="S41" s="368"/>
      <c r="T41" s="2"/>
      <c r="U41" s="2"/>
    </row>
    <row r="42" spans="1:21" ht="12.95" customHeight="1">
      <c r="A42" s="1"/>
      <c r="B42" s="1"/>
      <c r="C42" s="1"/>
      <c r="D42" s="19"/>
      <c r="E42" s="19"/>
      <c r="F42" s="19"/>
      <c r="G42" s="19"/>
      <c r="H42" s="19"/>
      <c r="I42" s="19"/>
      <c r="J42" s="19"/>
      <c r="K42" s="19"/>
      <c r="L42" s="19"/>
      <c r="M42" s="1"/>
      <c r="N42" s="19"/>
      <c r="P42" s="2"/>
      <c r="Q42" s="2"/>
      <c r="R42" s="2"/>
      <c r="S42" s="368"/>
      <c r="T42" s="2"/>
      <c r="U42" s="2"/>
    </row>
    <row r="43" spans="1:21" ht="12.95" customHeight="1">
      <c r="A43" s="1"/>
      <c r="B43" s="1"/>
      <c r="C43" s="1"/>
      <c r="D43" s="19"/>
      <c r="E43" s="19"/>
      <c r="F43" s="19"/>
      <c r="G43" s="19"/>
      <c r="H43" s="19"/>
      <c r="I43" s="19"/>
      <c r="J43" s="19"/>
      <c r="K43" s="19"/>
      <c r="L43" s="19"/>
      <c r="M43" s="1"/>
      <c r="N43" s="19"/>
      <c r="P43" s="2"/>
      <c r="Q43" s="2"/>
      <c r="R43" s="2"/>
      <c r="S43" s="368"/>
      <c r="T43" s="2"/>
      <c r="U43" s="2"/>
    </row>
    <row r="44" spans="1:21" ht="12.95" customHeight="1">
      <c r="A44" s="1"/>
      <c r="B44" s="1"/>
      <c r="C44" s="1"/>
      <c r="D44" s="19"/>
      <c r="E44" s="19"/>
      <c r="F44" s="19"/>
      <c r="G44" s="19"/>
      <c r="H44" s="19"/>
      <c r="I44" s="19"/>
      <c r="J44" s="19"/>
      <c r="K44" s="19"/>
      <c r="L44" s="19"/>
      <c r="M44" s="1"/>
      <c r="N44" s="19"/>
      <c r="P44" s="2"/>
      <c r="Q44" s="2"/>
      <c r="R44" s="2"/>
      <c r="S44" s="368"/>
      <c r="T44" s="2"/>
      <c r="U44" s="2"/>
    </row>
    <row r="45" spans="1:21" ht="12.95" customHeight="1">
      <c r="A45" s="1"/>
      <c r="B45" s="1"/>
      <c r="C45" s="1"/>
      <c r="D45" s="19"/>
      <c r="E45" s="19"/>
      <c r="F45" s="19"/>
      <c r="G45" s="19"/>
      <c r="H45" s="19"/>
      <c r="I45" s="19"/>
      <c r="J45" s="19"/>
      <c r="K45" s="19"/>
      <c r="L45" s="19"/>
      <c r="M45" s="1"/>
      <c r="N45" s="19"/>
      <c r="P45" s="2"/>
      <c r="Q45" s="2"/>
      <c r="R45" s="2"/>
      <c r="S45" s="368"/>
      <c r="T45" s="2"/>
      <c r="U45" s="2"/>
    </row>
    <row r="46" spans="1:21" ht="12.95" customHeight="1">
      <c r="A46" s="1"/>
      <c r="B46" s="1"/>
      <c r="C46" s="1"/>
      <c r="D46" s="19"/>
      <c r="E46" s="19"/>
      <c r="F46" s="19"/>
      <c r="G46" s="19"/>
      <c r="H46" s="19"/>
      <c r="I46" s="19"/>
      <c r="J46" s="19"/>
      <c r="K46" s="19"/>
      <c r="L46" s="19"/>
      <c r="M46" s="1"/>
      <c r="N46" s="19"/>
      <c r="P46" s="2"/>
      <c r="Q46" s="2"/>
      <c r="R46" s="2"/>
      <c r="S46" s="368"/>
      <c r="T46" s="2"/>
      <c r="U46" s="2"/>
    </row>
    <row r="47" spans="1:21" ht="12.95" customHeight="1">
      <c r="A47" s="1"/>
      <c r="B47" s="1"/>
      <c r="C47" s="1"/>
      <c r="D47" s="19"/>
      <c r="E47" s="19"/>
      <c r="F47" s="19"/>
      <c r="G47" s="19"/>
      <c r="H47" s="19"/>
      <c r="I47" s="19"/>
      <c r="J47" s="19"/>
      <c r="K47" s="19"/>
      <c r="L47" s="19"/>
      <c r="M47" s="1"/>
      <c r="N47" s="19"/>
      <c r="P47" s="2"/>
      <c r="Q47" s="2"/>
      <c r="R47" s="2"/>
      <c r="S47" s="368"/>
      <c r="T47" s="2"/>
      <c r="U47" s="2"/>
    </row>
    <row r="48" spans="1:21" ht="12.95" customHeight="1">
      <c r="A48" s="1"/>
      <c r="B48" s="1"/>
      <c r="C48" s="1"/>
      <c r="D48" s="19"/>
      <c r="E48" s="19"/>
      <c r="F48" s="19"/>
      <c r="G48" s="19"/>
      <c r="H48" s="19"/>
      <c r="I48" s="19"/>
      <c r="J48" s="19"/>
      <c r="K48" s="19"/>
      <c r="L48" s="19"/>
      <c r="M48" s="1"/>
      <c r="N48" s="19"/>
      <c r="P48" s="2"/>
      <c r="Q48" s="2"/>
      <c r="R48" s="2"/>
      <c r="S48" s="368"/>
      <c r="T48" s="2"/>
      <c r="U48" s="2"/>
    </row>
    <row r="49" spans="1:21" ht="12.95" customHeight="1">
      <c r="A49" s="1"/>
      <c r="B49" s="1"/>
      <c r="C49" s="1"/>
      <c r="D49" s="19"/>
      <c r="E49" s="19"/>
      <c r="F49" s="19"/>
      <c r="G49" s="19"/>
      <c r="H49" s="19"/>
      <c r="I49" s="19"/>
      <c r="J49" s="19"/>
      <c r="K49" s="19"/>
      <c r="L49" s="19"/>
      <c r="M49" s="1"/>
      <c r="N49" s="19"/>
      <c r="P49" s="2"/>
      <c r="Q49" s="2"/>
      <c r="R49" s="2"/>
      <c r="S49" s="368"/>
      <c r="T49" s="2"/>
      <c r="U49" s="2"/>
    </row>
    <row r="50" spans="1:21" ht="12.95" customHeight="1">
      <c r="A50" s="1"/>
      <c r="B50" s="1"/>
      <c r="C50" s="1"/>
      <c r="D50" s="19"/>
      <c r="E50" s="19"/>
      <c r="F50" s="19"/>
      <c r="G50" s="19"/>
      <c r="H50" s="19"/>
      <c r="I50" s="19"/>
      <c r="J50" s="19"/>
      <c r="K50" s="19"/>
      <c r="L50" s="19"/>
      <c r="M50" s="1"/>
      <c r="N50" s="19"/>
      <c r="P50" s="2"/>
      <c r="Q50" s="2"/>
      <c r="R50" s="2"/>
      <c r="S50" s="368"/>
      <c r="T50" s="2"/>
      <c r="U50" s="2"/>
    </row>
    <row r="51" spans="1:21" ht="12.95" customHeight="1">
      <c r="A51" s="1"/>
      <c r="B51" s="1"/>
      <c r="C51" s="1"/>
      <c r="D51" s="19"/>
      <c r="E51" s="19"/>
      <c r="F51" s="19"/>
      <c r="G51" s="19"/>
      <c r="H51" s="19"/>
      <c r="I51" s="19"/>
      <c r="J51" s="19"/>
      <c r="K51" s="19"/>
      <c r="L51" s="19"/>
      <c r="M51" s="1"/>
      <c r="N51" s="19"/>
      <c r="P51" s="2"/>
      <c r="Q51" s="2"/>
      <c r="R51" s="2"/>
      <c r="S51" s="368"/>
      <c r="T51" s="2"/>
      <c r="U51" s="2"/>
    </row>
    <row r="52" spans="1:21" ht="12.95" customHeight="1">
      <c r="A52" s="1"/>
      <c r="B52" s="1"/>
      <c r="C52" s="1"/>
      <c r="D52" s="19"/>
      <c r="E52" s="19"/>
      <c r="F52" s="19"/>
      <c r="G52" s="19"/>
      <c r="H52" s="19"/>
      <c r="I52" s="19"/>
      <c r="J52" s="19"/>
      <c r="K52" s="19"/>
      <c r="L52" s="19"/>
      <c r="M52" s="1"/>
      <c r="N52" s="19"/>
      <c r="P52" s="2"/>
      <c r="Q52" s="2"/>
      <c r="R52" s="2"/>
      <c r="S52" s="368"/>
      <c r="T52" s="2"/>
      <c r="U52" s="2"/>
    </row>
    <row r="53" spans="1:21" ht="12.95" customHeight="1">
      <c r="A53" s="1"/>
      <c r="B53" s="1"/>
      <c r="C53" s="1"/>
      <c r="D53" s="19"/>
      <c r="E53" s="19"/>
      <c r="F53" s="19"/>
      <c r="G53" s="19"/>
      <c r="H53" s="19"/>
      <c r="I53" s="19"/>
      <c r="J53" s="19"/>
      <c r="K53" s="19"/>
      <c r="L53" s="19"/>
      <c r="M53" s="1"/>
      <c r="N53" s="19"/>
      <c r="P53" s="2"/>
      <c r="Q53" s="2"/>
      <c r="R53" s="2"/>
      <c r="S53" s="368"/>
      <c r="T53" s="2"/>
      <c r="U53" s="2"/>
    </row>
    <row r="54" spans="1:21" ht="12.95" customHeight="1">
      <c r="A54" s="1"/>
      <c r="B54" s="1"/>
      <c r="C54" s="1"/>
      <c r="D54" s="19"/>
      <c r="E54" s="19"/>
      <c r="F54" s="19"/>
      <c r="G54" s="19"/>
      <c r="H54" s="19"/>
      <c r="I54" s="19"/>
      <c r="J54" s="19"/>
      <c r="K54" s="19"/>
      <c r="L54" s="19"/>
      <c r="M54" s="1"/>
      <c r="N54" s="19"/>
      <c r="P54" s="2"/>
      <c r="Q54" s="2"/>
      <c r="R54" s="2"/>
      <c r="S54" s="368"/>
      <c r="T54" s="2"/>
      <c r="U54" s="2"/>
    </row>
    <row r="55" spans="1:21" ht="12.95" customHeight="1">
      <c r="A55" s="1"/>
      <c r="B55" s="1"/>
      <c r="C55" s="1"/>
      <c r="D55" s="19"/>
      <c r="E55" s="19"/>
      <c r="F55" s="19"/>
      <c r="G55" s="19"/>
      <c r="H55" s="19"/>
      <c r="I55" s="19"/>
      <c r="J55" s="19"/>
      <c r="K55" s="19"/>
      <c r="L55" s="19"/>
      <c r="M55" s="1"/>
      <c r="N55" s="19"/>
      <c r="P55" s="2"/>
      <c r="Q55" s="2"/>
      <c r="R55" s="2"/>
      <c r="S55" s="368"/>
      <c r="T55" s="2"/>
      <c r="U55" s="2"/>
    </row>
    <row r="56" spans="1:21" ht="12.95" customHeight="1">
      <c r="A56" s="1"/>
      <c r="B56" s="1"/>
      <c r="C56" s="1"/>
      <c r="D56" s="19"/>
      <c r="E56" s="19"/>
      <c r="F56" s="19"/>
      <c r="G56" s="19"/>
      <c r="H56" s="19"/>
      <c r="I56" s="19"/>
      <c r="J56" s="19"/>
      <c r="K56" s="19"/>
      <c r="L56" s="19"/>
      <c r="M56" s="1"/>
      <c r="N56" s="19"/>
      <c r="P56" s="2"/>
      <c r="Q56" s="2"/>
      <c r="R56" s="2"/>
      <c r="S56" s="368"/>
      <c r="T56" s="2"/>
      <c r="U56" s="2"/>
    </row>
    <row r="57" spans="1:21" ht="12.95" customHeight="1">
      <c r="A57" s="1"/>
      <c r="B57" s="1"/>
      <c r="C57" s="1"/>
      <c r="D57" s="19"/>
      <c r="E57" s="19"/>
      <c r="F57" s="19"/>
      <c r="G57" s="19"/>
      <c r="H57" s="19"/>
      <c r="I57" s="19"/>
      <c r="J57" s="19"/>
      <c r="K57" s="19"/>
      <c r="L57" s="19"/>
      <c r="M57" s="1"/>
      <c r="N57" s="19"/>
      <c r="P57" s="2"/>
      <c r="Q57" s="2"/>
      <c r="R57" s="2"/>
      <c r="S57" s="368"/>
      <c r="T57" s="2"/>
      <c r="U57" s="2"/>
    </row>
    <row r="58" spans="1:21" ht="12.95" customHeight="1">
      <c r="A58" s="1"/>
      <c r="B58" s="1"/>
      <c r="C58" s="1"/>
      <c r="D58" s="19"/>
      <c r="E58" s="19"/>
      <c r="F58" s="19"/>
      <c r="G58" s="19"/>
      <c r="H58" s="19"/>
      <c r="I58" s="19"/>
      <c r="J58" s="19"/>
      <c r="K58" s="19"/>
      <c r="L58" s="19"/>
      <c r="M58" s="1"/>
      <c r="N58" s="19"/>
      <c r="P58" s="2"/>
      <c r="Q58" s="2"/>
      <c r="R58" s="2"/>
      <c r="S58" s="368"/>
      <c r="T58" s="2"/>
      <c r="U58" s="2"/>
    </row>
    <row r="59" spans="1:21" ht="12.95" customHeight="1">
      <c r="A59" s="1"/>
      <c r="B59" s="1"/>
      <c r="C59" s="1"/>
      <c r="D59" s="19"/>
      <c r="E59" s="19"/>
      <c r="F59" s="19"/>
      <c r="G59" s="19"/>
      <c r="H59" s="19"/>
      <c r="I59" s="19"/>
      <c r="J59" s="19"/>
      <c r="K59" s="19"/>
      <c r="L59" s="19"/>
      <c r="M59" s="1"/>
      <c r="N59" s="19"/>
      <c r="P59" s="2"/>
      <c r="Q59" s="2"/>
      <c r="R59" s="2"/>
      <c r="S59" s="368"/>
      <c r="T59" s="2"/>
      <c r="U59" s="2"/>
    </row>
    <row r="60" spans="1:21" ht="12.95" customHeight="1">
      <c r="A60" s="1"/>
      <c r="B60" s="1"/>
      <c r="C60" s="1"/>
      <c r="D60" s="19"/>
      <c r="E60" s="19"/>
      <c r="F60" s="19"/>
      <c r="G60" s="19"/>
      <c r="H60" s="19"/>
      <c r="I60" s="19"/>
      <c r="J60" s="19"/>
      <c r="K60" s="19"/>
      <c r="L60" s="19"/>
      <c r="M60" s="1"/>
      <c r="N60" s="19"/>
      <c r="P60" s="2"/>
      <c r="Q60" s="2"/>
      <c r="R60" s="2"/>
      <c r="S60" s="368"/>
      <c r="T60" s="2"/>
      <c r="U60" s="2"/>
    </row>
    <row r="61" spans="1:21" ht="12.95" customHeight="1">
      <c r="A61" s="1"/>
      <c r="B61" s="1"/>
      <c r="C61" s="1"/>
      <c r="D61" s="19"/>
      <c r="E61" s="19"/>
      <c r="F61" s="19"/>
      <c r="G61" s="19"/>
      <c r="H61" s="19"/>
      <c r="I61" s="19"/>
      <c r="J61" s="19"/>
      <c r="K61" s="19"/>
      <c r="L61" s="19"/>
      <c r="M61" s="1"/>
      <c r="N61" s="19"/>
      <c r="P61" s="2"/>
      <c r="Q61" s="2"/>
      <c r="R61" s="2"/>
      <c r="S61" s="368"/>
      <c r="T61" s="2"/>
      <c r="U61" s="2"/>
    </row>
    <row r="62" spans="1:21" ht="12.95" customHeight="1">
      <c r="A62" s="1"/>
      <c r="B62" s="1"/>
      <c r="C62" s="1"/>
      <c r="D62" s="19"/>
      <c r="E62" s="19"/>
      <c r="F62" s="19"/>
      <c r="G62" s="19"/>
      <c r="H62" s="19"/>
      <c r="I62" s="19"/>
      <c r="J62" s="19"/>
      <c r="K62" s="19"/>
      <c r="L62" s="19"/>
      <c r="M62" s="1"/>
      <c r="N62" s="19"/>
      <c r="P62" s="2"/>
      <c r="Q62" s="2"/>
      <c r="R62" s="2"/>
      <c r="S62" s="368"/>
      <c r="T62" s="2"/>
      <c r="U62" s="2"/>
    </row>
    <row r="63" spans="1:21" ht="12.95" customHeight="1">
      <c r="A63" s="1"/>
      <c r="B63" s="1"/>
      <c r="C63" s="1"/>
      <c r="D63" s="19"/>
      <c r="E63" s="19"/>
      <c r="F63" s="19"/>
      <c r="G63" s="19"/>
      <c r="H63" s="19"/>
      <c r="I63" s="19"/>
      <c r="J63" s="19"/>
      <c r="K63" s="19"/>
      <c r="L63" s="19"/>
      <c r="M63" s="1"/>
      <c r="N63" s="19"/>
      <c r="P63" s="2"/>
      <c r="Q63" s="2"/>
      <c r="R63" s="2"/>
      <c r="S63" s="368"/>
      <c r="T63" s="2"/>
      <c r="U63" s="2"/>
    </row>
    <row r="64" spans="1:21" ht="12.95" customHeight="1">
      <c r="A64" s="1"/>
      <c r="B64" s="1"/>
      <c r="C64" s="1"/>
      <c r="D64" s="19"/>
      <c r="E64" s="19"/>
      <c r="F64" s="19"/>
      <c r="G64" s="19"/>
      <c r="H64" s="19"/>
      <c r="I64" s="19"/>
      <c r="J64" s="19"/>
      <c r="K64" s="19"/>
      <c r="L64" s="19"/>
      <c r="M64" s="1"/>
      <c r="N64" s="19"/>
      <c r="P64" s="2"/>
      <c r="Q64" s="2"/>
      <c r="R64" s="2"/>
      <c r="S64" s="368"/>
      <c r="T64" s="2"/>
      <c r="U64" s="2"/>
    </row>
    <row r="65" spans="1:21" ht="12.95" customHeight="1">
      <c r="A65" s="1"/>
      <c r="B65" s="1"/>
      <c r="C65" s="1"/>
      <c r="D65" s="19"/>
      <c r="E65" s="19"/>
      <c r="F65" s="19"/>
      <c r="G65" s="19"/>
      <c r="H65" s="19"/>
      <c r="I65" s="19"/>
      <c r="J65" s="19"/>
      <c r="K65" s="19"/>
      <c r="L65" s="19"/>
      <c r="M65" s="1"/>
      <c r="N65" s="19"/>
      <c r="P65" s="2"/>
      <c r="Q65" s="2"/>
      <c r="R65" s="2"/>
      <c r="S65" s="368"/>
      <c r="T65" s="2"/>
      <c r="U65" s="2"/>
    </row>
    <row r="66" spans="1:21" ht="12.95" customHeight="1">
      <c r="A66" s="1"/>
      <c r="B66" s="1"/>
      <c r="C66" s="1"/>
      <c r="D66" s="19"/>
      <c r="E66" s="19"/>
      <c r="F66" s="19"/>
      <c r="G66" s="19"/>
      <c r="H66" s="19"/>
      <c r="I66" s="19"/>
      <c r="J66" s="19"/>
      <c r="K66" s="19"/>
      <c r="L66" s="19"/>
      <c r="M66" s="1"/>
      <c r="N66" s="19"/>
      <c r="P66" s="2"/>
      <c r="Q66" s="2"/>
      <c r="R66" s="2"/>
      <c r="S66" s="368"/>
      <c r="T66" s="2"/>
      <c r="U66" s="2"/>
    </row>
    <row r="67" spans="1:21" ht="12.95" customHeight="1">
      <c r="A67" s="1"/>
      <c r="B67" s="1"/>
      <c r="C67" s="1"/>
      <c r="D67" s="19"/>
      <c r="E67" s="19"/>
      <c r="F67" s="19"/>
      <c r="G67" s="19"/>
      <c r="H67" s="19"/>
      <c r="I67" s="19"/>
      <c r="J67" s="19"/>
      <c r="K67" s="19"/>
      <c r="L67" s="19"/>
      <c r="M67" s="1"/>
      <c r="N67" s="19"/>
      <c r="P67" s="2"/>
      <c r="Q67" s="2"/>
      <c r="R67" s="2"/>
      <c r="S67" s="368"/>
      <c r="T67" s="2"/>
      <c r="U67" s="2"/>
    </row>
    <row r="68" spans="1:21" ht="12.95" customHeight="1">
      <c r="A68" s="1"/>
      <c r="B68" s="1"/>
      <c r="C68" s="1"/>
      <c r="D68" s="19"/>
      <c r="E68" s="19"/>
      <c r="F68" s="19"/>
      <c r="G68" s="19"/>
      <c r="H68" s="19"/>
      <c r="I68" s="19"/>
      <c r="J68" s="19"/>
      <c r="K68" s="19"/>
      <c r="L68" s="19"/>
      <c r="M68" s="1"/>
      <c r="N68" s="19"/>
      <c r="P68" s="2"/>
      <c r="Q68" s="2"/>
      <c r="R68" s="2"/>
      <c r="S68" s="368"/>
      <c r="T68" s="2"/>
      <c r="U68" s="2"/>
    </row>
    <row r="69" spans="1:21" ht="12.95" customHeight="1">
      <c r="A69" s="1"/>
      <c r="B69" s="1"/>
      <c r="C69" s="1"/>
      <c r="D69" s="19"/>
      <c r="E69" s="19"/>
      <c r="F69" s="19"/>
      <c r="G69" s="19"/>
      <c r="H69" s="19"/>
      <c r="I69" s="19"/>
      <c r="J69" s="19"/>
      <c r="K69" s="19"/>
      <c r="L69" s="19"/>
      <c r="M69" s="1"/>
      <c r="N69" s="19"/>
      <c r="P69" s="2"/>
      <c r="Q69" s="2"/>
      <c r="R69" s="2"/>
      <c r="S69" s="368"/>
      <c r="T69" s="2"/>
      <c r="U69" s="2"/>
    </row>
    <row r="70" spans="1:21" ht="12.95" customHeight="1">
      <c r="A70" s="1"/>
      <c r="B70" s="1"/>
      <c r="C70" s="1"/>
      <c r="D70" s="19"/>
      <c r="E70" s="19"/>
      <c r="F70" s="19"/>
      <c r="G70" s="19"/>
      <c r="H70" s="19"/>
      <c r="I70" s="19"/>
      <c r="J70" s="19"/>
      <c r="K70" s="19"/>
      <c r="L70" s="19"/>
      <c r="M70" s="1"/>
      <c r="N70" s="19"/>
      <c r="P70" s="2"/>
      <c r="Q70" s="2"/>
      <c r="R70" s="2"/>
      <c r="S70" s="368"/>
      <c r="T70" s="2"/>
      <c r="U70" s="2"/>
    </row>
    <row r="71" spans="1:21" ht="12.95" customHeight="1">
      <c r="A71" s="1"/>
      <c r="B71" s="1"/>
      <c r="C71" s="1"/>
      <c r="D71" s="19"/>
      <c r="E71" s="19"/>
      <c r="F71" s="19"/>
      <c r="G71" s="19"/>
      <c r="H71" s="19"/>
      <c r="I71" s="19"/>
      <c r="J71" s="19"/>
      <c r="K71" s="19"/>
      <c r="L71" s="19"/>
      <c r="M71" s="1"/>
      <c r="N71" s="19"/>
      <c r="P71" s="2"/>
      <c r="Q71" s="2"/>
      <c r="R71" s="2"/>
      <c r="S71" s="368"/>
      <c r="T71" s="2"/>
      <c r="U71" s="2"/>
    </row>
    <row r="72" spans="1:21" ht="12.95" customHeight="1">
      <c r="A72" s="1"/>
      <c r="B72" s="1"/>
      <c r="C72" s="1"/>
      <c r="D72" s="19"/>
      <c r="E72" s="19"/>
      <c r="F72" s="19"/>
      <c r="G72" s="19"/>
      <c r="H72" s="19"/>
      <c r="I72" s="19"/>
      <c r="J72" s="19"/>
      <c r="K72" s="19"/>
      <c r="L72" s="19"/>
      <c r="M72" s="1"/>
      <c r="N72" s="19"/>
      <c r="P72" s="2"/>
      <c r="Q72" s="2"/>
      <c r="R72" s="2"/>
      <c r="S72" s="368"/>
      <c r="T72" s="2"/>
      <c r="U72" s="2"/>
    </row>
    <row r="73" spans="1:21" ht="12.95" customHeight="1">
      <c r="A73" s="1"/>
      <c r="B73" s="1"/>
      <c r="C73" s="1"/>
      <c r="D73" s="19"/>
      <c r="E73" s="19"/>
      <c r="F73" s="19"/>
      <c r="G73" s="19"/>
      <c r="H73" s="19"/>
      <c r="I73" s="19"/>
      <c r="J73" s="19"/>
      <c r="K73" s="19"/>
      <c r="L73" s="19"/>
      <c r="M73" s="1"/>
      <c r="N73" s="19"/>
      <c r="P73" s="2"/>
      <c r="Q73" s="2"/>
      <c r="R73" s="2"/>
      <c r="S73" s="368"/>
      <c r="T73" s="2"/>
      <c r="U73" s="2"/>
    </row>
    <row r="74" spans="1:21" ht="12.95" customHeight="1">
      <c r="A74" s="1"/>
      <c r="B74" s="1"/>
      <c r="C74" s="1"/>
      <c r="D74" s="19"/>
      <c r="E74" s="19"/>
      <c r="F74" s="19"/>
      <c r="G74" s="19"/>
      <c r="H74" s="19"/>
      <c r="I74" s="19"/>
      <c r="J74" s="19"/>
      <c r="K74" s="19"/>
      <c r="L74" s="19"/>
      <c r="M74" s="1"/>
      <c r="N74" s="19"/>
      <c r="P74" s="2"/>
      <c r="Q74" s="2"/>
      <c r="R74" s="2"/>
      <c r="S74" s="368"/>
      <c r="T74" s="2"/>
      <c r="U74" s="2"/>
    </row>
    <row r="75" spans="1:21" ht="12.95" customHeight="1">
      <c r="A75" s="1"/>
      <c r="B75" s="1"/>
      <c r="C75" s="1"/>
      <c r="D75" s="19"/>
      <c r="E75" s="19"/>
      <c r="F75" s="19"/>
      <c r="G75" s="19"/>
      <c r="H75" s="19"/>
      <c r="I75" s="19"/>
      <c r="J75" s="19"/>
      <c r="K75" s="19"/>
      <c r="L75" s="19"/>
      <c r="M75" s="1"/>
      <c r="N75" s="19"/>
      <c r="P75" s="2"/>
      <c r="Q75" s="2"/>
      <c r="R75" s="2"/>
      <c r="S75" s="368"/>
      <c r="T75" s="2"/>
      <c r="U75" s="2"/>
    </row>
    <row r="76" spans="1:21" ht="12.95" customHeight="1">
      <c r="A76" s="1"/>
      <c r="B76" s="1"/>
      <c r="C76" s="1"/>
      <c r="D76" s="19"/>
      <c r="E76" s="19"/>
      <c r="F76" s="19"/>
      <c r="G76" s="19"/>
      <c r="H76" s="19"/>
      <c r="I76" s="19"/>
      <c r="J76" s="19"/>
      <c r="K76" s="19"/>
      <c r="L76" s="19"/>
      <c r="M76" s="1"/>
      <c r="N76" s="19"/>
      <c r="P76" s="2"/>
      <c r="Q76" s="2"/>
      <c r="R76" s="2"/>
      <c r="S76" s="368"/>
      <c r="T76" s="2"/>
      <c r="U76" s="2"/>
    </row>
    <row r="77" spans="1:21" ht="12.95" customHeight="1">
      <c r="A77" s="1"/>
      <c r="B77" s="1"/>
      <c r="C77" s="1"/>
      <c r="D77" s="19"/>
      <c r="E77" s="19"/>
      <c r="F77" s="19"/>
      <c r="G77" s="19"/>
      <c r="H77" s="19"/>
      <c r="I77" s="19"/>
      <c r="J77" s="19"/>
      <c r="K77" s="19"/>
      <c r="L77" s="19"/>
      <c r="M77" s="1"/>
      <c r="N77" s="19"/>
      <c r="P77" s="2"/>
      <c r="Q77" s="2"/>
      <c r="R77" s="2"/>
      <c r="S77" s="368"/>
      <c r="T77" s="2"/>
      <c r="U77" s="2"/>
    </row>
    <row r="78" spans="1:21" ht="12.95" customHeight="1">
      <c r="A78" s="1"/>
      <c r="B78" s="1"/>
      <c r="C78" s="1"/>
      <c r="D78" s="19"/>
      <c r="E78" s="19"/>
      <c r="F78" s="19"/>
      <c r="G78" s="19"/>
      <c r="H78" s="19"/>
      <c r="I78" s="19"/>
      <c r="J78" s="19"/>
      <c r="K78" s="19"/>
      <c r="L78" s="19"/>
      <c r="M78" s="1"/>
      <c r="N78" s="19"/>
      <c r="P78" s="2"/>
      <c r="Q78" s="2"/>
      <c r="R78" s="2"/>
      <c r="S78" s="368"/>
      <c r="T78" s="2"/>
      <c r="U78" s="2"/>
    </row>
    <row r="79" spans="1:21" ht="12.95" customHeight="1">
      <c r="A79" s="1"/>
      <c r="B79" s="1"/>
      <c r="C79" s="1"/>
      <c r="D79" s="19"/>
      <c r="E79" s="19"/>
      <c r="F79" s="19"/>
      <c r="G79" s="19"/>
      <c r="H79" s="19"/>
      <c r="I79" s="19"/>
      <c r="J79" s="19"/>
      <c r="K79" s="19"/>
      <c r="L79" s="19"/>
      <c r="M79" s="1"/>
      <c r="N79" s="19"/>
      <c r="P79" s="2"/>
      <c r="Q79" s="2"/>
      <c r="R79" s="2"/>
      <c r="S79" s="368"/>
      <c r="T79" s="2"/>
      <c r="U79" s="2"/>
    </row>
    <row r="80" spans="1:21" ht="12.95" customHeight="1">
      <c r="A80" s="1"/>
      <c r="B80" s="1"/>
      <c r="C80" s="1"/>
      <c r="D80" s="19"/>
      <c r="E80" s="19"/>
      <c r="F80" s="19"/>
      <c r="G80" s="19"/>
      <c r="H80" s="19"/>
      <c r="I80" s="19"/>
      <c r="J80" s="19"/>
      <c r="K80" s="19"/>
      <c r="L80" s="19"/>
      <c r="M80" s="1"/>
      <c r="N80" s="19"/>
      <c r="P80" s="2"/>
      <c r="Q80" s="2"/>
      <c r="R80" s="2"/>
      <c r="S80" s="368"/>
      <c r="T80" s="2"/>
      <c r="U80" s="2"/>
    </row>
    <row r="81" spans="1:21" ht="12.95" customHeight="1">
      <c r="A81" s="1"/>
      <c r="B81" s="1"/>
      <c r="C81" s="1"/>
      <c r="D81" s="19"/>
      <c r="E81" s="19"/>
      <c r="F81" s="19"/>
      <c r="G81" s="19"/>
      <c r="H81" s="19"/>
      <c r="I81" s="19"/>
      <c r="J81" s="19"/>
      <c r="K81" s="19"/>
      <c r="L81" s="19"/>
      <c r="M81" s="1"/>
      <c r="N81" s="19"/>
      <c r="P81" s="2"/>
      <c r="Q81" s="2"/>
      <c r="R81" s="2"/>
      <c r="S81" s="368"/>
      <c r="T81" s="2"/>
      <c r="U81" s="2"/>
    </row>
    <row r="82" spans="1:21" ht="12.95" customHeight="1">
      <c r="A82" s="1"/>
      <c r="B82" s="1"/>
      <c r="C82" s="1"/>
      <c r="D82" s="19"/>
      <c r="E82" s="19"/>
      <c r="F82" s="19"/>
      <c r="G82" s="19"/>
      <c r="H82" s="19"/>
      <c r="I82" s="19"/>
      <c r="J82" s="19"/>
      <c r="K82" s="19"/>
      <c r="L82" s="19"/>
      <c r="M82" s="1"/>
      <c r="N82" s="19"/>
      <c r="P82" s="2"/>
      <c r="Q82" s="2"/>
      <c r="R82" s="2"/>
      <c r="S82" s="368"/>
      <c r="T82" s="2"/>
      <c r="U82" s="2"/>
    </row>
    <row r="83" spans="1:21" ht="12.95" customHeight="1">
      <c r="A83" s="1"/>
      <c r="B83" s="1"/>
      <c r="C83" s="1"/>
      <c r="D83" s="19"/>
      <c r="E83" s="19"/>
      <c r="F83" s="19"/>
      <c r="G83" s="19"/>
      <c r="H83" s="19"/>
      <c r="I83" s="19"/>
      <c r="J83" s="19"/>
      <c r="K83" s="19"/>
      <c r="L83" s="19"/>
      <c r="M83" s="1"/>
      <c r="N83" s="19"/>
      <c r="P83" s="2"/>
      <c r="Q83" s="2"/>
      <c r="R83" s="2"/>
      <c r="S83" s="368"/>
      <c r="T83" s="2"/>
      <c r="U83" s="2"/>
    </row>
    <row r="84" spans="1:21" ht="12.95" customHeight="1">
      <c r="A84" s="1"/>
      <c r="B84" s="1"/>
      <c r="C84" s="1"/>
      <c r="D84" s="19"/>
      <c r="E84" s="19"/>
      <c r="F84" s="19"/>
      <c r="G84" s="19"/>
      <c r="H84" s="19"/>
      <c r="I84" s="19"/>
      <c r="J84" s="19"/>
      <c r="K84" s="19"/>
      <c r="L84" s="19"/>
      <c r="M84" s="1"/>
      <c r="N84" s="19"/>
      <c r="P84" s="2"/>
      <c r="Q84" s="2"/>
      <c r="R84" s="2"/>
      <c r="S84" s="368"/>
      <c r="T84" s="2"/>
      <c r="U84" s="2"/>
    </row>
    <row r="85" spans="1:21" ht="12.95" customHeight="1">
      <c r="A85" s="1"/>
      <c r="B85" s="1"/>
      <c r="C85" s="1"/>
      <c r="D85" s="19"/>
      <c r="E85" s="19"/>
      <c r="F85" s="19"/>
      <c r="G85" s="19"/>
      <c r="H85" s="19"/>
      <c r="I85" s="19"/>
      <c r="J85" s="19"/>
      <c r="K85" s="19"/>
      <c r="L85" s="19"/>
      <c r="M85" s="1"/>
      <c r="N85" s="19"/>
      <c r="P85" s="2"/>
      <c r="Q85" s="2"/>
      <c r="R85" s="2"/>
      <c r="S85" s="368"/>
      <c r="T85" s="2"/>
      <c r="U85" s="2"/>
    </row>
    <row r="86" spans="1:21" ht="12.95" customHeight="1">
      <c r="A86" s="1"/>
      <c r="B86" s="1"/>
      <c r="C86" s="1"/>
      <c r="D86" s="19"/>
      <c r="E86" s="19"/>
      <c r="F86" s="19"/>
      <c r="G86" s="19"/>
      <c r="H86" s="19"/>
      <c r="I86" s="19"/>
      <c r="J86" s="19"/>
      <c r="K86" s="19"/>
      <c r="L86" s="19"/>
      <c r="M86" s="1"/>
      <c r="N86" s="19"/>
      <c r="P86" s="2"/>
      <c r="Q86" s="2"/>
      <c r="R86" s="2"/>
      <c r="S86" s="368"/>
      <c r="T86" s="2"/>
      <c r="U86" s="2"/>
    </row>
    <row r="87" spans="1:21" ht="12.95" customHeight="1">
      <c r="A87" s="1"/>
      <c r="B87" s="1"/>
      <c r="C87" s="1"/>
      <c r="D87" s="19"/>
      <c r="E87" s="19"/>
      <c r="F87" s="19"/>
      <c r="G87" s="19"/>
      <c r="H87" s="19"/>
      <c r="I87" s="19"/>
      <c r="J87" s="19"/>
      <c r="K87" s="19"/>
      <c r="L87" s="19"/>
      <c r="M87" s="1"/>
      <c r="N87" s="19"/>
      <c r="P87" s="2"/>
      <c r="Q87" s="2"/>
      <c r="R87" s="2"/>
      <c r="S87" s="368"/>
      <c r="T87" s="2"/>
      <c r="U87" s="2"/>
    </row>
    <row r="88" spans="1:21" ht="12.95" customHeight="1">
      <c r="A88" s="1"/>
      <c r="B88" s="1"/>
      <c r="C88" s="1"/>
      <c r="D88" s="19"/>
      <c r="E88" s="19"/>
      <c r="F88" s="19"/>
      <c r="G88" s="19"/>
      <c r="H88" s="19"/>
      <c r="I88" s="19"/>
      <c r="J88" s="19"/>
      <c r="K88" s="19"/>
      <c r="L88" s="19"/>
      <c r="M88" s="1"/>
      <c r="N88" s="19"/>
      <c r="P88" s="2"/>
      <c r="Q88" s="2"/>
      <c r="R88" s="2"/>
      <c r="S88" s="368"/>
      <c r="T88" s="2"/>
      <c r="U88" s="2"/>
    </row>
    <row r="89" spans="1:21" ht="12.95" customHeight="1">
      <c r="A89" s="1"/>
      <c r="B89" s="1"/>
      <c r="C89" s="1"/>
      <c r="D89" s="19"/>
      <c r="E89" s="19"/>
      <c r="F89" s="19"/>
      <c r="G89" s="19"/>
      <c r="H89" s="19"/>
      <c r="I89" s="19"/>
      <c r="J89" s="19"/>
      <c r="K89" s="19"/>
      <c r="L89" s="19"/>
      <c r="M89" s="1"/>
      <c r="N89" s="19"/>
      <c r="P89" s="2"/>
      <c r="Q89" s="2"/>
      <c r="R89" s="2"/>
      <c r="S89" s="368"/>
      <c r="T89" s="2"/>
      <c r="U89" s="2"/>
    </row>
    <row r="90" spans="1:21" ht="12.95" customHeight="1">
      <c r="A90" s="1"/>
      <c r="B90" s="1"/>
      <c r="C90" s="1"/>
      <c r="D90" s="19"/>
      <c r="E90" s="19"/>
      <c r="F90" s="19"/>
      <c r="G90" s="19"/>
      <c r="H90" s="19"/>
      <c r="I90" s="19"/>
      <c r="J90" s="19"/>
      <c r="K90" s="19"/>
      <c r="L90" s="19"/>
      <c r="M90" s="1"/>
      <c r="N90" s="19"/>
      <c r="P90" s="2"/>
      <c r="Q90" s="2"/>
      <c r="R90" s="2"/>
      <c r="S90" s="368"/>
      <c r="T90" s="2"/>
      <c r="U90" s="2"/>
    </row>
    <row r="91" spans="1:21" ht="12.95" customHeight="1">
      <c r="A91" s="1"/>
      <c r="B91" s="1"/>
      <c r="C91" s="1"/>
      <c r="D91" s="19"/>
      <c r="E91" s="19"/>
      <c r="F91" s="19"/>
      <c r="G91" s="19"/>
      <c r="H91" s="19"/>
      <c r="I91" s="19"/>
      <c r="J91" s="19"/>
      <c r="K91" s="19"/>
      <c r="L91" s="19"/>
      <c r="M91" s="1"/>
      <c r="N91" s="19"/>
      <c r="P91" s="2"/>
      <c r="Q91" s="2"/>
      <c r="R91" s="2"/>
      <c r="S91" s="368"/>
      <c r="T91" s="2"/>
      <c r="U91" s="2"/>
    </row>
    <row r="92" spans="1:21" ht="12.95" customHeight="1">
      <c r="A92" s="1"/>
      <c r="B92" s="1"/>
      <c r="C92" s="1"/>
      <c r="D92" s="19"/>
      <c r="E92" s="19"/>
      <c r="F92" s="19"/>
      <c r="G92" s="19"/>
      <c r="H92" s="19"/>
      <c r="I92" s="19"/>
      <c r="J92" s="19"/>
      <c r="K92" s="19"/>
      <c r="L92" s="19"/>
      <c r="M92" s="1"/>
      <c r="N92" s="19"/>
      <c r="P92" s="2"/>
      <c r="Q92" s="2"/>
      <c r="R92" s="2"/>
      <c r="S92" s="368"/>
      <c r="T92" s="2"/>
      <c r="U92" s="2"/>
    </row>
    <row r="93" spans="1:21" ht="12.95" customHeight="1">
      <c r="A93" s="1"/>
      <c r="B93" s="1"/>
      <c r="C93" s="1"/>
      <c r="D93" s="19"/>
      <c r="E93" s="19"/>
      <c r="F93" s="19"/>
      <c r="G93" s="19"/>
      <c r="H93" s="19"/>
      <c r="I93" s="19"/>
      <c r="J93" s="19"/>
      <c r="K93" s="19"/>
      <c r="L93" s="19"/>
      <c r="M93" s="1"/>
      <c r="N93" s="19"/>
      <c r="P93" s="2"/>
      <c r="Q93" s="2"/>
      <c r="R93" s="2"/>
      <c r="S93" s="368"/>
      <c r="T93" s="2"/>
      <c r="U93" s="2"/>
    </row>
    <row r="94" spans="1:21" ht="12.95" customHeight="1">
      <c r="A94" s="1"/>
      <c r="B94" s="1"/>
      <c r="C94" s="1"/>
      <c r="D94" s="19"/>
      <c r="E94" s="19"/>
      <c r="F94" s="19"/>
      <c r="G94" s="19"/>
      <c r="H94" s="19"/>
      <c r="I94" s="19"/>
      <c r="J94" s="19"/>
      <c r="K94" s="19"/>
      <c r="L94" s="19"/>
      <c r="M94" s="1"/>
      <c r="N94" s="19"/>
      <c r="P94" s="2"/>
      <c r="Q94" s="2"/>
      <c r="R94" s="2"/>
      <c r="S94" s="368"/>
      <c r="T94" s="2"/>
      <c r="U94" s="2"/>
    </row>
    <row r="95" spans="1:21" ht="12.95" customHeight="1">
      <c r="A95" s="1"/>
      <c r="B95" s="1"/>
      <c r="C95" s="1"/>
      <c r="D95" s="19"/>
      <c r="E95" s="19"/>
      <c r="F95" s="19"/>
      <c r="G95" s="19"/>
      <c r="H95" s="19"/>
      <c r="I95" s="19"/>
      <c r="J95" s="19"/>
      <c r="K95" s="19"/>
      <c r="L95" s="19"/>
      <c r="M95" s="1"/>
      <c r="N95" s="19"/>
      <c r="P95" s="2"/>
      <c r="Q95" s="2"/>
      <c r="R95" s="2"/>
      <c r="S95" s="368"/>
      <c r="T95" s="2"/>
      <c r="U95" s="2"/>
    </row>
    <row r="96" spans="1:21" ht="12.95" customHeight="1">
      <c r="A96" s="1"/>
      <c r="B96" s="1"/>
      <c r="C96" s="1"/>
      <c r="D96" s="19"/>
      <c r="E96" s="19"/>
      <c r="F96" s="19"/>
      <c r="G96" s="19"/>
      <c r="H96" s="19"/>
      <c r="I96" s="19"/>
      <c r="J96" s="19"/>
      <c r="K96" s="19"/>
      <c r="L96" s="19"/>
      <c r="M96" s="1"/>
      <c r="N96" s="19"/>
      <c r="P96" s="2"/>
      <c r="Q96" s="2"/>
      <c r="R96" s="2"/>
      <c r="S96" s="368"/>
      <c r="T96" s="2"/>
      <c r="U96" s="2"/>
    </row>
    <row r="97" spans="1:21" ht="12.95" customHeight="1">
      <c r="A97" s="1"/>
      <c r="B97" s="1"/>
      <c r="C97" s="1"/>
      <c r="D97" s="19"/>
      <c r="E97" s="19"/>
      <c r="F97" s="19"/>
      <c r="G97" s="19"/>
      <c r="H97" s="19"/>
      <c r="I97" s="19"/>
      <c r="J97" s="19"/>
      <c r="K97" s="19"/>
      <c r="L97" s="19"/>
      <c r="M97" s="1"/>
      <c r="N97" s="19"/>
      <c r="P97" s="2"/>
      <c r="Q97" s="2"/>
      <c r="R97" s="2"/>
      <c r="S97" s="368"/>
      <c r="T97" s="2"/>
      <c r="U97" s="2"/>
    </row>
    <row r="98" spans="1:21" ht="12.95" customHeight="1">
      <c r="A98" s="1"/>
      <c r="B98" s="1"/>
      <c r="C98" s="1"/>
      <c r="D98" s="19"/>
      <c r="E98" s="19"/>
      <c r="F98" s="19"/>
      <c r="G98" s="19"/>
      <c r="H98" s="19"/>
      <c r="I98" s="19"/>
      <c r="J98" s="19"/>
      <c r="K98" s="19"/>
      <c r="L98" s="19"/>
      <c r="M98" s="1"/>
      <c r="N98" s="19"/>
      <c r="P98" s="2"/>
      <c r="Q98" s="2"/>
      <c r="R98" s="2"/>
      <c r="S98" s="368"/>
      <c r="T98" s="2"/>
      <c r="U98" s="2"/>
    </row>
    <row r="99" spans="1:21" ht="12.95" customHeight="1">
      <c r="A99" s="1"/>
      <c r="B99" s="1"/>
      <c r="C99" s="1"/>
      <c r="D99" s="19"/>
      <c r="E99" s="19"/>
      <c r="F99" s="19"/>
      <c r="G99" s="19"/>
      <c r="H99" s="19"/>
      <c r="I99" s="19"/>
      <c r="J99" s="19"/>
      <c r="K99" s="19"/>
      <c r="L99" s="19"/>
      <c r="M99" s="1"/>
      <c r="N99" s="19"/>
      <c r="P99" s="2"/>
      <c r="Q99" s="2"/>
      <c r="R99" s="2"/>
      <c r="S99" s="368"/>
      <c r="T99" s="2"/>
      <c r="U99" s="2"/>
    </row>
    <row r="100" spans="1:21" ht="12.95" customHeight="1">
      <c r="A100" s="1"/>
      <c r="B100" s="1"/>
      <c r="C100" s="1"/>
      <c r="D100" s="19"/>
      <c r="E100" s="19"/>
      <c r="F100" s="19"/>
      <c r="G100" s="19"/>
      <c r="H100" s="19"/>
      <c r="I100" s="19"/>
      <c r="J100" s="19"/>
      <c r="K100" s="19"/>
      <c r="L100" s="19"/>
      <c r="M100" s="1"/>
      <c r="N100" s="19"/>
      <c r="P100" s="2"/>
      <c r="Q100" s="2"/>
      <c r="R100" s="2"/>
      <c r="S100" s="368"/>
      <c r="T100" s="2"/>
      <c r="U100" s="2"/>
    </row>
    <row r="101" spans="1:21" ht="12.95" customHeight="1">
      <c r="A101" s="1"/>
      <c r="B101" s="1"/>
      <c r="C101" s="1"/>
      <c r="D101" s="19"/>
      <c r="E101" s="19"/>
      <c r="F101" s="19"/>
      <c r="G101" s="19"/>
      <c r="H101" s="19"/>
      <c r="I101" s="19"/>
      <c r="J101" s="19"/>
      <c r="K101" s="19"/>
      <c r="L101" s="19"/>
      <c r="M101" s="1"/>
      <c r="N101" s="19"/>
      <c r="P101" s="2"/>
      <c r="Q101" s="2"/>
      <c r="R101" s="2"/>
      <c r="S101" s="368"/>
      <c r="T101" s="2"/>
      <c r="U101" s="2"/>
    </row>
    <row r="102" spans="1:21" ht="12.95" customHeight="1">
      <c r="A102" s="1"/>
      <c r="B102" s="1"/>
      <c r="C102" s="1"/>
      <c r="D102" s="19"/>
      <c r="E102" s="19"/>
      <c r="F102" s="19"/>
      <c r="G102" s="19"/>
      <c r="H102" s="19"/>
      <c r="I102" s="19"/>
      <c r="J102" s="19"/>
      <c r="K102" s="19"/>
      <c r="L102" s="19"/>
      <c r="M102" s="1"/>
      <c r="N102" s="19"/>
      <c r="P102" s="2"/>
      <c r="Q102" s="2"/>
      <c r="R102" s="2"/>
      <c r="S102" s="368"/>
      <c r="T102" s="2"/>
      <c r="U102" s="2"/>
    </row>
    <row r="103" spans="1:21" ht="12.95" customHeight="1">
      <c r="A103" s="1"/>
      <c r="B103" s="1"/>
      <c r="C103" s="1"/>
      <c r="D103" s="19"/>
      <c r="E103" s="19"/>
      <c r="F103" s="19"/>
      <c r="G103" s="19"/>
      <c r="H103" s="19"/>
      <c r="I103" s="19"/>
      <c r="J103" s="19"/>
      <c r="K103" s="19"/>
      <c r="L103" s="19"/>
      <c r="M103" s="1"/>
      <c r="N103" s="19"/>
      <c r="P103" s="2"/>
      <c r="Q103" s="2"/>
      <c r="R103" s="2"/>
      <c r="S103" s="368"/>
      <c r="T103" s="2"/>
      <c r="U103" s="2"/>
    </row>
    <row r="104" spans="1:21" ht="12.95" customHeight="1">
      <c r="A104" s="1"/>
      <c r="B104" s="1"/>
      <c r="C104" s="1"/>
      <c r="D104" s="19"/>
      <c r="E104" s="19"/>
      <c r="F104" s="19"/>
      <c r="G104" s="19"/>
      <c r="H104" s="19"/>
      <c r="I104" s="19"/>
      <c r="J104" s="19"/>
      <c r="K104" s="19"/>
      <c r="L104" s="19"/>
      <c r="M104" s="1"/>
      <c r="N104" s="19"/>
      <c r="P104" s="2"/>
      <c r="Q104" s="2"/>
      <c r="R104" s="2"/>
      <c r="S104" s="368"/>
      <c r="T104" s="2"/>
      <c r="U104" s="2"/>
    </row>
    <row r="105" spans="1:21" ht="12.95" customHeight="1">
      <c r="A105" s="1"/>
      <c r="B105" s="1"/>
      <c r="C105" s="1"/>
      <c r="D105" s="19"/>
      <c r="E105" s="19"/>
      <c r="F105" s="19"/>
      <c r="G105" s="19"/>
      <c r="H105" s="19"/>
      <c r="I105" s="19"/>
      <c r="J105" s="19"/>
      <c r="K105" s="19"/>
      <c r="L105" s="19"/>
      <c r="M105" s="1"/>
      <c r="N105" s="19"/>
      <c r="P105" s="2"/>
      <c r="Q105" s="2"/>
      <c r="R105" s="2"/>
      <c r="S105" s="368"/>
      <c r="T105" s="2"/>
      <c r="U105" s="2"/>
    </row>
    <row r="106" spans="1:21" ht="12.95" customHeight="1">
      <c r="A106" s="1"/>
      <c r="B106" s="1"/>
      <c r="C106" s="1"/>
      <c r="D106" s="19"/>
      <c r="E106" s="19"/>
      <c r="F106" s="19"/>
      <c r="G106" s="19"/>
      <c r="H106" s="19"/>
      <c r="I106" s="19"/>
      <c r="J106" s="19"/>
      <c r="K106" s="19"/>
      <c r="L106" s="19"/>
      <c r="M106" s="1"/>
      <c r="N106" s="19"/>
      <c r="P106" s="2"/>
      <c r="Q106" s="2"/>
      <c r="R106" s="2"/>
      <c r="S106" s="368"/>
      <c r="T106" s="2"/>
      <c r="U106" s="2"/>
    </row>
    <row r="107" spans="1:21" ht="12.95" customHeight="1">
      <c r="A107" s="1"/>
      <c r="B107" s="1"/>
      <c r="C107" s="1"/>
      <c r="D107" s="19"/>
      <c r="E107" s="19"/>
      <c r="F107" s="19"/>
      <c r="G107" s="19"/>
      <c r="H107" s="19"/>
      <c r="I107" s="19"/>
      <c r="J107" s="19"/>
      <c r="K107" s="19"/>
      <c r="L107" s="19"/>
      <c r="M107" s="1"/>
      <c r="N107" s="19"/>
      <c r="P107" s="2"/>
      <c r="Q107" s="2"/>
      <c r="R107" s="2"/>
      <c r="S107" s="368"/>
      <c r="T107" s="2"/>
      <c r="U107" s="2"/>
    </row>
    <row r="108" spans="1:21" ht="12.95" customHeight="1">
      <c r="A108" s="1"/>
      <c r="B108" s="1"/>
      <c r="C108" s="1"/>
      <c r="D108" s="19"/>
      <c r="E108" s="19"/>
      <c r="F108" s="19"/>
      <c r="G108" s="19"/>
      <c r="H108" s="19"/>
      <c r="I108" s="19"/>
      <c r="J108" s="19"/>
      <c r="K108" s="19"/>
      <c r="L108" s="19"/>
      <c r="M108" s="1"/>
      <c r="N108" s="19"/>
      <c r="P108" s="2"/>
      <c r="Q108" s="2"/>
      <c r="R108" s="2"/>
      <c r="S108" s="368"/>
      <c r="T108" s="2"/>
      <c r="U108" s="2"/>
    </row>
    <row r="109" spans="1:21" ht="12.95" customHeight="1">
      <c r="A109" s="1"/>
      <c r="B109" s="1"/>
      <c r="C109" s="1"/>
      <c r="D109" s="19"/>
      <c r="E109" s="19"/>
      <c r="F109" s="19"/>
      <c r="G109" s="19"/>
      <c r="H109" s="19"/>
      <c r="I109" s="19"/>
      <c r="J109" s="19"/>
      <c r="K109" s="19"/>
      <c r="L109" s="19"/>
      <c r="M109" s="1"/>
      <c r="N109" s="19"/>
      <c r="P109" s="2"/>
      <c r="Q109" s="2"/>
      <c r="R109" s="2"/>
      <c r="S109" s="368"/>
      <c r="T109" s="2"/>
      <c r="U109" s="2"/>
    </row>
    <row r="110" spans="1:21" ht="12.95" customHeight="1">
      <c r="A110" s="1"/>
      <c r="B110" s="1"/>
      <c r="C110" s="1"/>
      <c r="D110" s="19"/>
      <c r="E110" s="19"/>
      <c r="F110" s="19"/>
      <c r="G110" s="19"/>
      <c r="H110" s="19"/>
      <c r="I110" s="19"/>
      <c r="J110" s="19"/>
      <c r="K110" s="19"/>
      <c r="L110" s="19"/>
      <c r="M110" s="1"/>
      <c r="N110" s="19"/>
      <c r="P110" s="2"/>
      <c r="Q110" s="2"/>
      <c r="R110" s="2"/>
      <c r="S110" s="368"/>
      <c r="T110" s="2"/>
      <c r="U110" s="2"/>
    </row>
    <row r="111" spans="1:21" ht="12.95" customHeight="1">
      <c r="A111" s="1"/>
      <c r="B111" s="1"/>
      <c r="C111" s="1"/>
      <c r="D111" s="19"/>
      <c r="E111" s="19"/>
      <c r="F111" s="19"/>
      <c r="G111" s="19"/>
      <c r="H111" s="19"/>
      <c r="I111" s="19"/>
      <c r="J111" s="19"/>
      <c r="K111" s="19"/>
      <c r="L111" s="19"/>
      <c r="M111" s="1"/>
      <c r="N111" s="19"/>
      <c r="P111" s="2"/>
      <c r="Q111" s="2"/>
      <c r="R111" s="2"/>
      <c r="S111" s="368"/>
      <c r="T111" s="2"/>
      <c r="U111" s="2"/>
    </row>
    <row r="112" spans="1:21" ht="12.95" customHeight="1">
      <c r="A112" s="1"/>
      <c r="B112" s="1"/>
      <c r="C112" s="1"/>
      <c r="D112" s="19"/>
      <c r="E112" s="19"/>
      <c r="F112" s="19"/>
      <c r="G112" s="19"/>
      <c r="H112" s="19"/>
      <c r="I112" s="19"/>
      <c r="J112" s="19"/>
      <c r="K112" s="19"/>
      <c r="L112" s="19"/>
      <c r="M112" s="1"/>
      <c r="N112" s="19"/>
      <c r="P112" s="2"/>
      <c r="Q112" s="2"/>
      <c r="R112" s="2"/>
      <c r="S112" s="368"/>
      <c r="T112" s="2"/>
      <c r="U112" s="2"/>
    </row>
    <row r="113" spans="1:21" ht="12.95" customHeight="1">
      <c r="A113" s="1"/>
      <c r="B113" s="1"/>
      <c r="C113" s="1"/>
      <c r="D113" s="19"/>
      <c r="E113" s="19"/>
      <c r="F113" s="19"/>
      <c r="G113" s="19"/>
      <c r="H113" s="19"/>
      <c r="I113" s="19"/>
      <c r="J113" s="19"/>
      <c r="K113" s="19"/>
      <c r="L113" s="19"/>
      <c r="M113" s="1"/>
      <c r="N113" s="19"/>
      <c r="P113" s="2"/>
      <c r="Q113" s="2"/>
      <c r="R113" s="2"/>
      <c r="S113" s="368"/>
      <c r="T113" s="2"/>
      <c r="U113" s="2"/>
    </row>
    <row r="114" spans="1:21" ht="12.95" customHeight="1">
      <c r="A114" s="1"/>
      <c r="B114" s="1"/>
      <c r="C114" s="1"/>
      <c r="D114" s="19"/>
      <c r="E114" s="19"/>
      <c r="F114" s="19"/>
      <c r="G114" s="19"/>
      <c r="H114" s="19"/>
      <c r="I114" s="19"/>
      <c r="J114" s="19"/>
      <c r="K114" s="19"/>
      <c r="L114" s="19"/>
      <c r="M114" s="1"/>
      <c r="N114" s="19"/>
      <c r="P114" s="2"/>
      <c r="Q114" s="2"/>
      <c r="R114" s="2"/>
      <c r="S114" s="368"/>
      <c r="T114" s="2"/>
      <c r="U114" s="2"/>
    </row>
    <row r="115" spans="1:21" ht="12.95" customHeight="1">
      <c r="A115" s="1"/>
      <c r="B115" s="1"/>
      <c r="C115" s="1"/>
      <c r="D115" s="19"/>
      <c r="E115" s="19"/>
      <c r="F115" s="19"/>
      <c r="G115" s="19"/>
      <c r="H115" s="19"/>
      <c r="I115" s="19"/>
      <c r="J115" s="19"/>
      <c r="K115" s="19"/>
      <c r="L115" s="19"/>
      <c r="M115" s="1"/>
      <c r="N115" s="19"/>
      <c r="P115" s="2"/>
      <c r="Q115" s="2"/>
      <c r="R115" s="2"/>
      <c r="S115" s="368"/>
      <c r="T115" s="2"/>
      <c r="U115" s="2"/>
    </row>
    <row r="116" spans="1:21" ht="12.95" customHeight="1">
      <c r="A116" s="1"/>
      <c r="B116" s="1"/>
      <c r="C116" s="1"/>
      <c r="D116" s="19"/>
      <c r="E116" s="19"/>
      <c r="F116" s="19"/>
      <c r="G116" s="19"/>
      <c r="H116" s="19"/>
      <c r="I116" s="19"/>
      <c r="J116" s="19"/>
      <c r="K116" s="19"/>
      <c r="L116" s="19"/>
      <c r="M116" s="1"/>
      <c r="N116" s="19"/>
      <c r="P116" s="2"/>
      <c r="Q116" s="2"/>
      <c r="R116" s="2"/>
      <c r="S116" s="368"/>
      <c r="T116" s="2"/>
      <c r="U116" s="2"/>
    </row>
    <row r="117" spans="1:21" ht="12.95" customHeight="1">
      <c r="A117" s="1"/>
      <c r="B117" s="1"/>
      <c r="C117" s="1"/>
      <c r="D117" s="19"/>
      <c r="E117" s="19"/>
      <c r="F117" s="19"/>
      <c r="G117" s="19"/>
      <c r="H117" s="19"/>
      <c r="I117" s="19"/>
      <c r="J117" s="19"/>
      <c r="K117" s="19"/>
      <c r="L117" s="19"/>
      <c r="M117" s="1"/>
      <c r="N117" s="19"/>
      <c r="P117" s="2"/>
      <c r="Q117" s="2"/>
      <c r="R117" s="2"/>
      <c r="S117" s="368"/>
      <c r="T117" s="2"/>
      <c r="U117" s="2"/>
    </row>
    <row r="118" spans="1:21" ht="12.95" customHeight="1">
      <c r="A118" s="1"/>
      <c r="B118" s="1"/>
      <c r="C118" s="1"/>
      <c r="D118" s="19"/>
      <c r="E118" s="19"/>
      <c r="F118" s="19"/>
      <c r="G118" s="19"/>
      <c r="H118" s="19"/>
      <c r="I118" s="19"/>
      <c r="J118" s="19"/>
      <c r="K118" s="19"/>
      <c r="L118" s="19"/>
      <c r="M118" s="1"/>
      <c r="N118" s="19"/>
      <c r="P118" s="2"/>
      <c r="Q118" s="2"/>
      <c r="R118" s="2"/>
      <c r="S118" s="368"/>
      <c r="T118" s="2"/>
      <c r="U118" s="2"/>
    </row>
    <row r="119" spans="1:21" ht="12.95" customHeight="1">
      <c r="A119" s="1"/>
      <c r="B119" s="1"/>
      <c r="C119" s="1"/>
      <c r="D119" s="19"/>
      <c r="E119" s="19"/>
      <c r="F119" s="19"/>
      <c r="G119" s="19"/>
      <c r="H119" s="19"/>
      <c r="I119" s="19"/>
      <c r="J119" s="19"/>
      <c r="K119" s="19"/>
      <c r="L119" s="19"/>
      <c r="M119" s="1"/>
      <c r="N119" s="19"/>
      <c r="P119" s="2"/>
      <c r="Q119" s="2"/>
      <c r="R119" s="2"/>
      <c r="S119" s="368"/>
      <c r="T119" s="2"/>
      <c r="U119" s="2"/>
    </row>
    <row r="120" spans="1:21" ht="12.95" customHeight="1">
      <c r="A120" s="1"/>
      <c r="B120" s="1"/>
      <c r="C120" s="1"/>
      <c r="D120" s="19"/>
      <c r="E120" s="19"/>
      <c r="F120" s="19"/>
      <c r="G120" s="19"/>
      <c r="H120" s="19"/>
      <c r="I120" s="19"/>
      <c r="J120" s="19"/>
      <c r="K120" s="19"/>
      <c r="L120" s="19"/>
      <c r="M120" s="1"/>
      <c r="N120" s="19"/>
      <c r="P120" s="2"/>
      <c r="Q120" s="2"/>
      <c r="R120" s="2"/>
      <c r="S120" s="368"/>
      <c r="T120" s="2"/>
      <c r="U120" s="2"/>
    </row>
    <row r="121" spans="1:21" ht="12.95" customHeight="1">
      <c r="A121" s="1"/>
      <c r="B121" s="1"/>
      <c r="C121" s="1"/>
      <c r="D121" s="19"/>
      <c r="E121" s="19"/>
      <c r="F121" s="19"/>
      <c r="G121" s="19"/>
      <c r="H121" s="19"/>
      <c r="I121" s="19"/>
      <c r="J121" s="19"/>
      <c r="K121" s="19"/>
      <c r="L121" s="19"/>
      <c r="M121" s="1"/>
      <c r="N121" s="19"/>
      <c r="P121" s="2"/>
      <c r="Q121" s="2"/>
      <c r="R121" s="2"/>
      <c r="S121" s="368"/>
      <c r="T121" s="2"/>
      <c r="U121" s="2"/>
    </row>
    <row r="122" spans="1:21" ht="12.95" customHeight="1">
      <c r="A122" s="1"/>
      <c r="B122" s="1"/>
      <c r="C122" s="1"/>
      <c r="D122" s="19"/>
      <c r="E122" s="19"/>
      <c r="F122" s="19"/>
      <c r="G122" s="19"/>
      <c r="H122" s="19"/>
      <c r="I122" s="19"/>
      <c r="J122" s="19"/>
      <c r="K122" s="19"/>
      <c r="L122" s="19"/>
      <c r="M122" s="1"/>
      <c r="N122" s="19"/>
      <c r="P122" s="2"/>
      <c r="Q122" s="2"/>
      <c r="R122" s="2"/>
      <c r="S122" s="368"/>
      <c r="T122" s="2"/>
      <c r="U122" s="2"/>
    </row>
    <row r="123" spans="1:21" ht="12.95" customHeight="1">
      <c r="A123" s="1"/>
      <c r="B123" s="1"/>
      <c r="C123" s="1"/>
      <c r="D123" s="19"/>
      <c r="E123" s="19"/>
      <c r="F123" s="19"/>
      <c r="G123" s="19"/>
      <c r="H123" s="19"/>
      <c r="I123" s="19"/>
      <c r="J123" s="19"/>
      <c r="K123" s="19"/>
      <c r="L123" s="19"/>
      <c r="M123" s="1"/>
      <c r="N123" s="19"/>
      <c r="P123" s="2"/>
      <c r="Q123" s="2"/>
      <c r="R123" s="2"/>
      <c r="S123" s="368"/>
      <c r="T123" s="2"/>
      <c r="U123" s="2"/>
    </row>
    <row r="124" spans="1:21" ht="12.95" customHeight="1">
      <c r="A124" s="1"/>
      <c r="B124" s="1"/>
      <c r="C124" s="1"/>
      <c r="D124" s="19"/>
      <c r="E124" s="19"/>
      <c r="F124" s="19"/>
      <c r="G124" s="19"/>
      <c r="H124" s="19"/>
      <c r="I124" s="19"/>
      <c r="J124" s="19"/>
      <c r="K124" s="19"/>
      <c r="L124" s="19"/>
      <c r="M124" s="1"/>
      <c r="N124" s="19"/>
      <c r="P124" s="2"/>
      <c r="Q124" s="2"/>
      <c r="R124" s="2"/>
      <c r="S124" s="368"/>
      <c r="T124" s="2"/>
      <c r="U124" s="2"/>
    </row>
    <row r="125" spans="1:21" ht="12.95" customHeight="1">
      <c r="A125" s="1"/>
      <c r="B125" s="1"/>
      <c r="C125" s="1"/>
      <c r="D125" s="19"/>
      <c r="E125" s="19"/>
      <c r="F125" s="19"/>
      <c r="G125" s="19"/>
      <c r="H125" s="19"/>
      <c r="I125" s="19"/>
      <c r="J125" s="19"/>
      <c r="K125" s="19"/>
      <c r="L125" s="19"/>
      <c r="M125" s="1"/>
      <c r="N125" s="19"/>
      <c r="P125" s="2"/>
      <c r="Q125" s="2"/>
      <c r="R125" s="2"/>
      <c r="S125" s="368"/>
      <c r="T125" s="2"/>
      <c r="U125" s="2"/>
    </row>
    <row r="126" spans="1:21" ht="12.95" customHeight="1">
      <c r="A126" s="1"/>
      <c r="B126" s="1"/>
      <c r="C126" s="1"/>
      <c r="D126" s="19"/>
      <c r="E126" s="19"/>
      <c r="F126" s="19"/>
      <c r="G126" s="19"/>
      <c r="H126" s="19"/>
      <c r="I126" s="19"/>
      <c r="J126" s="19"/>
      <c r="K126" s="19"/>
      <c r="L126" s="19"/>
      <c r="M126" s="1"/>
      <c r="N126" s="19"/>
      <c r="P126" s="2"/>
      <c r="Q126" s="2"/>
      <c r="R126" s="2"/>
      <c r="S126" s="368"/>
      <c r="T126" s="2"/>
      <c r="U126" s="2"/>
    </row>
    <row r="127" spans="1:21" ht="12.95" customHeight="1">
      <c r="A127" s="1"/>
      <c r="B127" s="1"/>
      <c r="C127" s="1"/>
      <c r="D127" s="19"/>
      <c r="E127" s="19"/>
      <c r="F127" s="19"/>
      <c r="G127" s="19"/>
      <c r="H127" s="19"/>
      <c r="I127" s="19"/>
      <c r="J127" s="19"/>
      <c r="K127" s="19"/>
      <c r="L127" s="19"/>
      <c r="M127" s="1"/>
      <c r="N127" s="19"/>
      <c r="P127" s="2"/>
      <c r="Q127" s="2"/>
      <c r="R127" s="2"/>
      <c r="S127" s="368"/>
      <c r="T127" s="2"/>
      <c r="U127" s="2"/>
    </row>
    <row r="128" spans="1:21" ht="12.95" customHeight="1">
      <c r="A128" s="1"/>
      <c r="B128" s="1"/>
      <c r="C128" s="1"/>
      <c r="D128" s="19"/>
      <c r="E128" s="19"/>
      <c r="F128" s="19"/>
      <c r="G128" s="19"/>
      <c r="H128" s="19"/>
      <c r="I128" s="19"/>
      <c r="J128" s="19"/>
      <c r="K128" s="19"/>
      <c r="L128" s="19"/>
      <c r="M128" s="1"/>
      <c r="N128" s="19"/>
      <c r="P128" s="2"/>
      <c r="Q128" s="2"/>
      <c r="R128" s="2"/>
      <c r="S128" s="368"/>
      <c r="T128" s="2"/>
      <c r="U128" s="2"/>
    </row>
    <row r="129" spans="1:21" ht="12.95" customHeight="1">
      <c r="A129" s="1"/>
      <c r="B129" s="1"/>
      <c r="C129" s="1"/>
      <c r="D129" s="19"/>
      <c r="E129" s="19"/>
      <c r="F129" s="19"/>
      <c r="G129" s="19"/>
      <c r="H129" s="19"/>
      <c r="I129" s="19"/>
      <c r="J129" s="19"/>
      <c r="K129" s="19"/>
      <c r="L129" s="19"/>
      <c r="M129" s="1"/>
      <c r="N129" s="19"/>
      <c r="P129" s="2"/>
      <c r="Q129" s="2"/>
      <c r="R129" s="2"/>
      <c r="S129" s="368"/>
      <c r="T129" s="2"/>
      <c r="U129" s="2"/>
    </row>
    <row r="130" spans="1:21" ht="12.95" customHeight="1">
      <c r="A130" s="1"/>
      <c r="B130" s="1"/>
      <c r="C130" s="1"/>
      <c r="D130" s="19"/>
      <c r="E130" s="19"/>
      <c r="F130" s="19"/>
      <c r="G130" s="19"/>
      <c r="H130" s="19"/>
      <c r="I130" s="19"/>
      <c r="J130" s="19"/>
      <c r="K130" s="19"/>
      <c r="L130" s="19"/>
      <c r="M130" s="1"/>
      <c r="N130" s="19"/>
      <c r="P130" s="2"/>
      <c r="Q130" s="2"/>
      <c r="R130" s="2"/>
      <c r="S130" s="368"/>
      <c r="T130" s="2"/>
      <c r="U130" s="2"/>
    </row>
    <row r="131" spans="1:21" ht="12.95" customHeight="1">
      <c r="A131" s="1"/>
      <c r="B131" s="1"/>
      <c r="C131" s="1"/>
      <c r="D131" s="19"/>
      <c r="E131" s="19"/>
      <c r="F131" s="19"/>
      <c r="G131" s="19"/>
      <c r="H131" s="19"/>
      <c r="I131" s="19"/>
      <c r="J131" s="19"/>
      <c r="K131" s="19"/>
      <c r="L131" s="19"/>
      <c r="M131" s="1"/>
      <c r="N131" s="19"/>
      <c r="P131" s="2"/>
      <c r="Q131" s="2"/>
      <c r="R131" s="2"/>
      <c r="S131" s="368"/>
      <c r="T131" s="2"/>
      <c r="U131" s="2"/>
    </row>
    <row r="132" spans="1:21" ht="12.95" customHeight="1">
      <c r="A132" s="1"/>
      <c r="B132" s="1"/>
      <c r="C132" s="1"/>
      <c r="D132" s="19"/>
      <c r="E132" s="19"/>
      <c r="F132" s="19"/>
      <c r="G132" s="19"/>
      <c r="H132" s="19"/>
      <c r="I132" s="19"/>
      <c r="J132" s="19"/>
      <c r="K132" s="19"/>
      <c r="L132" s="19"/>
      <c r="M132" s="1"/>
      <c r="N132" s="19"/>
      <c r="P132" s="2"/>
      <c r="Q132" s="2"/>
      <c r="R132" s="2"/>
      <c r="S132" s="368"/>
      <c r="T132" s="2"/>
      <c r="U132" s="2"/>
    </row>
    <row r="133" spans="1:21" ht="12.95" customHeight="1">
      <c r="A133" s="1"/>
      <c r="B133" s="1"/>
      <c r="C133" s="1"/>
      <c r="D133" s="19"/>
      <c r="E133" s="19"/>
      <c r="F133" s="19"/>
      <c r="G133" s="19"/>
      <c r="H133" s="19"/>
      <c r="I133" s="19"/>
      <c r="J133" s="19"/>
      <c r="K133" s="19"/>
      <c r="L133" s="19"/>
      <c r="M133" s="1"/>
      <c r="N133" s="19"/>
      <c r="P133" s="2"/>
      <c r="Q133" s="2"/>
      <c r="R133" s="2"/>
      <c r="S133" s="368"/>
      <c r="T133" s="2"/>
      <c r="U133" s="2"/>
    </row>
    <row r="134" spans="1:21" ht="12.95" customHeight="1">
      <c r="A134" s="1"/>
      <c r="B134" s="1"/>
      <c r="C134" s="1"/>
      <c r="D134" s="19"/>
      <c r="E134" s="19"/>
      <c r="F134" s="19"/>
      <c r="G134" s="19"/>
      <c r="H134" s="19"/>
      <c r="I134" s="19"/>
      <c r="J134" s="19"/>
      <c r="K134" s="19"/>
      <c r="L134" s="19"/>
      <c r="M134" s="1"/>
      <c r="N134" s="19"/>
      <c r="P134" s="2"/>
      <c r="Q134" s="2"/>
      <c r="R134" s="2"/>
      <c r="S134" s="368"/>
      <c r="T134" s="2"/>
      <c r="U134" s="2"/>
    </row>
    <row r="135" spans="1:21" ht="12.95" customHeight="1">
      <c r="A135" s="1"/>
      <c r="B135" s="1"/>
      <c r="C135" s="1"/>
      <c r="D135" s="19"/>
      <c r="E135" s="19"/>
      <c r="F135" s="19"/>
      <c r="G135" s="19"/>
      <c r="H135" s="19"/>
      <c r="I135" s="19"/>
      <c r="J135" s="19"/>
      <c r="K135" s="19"/>
      <c r="L135" s="19"/>
      <c r="M135" s="1"/>
      <c r="N135" s="19"/>
      <c r="P135" s="2"/>
      <c r="Q135" s="2"/>
      <c r="R135" s="2"/>
      <c r="S135" s="368"/>
      <c r="T135" s="2"/>
      <c r="U135" s="2"/>
    </row>
    <row r="136" spans="1:21" ht="12.95" customHeight="1">
      <c r="A136" s="1"/>
      <c r="B136" s="1"/>
      <c r="C136" s="1"/>
      <c r="D136" s="19"/>
      <c r="E136" s="19"/>
      <c r="F136" s="19"/>
      <c r="G136" s="19"/>
      <c r="H136" s="19"/>
      <c r="I136" s="19"/>
      <c r="J136" s="19"/>
      <c r="K136" s="19"/>
      <c r="L136" s="19"/>
      <c r="M136" s="1"/>
      <c r="N136" s="19"/>
      <c r="P136" s="2"/>
      <c r="Q136" s="2"/>
      <c r="R136" s="2"/>
      <c r="S136" s="368"/>
      <c r="T136" s="2"/>
      <c r="U136" s="2"/>
    </row>
    <row r="137" spans="1:21" ht="12.95" customHeight="1">
      <c r="A137" s="1"/>
      <c r="B137" s="1"/>
      <c r="C137" s="1"/>
      <c r="D137" s="19"/>
      <c r="E137" s="19"/>
      <c r="F137" s="19"/>
      <c r="G137" s="19"/>
      <c r="H137" s="19"/>
      <c r="I137" s="19"/>
      <c r="J137" s="19"/>
      <c r="K137" s="19"/>
      <c r="L137" s="19"/>
      <c r="M137" s="1"/>
      <c r="N137" s="19"/>
      <c r="P137" s="2"/>
      <c r="Q137" s="2"/>
      <c r="R137" s="2"/>
      <c r="S137" s="368"/>
      <c r="T137" s="2"/>
      <c r="U137" s="2"/>
    </row>
    <row r="138" spans="1:21" ht="12.95" customHeight="1">
      <c r="A138" s="1"/>
      <c r="B138" s="1"/>
      <c r="C138" s="1"/>
      <c r="D138" s="19"/>
      <c r="E138" s="19"/>
      <c r="F138" s="19"/>
      <c r="G138" s="19"/>
      <c r="H138" s="19"/>
      <c r="I138" s="19"/>
      <c r="J138" s="19"/>
      <c r="K138" s="19"/>
      <c r="L138" s="19"/>
      <c r="M138" s="1"/>
      <c r="N138" s="19"/>
      <c r="P138" s="2"/>
      <c r="Q138" s="2"/>
      <c r="R138" s="2"/>
      <c r="S138" s="368"/>
      <c r="T138" s="2"/>
      <c r="U138" s="2"/>
    </row>
    <row r="139" spans="1:21" ht="12.95" customHeight="1">
      <c r="A139" s="1"/>
      <c r="B139" s="1"/>
      <c r="C139" s="1"/>
      <c r="D139" s="19"/>
      <c r="E139" s="19"/>
      <c r="F139" s="19"/>
      <c r="G139" s="19"/>
      <c r="H139" s="19"/>
      <c r="I139" s="19"/>
      <c r="J139" s="19"/>
      <c r="K139" s="19"/>
      <c r="L139" s="19"/>
      <c r="M139" s="1"/>
      <c r="N139" s="19"/>
      <c r="P139" s="2"/>
      <c r="Q139" s="2"/>
      <c r="R139" s="2"/>
      <c r="S139" s="368"/>
      <c r="T139" s="2"/>
      <c r="U139" s="2"/>
    </row>
    <row r="140" spans="1:21" ht="12.95" customHeight="1">
      <c r="A140" s="1"/>
      <c r="B140" s="1"/>
      <c r="C140" s="1"/>
      <c r="D140" s="19"/>
      <c r="E140" s="19"/>
      <c r="F140" s="19"/>
      <c r="G140" s="19"/>
      <c r="H140" s="19"/>
      <c r="I140" s="19"/>
      <c r="J140" s="19"/>
      <c r="K140" s="19"/>
      <c r="L140" s="19"/>
      <c r="M140" s="1"/>
      <c r="N140" s="19"/>
      <c r="P140" s="2"/>
      <c r="Q140" s="2"/>
      <c r="R140" s="2"/>
      <c r="S140" s="368"/>
      <c r="T140" s="2"/>
      <c r="U140" s="2"/>
    </row>
    <row r="141" spans="1:21" ht="12.95" customHeight="1">
      <c r="A141" s="1"/>
      <c r="B141" s="1"/>
      <c r="C141" s="1"/>
      <c r="D141" s="19"/>
      <c r="E141" s="19"/>
      <c r="F141" s="19"/>
      <c r="G141" s="19"/>
      <c r="H141" s="19"/>
      <c r="I141" s="19"/>
      <c r="J141" s="19"/>
      <c r="K141" s="19"/>
      <c r="L141" s="19"/>
      <c r="M141" s="1"/>
      <c r="N141" s="19"/>
      <c r="P141" s="2"/>
      <c r="Q141" s="2"/>
      <c r="R141" s="2"/>
      <c r="S141" s="368"/>
      <c r="T141" s="2"/>
      <c r="U141" s="2"/>
    </row>
    <row r="142" spans="1:21" ht="12.95" customHeight="1">
      <c r="A142" s="1"/>
      <c r="B142" s="1"/>
      <c r="C142" s="1"/>
      <c r="D142" s="19"/>
      <c r="E142" s="19"/>
      <c r="F142" s="19"/>
      <c r="G142" s="19"/>
      <c r="H142" s="19"/>
      <c r="I142" s="19"/>
      <c r="J142" s="19"/>
      <c r="K142" s="19"/>
      <c r="L142" s="19"/>
      <c r="M142" s="1"/>
      <c r="N142" s="19"/>
      <c r="P142" s="2"/>
      <c r="Q142" s="2"/>
      <c r="R142" s="2"/>
      <c r="S142" s="368"/>
      <c r="T142" s="2"/>
      <c r="U142" s="2"/>
    </row>
    <row r="143" spans="1:21" ht="12.95" customHeight="1">
      <c r="A143" s="1"/>
      <c r="B143" s="1"/>
      <c r="C143" s="1"/>
      <c r="D143" s="19"/>
      <c r="E143" s="19"/>
      <c r="F143" s="19"/>
      <c r="G143" s="19"/>
      <c r="H143" s="19"/>
      <c r="I143" s="19"/>
      <c r="J143" s="19"/>
      <c r="K143" s="19"/>
      <c r="L143" s="19"/>
      <c r="M143" s="1"/>
      <c r="N143" s="19"/>
      <c r="P143" s="2"/>
      <c r="Q143" s="2"/>
      <c r="R143" s="2"/>
      <c r="S143" s="368"/>
      <c r="T143" s="2"/>
      <c r="U143" s="2"/>
    </row>
    <row r="144" spans="1:21" ht="12.95" customHeight="1">
      <c r="A144" s="1"/>
      <c r="B144" s="1"/>
      <c r="C144" s="1"/>
      <c r="D144" s="19"/>
      <c r="E144" s="19"/>
      <c r="F144" s="19"/>
      <c r="G144" s="19"/>
      <c r="H144" s="19"/>
      <c r="I144" s="19"/>
      <c r="J144" s="19"/>
      <c r="K144" s="19"/>
      <c r="L144" s="19"/>
      <c r="M144" s="1"/>
      <c r="N144" s="19"/>
      <c r="P144" s="2"/>
      <c r="Q144" s="2"/>
      <c r="R144" s="2"/>
      <c r="S144" s="368"/>
      <c r="T144" s="2"/>
      <c r="U144" s="2"/>
    </row>
    <row r="145" spans="1:21" ht="12.95" customHeight="1">
      <c r="A145" s="1"/>
      <c r="B145" s="1"/>
      <c r="C145" s="1"/>
      <c r="D145" s="19"/>
      <c r="E145" s="19"/>
      <c r="F145" s="19"/>
      <c r="G145" s="19"/>
      <c r="H145" s="19"/>
      <c r="I145" s="19"/>
      <c r="J145" s="19"/>
      <c r="K145" s="19"/>
      <c r="L145" s="19"/>
      <c r="M145" s="1"/>
      <c r="N145" s="19"/>
      <c r="P145" s="2"/>
      <c r="Q145" s="2"/>
      <c r="R145" s="2"/>
      <c r="S145" s="368"/>
      <c r="T145" s="2"/>
      <c r="U145" s="2"/>
    </row>
    <row r="146" spans="1:21" ht="12.95" customHeight="1">
      <c r="A146" s="1"/>
      <c r="B146" s="1"/>
      <c r="C146" s="1"/>
      <c r="D146" s="19"/>
      <c r="E146" s="19"/>
      <c r="F146" s="19"/>
      <c r="G146" s="19"/>
      <c r="H146" s="19"/>
      <c r="I146" s="19"/>
      <c r="J146" s="19"/>
      <c r="K146" s="19"/>
      <c r="L146" s="19"/>
      <c r="M146" s="1"/>
      <c r="N146" s="19"/>
      <c r="P146" s="2"/>
      <c r="Q146" s="2"/>
      <c r="R146" s="2"/>
      <c r="S146" s="368"/>
      <c r="T146" s="2"/>
      <c r="U146" s="2"/>
    </row>
    <row r="147" spans="1:21" ht="12.95" customHeight="1">
      <c r="A147" s="1"/>
      <c r="B147" s="1"/>
      <c r="C147" s="1"/>
      <c r="D147" s="19"/>
      <c r="E147" s="19"/>
      <c r="F147" s="19"/>
      <c r="G147" s="19"/>
      <c r="H147" s="19"/>
      <c r="I147" s="19"/>
      <c r="J147" s="19"/>
      <c r="K147" s="19"/>
      <c r="L147" s="19"/>
      <c r="M147" s="1"/>
      <c r="N147" s="19"/>
      <c r="P147" s="2"/>
      <c r="Q147" s="2"/>
      <c r="R147" s="2"/>
      <c r="S147" s="368"/>
      <c r="T147" s="2"/>
      <c r="U147" s="2"/>
    </row>
    <row r="148" spans="1:21" ht="12.95" customHeight="1">
      <c r="A148" s="1"/>
      <c r="B148" s="1"/>
      <c r="C148" s="1"/>
      <c r="D148" s="19"/>
      <c r="E148" s="19"/>
      <c r="F148" s="19"/>
      <c r="G148" s="19"/>
      <c r="H148" s="19"/>
      <c r="I148" s="19"/>
      <c r="J148" s="19"/>
      <c r="K148" s="19"/>
      <c r="L148" s="19"/>
      <c r="M148" s="1"/>
      <c r="N148" s="19"/>
      <c r="P148" s="2"/>
      <c r="Q148" s="2"/>
      <c r="R148" s="2"/>
      <c r="S148" s="368"/>
      <c r="T148" s="2"/>
      <c r="U148" s="2"/>
    </row>
    <row r="149" spans="1:21" ht="12.95" customHeight="1">
      <c r="A149" s="1"/>
      <c r="B149" s="1"/>
      <c r="C149" s="1"/>
      <c r="D149" s="19"/>
      <c r="E149" s="19"/>
      <c r="F149" s="19"/>
      <c r="G149" s="19"/>
      <c r="H149" s="19"/>
      <c r="I149" s="19"/>
      <c r="J149" s="19"/>
      <c r="K149" s="19"/>
      <c r="L149" s="19"/>
      <c r="M149" s="1"/>
      <c r="N149" s="19"/>
      <c r="P149" s="2"/>
      <c r="Q149" s="2"/>
      <c r="R149" s="2"/>
      <c r="S149" s="368"/>
      <c r="T149" s="2"/>
      <c r="U149" s="2"/>
    </row>
    <row r="150" spans="1:21" ht="12.95" customHeight="1">
      <c r="A150" s="1"/>
      <c r="B150" s="1"/>
      <c r="C150" s="1"/>
      <c r="D150" s="19"/>
      <c r="E150" s="19"/>
      <c r="F150" s="19"/>
      <c r="G150" s="19"/>
      <c r="H150" s="19"/>
      <c r="I150" s="19"/>
      <c r="J150" s="19"/>
      <c r="K150" s="19"/>
      <c r="L150" s="19"/>
      <c r="M150" s="1"/>
      <c r="N150" s="19"/>
      <c r="P150" s="2"/>
      <c r="Q150" s="2"/>
      <c r="R150" s="2"/>
      <c r="S150" s="368"/>
      <c r="T150" s="2"/>
      <c r="U150" s="2"/>
    </row>
    <row r="151" spans="1:21" ht="12.95" customHeight="1">
      <c r="A151" s="1"/>
      <c r="B151" s="1"/>
      <c r="C151" s="1"/>
      <c r="D151" s="19"/>
      <c r="E151" s="19"/>
      <c r="F151" s="19"/>
      <c r="G151" s="19"/>
      <c r="H151" s="19"/>
      <c r="I151" s="19"/>
      <c r="J151" s="19"/>
      <c r="K151" s="19"/>
      <c r="L151" s="19"/>
      <c r="M151" s="1"/>
      <c r="N151" s="19"/>
      <c r="P151" s="2"/>
      <c r="Q151" s="2"/>
      <c r="R151" s="2"/>
      <c r="S151" s="368"/>
      <c r="T151" s="2"/>
      <c r="U151" s="2"/>
    </row>
    <row r="152" spans="1:21" ht="12.95" customHeight="1">
      <c r="A152" s="1"/>
      <c r="B152" s="1"/>
      <c r="C152" s="1"/>
      <c r="D152" s="19"/>
      <c r="E152" s="19"/>
      <c r="F152" s="19"/>
      <c r="G152" s="19"/>
      <c r="H152" s="19"/>
      <c r="I152" s="19"/>
      <c r="J152" s="19"/>
      <c r="K152" s="19"/>
      <c r="L152" s="19"/>
      <c r="M152" s="1"/>
      <c r="N152" s="19"/>
      <c r="P152" s="2"/>
      <c r="Q152" s="2"/>
      <c r="R152" s="2"/>
      <c r="S152" s="368"/>
      <c r="T152" s="2"/>
      <c r="U152" s="2"/>
    </row>
    <row r="153" spans="1:21" ht="12.95" customHeight="1">
      <c r="A153" s="1"/>
      <c r="B153" s="1"/>
      <c r="C153" s="1"/>
      <c r="D153" s="19"/>
      <c r="E153" s="19"/>
      <c r="F153" s="19"/>
      <c r="G153" s="19"/>
      <c r="H153" s="19"/>
      <c r="I153" s="19"/>
      <c r="J153" s="19"/>
      <c r="K153" s="19"/>
      <c r="L153" s="19"/>
      <c r="M153" s="1"/>
      <c r="N153" s="19"/>
      <c r="P153" s="2"/>
      <c r="Q153" s="2"/>
      <c r="R153" s="2"/>
      <c r="S153" s="368"/>
      <c r="T153" s="2"/>
      <c r="U153" s="2"/>
    </row>
    <row r="154" spans="1:21" ht="12.95" customHeight="1">
      <c r="A154" s="1"/>
      <c r="B154" s="1"/>
      <c r="C154" s="1"/>
      <c r="D154" s="19"/>
      <c r="E154" s="19"/>
      <c r="F154" s="19"/>
      <c r="G154" s="19"/>
      <c r="H154" s="19"/>
      <c r="I154" s="19"/>
      <c r="J154" s="19"/>
      <c r="K154" s="19"/>
      <c r="L154" s="19"/>
      <c r="M154" s="1"/>
      <c r="N154" s="19"/>
      <c r="P154" s="2"/>
      <c r="Q154" s="2"/>
      <c r="R154" s="2"/>
      <c r="S154" s="368"/>
      <c r="T154" s="2"/>
      <c r="U154" s="2"/>
    </row>
    <row r="155" spans="1:21" ht="12.95" customHeight="1">
      <c r="A155" s="1"/>
      <c r="B155" s="1"/>
      <c r="C155" s="1"/>
      <c r="D155" s="19"/>
      <c r="E155" s="19"/>
      <c r="F155" s="19"/>
      <c r="G155" s="19"/>
      <c r="H155" s="19"/>
      <c r="I155" s="19"/>
      <c r="J155" s="19"/>
      <c r="K155" s="19"/>
      <c r="L155" s="19"/>
      <c r="M155" s="1"/>
      <c r="N155" s="19"/>
      <c r="P155" s="2"/>
      <c r="Q155" s="2"/>
      <c r="R155" s="2"/>
      <c r="S155" s="368"/>
      <c r="T155" s="2"/>
      <c r="U155" s="2"/>
    </row>
    <row r="156" spans="1:21" ht="12.95" customHeight="1">
      <c r="A156" s="1"/>
      <c r="B156" s="1"/>
      <c r="C156" s="1"/>
      <c r="D156" s="19"/>
      <c r="E156" s="19"/>
      <c r="F156" s="19"/>
      <c r="G156" s="19"/>
      <c r="H156" s="19"/>
      <c r="I156" s="19"/>
      <c r="J156" s="19"/>
      <c r="K156" s="19"/>
      <c r="L156" s="19"/>
      <c r="M156" s="1"/>
      <c r="N156" s="19"/>
      <c r="P156" s="2"/>
      <c r="Q156" s="2"/>
      <c r="R156" s="2"/>
      <c r="S156" s="368"/>
      <c r="T156" s="2"/>
      <c r="U156" s="2"/>
    </row>
    <row r="157" spans="1:21" ht="12.95" customHeight="1">
      <c r="A157" s="1"/>
      <c r="B157" s="1"/>
      <c r="C157" s="1"/>
      <c r="D157" s="19"/>
      <c r="E157" s="19"/>
      <c r="F157" s="19"/>
      <c r="G157" s="19"/>
      <c r="H157" s="19"/>
      <c r="I157" s="19"/>
      <c r="J157" s="19"/>
      <c r="K157" s="19"/>
      <c r="L157" s="19"/>
      <c r="M157" s="1"/>
      <c r="N157" s="19"/>
      <c r="P157" s="2"/>
      <c r="Q157" s="2"/>
      <c r="R157" s="2"/>
      <c r="S157" s="368"/>
      <c r="T157" s="2"/>
      <c r="U157" s="2"/>
    </row>
    <row r="158" spans="1:21" ht="12.95" customHeight="1">
      <c r="A158" s="1"/>
      <c r="B158" s="1"/>
      <c r="C158" s="1"/>
      <c r="D158" s="19"/>
      <c r="E158" s="19"/>
      <c r="F158" s="19"/>
      <c r="G158" s="19"/>
      <c r="H158" s="19"/>
      <c r="I158" s="19"/>
      <c r="J158" s="19"/>
      <c r="K158" s="19"/>
      <c r="L158" s="19"/>
      <c r="M158" s="1"/>
      <c r="N158" s="19"/>
      <c r="P158" s="2"/>
      <c r="Q158" s="2"/>
      <c r="R158" s="2"/>
      <c r="S158" s="368"/>
      <c r="T158" s="2"/>
      <c r="U158" s="2"/>
    </row>
    <row r="159" spans="1:21" ht="12.95" customHeight="1">
      <c r="A159" s="1"/>
      <c r="B159" s="1"/>
      <c r="C159" s="1"/>
      <c r="D159" s="19"/>
      <c r="E159" s="19"/>
      <c r="F159" s="19"/>
      <c r="G159" s="19"/>
      <c r="H159" s="19"/>
      <c r="I159" s="19"/>
      <c r="J159" s="19"/>
      <c r="K159" s="19"/>
      <c r="L159" s="19"/>
      <c r="M159" s="1"/>
      <c r="N159" s="19"/>
      <c r="P159" s="2"/>
      <c r="Q159" s="2"/>
      <c r="R159" s="2"/>
      <c r="S159" s="368"/>
      <c r="T159" s="2"/>
      <c r="U159" s="2"/>
    </row>
    <row r="160" spans="1:21" ht="12.95" customHeight="1">
      <c r="A160" s="1"/>
      <c r="B160" s="1"/>
      <c r="C160" s="1"/>
      <c r="D160" s="19"/>
      <c r="E160" s="19"/>
      <c r="F160" s="19"/>
      <c r="G160" s="19"/>
      <c r="H160" s="19"/>
      <c r="I160" s="19"/>
      <c r="J160" s="19"/>
      <c r="K160" s="19"/>
      <c r="L160" s="19"/>
      <c r="M160" s="1"/>
      <c r="N160" s="19"/>
      <c r="P160" s="2"/>
      <c r="Q160" s="2"/>
      <c r="R160" s="2"/>
      <c r="S160" s="368"/>
      <c r="T160" s="2"/>
      <c r="U160" s="2"/>
    </row>
    <row r="161" spans="1:21" ht="12.95" customHeight="1">
      <c r="A161" s="1"/>
      <c r="B161" s="1"/>
      <c r="C161" s="1"/>
      <c r="D161" s="19"/>
      <c r="E161" s="19"/>
      <c r="F161" s="19"/>
      <c r="G161" s="19"/>
      <c r="H161" s="19"/>
      <c r="I161" s="19"/>
      <c r="J161" s="19"/>
      <c r="K161" s="19"/>
      <c r="L161" s="19"/>
      <c r="M161" s="1"/>
      <c r="N161" s="19"/>
      <c r="P161" s="2"/>
      <c r="Q161" s="2"/>
      <c r="R161" s="2"/>
      <c r="S161" s="368"/>
      <c r="T161" s="2"/>
      <c r="U161" s="2"/>
    </row>
    <row r="162" spans="1:21" ht="12.95" customHeight="1">
      <c r="A162" s="1"/>
      <c r="B162" s="1"/>
      <c r="C162" s="1"/>
      <c r="D162" s="19"/>
      <c r="E162" s="19"/>
      <c r="F162" s="19"/>
      <c r="G162" s="19"/>
      <c r="H162" s="19"/>
      <c r="I162" s="19"/>
      <c r="J162" s="19"/>
      <c r="K162" s="19"/>
      <c r="L162" s="19"/>
      <c r="M162" s="1"/>
      <c r="N162" s="19"/>
      <c r="P162" s="2"/>
      <c r="Q162" s="2"/>
      <c r="R162" s="2"/>
      <c r="S162" s="368"/>
      <c r="T162" s="2"/>
      <c r="U162" s="2"/>
    </row>
    <row r="163" spans="1:21" ht="12.95" customHeight="1">
      <c r="A163" s="1"/>
      <c r="B163" s="1"/>
      <c r="C163" s="1"/>
      <c r="D163" s="19"/>
      <c r="E163" s="19"/>
      <c r="F163" s="19"/>
      <c r="G163" s="19"/>
      <c r="H163" s="19"/>
      <c r="I163" s="19"/>
      <c r="J163" s="19"/>
      <c r="K163" s="19"/>
      <c r="L163" s="19"/>
      <c r="M163" s="1"/>
      <c r="N163" s="19"/>
      <c r="P163" s="2"/>
      <c r="Q163" s="2"/>
      <c r="R163" s="2"/>
      <c r="S163" s="368"/>
      <c r="T163" s="2"/>
      <c r="U163" s="2"/>
    </row>
    <row r="164" spans="1:21" ht="12.95" customHeight="1">
      <c r="A164" s="1"/>
      <c r="B164" s="1"/>
      <c r="C164" s="1"/>
      <c r="D164" s="19"/>
      <c r="E164" s="19"/>
      <c r="F164" s="19"/>
      <c r="G164" s="19"/>
      <c r="H164" s="19"/>
      <c r="I164" s="19"/>
      <c r="J164" s="19"/>
      <c r="K164" s="19"/>
      <c r="L164" s="19"/>
      <c r="M164" s="1"/>
      <c r="N164" s="19"/>
      <c r="P164" s="2"/>
      <c r="Q164" s="2"/>
      <c r="R164" s="2"/>
      <c r="S164" s="368"/>
      <c r="T164" s="2"/>
      <c r="U164" s="2"/>
    </row>
    <row r="165" spans="1:21" ht="12.95" customHeight="1">
      <c r="A165" s="1"/>
      <c r="B165" s="1"/>
      <c r="C165" s="1"/>
      <c r="D165" s="19"/>
      <c r="E165" s="19"/>
      <c r="F165" s="19"/>
      <c r="G165" s="19"/>
      <c r="H165" s="19"/>
      <c r="I165" s="19"/>
      <c r="J165" s="19"/>
      <c r="K165" s="19"/>
      <c r="L165" s="19"/>
      <c r="M165" s="1"/>
      <c r="N165" s="19"/>
      <c r="P165" s="2"/>
      <c r="Q165" s="2"/>
      <c r="R165" s="2"/>
      <c r="S165" s="368"/>
      <c r="T165" s="2"/>
      <c r="U165" s="2"/>
    </row>
    <row r="166" spans="1:21" ht="12.95" customHeight="1">
      <c r="A166" s="1"/>
      <c r="B166" s="1"/>
      <c r="C166" s="1"/>
      <c r="D166" s="19"/>
      <c r="E166" s="19"/>
      <c r="F166" s="19"/>
      <c r="G166" s="19"/>
      <c r="H166" s="19"/>
      <c r="I166" s="19"/>
      <c r="J166" s="19"/>
      <c r="K166" s="19"/>
      <c r="L166" s="19"/>
      <c r="M166" s="1"/>
      <c r="N166" s="19"/>
      <c r="P166" s="2"/>
      <c r="Q166" s="2"/>
      <c r="R166" s="2"/>
      <c r="S166" s="368"/>
      <c r="T166" s="2"/>
      <c r="U166" s="2"/>
    </row>
    <row r="167" spans="1:21" ht="12.95" customHeight="1">
      <c r="A167" s="1"/>
      <c r="B167" s="1"/>
      <c r="C167" s="1"/>
      <c r="D167" s="19"/>
      <c r="E167" s="19"/>
      <c r="F167" s="19"/>
      <c r="G167" s="19"/>
      <c r="H167" s="19"/>
      <c r="I167" s="19"/>
      <c r="J167" s="19"/>
      <c r="K167" s="19"/>
      <c r="L167" s="19"/>
      <c r="M167" s="1"/>
      <c r="N167" s="19"/>
      <c r="P167" s="2"/>
      <c r="Q167" s="2"/>
      <c r="R167" s="2"/>
      <c r="S167" s="368"/>
      <c r="T167" s="2"/>
      <c r="U167" s="2"/>
    </row>
    <row r="168" spans="1:21" ht="12.95" customHeight="1">
      <c r="A168" s="1"/>
      <c r="B168" s="1"/>
      <c r="C168" s="1"/>
      <c r="D168" s="19"/>
      <c r="E168" s="19"/>
      <c r="F168" s="19"/>
      <c r="G168" s="19"/>
      <c r="H168" s="19"/>
      <c r="I168" s="19"/>
      <c r="J168" s="19"/>
      <c r="K168" s="19"/>
      <c r="L168" s="19"/>
      <c r="M168" s="1"/>
      <c r="N168" s="19"/>
      <c r="P168" s="2"/>
      <c r="Q168" s="2"/>
      <c r="R168" s="2"/>
      <c r="S168" s="368"/>
      <c r="T168" s="2"/>
      <c r="U168" s="2"/>
    </row>
    <row r="169" spans="1:21" ht="12.95" customHeight="1">
      <c r="A169" s="1"/>
      <c r="B169" s="1"/>
      <c r="C169" s="1"/>
      <c r="D169" s="19"/>
      <c r="E169" s="19"/>
      <c r="F169" s="19"/>
      <c r="G169" s="19"/>
      <c r="H169" s="19"/>
      <c r="I169" s="19"/>
      <c r="J169" s="19"/>
      <c r="K169" s="19"/>
      <c r="L169" s="19"/>
      <c r="M169" s="1"/>
      <c r="N169" s="19"/>
      <c r="P169" s="2"/>
      <c r="Q169" s="2"/>
      <c r="R169" s="2"/>
      <c r="S169" s="368"/>
      <c r="T169" s="2"/>
      <c r="U169" s="2"/>
    </row>
    <row r="170" spans="1:21" ht="12.95" customHeight="1">
      <c r="A170" s="1"/>
      <c r="B170" s="1"/>
      <c r="C170" s="1"/>
      <c r="D170" s="19"/>
      <c r="E170" s="19"/>
      <c r="F170" s="19"/>
      <c r="G170" s="19"/>
      <c r="H170" s="19"/>
      <c r="I170" s="19"/>
      <c r="J170" s="19"/>
      <c r="K170" s="19"/>
      <c r="L170" s="19"/>
      <c r="M170" s="1"/>
      <c r="N170" s="19"/>
      <c r="P170" s="2"/>
      <c r="Q170" s="2"/>
      <c r="R170" s="2"/>
      <c r="S170" s="368"/>
      <c r="T170" s="2"/>
      <c r="U170" s="2"/>
    </row>
    <row r="171" spans="1:21" ht="12.95" customHeight="1">
      <c r="A171" s="1"/>
      <c r="B171" s="1"/>
      <c r="C171" s="1"/>
      <c r="D171" s="19"/>
      <c r="E171" s="19"/>
      <c r="F171" s="19"/>
      <c r="G171" s="19"/>
      <c r="H171" s="19"/>
      <c r="I171" s="19"/>
      <c r="J171" s="19"/>
      <c r="K171" s="19"/>
      <c r="L171" s="19"/>
      <c r="M171" s="1"/>
      <c r="N171" s="19"/>
      <c r="P171" s="2"/>
      <c r="Q171" s="2"/>
      <c r="R171" s="2"/>
      <c r="S171" s="368"/>
      <c r="T171" s="2"/>
      <c r="U171" s="2"/>
    </row>
    <row r="172" spans="1:21" ht="12.95" customHeight="1">
      <c r="A172" s="1"/>
      <c r="B172" s="1"/>
      <c r="C172" s="1"/>
      <c r="D172" s="19"/>
      <c r="E172" s="19"/>
      <c r="F172" s="19"/>
      <c r="G172" s="19"/>
      <c r="H172" s="19"/>
      <c r="I172" s="19"/>
      <c r="J172" s="19"/>
      <c r="K172" s="19"/>
      <c r="L172" s="19"/>
      <c r="M172" s="1"/>
      <c r="N172" s="19"/>
      <c r="P172" s="2"/>
      <c r="Q172" s="2"/>
      <c r="R172" s="2"/>
      <c r="S172" s="368"/>
      <c r="T172" s="2"/>
      <c r="U172" s="2"/>
    </row>
    <row r="173" spans="1:21" ht="12.95" customHeight="1">
      <c r="A173" s="1"/>
      <c r="B173" s="1"/>
      <c r="C173" s="1"/>
      <c r="D173" s="19"/>
      <c r="E173" s="19"/>
      <c r="F173" s="19"/>
      <c r="G173" s="19"/>
      <c r="H173" s="19"/>
      <c r="I173" s="19"/>
      <c r="J173" s="19"/>
      <c r="K173" s="19"/>
      <c r="L173" s="19"/>
      <c r="M173" s="1"/>
      <c r="N173" s="19"/>
      <c r="P173" s="2"/>
      <c r="Q173" s="2"/>
      <c r="R173" s="2"/>
      <c r="S173" s="368"/>
      <c r="T173" s="2"/>
      <c r="U173" s="2"/>
    </row>
    <row r="174" spans="1:21" ht="12.95" customHeight="1">
      <c r="A174" s="1"/>
      <c r="B174" s="1"/>
      <c r="C174" s="1"/>
      <c r="D174" s="19"/>
      <c r="E174" s="19"/>
      <c r="F174" s="19"/>
      <c r="G174" s="19"/>
      <c r="H174" s="19"/>
      <c r="I174" s="19"/>
      <c r="J174" s="19"/>
      <c r="K174" s="19"/>
      <c r="L174" s="19"/>
      <c r="M174" s="1"/>
      <c r="N174" s="19"/>
      <c r="P174" s="2"/>
      <c r="Q174" s="2"/>
      <c r="R174" s="2"/>
      <c r="S174" s="368"/>
      <c r="T174" s="2"/>
      <c r="U174" s="2"/>
    </row>
    <row r="175" spans="1:21" ht="12.95" customHeight="1">
      <c r="A175" s="1"/>
      <c r="B175" s="1"/>
      <c r="C175" s="1"/>
      <c r="D175" s="19"/>
      <c r="E175" s="19"/>
      <c r="F175" s="19"/>
      <c r="G175" s="19"/>
      <c r="H175" s="19"/>
      <c r="I175" s="19"/>
      <c r="J175" s="19"/>
      <c r="K175" s="19"/>
      <c r="L175" s="19"/>
      <c r="M175" s="1"/>
      <c r="N175" s="19"/>
      <c r="P175" s="2"/>
      <c r="Q175" s="2"/>
      <c r="R175" s="2"/>
      <c r="S175" s="368"/>
      <c r="T175" s="2"/>
      <c r="U175" s="2"/>
    </row>
    <row r="176" spans="1:21" ht="12.95" customHeight="1">
      <c r="A176" s="1"/>
      <c r="B176" s="1"/>
      <c r="C176" s="1"/>
      <c r="D176" s="19"/>
      <c r="E176" s="19"/>
      <c r="F176" s="19"/>
      <c r="G176" s="19"/>
      <c r="H176" s="19"/>
      <c r="I176" s="19"/>
      <c r="J176" s="19"/>
      <c r="K176" s="19"/>
      <c r="L176" s="19"/>
      <c r="M176" s="1"/>
      <c r="N176" s="19"/>
      <c r="P176" s="2"/>
      <c r="Q176" s="2"/>
      <c r="R176" s="2"/>
      <c r="S176" s="368"/>
      <c r="T176" s="2"/>
      <c r="U176" s="2"/>
    </row>
    <row r="177" spans="1:21" ht="12.95" customHeight="1">
      <c r="A177" s="1"/>
      <c r="B177" s="1"/>
      <c r="C177" s="1"/>
      <c r="D177" s="19"/>
      <c r="E177" s="19"/>
      <c r="F177" s="19"/>
      <c r="G177" s="19"/>
      <c r="H177" s="19"/>
      <c r="I177" s="19"/>
      <c r="J177" s="19"/>
      <c r="K177" s="19"/>
      <c r="L177" s="19"/>
      <c r="M177" s="1"/>
      <c r="N177" s="19"/>
      <c r="P177" s="2"/>
      <c r="Q177" s="2"/>
      <c r="R177" s="2"/>
      <c r="S177" s="368"/>
      <c r="T177" s="2"/>
      <c r="U177" s="2"/>
    </row>
    <row r="178" spans="1:21" ht="12.95" customHeight="1">
      <c r="A178" s="1"/>
      <c r="B178" s="1"/>
      <c r="C178" s="1"/>
      <c r="D178" s="19"/>
      <c r="E178" s="19"/>
      <c r="F178" s="19"/>
      <c r="G178" s="19"/>
      <c r="H178" s="19"/>
      <c r="I178" s="19"/>
      <c r="J178" s="19"/>
      <c r="K178" s="19"/>
      <c r="L178" s="19"/>
      <c r="M178" s="1"/>
      <c r="N178" s="19"/>
      <c r="P178" s="2"/>
      <c r="Q178" s="2"/>
      <c r="R178" s="2"/>
      <c r="S178" s="368"/>
      <c r="T178" s="2"/>
      <c r="U178" s="2"/>
    </row>
    <row r="179" spans="1:21" ht="12.95" customHeight="1">
      <c r="A179" s="1"/>
      <c r="B179" s="1"/>
      <c r="C179" s="1"/>
      <c r="D179" s="19"/>
      <c r="E179" s="19"/>
      <c r="F179" s="19"/>
      <c r="G179" s="19"/>
      <c r="H179" s="19"/>
      <c r="I179" s="19"/>
      <c r="J179" s="19"/>
      <c r="K179" s="19"/>
      <c r="L179" s="19"/>
      <c r="M179" s="1"/>
      <c r="N179" s="19"/>
      <c r="P179" s="2"/>
      <c r="Q179" s="2"/>
      <c r="R179" s="2"/>
      <c r="S179" s="368"/>
      <c r="T179" s="2"/>
      <c r="U179" s="2"/>
    </row>
    <row r="180" spans="1:21" ht="12.95" customHeight="1">
      <c r="A180" s="1"/>
      <c r="B180" s="1"/>
      <c r="C180" s="1"/>
      <c r="D180" s="19"/>
      <c r="E180" s="19"/>
      <c r="F180" s="19"/>
      <c r="G180" s="19"/>
      <c r="H180" s="19"/>
      <c r="I180" s="19"/>
      <c r="J180" s="19"/>
      <c r="K180" s="19"/>
      <c r="L180" s="19"/>
      <c r="M180" s="1"/>
      <c r="N180" s="19"/>
      <c r="P180" s="2"/>
      <c r="Q180" s="2"/>
      <c r="R180" s="2"/>
      <c r="S180" s="368"/>
      <c r="T180" s="2"/>
      <c r="U180" s="2"/>
    </row>
    <row r="181" spans="1:21" ht="12.95" customHeight="1">
      <c r="A181" s="1"/>
      <c r="B181" s="1"/>
      <c r="C181" s="1"/>
      <c r="D181" s="19"/>
      <c r="E181" s="19"/>
      <c r="F181" s="19"/>
      <c r="G181" s="19"/>
      <c r="H181" s="19"/>
      <c r="I181" s="19"/>
      <c r="J181" s="19"/>
      <c r="K181" s="19"/>
      <c r="L181" s="19"/>
      <c r="M181" s="1"/>
      <c r="N181" s="19"/>
      <c r="P181" s="2"/>
      <c r="Q181" s="2"/>
      <c r="R181" s="2"/>
      <c r="S181" s="368"/>
      <c r="T181" s="2"/>
      <c r="U181" s="2"/>
    </row>
    <row r="182" spans="1:21" ht="12.95" customHeight="1">
      <c r="A182" s="1"/>
      <c r="B182" s="1"/>
      <c r="C182" s="1"/>
      <c r="D182" s="19"/>
      <c r="E182" s="19"/>
      <c r="F182" s="19"/>
      <c r="G182" s="19"/>
      <c r="H182" s="19"/>
      <c r="I182" s="19"/>
      <c r="J182" s="19"/>
      <c r="K182" s="19"/>
      <c r="L182" s="19"/>
      <c r="M182" s="1"/>
      <c r="N182" s="19"/>
      <c r="P182" s="2"/>
      <c r="Q182" s="2"/>
      <c r="R182" s="2"/>
      <c r="S182" s="368"/>
      <c r="T182" s="2"/>
      <c r="U182" s="2"/>
    </row>
    <row r="183" spans="1:21" ht="12.95" customHeight="1">
      <c r="A183" s="1"/>
      <c r="B183" s="1"/>
      <c r="C183" s="1"/>
      <c r="D183" s="19"/>
      <c r="E183" s="19"/>
      <c r="F183" s="19"/>
      <c r="G183" s="19"/>
      <c r="H183" s="19"/>
      <c r="I183" s="19"/>
      <c r="J183" s="19"/>
      <c r="K183" s="19"/>
      <c r="L183" s="19"/>
      <c r="M183" s="1"/>
      <c r="N183" s="19"/>
      <c r="P183" s="2"/>
      <c r="Q183" s="2"/>
      <c r="R183" s="2"/>
      <c r="S183" s="368"/>
      <c r="T183" s="2"/>
      <c r="U183" s="2"/>
    </row>
    <row r="184" spans="1:21" ht="12.95" customHeight="1">
      <c r="A184" s="1"/>
      <c r="B184" s="1"/>
      <c r="C184" s="1"/>
      <c r="D184" s="19"/>
      <c r="E184" s="19"/>
      <c r="F184" s="19"/>
      <c r="G184" s="19"/>
      <c r="H184" s="19"/>
      <c r="I184" s="19"/>
      <c r="J184" s="19"/>
      <c r="K184" s="19"/>
      <c r="L184" s="19"/>
      <c r="M184" s="1"/>
      <c r="N184" s="19"/>
      <c r="P184" s="2"/>
      <c r="Q184" s="2"/>
      <c r="R184" s="2"/>
      <c r="S184" s="368"/>
      <c r="T184" s="2"/>
      <c r="U184" s="2"/>
    </row>
    <row r="185" spans="1:21" ht="12.95" customHeight="1">
      <c r="A185" s="1"/>
      <c r="B185" s="1"/>
      <c r="C185" s="1"/>
      <c r="D185" s="19"/>
      <c r="E185" s="19"/>
      <c r="F185" s="19"/>
      <c r="G185" s="19"/>
      <c r="H185" s="19"/>
      <c r="I185" s="19"/>
      <c r="J185" s="19"/>
      <c r="K185" s="19"/>
      <c r="L185" s="19"/>
      <c r="M185" s="1"/>
      <c r="N185" s="19"/>
      <c r="P185" s="2"/>
      <c r="Q185" s="2"/>
      <c r="R185" s="2"/>
      <c r="S185" s="368"/>
      <c r="T185" s="2"/>
      <c r="U185" s="2"/>
    </row>
    <row r="186" spans="1:21" ht="12.95" customHeight="1">
      <c r="A186" s="1"/>
      <c r="B186" s="1"/>
      <c r="C186" s="1"/>
      <c r="D186" s="19"/>
      <c r="E186" s="19"/>
      <c r="F186" s="19"/>
      <c r="G186" s="19"/>
      <c r="H186" s="19"/>
      <c r="I186" s="19"/>
      <c r="J186" s="19"/>
      <c r="K186" s="19"/>
      <c r="L186" s="19"/>
      <c r="M186" s="1"/>
      <c r="N186" s="19"/>
      <c r="P186" s="2"/>
      <c r="Q186" s="2"/>
      <c r="R186" s="2"/>
      <c r="S186" s="368"/>
      <c r="T186" s="2"/>
      <c r="U186" s="2"/>
    </row>
    <row r="187" spans="1:21" ht="12.95" customHeight="1">
      <c r="A187" s="1"/>
      <c r="B187" s="1"/>
      <c r="C187" s="1"/>
      <c r="D187" s="19"/>
      <c r="E187" s="19"/>
      <c r="F187" s="19"/>
      <c r="G187" s="19"/>
      <c r="H187" s="19"/>
      <c r="I187" s="19"/>
      <c r="J187" s="19"/>
      <c r="K187" s="19"/>
      <c r="L187" s="19"/>
      <c r="M187" s="1"/>
      <c r="N187" s="19"/>
      <c r="P187" s="2"/>
      <c r="Q187" s="2"/>
      <c r="R187" s="2"/>
      <c r="S187" s="368"/>
      <c r="T187" s="2"/>
      <c r="U187" s="2"/>
    </row>
    <row r="188" spans="1:21" ht="12.95" customHeight="1">
      <c r="A188" s="1"/>
      <c r="B188" s="1"/>
      <c r="C188" s="1"/>
      <c r="D188" s="19"/>
      <c r="E188" s="19"/>
      <c r="F188" s="19"/>
      <c r="G188" s="19"/>
      <c r="H188" s="19"/>
      <c r="I188" s="19"/>
      <c r="J188" s="19"/>
      <c r="K188" s="19"/>
      <c r="L188" s="19"/>
      <c r="M188" s="1"/>
      <c r="N188" s="19"/>
      <c r="P188" s="2"/>
      <c r="Q188" s="2"/>
      <c r="R188" s="2"/>
      <c r="S188" s="368"/>
      <c r="T188" s="2"/>
      <c r="U188" s="2"/>
    </row>
    <row r="189" spans="1:21" ht="12.95" customHeight="1">
      <c r="A189" s="1"/>
      <c r="B189" s="1"/>
      <c r="C189" s="1"/>
      <c r="D189" s="19"/>
      <c r="E189" s="19"/>
      <c r="F189" s="19"/>
      <c r="G189" s="19"/>
      <c r="H189" s="19"/>
      <c r="I189" s="19"/>
      <c r="J189" s="19"/>
      <c r="K189" s="19"/>
      <c r="L189" s="19"/>
      <c r="M189" s="1"/>
      <c r="N189" s="19"/>
      <c r="P189" s="2"/>
      <c r="Q189" s="2"/>
      <c r="R189" s="2"/>
      <c r="S189" s="368"/>
      <c r="T189" s="2"/>
      <c r="U189" s="2"/>
    </row>
    <row r="190" spans="1:21" ht="12.95" customHeight="1">
      <c r="A190" s="1"/>
      <c r="B190" s="1"/>
      <c r="C190" s="1"/>
      <c r="D190" s="19"/>
      <c r="E190" s="19"/>
      <c r="F190" s="19"/>
      <c r="G190" s="19"/>
      <c r="H190" s="19"/>
      <c r="I190" s="19"/>
      <c r="J190" s="19"/>
      <c r="K190" s="19"/>
      <c r="L190" s="19"/>
      <c r="M190" s="1"/>
      <c r="N190" s="19"/>
      <c r="P190" s="2"/>
      <c r="Q190" s="2"/>
      <c r="R190" s="2"/>
      <c r="S190" s="368"/>
      <c r="T190" s="2"/>
      <c r="U190" s="2"/>
    </row>
    <row r="191" spans="1:21" ht="12.95" customHeight="1">
      <c r="A191" s="1"/>
      <c r="B191" s="1"/>
      <c r="C191" s="1"/>
      <c r="D191" s="19"/>
      <c r="E191" s="19"/>
      <c r="F191" s="19"/>
      <c r="G191" s="19"/>
      <c r="H191" s="19"/>
      <c r="I191" s="19"/>
      <c r="J191" s="19"/>
      <c r="K191" s="19"/>
      <c r="L191" s="19"/>
      <c r="M191" s="1"/>
      <c r="N191" s="19"/>
      <c r="P191" s="2"/>
      <c r="Q191" s="2"/>
      <c r="R191" s="2"/>
      <c r="S191" s="368"/>
      <c r="T191" s="2"/>
      <c r="U191" s="2"/>
    </row>
    <row r="192" spans="1:21" ht="12.95" customHeight="1">
      <c r="A192" s="1"/>
      <c r="B192" s="1"/>
      <c r="C192" s="1"/>
      <c r="D192" s="19"/>
      <c r="E192" s="19"/>
      <c r="F192" s="19"/>
      <c r="G192" s="19"/>
      <c r="H192" s="19"/>
      <c r="I192" s="19"/>
      <c r="J192" s="19"/>
      <c r="K192" s="19"/>
      <c r="L192" s="19"/>
      <c r="M192" s="1"/>
      <c r="N192" s="19"/>
      <c r="P192" s="2"/>
      <c r="Q192" s="2"/>
      <c r="R192" s="2"/>
      <c r="S192" s="368"/>
      <c r="T192" s="2"/>
      <c r="U192" s="2"/>
    </row>
    <row r="193" spans="1:21" ht="12.95" customHeight="1">
      <c r="A193" s="1"/>
      <c r="B193" s="1"/>
      <c r="C193" s="1"/>
      <c r="D193" s="19"/>
      <c r="E193" s="19"/>
      <c r="F193" s="19"/>
      <c r="G193" s="19"/>
      <c r="H193" s="19"/>
      <c r="I193" s="19"/>
      <c r="J193" s="19"/>
      <c r="K193" s="19"/>
      <c r="L193" s="19"/>
      <c r="M193" s="1"/>
      <c r="N193" s="19"/>
      <c r="P193" s="2"/>
      <c r="Q193" s="2"/>
      <c r="R193" s="2"/>
      <c r="S193" s="368"/>
      <c r="T193" s="2"/>
      <c r="U193" s="2"/>
    </row>
    <row r="194" spans="1:21" ht="12.95" customHeight="1">
      <c r="A194" s="1"/>
      <c r="B194" s="1"/>
      <c r="C194" s="1"/>
      <c r="D194" s="19"/>
      <c r="E194" s="19"/>
      <c r="F194" s="19"/>
      <c r="G194" s="19"/>
      <c r="H194" s="19"/>
      <c r="I194" s="19"/>
      <c r="J194" s="19"/>
      <c r="K194" s="19"/>
      <c r="L194" s="19"/>
      <c r="M194" s="1"/>
      <c r="N194" s="19"/>
      <c r="P194" s="2"/>
      <c r="Q194" s="2"/>
      <c r="R194" s="2"/>
      <c r="S194" s="368"/>
      <c r="T194" s="2"/>
      <c r="U194" s="2"/>
    </row>
    <row r="195" spans="1:21" ht="12.95" customHeight="1">
      <c r="A195" s="1"/>
      <c r="B195" s="1"/>
      <c r="C195" s="1"/>
      <c r="D195" s="19"/>
      <c r="E195" s="19"/>
      <c r="F195" s="19"/>
      <c r="G195" s="19"/>
      <c r="H195" s="19"/>
      <c r="I195" s="19"/>
      <c r="J195" s="19"/>
      <c r="K195" s="19"/>
      <c r="L195" s="19"/>
      <c r="M195" s="1"/>
      <c r="N195" s="19"/>
      <c r="P195" s="2"/>
      <c r="Q195" s="2"/>
      <c r="R195" s="2"/>
      <c r="S195" s="368"/>
      <c r="T195" s="2"/>
      <c r="U195" s="2"/>
    </row>
    <row r="196" spans="1:21" ht="12.95" customHeight="1">
      <c r="A196" s="1"/>
      <c r="B196" s="1"/>
      <c r="C196" s="1"/>
      <c r="D196" s="19"/>
      <c r="E196" s="19"/>
      <c r="F196" s="19"/>
      <c r="G196" s="19"/>
      <c r="H196" s="19"/>
      <c r="I196" s="19"/>
      <c r="J196" s="19"/>
      <c r="K196" s="19"/>
      <c r="L196" s="19"/>
      <c r="M196" s="1"/>
      <c r="N196" s="19"/>
      <c r="P196" s="2"/>
      <c r="Q196" s="2"/>
      <c r="R196" s="2"/>
      <c r="S196" s="368"/>
      <c r="T196" s="2"/>
      <c r="U196" s="2"/>
    </row>
    <row r="197" spans="1:21" ht="12.95" customHeight="1">
      <c r="A197" s="1"/>
      <c r="B197" s="1"/>
      <c r="C197" s="1"/>
      <c r="D197" s="19"/>
      <c r="E197" s="19"/>
      <c r="F197" s="19"/>
      <c r="G197" s="19"/>
      <c r="H197" s="19"/>
      <c r="I197" s="19"/>
      <c r="J197" s="19"/>
      <c r="K197" s="19"/>
      <c r="L197" s="19"/>
      <c r="M197" s="1"/>
      <c r="N197" s="19"/>
      <c r="P197" s="2"/>
      <c r="Q197" s="2"/>
      <c r="R197" s="2"/>
      <c r="S197" s="368"/>
      <c r="T197" s="2"/>
      <c r="U197" s="2"/>
    </row>
    <row r="198" spans="1:21" ht="12.95" customHeight="1">
      <c r="A198" s="1"/>
      <c r="B198" s="1"/>
      <c r="C198" s="1"/>
      <c r="D198" s="19"/>
      <c r="E198" s="19"/>
      <c r="F198" s="19"/>
      <c r="G198" s="19"/>
      <c r="H198" s="19"/>
      <c r="I198" s="19"/>
      <c r="J198" s="19"/>
      <c r="K198" s="19"/>
      <c r="L198" s="19"/>
      <c r="M198" s="1"/>
      <c r="N198" s="19"/>
      <c r="P198" s="2"/>
      <c r="Q198" s="2"/>
      <c r="R198" s="2"/>
      <c r="S198" s="368"/>
      <c r="T198" s="2"/>
      <c r="U198" s="2"/>
    </row>
    <row r="199" spans="1:21" ht="12.95" customHeight="1">
      <c r="A199" s="1"/>
      <c r="B199" s="1"/>
      <c r="C199" s="1"/>
      <c r="D199" s="19"/>
      <c r="E199" s="19"/>
      <c r="F199" s="19"/>
      <c r="G199" s="19"/>
      <c r="H199" s="19"/>
      <c r="I199" s="19"/>
      <c r="J199" s="19"/>
      <c r="K199" s="19"/>
      <c r="L199" s="19"/>
      <c r="M199" s="1"/>
      <c r="N199" s="19"/>
      <c r="P199" s="2"/>
      <c r="Q199" s="2"/>
      <c r="R199" s="2"/>
      <c r="S199" s="368"/>
      <c r="T199" s="2"/>
      <c r="U199" s="2"/>
    </row>
    <row r="200" spans="1:21" ht="12.95" customHeight="1">
      <c r="A200" s="1"/>
      <c r="B200" s="1"/>
      <c r="C200" s="1"/>
      <c r="D200" s="19"/>
      <c r="E200" s="19"/>
      <c r="F200" s="19"/>
      <c r="G200" s="19"/>
      <c r="H200" s="19"/>
      <c r="I200" s="19"/>
      <c r="J200" s="19"/>
      <c r="K200" s="19"/>
      <c r="L200" s="19"/>
      <c r="M200" s="1"/>
      <c r="N200" s="19"/>
      <c r="P200" s="2"/>
      <c r="Q200" s="2"/>
      <c r="R200" s="2"/>
      <c r="S200" s="368"/>
      <c r="T200" s="2"/>
      <c r="U200" s="2"/>
    </row>
    <row r="201" spans="1:21" ht="12.95" customHeight="1">
      <c r="A201" s="1"/>
      <c r="B201" s="1"/>
      <c r="C201" s="1"/>
      <c r="D201" s="19"/>
      <c r="E201" s="19"/>
      <c r="F201" s="19"/>
      <c r="G201" s="19"/>
      <c r="H201" s="19"/>
      <c r="I201" s="19"/>
      <c r="J201" s="19"/>
      <c r="K201" s="19"/>
      <c r="L201" s="19"/>
      <c r="M201" s="1"/>
      <c r="N201" s="19"/>
      <c r="P201" s="2"/>
      <c r="Q201" s="2"/>
      <c r="R201" s="2"/>
      <c r="S201" s="368"/>
      <c r="T201" s="2"/>
      <c r="U201" s="2"/>
    </row>
    <row r="202" spans="1:21" ht="12.95" customHeight="1">
      <c r="A202" s="1"/>
      <c r="B202" s="1"/>
      <c r="C202" s="1"/>
      <c r="D202" s="19"/>
      <c r="E202" s="19"/>
      <c r="F202" s="19"/>
      <c r="G202" s="19"/>
      <c r="H202" s="19"/>
      <c r="I202" s="19"/>
      <c r="J202" s="19"/>
      <c r="K202" s="19"/>
      <c r="L202" s="19"/>
      <c r="M202" s="1"/>
      <c r="N202" s="19"/>
      <c r="P202" s="2"/>
      <c r="Q202" s="2"/>
      <c r="R202" s="2"/>
      <c r="S202" s="368"/>
      <c r="T202" s="2"/>
      <c r="U202" s="2"/>
    </row>
    <row r="203" spans="1:21" ht="12.95" customHeight="1">
      <c r="A203" s="1"/>
      <c r="B203" s="1"/>
      <c r="C203" s="1"/>
      <c r="D203" s="19"/>
      <c r="E203" s="19"/>
      <c r="F203" s="19"/>
      <c r="G203" s="19"/>
      <c r="H203" s="19"/>
      <c r="I203" s="19"/>
      <c r="J203" s="19"/>
      <c r="K203" s="19"/>
      <c r="L203" s="19"/>
      <c r="M203" s="1"/>
      <c r="N203" s="19"/>
      <c r="P203" s="2"/>
      <c r="Q203" s="2"/>
      <c r="R203" s="2"/>
      <c r="S203" s="368"/>
      <c r="T203" s="2"/>
      <c r="U203" s="2"/>
    </row>
    <row r="204" spans="1:21" ht="12.95" customHeight="1">
      <c r="A204" s="1"/>
      <c r="B204" s="1"/>
      <c r="C204" s="1"/>
      <c r="D204" s="19"/>
      <c r="E204" s="19"/>
      <c r="F204" s="19"/>
      <c r="G204" s="19"/>
      <c r="H204" s="19"/>
      <c r="I204" s="19"/>
      <c r="J204" s="19"/>
      <c r="K204" s="19"/>
      <c r="L204" s="19"/>
      <c r="M204" s="1"/>
      <c r="N204" s="19"/>
      <c r="P204" s="2"/>
      <c r="Q204" s="2"/>
      <c r="R204" s="2"/>
      <c r="S204" s="368"/>
      <c r="T204" s="2"/>
      <c r="U204" s="2"/>
    </row>
    <row r="205" spans="1:21" ht="12.95" customHeight="1">
      <c r="A205" s="1"/>
      <c r="B205" s="1"/>
      <c r="C205" s="1"/>
      <c r="D205" s="19"/>
      <c r="E205" s="19"/>
      <c r="F205" s="19"/>
      <c r="G205" s="19"/>
      <c r="H205" s="19"/>
      <c r="I205" s="19"/>
      <c r="J205" s="19"/>
      <c r="K205" s="19"/>
      <c r="L205" s="19"/>
      <c r="M205" s="1"/>
      <c r="N205" s="19"/>
      <c r="P205" s="2"/>
      <c r="Q205" s="2"/>
      <c r="R205" s="2"/>
      <c r="S205" s="368"/>
      <c r="T205" s="2"/>
      <c r="U205" s="2"/>
    </row>
    <row r="206" spans="1:21" ht="12.95" customHeight="1">
      <c r="A206" s="1"/>
      <c r="B206" s="1"/>
      <c r="C206" s="1"/>
      <c r="D206" s="19"/>
      <c r="E206" s="19"/>
      <c r="F206" s="19"/>
      <c r="G206" s="19"/>
      <c r="H206" s="19"/>
      <c r="I206" s="19"/>
      <c r="J206" s="19"/>
      <c r="K206" s="19"/>
      <c r="L206" s="19"/>
      <c r="M206" s="1"/>
      <c r="N206" s="19"/>
      <c r="P206" s="2"/>
      <c r="Q206" s="2"/>
      <c r="R206" s="2"/>
      <c r="S206" s="368"/>
      <c r="T206" s="2"/>
      <c r="U206" s="2"/>
    </row>
    <row r="207" spans="1:21" ht="12.95" customHeight="1">
      <c r="A207" s="1"/>
      <c r="B207" s="1"/>
      <c r="C207" s="1"/>
      <c r="D207" s="19"/>
      <c r="E207" s="19"/>
      <c r="F207" s="19"/>
      <c r="G207" s="19"/>
      <c r="H207" s="19"/>
      <c r="I207" s="19"/>
      <c r="J207" s="19"/>
      <c r="K207" s="19"/>
      <c r="L207" s="19"/>
      <c r="M207" s="1"/>
      <c r="N207" s="19"/>
      <c r="P207" s="2"/>
      <c r="Q207" s="2"/>
      <c r="R207" s="2"/>
      <c r="S207" s="368"/>
      <c r="T207" s="2"/>
      <c r="U207" s="2"/>
    </row>
    <row r="208" spans="1:21" ht="12.95" customHeight="1">
      <c r="A208" s="1"/>
      <c r="B208" s="1"/>
      <c r="C208" s="1"/>
      <c r="D208" s="19"/>
      <c r="E208" s="19"/>
      <c r="F208" s="19"/>
      <c r="G208" s="19"/>
      <c r="H208" s="19"/>
      <c r="I208" s="19"/>
      <c r="J208" s="19"/>
      <c r="K208" s="19"/>
      <c r="L208" s="19"/>
      <c r="M208" s="1"/>
      <c r="N208" s="19"/>
      <c r="P208" s="2"/>
      <c r="Q208" s="2"/>
      <c r="R208" s="2"/>
      <c r="S208" s="368"/>
      <c r="T208" s="2"/>
      <c r="U208" s="2"/>
    </row>
    <row r="209" spans="1:21" ht="12.95" customHeight="1">
      <c r="A209" s="1"/>
      <c r="B209" s="1"/>
      <c r="C209" s="1"/>
      <c r="D209" s="19"/>
      <c r="E209" s="19"/>
      <c r="F209" s="19"/>
      <c r="G209" s="19"/>
      <c r="H209" s="19"/>
      <c r="I209" s="19"/>
      <c r="J209" s="19"/>
      <c r="K209" s="19"/>
      <c r="L209" s="19"/>
      <c r="M209" s="1"/>
      <c r="N209" s="19"/>
      <c r="P209" s="2"/>
      <c r="Q209" s="2"/>
      <c r="R209" s="2"/>
      <c r="S209" s="368"/>
      <c r="T209" s="2"/>
      <c r="U209" s="2"/>
    </row>
    <row r="210" spans="1:21" ht="12.95" customHeight="1">
      <c r="A210" s="1"/>
      <c r="B210" s="1"/>
      <c r="C210" s="1"/>
      <c r="D210" s="19"/>
      <c r="E210" s="19"/>
      <c r="F210" s="19"/>
      <c r="G210" s="19"/>
      <c r="H210" s="19"/>
      <c r="I210" s="19"/>
      <c r="J210" s="19"/>
      <c r="K210" s="19"/>
      <c r="L210" s="19"/>
      <c r="M210" s="1"/>
      <c r="N210" s="19"/>
      <c r="P210" s="2"/>
      <c r="Q210" s="2"/>
      <c r="R210" s="2"/>
      <c r="S210" s="368"/>
      <c r="T210" s="2"/>
      <c r="U210" s="2"/>
    </row>
    <row r="211" spans="1:21" ht="12.95" customHeight="1">
      <c r="A211" s="1"/>
      <c r="B211" s="1"/>
      <c r="C211" s="1"/>
      <c r="D211" s="19"/>
      <c r="E211" s="19"/>
      <c r="F211" s="19"/>
      <c r="G211" s="19"/>
      <c r="H211" s="19"/>
      <c r="I211" s="19"/>
      <c r="J211" s="19"/>
      <c r="K211" s="19"/>
      <c r="L211" s="19"/>
      <c r="M211" s="1"/>
      <c r="N211" s="19"/>
      <c r="P211" s="2"/>
      <c r="Q211" s="2"/>
      <c r="R211" s="2"/>
      <c r="S211" s="368"/>
      <c r="T211" s="2"/>
      <c r="U211" s="2"/>
    </row>
    <row r="212" spans="1:21" ht="12.95" customHeight="1">
      <c r="A212" s="1"/>
      <c r="B212" s="1"/>
      <c r="C212" s="1"/>
      <c r="D212" s="19"/>
      <c r="E212" s="19"/>
      <c r="F212" s="19"/>
      <c r="G212" s="19"/>
      <c r="H212" s="19"/>
      <c r="I212" s="19"/>
      <c r="J212" s="19"/>
      <c r="K212" s="19"/>
      <c r="L212" s="19"/>
      <c r="M212" s="1"/>
      <c r="N212" s="19"/>
      <c r="P212" s="2"/>
      <c r="Q212" s="2"/>
      <c r="R212" s="2"/>
      <c r="S212" s="368"/>
      <c r="T212" s="2"/>
      <c r="U212" s="2"/>
    </row>
    <row r="213" spans="1:21" ht="12.95" customHeight="1">
      <c r="A213" s="1"/>
      <c r="B213" s="1"/>
      <c r="C213" s="1"/>
      <c r="D213" s="19"/>
      <c r="E213" s="19"/>
      <c r="F213" s="19"/>
      <c r="G213" s="19"/>
      <c r="H213" s="19"/>
      <c r="I213" s="19"/>
      <c r="J213" s="19"/>
      <c r="K213" s="19"/>
      <c r="L213" s="19"/>
      <c r="M213" s="1"/>
      <c r="N213" s="19"/>
      <c r="P213" s="2"/>
      <c r="Q213" s="2"/>
      <c r="R213" s="2"/>
      <c r="S213" s="368"/>
      <c r="T213" s="2"/>
      <c r="U213" s="2"/>
    </row>
    <row r="214" spans="1:21" ht="12.95" customHeight="1">
      <c r="A214" s="1"/>
      <c r="B214" s="1"/>
      <c r="C214" s="1"/>
      <c r="D214" s="19"/>
      <c r="E214" s="19"/>
      <c r="F214" s="19"/>
      <c r="G214" s="19"/>
      <c r="H214" s="19"/>
      <c r="I214" s="19"/>
      <c r="J214" s="19"/>
      <c r="K214" s="19"/>
      <c r="L214" s="19"/>
      <c r="M214" s="1"/>
      <c r="N214" s="19"/>
      <c r="P214" s="2"/>
      <c r="Q214" s="2"/>
      <c r="R214" s="2"/>
      <c r="S214" s="368"/>
      <c r="T214" s="2"/>
      <c r="U214" s="2"/>
    </row>
    <row r="215" spans="1:21" ht="12.95" customHeight="1">
      <c r="A215" s="1"/>
      <c r="B215" s="1"/>
      <c r="C215" s="1"/>
      <c r="D215" s="19"/>
      <c r="E215" s="19"/>
      <c r="F215" s="19"/>
      <c r="G215" s="19"/>
      <c r="H215" s="19"/>
      <c r="I215" s="19"/>
      <c r="J215" s="19"/>
      <c r="K215" s="19"/>
      <c r="L215" s="19"/>
      <c r="M215" s="1"/>
      <c r="N215" s="19"/>
      <c r="P215" s="2"/>
      <c r="Q215" s="2"/>
      <c r="R215" s="2"/>
      <c r="S215" s="368"/>
      <c r="T215" s="2"/>
      <c r="U215" s="2"/>
    </row>
    <row r="216" spans="1:21" ht="12.95" customHeight="1">
      <c r="A216" s="1"/>
      <c r="B216" s="1"/>
      <c r="C216" s="1"/>
      <c r="D216" s="19"/>
      <c r="E216" s="19"/>
      <c r="F216" s="19"/>
      <c r="G216" s="19"/>
      <c r="H216" s="19"/>
      <c r="I216" s="19"/>
      <c r="J216" s="19"/>
      <c r="K216" s="19"/>
      <c r="L216" s="19"/>
      <c r="M216" s="1"/>
      <c r="N216" s="19"/>
      <c r="P216" s="2"/>
      <c r="Q216" s="2"/>
      <c r="R216" s="2"/>
      <c r="S216" s="368"/>
      <c r="T216" s="2"/>
      <c r="U216" s="2"/>
    </row>
    <row r="217" spans="1:21" ht="12.95" customHeight="1">
      <c r="A217" s="1"/>
      <c r="B217" s="1"/>
      <c r="C217" s="1"/>
      <c r="D217" s="19"/>
      <c r="E217" s="19"/>
      <c r="F217" s="19"/>
      <c r="G217" s="19"/>
      <c r="H217" s="19"/>
      <c r="I217" s="19"/>
      <c r="J217" s="19"/>
      <c r="K217" s="19"/>
      <c r="L217" s="19"/>
      <c r="M217" s="1"/>
      <c r="N217" s="19"/>
      <c r="P217" s="2"/>
      <c r="Q217" s="2"/>
      <c r="R217" s="2"/>
      <c r="S217" s="368"/>
      <c r="T217" s="2"/>
      <c r="U217" s="2"/>
    </row>
    <row r="218" spans="1:21" ht="12.95" customHeight="1">
      <c r="A218" s="1"/>
      <c r="B218" s="1"/>
      <c r="C218" s="1"/>
      <c r="D218" s="19"/>
      <c r="E218" s="19"/>
      <c r="F218" s="19"/>
      <c r="G218" s="19"/>
      <c r="H218" s="19"/>
      <c r="I218" s="19"/>
      <c r="J218" s="19"/>
      <c r="K218" s="19"/>
      <c r="L218" s="19"/>
      <c r="M218" s="1"/>
      <c r="N218" s="19"/>
      <c r="P218" s="2"/>
      <c r="Q218" s="2"/>
      <c r="R218" s="2"/>
      <c r="S218" s="368"/>
      <c r="T218" s="2"/>
      <c r="U218" s="2"/>
    </row>
    <row r="219" spans="1:21" ht="12.95" customHeight="1">
      <c r="A219" s="1"/>
      <c r="B219" s="1"/>
      <c r="C219" s="1"/>
      <c r="D219" s="19"/>
      <c r="E219" s="19"/>
      <c r="F219" s="19"/>
      <c r="G219" s="19"/>
      <c r="H219" s="19"/>
      <c r="I219" s="19"/>
      <c r="J219" s="19"/>
      <c r="K219" s="19"/>
      <c r="L219" s="19"/>
      <c r="M219" s="1"/>
      <c r="N219" s="19"/>
      <c r="P219" s="2"/>
      <c r="Q219" s="2"/>
      <c r="R219" s="2"/>
      <c r="S219" s="368"/>
      <c r="T219" s="2"/>
      <c r="U219" s="2"/>
    </row>
    <row r="220" spans="1:21" ht="12.95" customHeight="1">
      <c r="A220" s="1"/>
      <c r="B220" s="1"/>
      <c r="C220" s="1"/>
      <c r="D220" s="19"/>
      <c r="E220" s="19"/>
      <c r="F220" s="19"/>
      <c r="G220" s="19"/>
      <c r="H220" s="19"/>
      <c r="I220" s="19"/>
      <c r="J220" s="19"/>
      <c r="K220" s="19"/>
      <c r="L220" s="19"/>
      <c r="M220" s="1"/>
      <c r="N220" s="19"/>
      <c r="P220" s="2"/>
      <c r="Q220" s="2"/>
      <c r="R220" s="2"/>
      <c r="S220" s="368"/>
      <c r="T220" s="2"/>
      <c r="U220" s="2"/>
    </row>
    <row r="221" spans="1:21" ht="12.95" customHeight="1">
      <c r="A221" s="1"/>
      <c r="B221" s="1"/>
      <c r="C221" s="1"/>
      <c r="D221" s="19"/>
      <c r="E221" s="19"/>
      <c r="F221" s="19"/>
      <c r="G221" s="19"/>
      <c r="H221" s="19"/>
      <c r="I221" s="19"/>
      <c r="J221" s="19"/>
      <c r="K221" s="19"/>
      <c r="L221" s="19"/>
      <c r="M221" s="1"/>
      <c r="N221" s="19"/>
      <c r="P221" s="2"/>
      <c r="Q221" s="2"/>
      <c r="R221" s="2"/>
      <c r="S221" s="368"/>
      <c r="T221" s="2"/>
      <c r="U221" s="2"/>
    </row>
    <row r="222" spans="1:21" ht="12.95" customHeight="1">
      <c r="A222" s="1"/>
      <c r="B222" s="1"/>
      <c r="C222" s="1"/>
      <c r="D222" s="19"/>
      <c r="E222" s="19"/>
      <c r="F222" s="19"/>
      <c r="G222" s="19"/>
      <c r="H222" s="19"/>
      <c r="I222" s="19"/>
      <c r="J222" s="19"/>
      <c r="K222" s="19"/>
      <c r="L222" s="19"/>
      <c r="M222" s="1"/>
      <c r="N222" s="19"/>
      <c r="P222" s="2"/>
      <c r="Q222" s="2"/>
      <c r="R222" s="2"/>
      <c r="S222" s="368"/>
      <c r="T222" s="2"/>
      <c r="U222" s="2"/>
    </row>
    <row r="223" spans="1:21" ht="12.95" customHeight="1">
      <c r="A223" s="1"/>
      <c r="B223" s="1"/>
      <c r="C223" s="1"/>
      <c r="D223" s="19"/>
      <c r="E223" s="19"/>
      <c r="F223" s="19"/>
      <c r="G223" s="19"/>
      <c r="H223" s="19"/>
      <c r="I223" s="19"/>
      <c r="J223" s="19"/>
      <c r="K223" s="19"/>
      <c r="L223" s="19"/>
      <c r="M223" s="1"/>
      <c r="N223" s="19"/>
      <c r="P223" s="2"/>
      <c r="Q223" s="2"/>
      <c r="R223" s="2"/>
      <c r="S223" s="368"/>
      <c r="T223" s="2"/>
      <c r="U223" s="2"/>
    </row>
    <row r="224" spans="1:21" ht="12.95" customHeight="1">
      <c r="A224" s="1"/>
      <c r="B224" s="1"/>
      <c r="C224" s="1"/>
      <c r="D224" s="19"/>
      <c r="E224" s="19"/>
      <c r="F224" s="19"/>
      <c r="G224" s="19"/>
      <c r="H224" s="19"/>
      <c r="I224" s="19"/>
      <c r="J224" s="19"/>
      <c r="K224" s="19"/>
      <c r="L224" s="19"/>
      <c r="M224" s="1"/>
      <c r="N224" s="19"/>
      <c r="P224" s="2"/>
      <c r="Q224" s="2"/>
      <c r="R224" s="2"/>
      <c r="S224" s="368"/>
      <c r="T224" s="2"/>
      <c r="U224" s="2"/>
    </row>
    <row r="225" spans="1:21" ht="12.95" customHeight="1">
      <c r="A225" s="1"/>
      <c r="B225" s="1"/>
      <c r="C225" s="1"/>
      <c r="D225" s="19"/>
      <c r="E225" s="19"/>
      <c r="F225" s="19"/>
      <c r="G225" s="19"/>
      <c r="H225" s="19"/>
      <c r="I225" s="19"/>
      <c r="J225" s="19"/>
      <c r="K225" s="19"/>
      <c r="L225" s="19"/>
      <c r="M225" s="1"/>
      <c r="N225" s="19"/>
      <c r="P225" s="2"/>
      <c r="Q225" s="2"/>
      <c r="R225" s="2"/>
      <c r="S225" s="368"/>
      <c r="T225" s="2"/>
      <c r="U225" s="2"/>
    </row>
    <row r="226" spans="1:21" ht="12.95" customHeight="1">
      <c r="A226" s="1"/>
      <c r="B226" s="1"/>
      <c r="C226" s="1"/>
      <c r="D226" s="19"/>
      <c r="E226" s="19"/>
      <c r="F226" s="19"/>
      <c r="G226" s="19"/>
      <c r="H226" s="19"/>
      <c r="I226" s="19"/>
      <c r="J226" s="19"/>
      <c r="K226" s="19"/>
      <c r="L226" s="19"/>
      <c r="M226" s="1"/>
      <c r="N226" s="19"/>
      <c r="P226" s="2"/>
      <c r="Q226" s="2"/>
      <c r="R226" s="2"/>
      <c r="S226" s="368"/>
      <c r="T226" s="2"/>
      <c r="U226" s="2"/>
    </row>
    <row r="227" spans="1:21" ht="12.95" customHeight="1">
      <c r="A227" s="1"/>
      <c r="B227" s="1"/>
      <c r="C227" s="1"/>
      <c r="D227" s="19"/>
      <c r="E227" s="19"/>
      <c r="F227" s="19"/>
      <c r="G227" s="19"/>
      <c r="H227" s="19"/>
      <c r="I227" s="19"/>
      <c r="J227" s="19"/>
      <c r="K227" s="19"/>
      <c r="L227" s="19"/>
      <c r="M227" s="1"/>
      <c r="N227" s="19"/>
      <c r="P227" s="2"/>
      <c r="Q227" s="2"/>
      <c r="R227" s="2"/>
      <c r="S227" s="368"/>
      <c r="T227" s="2"/>
      <c r="U227" s="2"/>
    </row>
    <row r="228" spans="1:21" ht="12.95" customHeight="1">
      <c r="A228" s="1"/>
      <c r="B228" s="1"/>
      <c r="C228" s="1"/>
      <c r="D228" s="19"/>
      <c r="E228" s="19"/>
      <c r="F228" s="19"/>
      <c r="G228" s="19"/>
      <c r="H228" s="19"/>
      <c r="I228" s="19"/>
      <c r="J228" s="19"/>
      <c r="K228" s="19"/>
      <c r="L228" s="19"/>
      <c r="M228" s="1"/>
      <c r="N228" s="19"/>
      <c r="P228" s="2"/>
      <c r="Q228" s="2"/>
      <c r="R228" s="2"/>
      <c r="S228" s="368"/>
      <c r="T228" s="2"/>
      <c r="U228" s="2"/>
    </row>
    <row r="229" spans="1:21" ht="12.95" customHeight="1">
      <c r="A229" s="1"/>
      <c r="B229" s="1"/>
      <c r="C229" s="1"/>
      <c r="D229" s="19"/>
      <c r="E229" s="19"/>
      <c r="F229" s="19"/>
      <c r="G229" s="19"/>
      <c r="H229" s="19"/>
      <c r="I229" s="19"/>
      <c r="J229" s="19"/>
      <c r="K229" s="19"/>
      <c r="L229" s="19"/>
      <c r="M229" s="1"/>
      <c r="N229" s="19"/>
      <c r="P229" s="2"/>
      <c r="Q229" s="2"/>
      <c r="R229" s="2"/>
      <c r="S229" s="368"/>
      <c r="T229" s="2"/>
      <c r="U229" s="2"/>
    </row>
    <row r="230" spans="1:21" ht="12.95" customHeight="1">
      <c r="A230" s="1"/>
      <c r="B230" s="1"/>
      <c r="C230" s="1"/>
      <c r="D230" s="19"/>
      <c r="E230" s="19"/>
      <c r="F230" s="19"/>
      <c r="G230" s="19"/>
      <c r="H230" s="19"/>
      <c r="I230" s="19"/>
      <c r="J230" s="19"/>
      <c r="K230" s="19"/>
      <c r="L230" s="19"/>
      <c r="M230" s="1"/>
      <c r="N230" s="19"/>
      <c r="P230" s="2"/>
      <c r="Q230" s="2"/>
      <c r="R230" s="2"/>
      <c r="S230" s="368"/>
      <c r="T230" s="2"/>
      <c r="U230" s="2"/>
    </row>
    <row r="231" spans="1:21" ht="12.95" customHeight="1">
      <c r="A231" s="1"/>
      <c r="B231" s="1"/>
      <c r="C231" s="1"/>
      <c r="D231" s="19"/>
      <c r="E231" s="19"/>
      <c r="F231" s="19"/>
      <c r="G231" s="19"/>
      <c r="H231" s="19"/>
      <c r="I231" s="19"/>
      <c r="J231" s="19"/>
      <c r="K231" s="19"/>
      <c r="L231" s="19"/>
      <c r="M231" s="1"/>
      <c r="N231" s="19"/>
      <c r="P231" s="2"/>
      <c r="Q231" s="2"/>
      <c r="R231" s="2"/>
      <c r="S231" s="368"/>
      <c r="T231" s="2"/>
      <c r="U231" s="2"/>
    </row>
    <row r="232" spans="1:21" ht="12.95" customHeight="1">
      <c r="A232" s="1"/>
      <c r="B232" s="1"/>
      <c r="C232" s="1"/>
      <c r="D232" s="19"/>
      <c r="E232" s="19"/>
      <c r="F232" s="19"/>
      <c r="G232" s="19"/>
      <c r="H232" s="19"/>
      <c r="I232" s="19"/>
      <c r="J232" s="19"/>
      <c r="K232" s="19"/>
      <c r="L232" s="19"/>
      <c r="M232" s="1"/>
      <c r="N232" s="19"/>
      <c r="P232" s="2"/>
      <c r="Q232" s="2"/>
      <c r="R232" s="2"/>
      <c r="S232" s="368"/>
      <c r="T232" s="2"/>
      <c r="U232" s="2"/>
    </row>
    <row r="233" spans="1:21" ht="12.95" customHeight="1">
      <c r="A233" s="1"/>
      <c r="B233" s="1"/>
      <c r="C233" s="1"/>
      <c r="D233" s="19"/>
      <c r="E233" s="19"/>
      <c r="F233" s="19"/>
      <c r="G233" s="19"/>
      <c r="H233" s="19"/>
      <c r="I233" s="19"/>
      <c r="J233" s="19"/>
      <c r="K233" s="19"/>
      <c r="L233" s="19"/>
      <c r="M233" s="1"/>
      <c r="N233" s="19"/>
      <c r="P233" s="2"/>
      <c r="Q233" s="2"/>
      <c r="R233" s="2"/>
      <c r="S233" s="368"/>
      <c r="T233" s="2"/>
      <c r="U233" s="2"/>
    </row>
    <row r="234" spans="1:21" ht="12.95" customHeight="1">
      <c r="A234" s="1"/>
      <c r="B234" s="1"/>
      <c r="C234" s="1"/>
      <c r="D234" s="19"/>
      <c r="E234" s="19"/>
      <c r="F234" s="19"/>
      <c r="G234" s="19"/>
      <c r="H234" s="19"/>
      <c r="I234" s="19"/>
      <c r="J234" s="19"/>
      <c r="K234" s="19"/>
      <c r="L234" s="19"/>
      <c r="M234" s="1"/>
      <c r="N234" s="19"/>
      <c r="P234" s="2"/>
      <c r="Q234" s="2"/>
      <c r="R234" s="2"/>
      <c r="S234" s="368"/>
      <c r="T234" s="2"/>
      <c r="U234" s="2"/>
    </row>
    <row r="235" spans="1:21" ht="12.95" customHeight="1">
      <c r="A235" s="1"/>
      <c r="B235" s="1"/>
      <c r="C235" s="1"/>
      <c r="D235" s="19"/>
      <c r="E235" s="19"/>
      <c r="F235" s="19"/>
      <c r="G235" s="19"/>
      <c r="H235" s="19"/>
      <c r="I235" s="19"/>
      <c r="J235" s="19"/>
      <c r="K235" s="19"/>
      <c r="L235" s="19"/>
      <c r="M235" s="1"/>
      <c r="N235" s="19"/>
      <c r="P235" s="2"/>
      <c r="Q235" s="2"/>
      <c r="R235" s="2"/>
      <c r="S235" s="368"/>
      <c r="T235" s="2"/>
      <c r="U235" s="2"/>
    </row>
    <row r="236" spans="1:21" ht="12.95" customHeight="1">
      <c r="A236" s="2"/>
      <c r="B236" s="2"/>
      <c r="C236" s="2"/>
      <c r="D236" s="54"/>
      <c r="E236" s="54"/>
      <c r="F236" s="54"/>
      <c r="G236" s="54"/>
      <c r="H236" s="54"/>
      <c r="I236" s="54"/>
      <c r="J236" s="54"/>
      <c r="K236" s="54"/>
      <c r="L236" s="54"/>
      <c r="M236" s="2"/>
      <c r="N236" s="54"/>
      <c r="P236" s="2"/>
      <c r="Q236" s="2"/>
      <c r="R236" s="2"/>
      <c r="S236" s="368"/>
      <c r="T236" s="2"/>
      <c r="U236" s="2"/>
    </row>
    <row r="237" spans="1:21" ht="12.95" customHeight="1">
      <c r="A237" s="2"/>
      <c r="B237" s="2"/>
      <c r="C237" s="2"/>
      <c r="D237" s="54"/>
      <c r="E237" s="54"/>
      <c r="F237" s="54"/>
      <c r="G237" s="54"/>
      <c r="H237" s="54"/>
      <c r="I237" s="54"/>
      <c r="J237" s="54"/>
      <c r="K237" s="54"/>
      <c r="L237" s="54"/>
      <c r="M237" s="2"/>
      <c r="N237" s="54"/>
      <c r="P237" s="2"/>
      <c r="Q237" s="2"/>
      <c r="R237" s="2"/>
      <c r="S237" s="368"/>
      <c r="T237" s="2"/>
      <c r="U237" s="2"/>
    </row>
    <row r="238" spans="1:21" ht="12.95" customHeight="1">
      <c r="A238" s="2"/>
      <c r="B238" s="2"/>
      <c r="C238" s="2"/>
      <c r="D238" s="54"/>
      <c r="E238" s="54"/>
      <c r="F238" s="54"/>
      <c r="G238" s="54"/>
      <c r="H238" s="54"/>
      <c r="I238" s="54"/>
      <c r="J238" s="54"/>
      <c r="K238" s="54"/>
      <c r="L238" s="54"/>
      <c r="M238" s="2"/>
      <c r="N238" s="54"/>
      <c r="P238" s="2"/>
      <c r="Q238" s="2"/>
      <c r="R238" s="2"/>
      <c r="S238" s="368"/>
      <c r="T238" s="2"/>
      <c r="U238" s="2"/>
    </row>
    <row r="239" spans="1:21" ht="12.95" customHeight="1">
      <c r="A239" s="2"/>
      <c r="B239" s="2"/>
      <c r="C239" s="2"/>
      <c r="D239" s="54"/>
      <c r="E239" s="54"/>
      <c r="F239" s="54"/>
      <c r="G239" s="54"/>
      <c r="H239" s="54"/>
      <c r="I239" s="54"/>
      <c r="J239" s="54"/>
      <c r="K239" s="54"/>
      <c r="L239" s="54"/>
      <c r="M239" s="2"/>
      <c r="N239" s="54"/>
      <c r="P239" s="2"/>
      <c r="Q239" s="2"/>
      <c r="R239" s="2"/>
      <c r="S239" s="368"/>
      <c r="T239" s="2"/>
      <c r="U239" s="2"/>
    </row>
    <row r="240" spans="1:21" ht="12.95" customHeight="1">
      <c r="A240" s="2"/>
      <c r="B240" s="2"/>
      <c r="C240" s="2"/>
      <c r="D240" s="54"/>
      <c r="E240" s="54"/>
      <c r="F240" s="54"/>
      <c r="G240" s="54"/>
      <c r="H240" s="54"/>
      <c r="I240" s="54"/>
      <c r="J240" s="54"/>
      <c r="K240" s="54"/>
      <c r="L240" s="54"/>
      <c r="M240" s="2"/>
      <c r="N240" s="54"/>
      <c r="P240" s="2"/>
      <c r="Q240" s="2"/>
      <c r="R240" s="2"/>
      <c r="S240" s="368"/>
      <c r="T240" s="2"/>
      <c r="U240" s="2"/>
    </row>
    <row r="241" spans="1:21" ht="12.95" customHeight="1">
      <c r="A241" s="2"/>
      <c r="B241" s="2"/>
      <c r="C241" s="2"/>
      <c r="D241" s="54"/>
      <c r="E241" s="54"/>
      <c r="F241" s="54"/>
      <c r="G241" s="54"/>
      <c r="H241" s="54"/>
      <c r="I241" s="54"/>
      <c r="J241" s="54"/>
      <c r="K241" s="54"/>
      <c r="L241" s="54"/>
      <c r="M241" s="2"/>
      <c r="N241" s="54"/>
      <c r="P241" s="2"/>
      <c r="Q241" s="2"/>
      <c r="R241" s="2"/>
      <c r="S241" s="368"/>
      <c r="T241" s="2"/>
      <c r="U241" s="2"/>
    </row>
    <row r="242" spans="1:21" ht="12.95" customHeight="1">
      <c r="A242" s="2"/>
      <c r="B242" s="2"/>
      <c r="C242" s="2"/>
      <c r="D242" s="54"/>
      <c r="E242" s="54"/>
      <c r="F242" s="54"/>
      <c r="G242" s="54"/>
      <c r="H242" s="54"/>
      <c r="I242" s="54"/>
      <c r="J242" s="54"/>
      <c r="K242" s="54"/>
      <c r="L242" s="54"/>
      <c r="M242" s="2"/>
      <c r="N242" s="54"/>
      <c r="P242" s="2"/>
      <c r="Q242" s="2"/>
      <c r="R242" s="2"/>
      <c r="S242" s="368"/>
      <c r="T242" s="2"/>
      <c r="U242" s="2"/>
    </row>
    <row r="243" spans="1:21" ht="12.95" customHeight="1">
      <c r="A243" s="2"/>
      <c r="B243" s="2"/>
      <c r="C243" s="2"/>
      <c r="D243" s="54"/>
      <c r="E243" s="54"/>
      <c r="F243" s="54"/>
      <c r="G243" s="54"/>
      <c r="H243" s="54"/>
      <c r="I243" s="54"/>
      <c r="J243" s="54"/>
      <c r="K243" s="54"/>
      <c r="L243" s="54"/>
      <c r="M243" s="2"/>
      <c r="N243" s="54"/>
      <c r="P243" s="2"/>
      <c r="Q243" s="2"/>
      <c r="R243" s="2"/>
      <c r="S243" s="368"/>
      <c r="T243" s="2"/>
      <c r="U243" s="2"/>
    </row>
    <row r="244" spans="1:21" ht="12.95" customHeight="1">
      <c r="A244" s="2"/>
      <c r="B244" s="2"/>
      <c r="C244" s="2"/>
      <c r="D244" s="54"/>
      <c r="E244" s="54"/>
      <c r="F244" s="54"/>
      <c r="G244" s="54"/>
      <c r="H244" s="54"/>
      <c r="I244" s="54"/>
      <c r="J244" s="54"/>
      <c r="K244" s="54"/>
      <c r="L244" s="54"/>
      <c r="M244" s="2"/>
      <c r="N244" s="54"/>
      <c r="P244" s="2"/>
      <c r="Q244" s="2"/>
      <c r="R244" s="2"/>
      <c r="S244" s="368"/>
      <c r="T244" s="2"/>
      <c r="U244" s="2"/>
    </row>
    <row r="245" spans="1:21" ht="12.95" customHeight="1">
      <c r="A245" s="2"/>
      <c r="B245" s="2"/>
      <c r="C245" s="2"/>
      <c r="D245" s="54"/>
      <c r="E245" s="54"/>
      <c r="F245" s="54"/>
      <c r="G245" s="54"/>
      <c r="H245" s="54"/>
      <c r="I245" s="54"/>
      <c r="J245" s="54"/>
      <c r="K245" s="54"/>
      <c r="L245" s="54"/>
      <c r="M245" s="2"/>
      <c r="N245" s="54"/>
      <c r="P245" s="2"/>
      <c r="Q245" s="2"/>
      <c r="R245" s="2"/>
      <c r="S245" s="368"/>
      <c r="T245" s="2"/>
      <c r="U245" s="2"/>
    </row>
    <row r="246" spans="1:21" ht="12.95" customHeight="1">
      <c r="A246" s="2"/>
      <c r="B246" s="2"/>
      <c r="C246" s="2"/>
      <c r="D246" s="54"/>
      <c r="E246" s="54"/>
      <c r="F246" s="54"/>
      <c r="G246" s="54"/>
      <c r="H246" s="54"/>
      <c r="I246" s="54"/>
      <c r="J246" s="54"/>
      <c r="K246" s="54"/>
      <c r="L246" s="54"/>
      <c r="M246" s="2"/>
      <c r="N246" s="54"/>
      <c r="P246" s="2"/>
      <c r="Q246" s="2"/>
      <c r="R246" s="2"/>
      <c r="S246" s="368"/>
      <c r="T246" s="2"/>
      <c r="U246" s="2"/>
    </row>
    <row r="247" spans="1:21" ht="12.95" customHeight="1">
      <c r="A247" s="2"/>
      <c r="B247" s="2"/>
      <c r="C247" s="2"/>
      <c r="D247" s="54"/>
      <c r="E247" s="54"/>
      <c r="F247" s="54"/>
      <c r="G247" s="54"/>
      <c r="H247" s="54"/>
      <c r="I247" s="54"/>
      <c r="J247" s="54"/>
      <c r="K247" s="54"/>
      <c r="L247" s="54"/>
      <c r="M247" s="2"/>
      <c r="N247" s="54"/>
      <c r="P247" s="2"/>
      <c r="Q247" s="2"/>
      <c r="R247" s="2"/>
      <c r="S247" s="368"/>
      <c r="T247" s="2"/>
      <c r="U247" s="2"/>
    </row>
    <row r="248" spans="1:21" ht="12.95" customHeight="1">
      <c r="A248" s="2"/>
      <c r="B248" s="2"/>
      <c r="C248" s="2"/>
      <c r="D248" s="54"/>
      <c r="E248" s="54"/>
      <c r="F248" s="54"/>
      <c r="G248" s="54"/>
      <c r="H248" s="54"/>
      <c r="I248" s="54"/>
      <c r="J248" s="54"/>
      <c r="K248" s="54"/>
      <c r="L248" s="54"/>
      <c r="M248" s="2"/>
      <c r="N248" s="54"/>
      <c r="P248" s="2"/>
      <c r="Q248" s="2"/>
      <c r="R248" s="2"/>
      <c r="S248" s="368"/>
      <c r="T248" s="2"/>
      <c r="U248" s="2"/>
    </row>
    <row r="249" spans="1:21" ht="12.95" customHeight="1">
      <c r="A249" s="2"/>
      <c r="B249" s="2"/>
      <c r="C249" s="2"/>
      <c r="D249" s="54"/>
      <c r="E249" s="54"/>
      <c r="F249" s="54"/>
      <c r="G249" s="54"/>
      <c r="H249" s="54"/>
      <c r="I249" s="54"/>
      <c r="J249" s="54"/>
      <c r="K249" s="54"/>
      <c r="L249" s="54"/>
      <c r="M249" s="2"/>
      <c r="N249" s="54"/>
      <c r="P249" s="2"/>
      <c r="Q249" s="2"/>
      <c r="R249" s="2"/>
      <c r="S249" s="368"/>
      <c r="T249" s="2"/>
      <c r="U249" s="2"/>
    </row>
    <row r="250" spans="1:21" ht="12.95" customHeight="1">
      <c r="A250" s="2"/>
      <c r="B250" s="2"/>
      <c r="C250" s="2"/>
      <c r="D250" s="54"/>
      <c r="E250" s="54"/>
      <c r="F250" s="54"/>
      <c r="G250" s="54"/>
      <c r="H250" s="54"/>
      <c r="I250" s="54"/>
      <c r="J250" s="54"/>
      <c r="K250" s="54"/>
      <c r="L250" s="54"/>
      <c r="M250" s="2"/>
      <c r="N250" s="54"/>
      <c r="P250" s="2"/>
      <c r="Q250" s="2"/>
      <c r="R250" s="2"/>
      <c r="S250" s="368"/>
      <c r="T250" s="2"/>
      <c r="U250" s="2"/>
    </row>
    <row r="251" spans="1:21" ht="12.95" customHeight="1">
      <c r="A251" s="2"/>
      <c r="B251" s="2"/>
      <c r="C251" s="2"/>
      <c r="D251" s="54"/>
      <c r="E251" s="54"/>
      <c r="F251" s="54"/>
      <c r="G251" s="54"/>
      <c r="H251" s="54"/>
      <c r="I251" s="54"/>
      <c r="J251" s="54"/>
      <c r="K251" s="54"/>
      <c r="L251" s="54"/>
      <c r="M251" s="2"/>
      <c r="N251" s="54"/>
      <c r="P251" s="2"/>
      <c r="Q251" s="2"/>
      <c r="R251" s="2"/>
      <c r="S251" s="368"/>
      <c r="T251" s="2"/>
      <c r="U251" s="2"/>
    </row>
    <row r="252" spans="1:21" ht="12.95" customHeight="1">
      <c r="A252" s="2"/>
      <c r="B252" s="2"/>
      <c r="C252" s="2"/>
      <c r="D252" s="54"/>
      <c r="E252" s="54"/>
      <c r="F252" s="54"/>
      <c r="G252" s="54"/>
      <c r="H252" s="54"/>
      <c r="I252" s="54"/>
      <c r="J252" s="54"/>
      <c r="K252" s="54"/>
      <c r="L252" s="54"/>
      <c r="M252" s="2"/>
      <c r="N252" s="54"/>
      <c r="P252" s="2"/>
      <c r="Q252" s="2"/>
      <c r="R252" s="2"/>
      <c r="S252" s="368"/>
      <c r="T252" s="2"/>
      <c r="U252" s="2"/>
    </row>
    <row r="253" spans="1:21" ht="12.95" customHeight="1">
      <c r="A253" s="2"/>
      <c r="B253" s="2"/>
      <c r="C253" s="2"/>
      <c r="D253" s="54"/>
      <c r="E253" s="54"/>
      <c r="F253" s="54"/>
      <c r="G253" s="54"/>
      <c r="H253" s="54"/>
      <c r="I253" s="54"/>
      <c r="J253" s="54"/>
      <c r="K253" s="54"/>
      <c r="L253" s="54"/>
      <c r="M253" s="2"/>
      <c r="N253" s="54"/>
      <c r="P253" s="2"/>
      <c r="Q253" s="2"/>
      <c r="R253" s="2"/>
      <c r="S253" s="368"/>
      <c r="T253" s="2"/>
      <c r="U253" s="2"/>
    </row>
    <row r="254" spans="1:21" ht="12.95" customHeight="1">
      <c r="A254" s="2"/>
      <c r="B254" s="2"/>
      <c r="C254" s="2"/>
      <c r="D254" s="54"/>
      <c r="E254" s="54"/>
      <c r="F254" s="54"/>
      <c r="G254" s="54"/>
      <c r="H254" s="54"/>
      <c r="I254" s="54"/>
      <c r="J254" s="54"/>
      <c r="K254" s="54"/>
      <c r="L254" s="54"/>
      <c r="M254" s="2"/>
      <c r="N254" s="54"/>
      <c r="P254" s="2"/>
      <c r="Q254" s="2"/>
      <c r="R254" s="2"/>
      <c r="S254" s="368"/>
      <c r="T254" s="2"/>
      <c r="U254" s="2"/>
    </row>
    <row r="255" spans="1:21" ht="12.95" customHeight="1">
      <c r="A255" s="2"/>
      <c r="B255" s="2"/>
      <c r="C255" s="2"/>
      <c r="D255" s="54"/>
      <c r="E255" s="54"/>
      <c r="F255" s="54"/>
      <c r="G255" s="54"/>
      <c r="H255" s="54"/>
      <c r="I255" s="54"/>
      <c r="J255" s="54"/>
      <c r="K255" s="54"/>
      <c r="L255" s="54"/>
      <c r="M255" s="2"/>
      <c r="N255" s="54"/>
      <c r="P255" s="2"/>
      <c r="Q255" s="2"/>
      <c r="R255" s="2"/>
      <c r="S255" s="368"/>
      <c r="T255" s="2"/>
      <c r="U255" s="2"/>
    </row>
    <row r="256" spans="1:21" ht="12.95" customHeight="1">
      <c r="A256" s="2"/>
      <c r="B256" s="2"/>
      <c r="C256" s="2"/>
      <c r="D256" s="54"/>
      <c r="E256" s="54"/>
      <c r="F256" s="54"/>
      <c r="G256" s="54"/>
      <c r="H256" s="54"/>
      <c r="I256" s="54"/>
      <c r="J256" s="54"/>
      <c r="K256" s="54"/>
      <c r="L256" s="54"/>
      <c r="M256" s="2"/>
      <c r="N256" s="54"/>
      <c r="P256" s="2"/>
      <c r="Q256" s="2"/>
      <c r="R256" s="2"/>
      <c r="S256" s="368"/>
      <c r="T256" s="2"/>
      <c r="U256" s="2"/>
    </row>
    <row r="257" spans="1:21" ht="12.95" customHeight="1">
      <c r="A257" s="2"/>
      <c r="B257" s="2"/>
      <c r="C257" s="2"/>
      <c r="D257" s="54"/>
      <c r="E257" s="54"/>
      <c r="F257" s="54"/>
      <c r="G257" s="54"/>
      <c r="H257" s="54"/>
      <c r="I257" s="54"/>
      <c r="J257" s="54"/>
      <c r="K257" s="54"/>
      <c r="L257" s="54"/>
      <c r="M257" s="2"/>
      <c r="N257" s="54"/>
      <c r="P257" s="2"/>
      <c r="Q257" s="2"/>
      <c r="R257" s="2"/>
      <c r="S257" s="368"/>
      <c r="T257" s="2"/>
      <c r="U257" s="2"/>
    </row>
    <row r="258" spans="1:21" ht="12.95" customHeight="1">
      <c r="A258" s="2"/>
      <c r="B258" s="2"/>
      <c r="C258" s="2"/>
      <c r="D258" s="54"/>
      <c r="E258" s="54"/>
      <c r="F258" s="54"/>
      <c r="G258" s="54"/>
      <c r="H258" s="54"/>
      <c r="I258" s="54"/>
      <c r="J258" s="54"/>
      <c r="K258" s="54"/>
      <c r="L258" s="54"/>
      <c r="M258" s="2"/>
      <c r="N258" s="54"/>
      <c r="P258" s="2"/>
      <c r="Q258" s="2"/>
      <c r="R258" s="2"/>
      <c r="S258" s="368"/>
      <c r="T258" s="2"/>
      <c r="U258" s="2"/>
    </row>
    <row r="259" spans="1:21" ht="12.95" customHeight="1">
      <c r="A259" s="2"/>
      <c r="B259" s="2"/>
      <c r="C259" s="2"/>
      <c r="D259" s="54"/>
      <c r="E259" s="54"/>
      <c r="F259" s="54"/>
      <c r="G259" s="54"/>
      <c r="H259" s="54"/>
      <c r="I259" s="54"/>
      <c r="J259" s="54"/>
      <c r="K259" s="54"/>
      <c r="L259" s="54"/>
      <c r="M259" s="2"/>
      <c r="N259" s="54"/>
      <c r="P259" s="2"/>
      <c r="Q259" s="2"/>
      <c r="R259" s="2"/>
      <c r="S259" s="368"/>
      <c r="T259" s="2"/>
      <c r="U259" s="2"/>
    </row>
    <row r="260" spans="1:21" ht="12.95" customHeight="1">
      <c r="A260" s="2"/>
      <c r="B260" s="2"/>
      <c r="C260" s="2"/>
      <c r="D260" s="54"/>
      <c r="E260" s="54"/>
      <c r="F260" s="54"/>
      <c r="G260" s="54"/>
      <c r="H260" s="54"/>
      <c r="I260" s="54"/>
      <c r="J260" s="54"/>
      <c r="K260" s="54"/>
      <c r="L260" s="54"/>
      <c r="M260" s="2"/>
      <c r="N260" s="54"/>
      <c r="P260" s="2"/>
      <c r="Q260" s="2"/>
      <c r="R260" s="2"/>
      <c r="S260" s="368"/>
      <c r="T260" s="2"/>
      <c r="U260" s="2"/>
    </row>
    <row r="261" spans="1:21" ht="12.95" customHeight="1">
      <c r="A261" s="2"/>
      <c r="B261" s="2"/>
      <c r="C261" s="2"/>
      <c r="D261" s="54"/>
      <c r="E261" s="54"/>
      <c r="F261" s="54"/>
      <c r="G261" s="54"/>
      <c r="H261" s="54"/>
      <c r="I261" s="54"/>
      <c r="J261" s="54"/>
      <c r="K261" s="54"/>
      <c r="L261" s="54"/>
      <c r="M261" s="2"/>
      <c r="N261" s="54"/>
      <c r="P261" s="2"/>
      <c r="Q261" s="2"/>
      <c r="R261" s="2"/>
      <c r="S261" s="368"/>
      <c r="T261" s="2"/>
      <c r="U261" s="2"/>
    </row>
    <row r="262" spans="1:21" ht="12.95" customHeight="1">
      <c r="A262" s="2"/>
      <c r="B262" s="2"/>
      <c r="C262" s="2"/>
      <c r="D262" s="54"/>
      <c r="E262" s="54"/>
      <c r="F262" s="54"/>
      <c r="G262" s="54"/>
      <c r="H262" s="54"/>
      <c r="I262" s="54"/>
      <c r="J262" s="54"/>
      <c r="K262" s="54"/>
      <c r="L262" s="54"/>
      <c r="M262" s="2"/>
      <c r="N262" s="54"/>
      <c r="P262" s="2"/>
      <c r="Q262" s="2"/>
      <c r="R262" s="2"/>
      <c r="S262" s="368"/>
      <c r="T262" s="2"/>
      <c r="U262" s="2"/>
    </row>
    <row r="263" spans="1:21" ht="12.95" customHeight="1">
      <c r="A263" s="2"/>
      <c r="B263" s="2"/>
      <c r="C263" s="2"/>
      <c r="D263" s="54"/>
      <c r="E263" s="54"/>
      <c r="F263" s="54"/>
      <c r="G263" s="54"/>
      <c r="H263" s="54"/>
      <c r="I263" s="54"/>
      <c r="J263" s="54"/>
      <c r="K263" s="54"/>
      <c r="L263" s="54"/>
      <c r="M263" s="2"/>
      <c r="N263" s="54"/>
      <c r="P263" s="2"/>
      <c r="Q263" s="2"/>
      <c r="R263" s="2"/>
      <c r="S263" s="368"/>
      <c r="T263" s="2"/>
      <c r="U263" s="2"/>
    </row>
    <row r="264" spans="1:21" ht="12.95" customHeight="1">
      <c r="A264" s="2"/>
      <c r="B264" s="2"/>
      <c r="C264" s="2"/>
      <c r="D264" s="54"/>
      <c r="E264" s="54"/>
      <c r="F264" s="54"/>
      <c r="G264" s="54"/>
      <c r="H264" s="54"/>
      <c r="I264" s="54"/>
      <c r="J264" s="54"/>
      <c r="K264" s="54"/>
      <c r="L264" s="54"/>
      <c r="M264" s="2"/>
      <c r="N264" s="54"/>
      <c r="P264" s="2"/>
      <c r="Q264" s="2"/>
      <c r="R264" s="2"/>
      <c r="S264" s="368"/>
      <c r="T264" s="2"/>
      <c r="U264" s="2"/>
    </row>
    <row r="265" spans="1:21" ht="12.95" customHeight="1">
      <c r="A265" s="2"/>
      <c r="B265" s="2"/>
      <c r="C265" s="2"/>
      <c r="D265" s="54"/>
      <c r="E265" s="54"/>
      <c r="F265" s="54"/>
      <c r="G265" s="54"/>
      <c r="H265" s="54"/>
      <c r="I265" s="54"/>
      <c r="J265" s="54"/>
      <c r="K265" s="54"/>
      <c r="L265" s="54"/>
      <c r="M265" s="2"/>
      <c r="N265" s="54"/>
      <c r="P265" s="2"/>
      <c r="Q265" s="2"/>
      <c r="R265" s="2"/>
      <c r="S265" s="368"/>
      <c r="T265" s="2"/>
      <c r="U265" s="2"/>
    </row>
    <row r="266" spans="1:21" ht="12.95" customHeight="1">
      <c r="A266" s="2"/>
      <c r="B266" s="2"/>
      <c r="C266" s="2"/>
      <c r="D266" s="54"/>
      <c r="E266" s="54"/>
      <c r="F266" s="54"/>
      <c r="G266" s="54"/>
      <c r="H266" s="54"/>
      <c r="I266" s="54"/>
      <c r="J266" s="54"/>
      <c r="K266" s="54"/>
      <c r="L266" s="54"/>
      <c r="M266" s="2"/>
      <c r="N266" s="54"/>
      <c r="P266" s="2"/>
      <c r="Q266" s="2"/>
      <c r="R266" s="2"/>
      <c r="S266" s="368"/>
      <c r="T266" s="2"/>
      <c r="U266" s="2"/>
    </row>
    <row r="267" spans="1:21" ht="12.95" customHeight="1">
      <c r="A267" s="2"/>
      <c r="B267" s="2"/>
      <c r="C267" s="2"/>
      <c r="D267" s="54"/>
      <c r="E267" s="54"/>
      <c r="F267" s="54"/>
      <c r="G267" s="54"/>
      <c r="H267" s="54"/>
      <c r="I267" s="54"/>
      <c r="J267" s="54"/>
      <c r="K267" s="54"/>
      <c r="L267" s="54"/>
      <c r="M267" s="2"/>
      <c r="N267" s="54"/>
      <c r="P267" s="2"/>
      <c r="Q267" s="2"/>
      <c r="R267" s="2"/>
      <c r="S267" s="368"/>
      <c r="T267" s="2"/>
      <c r="U267" s="2"/>
    </row>
    <row r="268" spans="1:21" ht="12.95" customHeight="1">
      <c r="A268" s="2"/>
      <c r="B268" s="2"/>
      <c r="C268" s="2"/>
      <c r="D268" s="54"/>
      <c r="E268" s="54"/>
      <c r="F268" s="54"/>
      <c r="G268" s="54"/>
      <c r="H268" s="54"/>
      <c r="I268" s="54"/>
      <c r="J268" s="54"/>
      <c r="K268" s="54"/>
      <c r="L268" s="54"/>
      <c r="M268" s="2"/>
      <c r="N268" s="54"/>
      <c r="P268" s="2"/>
      <c r="Q268" s="2"/>
      <c r="R268" s="2"/>
      <c r="S268" s="368"/>
      <c r="T268" s="2"/>
      <c r="U268" s="2"/>
    </row>
    <row r="269" spans="1:21" ht="12.95" customHeight="1">
      <c r="A269" s="2"/>
      <c r="B269" s="2"/>
      <c r="C269" s="2"/>
      <c r="D269" s="54"/>
      <c r="E269" s="54"/>
      <c r="F269" s="54"/>
      <c r="G269" s="54"/>
      <c r="H269" s="54"/>
      <c r="I269" s="54"/>
      <c r="J269" s="54"/>
      <c r="K269" s="54"/>
      <c r="L269" s="54"/>
      <c r="M269" s="2"/>
      <c r="N269" s="54"/>
      <c r="P269" s="2"/>
      <c r="Q269" s="2"/>
      <c r="R269" s="2"/>
      <c r="S269" s="368"/>
      <c r="T269" s="2"/>
      <c r="U269" s="2"/>
    </row>
    <row r="270" spans="1:21" ht="12.95" customHeight="1">
      <c r="A270" s="2"/>
      <c r="B270" s="2"/>
      <c r="C270" s="2"/>
      <c r="D270" s="54"/>
      <c r="E270" s="54"/>
      <c r="F270" s="54"/>
      <c r="G270" s="54"/>
      <c r="H270" s="54"/>
      <c r="I270" s="54"/>
      <c r="J270" s="54"/>
      <c r="K270" s="54"/>
      <c r="L270" s="54"/>
      <c r="M270" s="2"/>
      <c r="N270" s="54"/>
      <c r="P270" s="2"/>
      <c r="Q270" s="2"/>
      <c r="R270" s="2"/>
      <c r="S270" s="368"/>
      <c r="T270" s="2"/>
      <c r="U270" s="2"/>
    </row>
    <row r="271" spans="1:21" ht="12.95" customHeight="1">
      <c r="A271" s="2"/>
      <c r="B271" s="2"/>
      <c r="C271" s="2"/>
      <c r="D271" s="54"/>
      <c r="E271" s="54"/>
      <c r="F271" s="54"/>
      <c r="G271" s="54"/>
      <c r="H271" s="54"/>
      <c r="I271" s="54"/>
      <c r="J271" s="54"/>
      <c r="K271" s="54"/>
      <c r="L271" s="54"/>
      <c r="M271" s="2"/>
      <c r="N271" s="54"/>
      <c r="P271" s="2"/>
      <c r="Q271" s="2"/>
      <c r="R271" s="2"/>
      <c r="S271" s="368"/>
      <c r="T271" s="2"/>
      <c r="U271" s="2"/>
    </row>
    <row r="272" spans="1:21" ht="12.95" customHeight="1">
      <c r="A272" s="2"/>
      <c r="B272" s="2"/>
      <c r="C272" s="2"/>
      <c r="D272" s="54"/>
      <c r="E272" s="54"/>
      <c r="F272" s="54"/>
      <c r="G272" s="54"/>
      <c r="H272" s="54"/>
      <c r="I272" s="54"/>
      <c r="J272" s="54"/>
      <c r="K272" s="54"/>
      <c r="L272" s="54"/>
      <c r="M272" s="2"/>
      <c r="N272" s="54"/>
      <c r="P272" s="2"/>
      <c r="Q272" s="2"/>
      <c r="R272" s="2"/>
      <c r="S272" s="368"/>
      <c r="T272" s="2"/>
      <c r="U272" s="2"/>
    </row>
    <row r="273" spans="1:21" ht="12.95" customHeight="1">
      <c r="A273" s="2"/>
      <c r="B273" s="2"/>
      <c r="C273" s="2"/>
      <c r="D273" s="54"/>
      <c r="E273" s="54"/>
      <c r="F273" s="54"/>
      <c r="G273" s="54"/>
      <c r="H273" s="54"/>
      <c r="I273" s="54"/>
      <c r="J273" s="54"/>
      <c r="K273" s="54"/>
      <c r="L273" s="54"/>
      <c r="M273" s="2"/>
      <c r="N273" s="54"/>
      <c r="P273" s="2"/>
      <c r="Q273" s="2"/>
      <c r="R273" s="2"/>
      <c r="S273" s="368"/>
      <c r="T273" s="2"/>
      <c r="U273" s="2"/>
    </row>
    <row r="274" spans="1:21" ht="12.95" customHeight="1">
      <c r="A274" s="2"/>
      <c r="B274" s="2"/>
      <c r="C274" s="2"/>
      <c r="D274" s="54"/>
      <c r="E274" s="54"/>
      <c r="F274" s="54"/>
      <c r="G274" s="54"/>
      <c r="H274" s="54"/>
      <c r="I274" s="54"/>
      <c r="J274" s="54"/>
      <c r="K274" s="54"/>
      <c r="L274" s="54"/>
      <c r="M274" s="2"/>
      <c r="N274" s="54"/>
      <c r="P274" s="2"/>
      <c r="Q274" s="2"/>
      <c r="R274" s="2"/>
      <c r="S274" s="368"/>
      <c r="T274" s="2"/>
      <c r="U274" s="2"/>
    </row>
    <row r="275" spans="1:21" ht="12.95" customHeight="1">
      <c r="A275" s="2"/>
      <c r="B275" s="2"/>
      <c r="C275" s="2"/>
      <c r="D275" s="54"/>
      <c r="E275" s="54"/>
      <c r="F275" s="54"/>
      <c r="G275" s="54"/>
      <c r="H275" s="54"/>
      <c r="I275" s="54"/>
      <c r="J275" s="54"/>
      <c r="K275" s="54"/>
      <c r="L275" s="54"/>
      <c r="M275" s="2"/>
      <c r="N275" s="54"/>
      <c r="P275" s="2"/>
      <c r="Q275" s="2"/>
      <c r="R275" s="2"/>
      <c r="S275" s="368"/>
      <c r="T275" s="2"/>
      <c r="U275" s="2"/>
    </row>
    <row r="276" spans="1:21" ht="12.95" customHeight="1">
      <c r="A276" s="2"/>
      <c r="B276" s="2"/>
      <c r="C276" s="2"/>
      <c r="D276" s="54"/>
      <c r="E276" s="54"/>
      <c r="F276" s="54"/>
      <c r="G276" s="54"/>
      <c r="H276" s="54"/>
      <c r="I276" s="54"/>
      <c r="J276" s="54"/>
      <c r="K276" s="54"/>
      <c r="L276" s="54"/>
      <c r="M276" s="2"/>
      <c r="N276" s="54"/>
      <c r="P276" s="2"/>
      <c r="Q276" s="2"/>
      <c r="R276" s="2"/>
      <c r="S276" s="368"/>
      <c r="T276" s="2"/>
      <c r="U276" s="2"/>
    </row>
    <row r="277" spans="1:21" ht="12.95" customHeight="1">
      <c r="A277" s="2"/>
      <c r="B277" s="2"/>
      <c r="C277" s="2"/>
      <c r="D277" s="54"/>
      <c r="E277" s="54"/>
      <c r="F277" s="54"/>
      <c r="G277" s="54"/>
      <c r="H277" s="54"/>
      <c r="I277" s="54"/>
      <c r="J277" s="54"/>
      <c r="K277" s="54"/>
      <c r="L277" s="54"/>
      <c r="M277" s="2"/>
      <c r="N277" s="54"/>
      <c r="P277" s="2"/>
      <c r="Q277" s="2"/>
      <c r="R277" s="2"/>
      <c r="S277" s="368"/>
      <c r="T277" s="2"/>
      <c r="U277" s="2"/>
    </row>
    <row r="278" spans="1:21" ht="12.95" customHeight="1">
      <c r="A278" s="2"/>
      <c r="B278" s="2"/>
      <c r="C278" s="2"/>
      <c r="D278" s="54"/>
      <c r="E278" s="54"/>
      <c r="F278" s="54"/>
      <c r="G278" s="54"/>
      <c r="H278" s="54"/>
      <c r="I278" s="54"/>
      <c r="J278" s="54"/>
      <c r="K278" s="54"/>
      <c r="L278" s="54"/>
      <c r="M278" s="2"/>
      <c r="N278" s="54"/>
      <c r="P278" s="2"/>
      <c r="Q278" s="2"/>
      <c r="R278" s="2"/>
      <c r="S278" s="368"/>
      <c r="T278" s="2"/>
      <c r="U278" s="2"/>
    </row>
    <row r="279" spans="1:21" ht="12.95" customHeight="1">
      <c r="A279" s="2"/>
      <c r="B279" s="2"/>
      <c r="C279" s="2"/>
      <c r="D279" s="54"/>
      <c r="E279" s="54"/>
      <c r="F279" s="54"/>
      <c r="G279" s="54"/>
      <c r="H279" s="54"/>
      <c r="I279" s="54"/>
      <c r="J279" s="54"/>
      <c r="K279" s="54"/>
      <c r="L279" s="54"/>
      <c r="M279" s="2"/>
      <c r="N279" s="54"/>
      <c r="P279" s="2"/>
      <c r="Q279" s="2"/>
      <c r="R279" s="2"/>
      <c r="S279" s="368"/>
      <c r="T279" s="2"/>
      <c r="U279" s="2"/>
    </row>
    <row r="280" spans="1:21" ht="12.95" customHeight="1">
      <c r="A280" s="2"/>
      <c r="B280" s="2"/>
      <c r="C280" s="2"/>
      <c r="D280" s="54"/>
      <c r="E280" s="54"/>
      <c r="F280" s="54"/>
      <c r="G280" s="54"/>
      <c r="H280" s="54"/>
      <c r="I280" s="54"/>
      <c r="J280" s="54"/>
      <c r="K280" s="54"/>
      <c r="L280" s="54"/>
      <c r="M280" s="2"/>
      <c r="N280" s="54"/>
      <c r="P280" s="2"/>
      <c r="Q280" s="2"/>
      <c r="R280" s="2"/>
      <c r="S280" s="368"/>
      <c r="T280" s="2"/>
      <c r="U280" s="2"/>
    </row>
    <row r="281" spans="1:21" ht="12.95" customHeight="1">
      <c r="A281" s="2"/>
      <c r="B281" s="2"/>
      <c r="C281" s="2"/>
      <c r="D281" s="54"/>
      <c r="E281" s="54"/>
      <c r="F281" s="54"/>
      <c r="G281" s="54"/>
      <c r="H281" s="54"/>
      <c r="I281" s="54"/>
      <c r="J281" s="54"/>
      <c r="K281" s="54"/>
      <c r="L281" s="54"/>
      <c r="M281" s="2"/>
      <c r="N281" s="54"/>
      <c r="P281" s="2"/>
      <c r="Q281" s="2"/>
      <c r="R281" s="2"/>
      <c r="S281" s="368"/>
      <c r="T281" s="2"/>
      <c r="U281" s="2"/>
    </row>
    <row r="282" spans="1:21" ht="12.95" customHeight="1">
      <c r="A282" s="2"/>
      <c r="B282" s="2"/>
      <c r="C282" s="2"/>
      <c r="D282" s="54"/>
      <c r="E282" s="54"/>
      <c r="F282" s="54"/>
      <c r="G282" s="54"/>
      <c r="H282" s="54"/>
      <c r="I282" s="54"/>
      <c r="J282" s="54"/>
      <c r="K282" s="54"/>
      <c r="L282" s="54"/>
      <c r="M282" s="2"/>
      <c r="N282" s="54"/>
      <c r="P282" s="2"/>
      <c r="Q282" s="2"/>
      <c r="R282" s="2"/>
      <c r="S282" s="368"/>
      <c r="T282" s="2"/>
      <c r="U282" s="2"/>
    </row>
    <row r="283" spans="1:21" ht="12.95" customHeight="1">
      <c r="A283" s="2"/>
      <c r="B283" s="2"/>
      <c r="C283" s="2"/>
      <c r="D283" s="54"/>
      <c r="E283" s="54"/>
      <c r="F283" s="54"/>
      <c r="G283" s="54"/>
      <c r="H283" s="54"/>
      <c r="I283" s="54"/>
      <c r="J283" s="54"/>
      <c r="K283" s="54"/>
      <c r="L283" s="54"/>
      <c r="M283" s="2"/>
      <c r="N283" s="54"/>
      <c r="P283" s="2"/>
      <c r="Q283" s="2"/>
      <c r="R283" s="2"/>
      <c r="S283" s="368"/>
      <c r="T283" s="2"/>
      <c r="U283" s="2"/>
    </row>
    <row r="284" spans="1:21" ht="12.95" customHeight="1">
      <c r="A284" s="2"/>
      <c r="B284" s="2"/>
      <c r="C284" s="2"/>
      <c r="D284" s="54"/>
      <c r="E284" s="54"/>
      <c r="F284" s="54"/>
      <c r="G284" s="54"/>
      <c r="H284" s="54"/>
      <c r="I284" s="54"/>
      <c r="J284" s="54"/>
      <c r="K284" s="54"/>
      <c r="L284" s="54"/>
      <c r="M284" s="2"/>
      <c r="N284" s="54"/>
      <c r="P284" s="2"/>
      <c r="Q284" s="2"/>
      <c r="R284" s="2"/>
      <c r="S284" s="368"/>
      <c r="T284" s="2"/>
      <c r="U284" s="2"/>
    </row>
    <row r="285" spans="1:21" ht="12.95" customHeight="1">
      <c r="A285" s="2"/>
      <c r="B285" s="2"/>
      <c r="C285" s="2"/>
      <c r="D285" s="54"/>
      <c r="E285" s="54"/>
      <c r="F285" s="54"/>
      <c r="G285" s="54"/>
      <c r="H285" s="54"/>
      <c r="I285" s="54"/>
      <c r="J285" s="54"/>
      <c r="K285" s="54"/>
      <c r="L285" s="54"/>
      <c r="M285" s="2"/>
      <c r="N285" s="54"/>
      <c r="P285" s="2"/>
      <c r="Q285" s="2"/>
      <c r="R285" s="2"/>
      <c r="S285" s="368"/>
      <c r="T285" s="2"/>
      <c r="U285" s="2"/>
    </row>
    <row r="286" spans="1:21" ht="12.95" customHeight="1">
      <c r="A286" s="2"/>
      <c r="B286" s="2"/>
      <c r="C286" s="2"/>
      <c r="D286" s="54"/>
      <c r="E286" s="54"/>
      <c r="F286" s="54"/>
      <c r="G286" s="54"/>
      <c r="H286" s="54"/>
      <c r="I286" s="54"/>
      <c r="J286" s="54"/>
      <c r="K286" s="54"/>
      <c r="L286" s="54"/>
      <c r="M286" s="2"/>
      <c r="N286" s="54"/>
      <c r="P286" s="2"/>
      <c r="Q286" s="2"/>
      <c r="R286" s="2"/>
      <c r="S286" s="368"/>
      <c r="T286" s="2"/>
      <c r="U286" s="2"/>
    </row>
    <row r="287" spans="1:21" ht="12.95" customHeight="1">
      <c r="A287" s="2"/>
      <c r="B287" s="2"/>
      <c r="C287" s="2"/>
      <c r="D287" s="54"/>
      <c r="E287" s="54"/>
      <c r="F287" s="54"/>
      <c r="G287" s="54"/>
      <c r="H287" s="54"/>
      <c r="I287" s="54"/>
      <c r="J287" s="54"/>
      <c r="K287" s="54"/>
      <c r="L287" s="54"/>
      <c r="M287" s="2"/>
      <c r="N287" s="54"/>
      <c r="P287" s="2"/>
      <c r="Q287" s="2"/>
      <c r="R287" s="2"/>
      <c r="S287" s="368"/>
      <c r="T287" s="2"/>
      <c r="U287" s="2"/>
    </row>
    <row r="288" spans="1:21" ht="12.95" customHeight="1">
      <c r="A288" s="2"/>
      <c r="B288" s="2"/>
      <c r="C288" s="2"/>
      <c r="D288" s="54"/>
      <c r="E288" s="54"/>
      <c r="F288" s="54"/>
      <c r="G288" s="54"/>
      <c r="H288" s="54"/>
      <c r="I288" s="54"/>
      <c r="J288" s="54"/>
      <c r="K288" s="54"/>
      <c r="L288" s="54"/>
      <c r="M288" s="2"/>
      <c r="N288" s="54"/>
      <c r="P288" s="2"/>
      <c r="Q288" s="2"/>
      <c r="R288" s="2"/>
      <c r="S288" s="368"/>
      <c r="T288" s="2"/>
      <c r="U288" s="2"/>
    </row>
    <row r="289" spans="1:21" ht="12.95" customHeight="1">
      <c r="A289" s="2"/>
      <c r="B289" s="2"/>
      <c r="C289" s="2"/>
      <c r="D289" s="54"/>
      <c r="E289" s="54"/>
      <c r="F289" s="54"/>
      <c r="G289" s="54"/>
      <c r="H289" s="54"/>
      <c r="I289" s="54"/>
      <c r="J289" s="54"/>
      <c r="K289" s="54"/>
      <c r="L289" s="54"/>
      <c r="M289" s="2"/>
      <c r="N289" s="54"/>
      <c r="P289" s="2"/>
      <c r="Q289" s="2"/>
      <c r="R289" s="2"/>
      <c r="S289" s="368"/>
      <c r="T289" s="2"/>
      <c r="U289" s="2"/>
    </row>
    <row r="290" spans="1:21" ht="12.95" customHeight="1">
      <c r="A290" s="2"/>
      <c r="B290" s="2"/>
      <c r="C290" s="2"/>
      <c r="D290" s="54"/>
      <c r="E290" s="54"/>
      <c r="F290" s="54"/>
      <c r="G290" s="54"/>
      <c r="H290" s="54"/>
      <c r="I290" s="54"/>
      <c r="J290" s="54"/>
      <c r="K290" s="54"/>
      <c r="L290" s="54"/>
      <c r="M290" s="2"/>
      <c r="N290" s="54"/>
      <c r="P290" s="2"/>
      <c r="Q290" s="2"/>
      <c r="R290" s="2"/>
      <c r="S290" s="368"/>
      <c r="T290" s="2"/>
      <c r="U290" s="2"/>
    </row>
    <row r="291" spans="1:21" ht="12.95" customHeight="1">
      <c r="A291" s="2"/>
      <c r="B291" s="2"/>
      <c r="C291" s="2"/>
      <c r="D291" s="54"/>
      <c r="E291" s="54"/>
      <c r="F291" s="54"/>
      <c r="G291" s="54"/>
      <c r="H291" s="54"/>
      <c r="I291" s="54"/>
      <c r="J291" s="54"/>
      <c r="K291" s="54"/>
      <c r="L291" s="54"/>
      <c r="M291" s="2"/>
      <c r="N291" s="54"/>
      <c r="P291" s="2"/>
      <c r="Q291" s="2"/>
      <c r="R291" s="2"/>
      <c r="S291" s="368"/>
      <c r="T291" s="2"/>
      <c r="U291" s="2"/>
    </row>
    <row r="292" spans="1:21" ht="12.95" customHeight="1">
      <c r="A292" s="2"/>
      <c r="B292" s="2"/>
      <c r="C292" s="2"/>
      <c r="D292" s="54"/>
      <c r="E292" s="54"/>
      <c r="F292" s="54"/>
      <c r="G292" s="54"/>
      <c r="H292" s="54"/>
      <c r="I292" s="54"/>
      <c r="J292" s="54"/>
      <c r="K292" s="54"/>
      <c r="L292" s="54"/>
      <c r="M292" s="2"/>
      <c r="N292" s="54"/>
      <c r="P292" s="2"/>
      <c r="Q292" s="2"/>
      <c r="R292" s="2"/>
      <c r="S292" s="368"/>
      <c r="T292" s="2"/>
      <c r="U292" s="2"/>
    </row>
    <row r="293" spans="1:21" ht="12.95" customHeight="1">
      <c r="A293" s="2"/>
      <c r="B293" s="2"/>
      <c r="C293" s="2"/>
      <c r="D293" s="54"/>
      <c r="E293" s="54"/>
      <c r="F293" s="54"/>
      <c r="G293" s="54"/>
      <c r="H293" s="54"/>
      <c r="I293" s="54"/>
      <c r="J293" s="54"/>
      <c r="K293" s="54"/>
      <c r="L293" s="54"/>
      <c r="M293" s="2"/>
      <c r="N293" s="54"/>
      <c r="P293" s="2"/>
      <c r="Q293" s="2"/>
      <c r="R293" s="2"/>
      <c r="S293" s="368"/>
      <c r="T293" s="2"/>
      <c r="U293" s="2"/>
    </row>
    <row r="294" spans="1:21" ht="12.95" customHeight="1">
      <c r="A294" s="2"/>
      <c r="B294" s="2"/>
      <c r="C294" s="2"/>
      <c r="D294" s="54"/>
      <c r="E294" s="54"/>
      <c r="F294" s="54"/>
      <c r="G294" s="54"/>
      <c r="H294" s="54"/>
      <c r="I294" s="54"/>
      <c r="J294" s="54"/>
      <c r="K294" s="54"/>
      <c r="L294" s="54"/>
      <c r="M294" s="2"/>
      <c r="N294" s="54"/>
      <c r="P294" s="2"/>
      <c r="Q294" s="2"/>
      <c r="R294" s="2"/>
      <c r="S294" s="368"/>
      <c r="T294" s="2"/>
      <c r="U294" s="2"/>
    </row>
    <row r="295" spans="1:21" ht="12.95" customHeight="1">
      <c r="A295" s="2"/>
      <c r="B295" s="2"/>
      <c r="C295" s="2"/>
      <c r="D295" s="54"/>
      <c r="E295" s="54"/>
      <c r="F295" s="54"/>
      <c r="G295" s="54"/>
      <c r="H295" s="54"/>
      <c r="I295" s="54"/>
      <c r="J295" s="54"/>
      <c r="K295" s="54"/>
      <c r="L295" s="54"/>
      <c r="M295" s="2"/>
      <c r="N295" s="54"/>
      <c r="P295" s="2"/>
      <c r="Q295" s="2"/>
      <c r="R295" s="2"/>
      <c r="S295" s="368"/>
      <c r="T295" s="2"/>
      <c r="U295" s="2"/>
    </row>
    <row r="296" spans="1:21" ht="12.95" customHeight="1">
      <c r="A296" s="2"/>
      <c r="B296" s="2"/>
      <c r="C296" s="2"/>
      <c r="D296" s="54"/>
      <c r="E296" s="54"/>
      <c r="F296" s="54"/>
      <c r="G296" s="54"/>
      <c r="H296" s="54"/>
      <c r="I296" s="54"/>
      <c r="J296" s="54"/>
      <c r="K296" s="54"/>
      <c r="L296" s="54"/>
      <c r="M296" s="2"/>
      <c r="N296" s="54"/>
      <c r="P296" s="2"/>
      <c r="Q296" s="2"/>
      <c r="R296" s="2"/>
      <c r="S296" s="368"/>
      <c r="T296" s="2"/>
      <c r="U296" s="2"/>
    </row>
    <row r="297" spans="1:21" ht="12.95" customHeight="1">
      <c r="A297" s="2"/>
      <c r="B297" s="2"/>
      <c r="C297" s="2"/>
      <c r="D297" s="54"/>
      <c r="E297" s="54"/>
      <c r="F297" s="54"/>
      <c r="G297" s="54"/>
      <c r="H297" s="54"/>
      <c r="I297" s="54"/>
      <c r="J297" s="54"/>
      <c r="K297" s="54"/>
      <c r="L297" s="54"/>
      <c r="M297" s="2"/>
      <c r="N297" s="54"/>
      <c r="P297" s="2"/>
      <c r="Q297" s="2"/>
      <c r="R297" s="2"/>
      <c r="S297" s="368"/>
      <c r="T297" s="2"/>
      <c r="U297" s="2"/>
    </row>
    <row r="298" spans="1:21" ht="12.95" customHeight="1">
      <c r="A298" s="2"/>
      <c r="B298" s="2"/>
      <c r="C298" s="2"/>
      <c r="D298" s="54"/>
      <c r="E298" s="54"/>
      <c r="F298" s="54"/>
      <c r="G298" s="54"/>
      <c r="H298" s="54"/>
      <c r="I298" s="54"/>
      <c r="J298" s="54"/>
      <c r="K298" s="54"/>
      <c r="L298" s="54"/>
      <c r="M298" s="2"/>
      <c r="N298" s="54"/>
      <c r="P298" s="2"/>
      <c r="Q298" s="2"/>
      <c r="R298" s="2"/>
      <c r="S298" s="368"/>
      <c r="T298" s="2"/>
      <c r="U298" s="2"/>
    </row>
    <row r="299" spans="1:21" ht="12.95" customHeight="1">
      <c r="A299" s="2"/>
      <c r="B299" s="2"/>
      <c r="C299" s="2"/>
      <c r="D299" s="54"/>
      <c r="E299" s="54"/>
      <c r="F299" s="54"/>
      <c r="G299" s="54"/>
      <c r="H299" s="54"/>
      <c r="I299" s="54"/>
      <c r="J299" s="54"/>
      <c r="K299" s="54"/>
      <c r="L299" s="54"/>
      <c r="M299" s="2"/>
      <c r="N299" s="54"/>
      <c r="P299" s="2"/>
      <c r="Q299" s="2"/>
      <c r="R299" s="2"/>
      <c r="S299" s="368"/>
      <c r="T299" s="2"/>
      <c r="U299" s="2"/>
    </row>
    <row r="300" spans="1:21" ht="12.95" customHeight="1">
      <c r="A300" s="2"/>
      <c r="B300" s="2"/>
      <c r="C300" s="2"/>
      <c r="D300" s="54"/>
      <c r="E300" s="54"/>
      <c r="F300" s="54"/>
      <c r="G300" s="54"/>
      <c r="H300" s="54"/>
      <c r="I300" s="54"/>
      <c r="J300" s="54"/>
      <c r="K300" s="54"/>
      <c r="L300" s="54"/>
      <c r="M300" s="2"/>
      <c r="N300" s="54"/>
      <c r="P300" s="2"/>
      <c r="Q300" s="2"/>
      <c r="R300" s="2"/>
      <c r="S300" s="368"/>
      <c r="T300" s="2"/>
      <c r="U300" s="2"/>
    </row>
    <row r="301" spans="1:21" ht="12.95" customHeight="1">
      <c r="A301" s="2"/>
      <c r="B301" s="2"/>
      <c r="C301" s="2"/>
      <c r="D301" s="54"/>
      <c r="E301" s="54"/>
      <c r="F301" s="54"/>
      <c r="G301" s="54"/>
      <c r="H301" s="54"/>
      <c r="I301" s="54"/>
      <c r="J301" s="54"/>
      <c r="K301" s="54"/>
      <c r="L301" s="54"/>
      <c r="M301" s="2"/>
      <c r="N301" s="54"/>
      <c r="P301" s="2"/>
      <c r="Q301" s="2"/>
      <c r="R301" s="2"/>
      <c r="S301" s="368"/>
      <c r="T301" s="2"/>
      <c r="U301" s="2"/>
    </row>
    <row r="302" spans="1:21" ht="12.95" customHeight="1">
      <c r="A302" s="2"/>
      <c r="B302" s="2"/>
      <c r="C302" s="2"/>
      <c r="D302" s="54"/>
      <c r="E302" s="54"/>
      <c r="F302" s="54"/>
      <c r="G302" s="54"/>
      <c r="H302" s="54"/>
      <c r="I302" s="54"/>
      <c r="J302" s="54"/>
      <c r="K302" s="54"/>
      <c r="L302" s="54"/>
      <c r="M302" s="2"/>
      <c r="N302" s="54"/>
      <c r="P302" s="2"/>
      <c r="Q302" s="2"/>
      <c r="R302" s="2"/>
      <c r="S302" s="368"/>
      <c r="T302" s="2"/>
      <c r="U302" s="2"/>
    </row>
    <row r="303" spans="1:21" ht="12.95" customHeight="1">
      <c r="A303" s="2"/>
      <c r="B303" s="2"/>
      <c r="C303" s="2"/>
      <c r="D303" s="54"/>
      <c r="E303" s="54"/>
      <c r="F303" s="54"/>
      <c r="G303" s="54"/>
      <c r="H303" s="54"/>
      <c r="I303" s="54"/>
      <c r="J303" s="54"/>
      <c r="K303" s="54"/>
      <c r="L303" s="54"/>
      <c r="M303" s="2"/>
      <c r="N303" s="54"/>
      <c r="P303" s="2"/>
      <c r="Q303" s="2"/>
      <c r="R303" s="2"/>
      <c r="S303" s="368"/>
      <c r="T303" s="2"/>
      <c r="U303" s="2"/>
    </row>
    <row r="304" spans="1:21" ht="12.95" customHeight="1">
      <c r="A304" s="2"/>
      <c r="B304" s="2"/>
      <c r="C304" s="2"/>
      <c r="D304" s="54"/>
      <c r="E304" s="54"/>
      <c r="F304" s="54"/>
      <c r="G304" s="54"/>
      <c r="H304" s="54"/>
      <c r="I304" s="54"/>
      <c r="J304" s="54"/>
      <c r="K304" s="54"/>
      <c r="L304" s="54"/>
      <c r="M304" s="2"/>
      <c r="N304" s="54"/>
      <c r="P304" s="2"/>
      <c r="Q304" s="2"/>
      <c r="R304" s="2"/>
      <c r="S304" s="368"/>
      <c r="T304" s="2"/>
      <c r="U304" s="2"/>
    </row>
    <row r="305" spans="1:21" ht="12.95" customHeight="1">
      <c r="A305" s="2"/>
      <c r="B305" s="2"/>
      <c r="C305" s="2"/>
      <c r="D305" s="54"/>
      <c r="E305" s="54"/>
      <c r="F305" s="54"/>
      <c r="G305" s="54"/>
      <c r="H305" s="54"/>
      <c r="I305" s="54"/>
      <c r="J305" s="54"/>
      <c r="K305" s="54"/>
      <c r="L305" s="54"/>
      <c r="M305" s="2"/>
      <c r="N305" s="54"/>
      <c r="P305" s="2"/>
      <c r="Q305" s="2"/>
      <c r="R305" s="2"/>
      <c r="S305" s="368"/>
      <c r="T305" s="2"/>
      <c r="U305" s="2"/>
    </row>
    <row r="306" spans="1:21" ht="12.95" customHeight="1">
      <c r="A306" s="2"/>
      <c r="B306" s="2"/>
      <c r="C306" s="2"/>
      <c r="D306" s="54"/>
      <c r="E306" s="54"/>
      <c r="F306" s="54"/>
      <c r="G306" s="54"/>
      <c r="H306" s="54"/>
      <c r="I306" s="54"/>
      <c r="J306" s="54"/>
      <c r="K306" s="54"/>
      <c r="L306" s="54"/>
      <c r="M306" s="2"/>
      <c r="N306" s="54"/>
      <c r="P306" s="2"/>
      <c r="Q306" s="2"/>
      <c r="R306" s="2"/>
      <c r="S306" s="368"/>
      <c r="T306" s="2"/>
      <c r="U306" s="2"/>
    </row>
    <row r="307" spans="1:21" ht="12.95" customHeight="1">
      <c r="A307" s="2"/>
      <c r="B307" s="2"/>
      <c r="C307" s="2"/>
      <c r="D307" s="54"/>
      <c r="E307" s="54"/>
      <c r="F307" s="54"/>
      <c r="G307" s="54"/>
      <c r="H307" s="54"/>
      <c r="I307" s="54"/>
      <c r="J307" s="54"/>
      <c r="K307" s="54"/>
      <c r="L307" s="54"/>
      <c r="M307" s="2"/>
      <c r="N307" s="54"/>
      <c r="P307" s="2"/>
      <c r="Q307" s="2"/>
      <c r="R307" s="2"/>
      <c r="S307" s="368"/>
      <c r="T307" s="2"/>
      <c r="U307" s="2"/>
    </row>
    <row r="308" spans="1:21" ht="12.95" customHeight="1">
      <c r="A308" s="2"/>
      <c r="B308" s="2"/>
      <c r="C308" s="2"/>
      <c r="D308" s="54"/>
      <c r="E308" s="54"/>
      <c r="F308" s="54"/>
      <c r="G308" s="54"/>
      <c r="H308" s="54"/>
      <c r="I308" s="54"/>
      <c r="J308" s="54"/>
      <c r="K308" s="54"/>
      <c r="L308" s="54"/>
      <c r="M308" s="2"/>
      <c r="N308" s="54"/>
      <c r="P308" s="2"/>
      <c r="Q308" s="2"/>
      <c r="R308" s="2"/>
      <c r="S308" s="368"/>
      <c r="T308" s="2"/>
      <c r="U308" s="2"/>
    </row>
    <row r="309" spans="1:21" ht="12.95" customHeight="1">
      <c r="A309" s="2"/>
      <c r="B309" s="2"/>
      <c r="C309" s="2"/>
      <c r="D309" s="54"/>
      <c r="E309" s="54"/>
      <c r="F309" s="54"/>
      <c r="G309" s="54"/>
      <c r="H309" s="54"/>
      <c r="I309" s="54"/>
      <c r="J309" s="54"/>
      <c r="K309" s="54"/>
      <c r="L309" s="54"/>
      <c r="M309" s="2"/>
      <c r="N309" s="54"/>
      <c r="P309" s="2"/>
      <c r="Q309" s="2"/>
      <c r="R309" s="2"/>
      <c r="S309" s="368"/>
      <c r="T309" s="2"/>
      <c r="U309" s="2"/>
    </row>
    <row r="310" spans="1:21" ht="12.95" customHeight="1">
      <c r="A310" s="2"/>
      <c r="B310" s="2"/>
      <c r="C310" s="2"/>
      <c r="D310" s="54"/>
      <c r="E310" s="54"/>
      <c r="F310" s="54"/>
      <c r="G310" s="54"/>
      <c r="H310" s="54"/>
      <c r="I310" s="54"/>
      <c r="J310" s="54"/>
      <c r="K310" s="54"/>
      <c r="L310" s="54"/>
      <c r="M310" s="2"/>
      <c r="N310" s="54"/>
      <c r="P310" s="2"/>
      <c r="Q310" s="2"/>
      <c r="R310" s="2"/>
      <c r="S310" s="368"/>
      <c r="T310" s="2"/>
      <c r="U310" s="2"/>
    </row>
    <row r="311" spans="1:21" ht="12.95" customHeight="1">
      <c r="A311" s="2"/>
      <c r="B311" s="2"/>
      <c r="C311" s="2"/>
      <c r="D311" s="54"/>
      <c r="E311" s="54"/>
      <c r="F311" s="54"/>
      <c r="G311" s="54"/>
      <c r="H311" s="54"/>
      <c r="I311" s="54"/>
      <c r="J311" s="54"/>
      <c r="K311" s="54"/>
      <c r="L311" s="54"/>
      <c r="M311" s="2"/>
      <c r="N311" s="54"/>
      <c r="P311" s="2"/>
      <c r="Q311" s="2"/>
      <c r="R311" s="2"/>
      <c r="S311" s="368"/>
      <c r="T311" s="2"/>
      <c r="U311" s="2"/>
    </row>
    <row r="312" spans="1:21" ht="12.95" customHeight="1">
      <c r="A312" s="2"/>
      <c r="B312" s="2"/>
      <c r="C312" s="2"/>
      <c r="D312" s="54"/>
      <c r="E312" s="54"/>
      <c r="F312" s="54"/>
      <c r="G312" s="54"/>
      <c r="H312" s="54"/>
      <c r="I312" s="54"/>
      <c r="J312" s="54"/>
      <c r="K312" s="54"/>
      <c r="L312" s="54"/>
      <c r="M312" s="2"/>
      <c r="N312" s="54"/>
      <c r="P312" s="2"/>
      <c r="Q312" s="2"/>
      <c r="R312" s="2"/>
      <c r="S312" s="368"/>
      <c r="T312" s="2"/>
      <c r="U312" s="2"/>
    </row>
    <row r="313" spans="1:21" ht="12.95" customHeight="1">
      <c r="A313" s="2"/>
      <c r="B313" s="2"/>
      <c r="C313" s="2"/>
      <c r="D313" s="54"/>
      <c r="E313" s="54"/>
      <c r="F313" s="54"/>
      <c r="G313" s="54"/>
      <c r="H313" s="54"/>
      <c r="I313" s="54"/>
      <c r="J313" s="54"/>
      <c r="K313" s="54"/>
      <c r="L313" s="54"/>
      <c r="M313" s="2"/>
      <c r="N313" s="54"/>
      <c r="P313" s="2"/>
      <c r="Q313" s="2"/>
      <c r="R313" s="2"/>
      <c r="S313" s="368"/>
      <c r="T313" s="2"/>
      <c r="U313" s="2"/>
    </row>
    <row r="314" spans="1:21" ht="12.95" customHeight="1">
      <c r="A314" s="2"/>
      <c r="B314" s="2"/>
      <c r="C314" s="2"/>
      <c r="D314" s="54"/>
      <c r="E314" s="54"/>
      <c r="F314" s="54"/>
      <c r="G314" s="54"/>
      <c r="H314" s="54"/>
      <c r="I314" s="54"/>
      <c r="J314" s="54"/>
      <c r="K314" s="54"/>
      <c r="L314" s="54"/>
      <c r="M314" s="2"/>
      <c r="N314" s="54"/>
      <c r="P314" s="2"/>
      <c r="Q314" s="2"/>
      <c r="R314" s="2"/>
      <c r="S314" s="368"/>
      <c r="T314" s="2"/>
      <c r="U314" s="2"/>
    </row>
    <row r="315" spans="1:21" ht="12.95" customHeight="1">
      <c r="A315" s="2"/>
      <c r="B315" s="2"/>
      <c r="C315" s="2"/>
      <c r="D315" s="54"/>
      <c r="E315" s="54"/>
      <c r="F315" s="54"/>
      <c r="G315" s="54"/>
      <c r="H315" s="54"/>
      <c r="I315" s="54"/>
      <c r="J315" s="54"/>
      <c r="K315" s="54"/>
      <c r="L315" s="54"/>
      <c r="M315" s="2"/>
      <c r="N315" s="54"/>
      <c r="P315" s="2"/>
      <c r="Q315" s="2"/>
      <c r="R315" s="2"/>
      <c r="S315" s="368"/>
      <c r="T315" s="2"/>
      <c r="U315" s="2"/>
    </row>
    <row r="316" spans="1:21" ht="12.95" customHeight="1">
      <c r="A316" s="2"/>
      <c r="B316" s="2"/>
      <c r="C316" s="2"/>
      <c r="D316" s="54"/>
      <c r="E316" s="54"/>
      <c r="F316" s="54"/>
      <c r="G316" s="54"/>
      <c r="H316" s="54"/>
      <c r="I316" s="54"/>
      <c r="J316" s="54"/>
      <c r="K316" s="54"/>
      <c r="L316" s="54"/>
      <c r="M316" s="2"/>
      <c r="N316" s="54"/>
      <c r="P316" s="2"/>
      <c r="Q316" s="2"/>
      <c r="R316" s="2"/>
      <c r="S316" s="368"/>
      <c r="T316" s="2"/>
      <c r="U316" s="2"/>
    </row>
    <row r="317" spans="1:21" ht="12.95" customHeight="1">
      <c r="A317" s="2"/>
      <c r="B317" s="2"/>
      <c r="C317" s="2"/>
      <c r="D317" s="54"/>
      <c r="E317" s="54"/>
      <c r="F317" s="54"/>
      <c r="G317" s="54"/>
      <c r="H317" s="54"/>
      <c r="I317" s="54"/>
      <c r="J317" s="54"/>
      <c r="K317" s="54"/>
      <c r="L317" s="54"/>
      <c r="M317" s="2"/>
      <c r="N317" s="54"/>
      <c r="P317" s="2"/>
      <c r="Q317" s="2"/>
      <c r="R317" s="2"/>
      <c r="S317" s="368"/>
      <c r="T317" s="2"/>
      <c r="U317" s="2"/>
    </row>
    <row r="318" spans="1:21" ht="12.95" customHeight="1">
      <c r="A318" s="2"/>
      <c r="B318" s="2"/>
      <c r="C318" s="2"/>
      <c r="D318" s="54"/>
      <c r="E318" s="54"/>
      <c r="F318" s="54"/>
      <c r="G318" s="54"/>
      <c r="H318" s="54"/>
      <c r="I318" s="54"/>
      <c r="J318" s="54"/>
      <c r="K318" s="54"/>
      <c r="L318" s="54"/>
      <c r="M318" s="2"/>
      <c r="N318" s="54"/>
      <c r="P318" s="2"/>
      <c r="Q318" s="2"/>
      <c r="R318" s="2"/>
      <c r="S318" s="368"/>
      <c r="T318" s="2"/>
      <c r="U318" s="2"/>
    </row>
    <row r="319" spans="1:21" ht="12.95" customHeight="1">
      <c r="A319" s="2"/>
      <c r="B319" s="2"/>
      <c r="C319" s="2"/>
      <c r="D319" s="54"/>
      <c r="E319" s="54"/>
      <c r="F319" s="54"/>
      <c r="G319" s="54"/>
      <c r="H319" s="54"/>
      <c r="I319" s="54"/>
      <c r="J319" s="54"/>
      <c r="K319" s="54"/>
      <c r="L319" s="54"/>
      <c r="M319" s="2"/>
      <c r="N319" s="54"/>
      <c r="P319" s="2"/>
      <c r="Q319" s="2"/>
      <c r="R319" s="2"/>
      <c r="S319" s="368"/>
      <c r="T319" s="2"/>
      <c r="U319" s="2"/>
    </row>
    <row r="320" spans="1:21" ht="12.95" customHeight="1">
      <c r="A320" s="2"/>
      <c r="B320" s="2"/>
      <c r="C320" s="2"/>
      <c r="D320" s="54"/>
      <c r="E320" s="54"/>
      <c r="F320" s="54"/>
      <c r="G320" s="54"/>
      <c r="H320" s="54"/>
      <c r="I320" s="54"/>
      <c r="J320" s="54"/>
      <c r="K320" s="54"/>
      <c r="L320" s="54"/>
      <c r="M320" s="2"/>
      <c r="N320" s="54"/>
      <c r="P320" s="2"/>
      <c r="Q320" s="2"/>
      <c r="R320" s="2"/>
      <c r="S320" s="368"/>
      <c r="T320" s="2"/>
      <c r="U320" s="2"/>
    </row>
    <row r="321" spans="1:21" ht="12.95" customHeight="1">
      <c r="A321" s="2"/>
      <c r="B321" s="2"/>
      <c r="C321" s="2"/>
      <c r="D321" s="54"/>
      <c r="E321" s="54"/>
      <c r="F321" s="54"/>
      <c r="G321" s="54"/>
      <c r="H321" s="54"/>
      <c r="I321" s="54"/>
      <c r="J321" s="54"/>
      <c r="K321" s="54"/>
      <c r="L321" s="54"/>
      <c r="M321" s="2"/>
      <c r="N321" s="54"/>
      <c r="P321" s="2"/>
      <c r="Q321" s="2"/>
      <c r="R321" s="2"/>
      <c r="S321" s="368"/>
      <c r="T321" s="2"/>
      <c r="U321" s="2"/>
    </row>
    <row r="322" spans="1:21" ht="12.95" customHeight="1">
      <c r="A322" s="2"/>
      <c r="B322" s="2"/>
      <c r="C322" s="2"/>
      <c r="D322" s="54"/>
      <c r="E322" s="54"/>
      <c r="F322" s="54"/>
      <c r="G322" s="54"/>
      <c r="H322" s="54"/>
      <c r="I322" s="54"/>
      <c r="J322" s="54"/>
      <c r="K322" s="54"/>
      <c r="L322" s="54"/>
      <c r="M322" s="2"/>
      <c r="N322" s="54"/>
      <c r="P322" s="2"/>
      <c r="Q322" s="2"/>
      <c r="R322" s="2"/>
      <c r="S322" s="368"/>
      <c r="T322" s="2"/>
      <c r="U322" s="2"/>
    </row>
    <row r="323" spans="1:21" ht="12.95" customHeight="1">
      <c r="A323" s="2"/>
      <c r="B323" s="2"/>
      <c r="C323" s="2"/>
      <c r="D323" s="54"/>
      <c r="E323" s="54"/>
      <c r="F323" s="54"/>
      <c r="G323" s="54"/>
      <c r="H323" s="54"/>
      <c r="I323" s="54"/>
      <c r="J323" s="54"/>
      <c r="K323" s="54"/>
      <c r="L323" s="54"/>
      <c r="M323" s="2"/>
      <c r="N323" s="54"/>
      <c r="P323" s="2"/>
      <c r="Q323" s="2"/>
      <c r="R323" s="2"/>
      <c r="S323" s="368"/>
      <c r="T323" s="2"/>
      <c r="U323" s="2"/>
    </row>
    <row r="324" spans="1:21" ht="12.95" customHeight="1">
      <c r="A324" s="2"/>
      <c r="B324" s="2"/>
      <c r="C324" s="2"/>
      <c r="D324" s="54"/>
      <c r="E324" s="54"/>
      <c r="F324" s="54"/>
      <c r="G324" s="54"/>
      <c r="H324" s="54"/>
      <c r="I324" s="54"/>
      <c r="J324" s="54"/>
      <c r="K324" s="54"/>
      <c r="L324" s="54"/>
      <c r="M324" s="2"/>
      <c r="N324" s="54"/>
      <c r="P324" s="2"/>
      <c r="Q324" s="2"/>
      <c r="R324" s="2"/>
      <c r="S324" s="368"/>
      <c r="T324" s="2"/>
      <c r="U324" s="2"/>
    </row>
    <row r="325" spans="1:21" ht="12.95" customHeight="1">
      <c r="A325" s="2"/>
      <c r="B325" s="2"/>
      <c r="C325" s="2"/>
      <c r="D325" s="54"/>
      <c r="E325" s="54"/>
      <c r="F325" s="54"/>
      <c r="G325" s="54"/>
      <c r="H325" s="54"/>
      <c r="I325" s="54"/>
      <c r="J325" s="54"/>
      <c r="K325" s="54"/>
      <c r="L325" s="54"/>
      <c r="M325" s="2"/>
      <c r="N325" s="54"/>
      <c r="P325" s="2"/>
      <c r="Q325" s="2"/>
      <c r="R325" s="2"/>
      <c r="S325" s="368"/>
      <c r="T325" s="2"/>
      <c r="U325" s="2"/>
    </row>
    <row r="326" spans="1:21" ht="12.95" customHeight="1">
      <c r="A326" s="2"/>
      <c r="B326" s="2"/>
      <c r="C326" s="2"/>
      <c r="D326" s="54"/>
      <c r="E326" s="54"/>
      <c r="F326" s="54"/>
      <c r="G326" s="54"/>
      <c r="H326" s="54"/>
      <c r="I326" s="54"/>
      <c r="J326" s="54"/>
      <c r="K326" s="54"/>
      <c r="L326" s="54"/>
      <c r="M326" s="2"/>
      <c r="N326" s="54"/>
      <c r="P326" s="2"/>
      <c r="Q326" s="2"/>
      <c r="R326" s="2"/>
      <c r="S326" s="368"/>
      <c r="T326" s="2"/>
      <c r="U326" s="2"/>
    </row>
    <row r="327" spans="1:21" ht="12.95" customHeight="1">
      <c r="A327" s="2"/>
      <c r="B327" s="2"/>
      <c r="C327" s="2"/>
      <c r="D327" s="54"/>
      <c r="E327" s="54"/>
      <c r="F327" s="54"/>
      <c r="G327" s="54"/>
      <c r="H327" s="54"/>
      <c r="I327" s="54"/>
      <c r="J327" s="54"/>
      <c r="K327" s="54"/>
      <c r="L327" s="54"/>
      <c r="M327" s="2"/>
      <c r="N327" s="54"/>
      <c r="P327" s="2"/>
      <c r="Q327" s="2"/>
      <c r="R327" s="2"/>
      <c r="S327" s="368"/>
      <c r="T327" s="2"/>
      <c r="U327" s="2"/>
    </row>
    <row r="328" spans="1:21" ht="12.95" customHeight="1">
      <c r="A328" s="2"/>
      <c r="B328" s="2"/>
      <c r="C328" s="2"/>
      <c r="D328" s="54"/>
      <c r="E328" s="54"/>
      <c r="F328" s="54"/>
      <c r="G328" s="54"/>
      <c r="H328" s="54"/>
      <c r="I328" s="54"/>
      <c r="J328" s="54"/>
      <c r="K328" s="54"/>
      <c r="L328" s="54"/>
      <c r="M328" s="2"/>
      <c r="N328" s="54"/>
      <c r="P328" s="2"/>
      <c r="Q328" s="2"/>
      <c r="R328" s="2"/>
      <c r="S328" s="368"/>
      <c r="T328" s="2"/>
      <c r="U328" s="2"/>
    </row>
    <row r="329" spans="1:21" ht="12.95" customHeight="1">
      <c r="A329" s="2"/>
      <c r="B329" s="2"/>
      <c r="C329" s="2"/>
      <c r="D329" s="54"/>
      <c r="E329" s="54"/>
      <c r="F329" s="54"/>
      <c r="G329" s="54"/>
      <c r="H329" s="54"/>
      <c r="I329" s="54"/>
      <c r="J329" s="54"/>
      <c r="K329" s="54"/>
      <c r="L329" s="54"/>
      <c r="M329" s="2"/>
      <c r="N329" s="54"/>
      <c r="P329" s="2"/>
      <c r="Q329" s="2"/>
      <c r="R329" s="2"/>
      <c r="S329" s="368"/>
      <c r="T329" s="2"/>
      <c r="U329" s="2"/>
    </row>
    <row r="330" spans="1:21" ht="12.95" customHeight="1">
      <c r="A330" s="2"/>
      <c r="B330" s="2"/>
      <c r="C330" s="2"/>
      <c r="D330" s="54"/>
      <c r="E330" s="54"/>
      <c r="F330" s="54"/>
      <c r="G330" s="54"/>
      <c r="H330" s="54"/>
      <c r="I330" s="54"/>
      <c r="J330" s="54"/>
      <c r="K330" s="54"/>
      <c r="L330" s="54"/>
      <c r="M330" s="2"/>
      <c r="N330" s="54"/>
      <c r="P330" s="2"/>
      <c r="Q330" s="2"/>
      <c r="R330" s="2"/>
      <c r="S330" s="368"/>
      <c r="T330" s="2"/>
      <c r="U330" s="2"/>
    </row>
    <row r="331" spans="1:21" ht="12.95" customHeight="1">
      <c r="A331" s="2"/>
      <c r="B331" s="2"/>
      <c r="C331" s="2"/>
      <c r="D331" s="54"/>
      <c r="E331" s="54"/>
      <c r="F331" s="54"/>
      <c r="G331" s="54"/>
      <c r="H331" s="54"/>
      <c r="I331" s="54"/>
      <c r="J331" s="54"/>
      <c r="K331" s="54"/>
      <c r="L331" s="54"/>
      <c r="M331" s="2"/>
      <c r="N331" s="54"/>
      <c r="P331" s="2"/>
      <c r="Q331" s="2"/>
      <c r="R331" s="2"/>
      <c r="S331" s="368"/>
      <c r="T331" s="2"/>
      <c r="U331" s="2"/>
    </row>
    <row r="332" spans="1:21" ht="12.95" customHeight="1">
      <c r="A332" s="2"/>
      <c r="B332" s="2"/>
      <c r="C332" s="2"/>
      <c r="D332" s="54"/>
      <c r="E332" s="54"/>
      <c r="F332" s="54"/>
      <c r="G332" s="54"/>
      <c r="H332" s="54"/>
      <c r="I332" s="54"/>
      <c r="J332" s="54"/>
      <c r="K332" s="54"/>
      <c r="L332" s="54"/>
      <c r="M332" s="2"/>
      <c r="N332" s="54"/>
      <c r="P332" s="2"/>
      <c r="Q332" s="2"/>
      <c r="R332" s="2"/>
      <c r="S332" s="368"/>
      <c r="T332" s="2"/>
      <c r="U332" s="2"/>
    </row>
    <row r="333" spans="1:21" ht="12.95" customHeight="1">
      <c r="A333" s="2"/>
      <c r="B333" s="2"/>
      <c r="C333" s="2"/>
      <c r="D333" s="54"/>
      <c r="E333" s="54"/>
      <c r="F333" s="54"/>
      <c r="G333" s="54"/>
      <c r="H333" s="54"/>
      <c r="I333" s="54"/>
      <c r="J333" s="54"/>
      <c r="K333" s="54"/>
      <c r="L333" s="54"/>
      <c r="M333" s="2"/>
      <c r="N333" s="54"/>
      <c r="P333" s="2"/>
      <c r="Q333" s="2"/>
      <c r="R333" s="2"/>
      <c r="S333" s="368"/>
      <c r="T333" s="2"/>
      <c r="U333" s="2"/>
    </row>
    <row r="334" spans="1:21" ht="12.95" customHeight="1">
      <c r="A334" s="2"/>
      <c r="B334" s="2"/>
      <c r="C334" s="2"/>
      <c r="D334" s="54"/>
      <c r="E334" s="54"/>
      <c r="F334" s="54"/>
      <c r="G334" s="54"/>
      <c r="H334" s="54"/>
      <c r="I334" s="54"/>
      <c r="J334" s="54"/>
      <c r="K334" s="54"/>
      <c r="L334" s="54"/>
      <c r="M334" s="2"/>
      <c r="N334" s="54"/>
      <c r="P334" s="2"/>
      <c r="Q334" s="2"/>
      <c r="R334" s="2"/>
      <c r="S334" s="368"/>
      <c r="T334" s="2"/>
      <c r="U334" s="2"/>
    </row>
    <row r="335" spans="1:21" ht="12.95" customHeight="1">
      <c r="A335" s="2"/>
      <c r="B335" s="2"/>
      <c r="C335" s="2"/>
      <c r="D335" s="54"/>
      <c r="E335" s="54"/>
      <c r="F335" s="54"/>
      <c r="G335" s="54"/>
      <c r="H335" s="54"/>
      <c r="I335" s="54"/>
      <c r="J335" s="54"/>
      <c r="K335" s="54"/>
      <c r="L335" s="54"/>
      <c r="M335" s="2"/>
      <c r="N335" s="54"/>
      <c r="P335" s="2"/>
      <c r="Q335" s="2"/>
      <c r="R335" s="2"/>
      <c r="S335" s="368"/>
      <c r="T335" s="2"/>
      <c r="U335" s="2"/>
    </row>
    <row r="336" spans="1:21" ht="12.95" customHeight="1">
      <c r="A336" s="2"/>
      <c r="B336" s="2"/>
      <c r="C336" s="2"/>
      <c r="D336" s="54"/>
      <c r="E336" s="54"/>
      <c r="F336" s="54"/>
      <c r="G336" s="54"/>
      <c r="H336" s="54"/>
      <c r="I336" s="54"/>
      <c r="J336" s="54"/>
      <c r="K336" s="54"/>
      <c r="L336" s="54"/>
      <c r="M336" s="2"/>
      <c r="N336" s="54"/>
      <c r="P336" s="2"/>
      <c r="Q336" s="2"/>
      <c r="R336" s="2"/>
      <c r="S336" s="368"/>
      <c r="T336" s="2"/>
      <c r="U336" s="2"/>
    </row>
    <row r="337" spans="1:21" ht="12.95" customHeight="1">
      <c r="A337" s="2"/>
      <c r="B337" s="2"/>
      <c r="C337" s="2"/>
      <c r="D337" s="54"/>
      <c r="E337" s="54"/>
      <c r="F337" s="54"/>
      <c r="G337" s="54"/>
      <c r="H337" s="54"/>
      <c r="I337" s="54"/>
      <c r="J337" s="54"/>
      <c r="K337" s="54"/>
      <c r="L337" s="54"/>
      <c r="M337" s="2"/>
      <c r="N337" s="54"/>
      <c r="P337" s="2"/>
      <c r="Q337" s="2"/>
      <c r="R337" s="2"/>
      <c r="S337" s="368"/>
      <c r="T337" s="2"/>
      <c r="U337" s="2"/>
    </row>
    <row r="338" spans="1:21" ht="12.95" customHeight="1">
      <c r="A338" s="2"/>
      <c r="B338" s="2"/>
      <c r="C338" s="2"/>
      <c r="D338" s="54"/>
      <c r="E338" s="54"/>
      <c r="F338" s="54"/>
      <c r="G338" s="54"/>
      <c r="H338" s="54"/>
      <c r="I338" s="54"/>
      <c r="J338" s="54"/>
      <c r="K338" s="54"/>
      <c r="L338" s="54"/>
      <c r="M338" s="2"/>
      <c r="N338" s="54"/>
      <c r="P338" s="2"/>
      <c r="Q338" s="2"/>
      <c r="R338" s="2"/>
      <c r="S338" s="368"/>
      <c r="T338" s="2"/>
      <c r="U338" s="2"/>
    </row>
    <row r="339" spans="1:21" ht="12.95" customHeight="1">
      <c r="A339" s="2"/>
      <c r="B339" s="2"/>
      <c r="C339" s="2"/>
      <c r="D339" s="54"/>
      <c r="E339" s="54"/>
      <c r="F339" s="54"/>
      <c r="G339" s="54"/>
      <c r="H339" s="54"/>
      <c r="I339" s="54"/>
      <c r="J339" s="54"/>
      <c r="K339" s="54"/>
      <c r="L339" s="54"/>
      <c r="M339" s="2"/>
      <c r="N339" s="54"/>
      <c r="P339" s="2"/>
      <c r="Q339" s="2"/>
      <c r="R339" s="2"/>
      <c r="S339" s="368"/>
      <c r="T339" s="2"/>
      <c r="U339" s="2"/>
    </row>
    <row r="340" spans="1:21" ht="12.95" customHeight="1">
      <c r="A340" s="2"/>
      <c r="B340" s="2"/>
      <c r="C340" s="2"/>
      <c r="D340" s="54"/>
      <c r="E340" s="54"/>
      <c r="F340" s="54"/>
      <c r="G340" s="54"/>
      <c r="H340" s="54"/>
      <c r="I340" s="54"/>
      <c r="J340" s="54"/>
      <c r="K340" s="54"/>
      <c r="L340" s="54"/>
      <c r="M340" s="2"/>
      <c r="N340" s="54"/>
      <c r="P340" s="2"/>
      <c r="Q340" s="2"/>
      <c r="R340" s="2"/>
      <c r="S340" s="368"/>
      <c r="T340" s="2"/>
      <c r="U340" s="2"/>
    </row>
    <row r="341" spans="1:21" ht="12.95" customHeight="1">
      <c r="A341" s="2"/>
      <c r="B341" s="2"/>
      <c r="C341" s="2"/>
      <c r="D341" s="54"/>
      <c r="E341" s="54"/>
      <c r="F341" s="54"/>
      <c r="G341" s="54"/>
      <c r="H341" s="54"/>
      <c r="I341" s="54"/>
      <c r="J341" s="54"/>
      <c r="K341" s="54"/>
      <c r="L341" s="54"/>
      <c r="M341" s="2"/>
      <c r="N341" s="54"/>
      <c r="P341" s="2"/>
      <c r="Q341" s="2"/>
      <c r="R341" s="2"/>
      <c r="S341" s="368"/>
      <c r="T341" s="2"/>
      <c r="U341" s="2"/>
    </row>
    <row r="342" spans="1:21" ht="12.95" customHeight="1">
      <c r="A342" s="2"/>
      <c r="B342" s="2"/>
      <c r="C342" s="2"/>
      <c r="D342" s="54"/>
      <c r="E342" s="54"/>
      <c r="F342" s="54"/>
      <c r="G342" s="54"/>
      <c r="H342" s="54"/>
      <c r="I342" s="54"/>
      <c r="J342" s="54"/>
      <c r="K342" s="54"/>
      <c r="L342" s="54"/>
      <c r="M342" s="2"/>
      <c r="N342" s="54"/>
      <c r="P342" s="2"/>
      <c r="Q342" s="2"/>
      <c r="R342" s="2"/>
      <c r="S342" s="368"/>
      <c r="T342" s="2"/>
      <c r="U342" s="2"/>
    </row>
    <row r="343" spans="1:21" ht="12.95" customHeight="1">
      <c r="A343" s="2"/>
      <c r="B343" s="2"/>
      <c r="C343" s="2"/>
      <c r="D343" s="54"/>
      <c r="E343" s="54"/>
      <c r="F343" s="54"/>
      <c r="G343" s="54"/>
      <c r="H343" s="54"/>
      <c r="I343" s="54"/>
      <c r="J343" s="54"/>
      <c r="K343" s="54"/>
      <c r="L343" s="54"/>
      <c r="M343" s="2"/>
      <c r="N343" s="54"/>
      <c r="P343" s="2"/>
      <c r="Q343" s="2"/>
      <c r="R343" s="2"/>
      <c r="S343" s="368"/>
      <c r="T343" s="2"/>
      <c r="U343" s="2"/>
    </row>
    <row r="344" spans="1:21" ht="12.95" customHeight="1">
      <c r="A344" s="2"/>
      <c r="B344" s="2"/>
      <c r="C344" s="2"/>
      <c r="D344" s="54"/>
      <c r="E344" s="54"/>
      <c r="F344" s="54"/>
      <c r="G344" s="54"/>
      <c r="H344" s="54"/>
      <c r="I344" s="54"/>
      <c r="J344" s="54"/>
      <c r="K344" s="54"/>
      <c r="L344" s="54"/>
      <c r="M344" s="2"/>
      <c r="N344" s="54"/>
      <c r="P344" s="2"/>
      <c r="Q344" s="2"/>
      <c r="R344" s="2"/>
      <c r="S344" s="368"/>
      <c r="T344" s="2"/>
      <c r="U344" s="2"/>
    </row>
    <row r="345" spans="1:21" ht="12.95" customHeight="1">
      <c r="A345" s="2"/>
      <c r="B345" s="2"/>
      <c r="C345" s="2"/>
      <c r="D345" s="54"/>
      <c r="E345" s="54"/>
      <c r="F345" s="54"/>
      <c r="G345" s="54"/>
      <c r="H345" s="54"/>
      <c r="I345" s="54"/>
      <c r="J345" s="54"/>
      <c r="K345" s="54"/>
      <c r="L345" s="54"/>
      <c r="M345" s="2"/>
      <c r="N345" s="54"/>
      <c r="P345" s="2"/>
      <c r="Q345" s="2"/>
      <c r="R345" s="2"/>
      <c r="S345" s="368"/>
      <c r="T345" s="2"/>
      <c r="U345" s="2"/>
    </row>
    <row r="346" spans="1:21" ht="12.95" customHeight="1">
      <c r="A346" s="2"/>
      <c r="B346" s="2"/>
      <c r="C346" s="2"/>
      <c r="D346" s="54"/>
      <c r="E346" s="54"/>
      <c r="F346" s="54"/>
      <c r="G346" s="54"/>
      <c r="H346" s="54"/>
      <c r="I346" s="54"/>
      <c r="J346" s="54"/>
      <c r="K346" s="54"/>
      <c r="L346" s="54"/>
      <c r="M346" s="2"/>
      <c r="N346" s="54"/>
      <c r="P346" s="2"/>
      <c r="Q346" s="2"/>
      <c r="R346" s="2"/>
      <c r="S346" s="368"/>
      <c r="T346" s="2"/>
      <c r="U346" s="2"/>
    </row>
    <row r="347" spans="1:21" ht="12.95" customHeight="1">
      <c r="A347" s="2"/>
      <c r="B347" s="2"/>
      <c r="C347" s="2"/>
      <c r="D347" s="54"/>
      <c r="E347" s="54"/>
      <c r="F347" s="54"/>
      <c r="G347" s="54"/>
      <c r="H347" s="54"/>
      <c r="I347" s="54"/>
      <c r="J347" s="54"/>
      <c r="K347" s="54"/>
      <c r="L347" s="54"/>
      <c r="M347" s="2"/>
      <c r="N347" s="54"/>
      <c r="P347" s="2"/>
      <c r="Q347" s="2"/>
      <c r="R347" s="2"/>
      <c r="S347" s="368"/>
      <c r="T347" s="2"/>
      <c r="U347" s="2"/>
    </row>
    <row r="348" spans="1:21" ht="12.95" customHeight="1">
      <c r="A348" s="2"/>
      <c r="B348" s="2"/>
      <c r="C348" s="2"/>
      <c r="D348" s="54"/>
      <c r="E348" s="54"/>
      <c r="F348" s="54"/>
      <c r="G348" s="54"/>
      <c r="H348" s="54"/>
      <c r="I348" s="54"/>
      <c r="J348" s="54"/>
      <c r="K348" s="54"/>
      <c r="L348" s="54"/>
      <c r="M348" s="2"/>
      <c r="N348" s="54"/>
      <c r="P348" s="2"/>
      <c r="Q348" s="2"/>
      <c r="R348" s="2"/>
      <c r="S348" s="368"/>
      <c r="T348" s="2"/>
      <c r="U348" s="2"/>
    </row>
    <row r="349" spans="1:21" ht="12.95" customHeight="1">
      <c r="A349" s="2"/>
      <c r="B349" s="2"/>
      <c r="C349" s="2"/>
      <c r="D349" s="54"/>
      <c r="E349" s="54"/>
      <c r="F349" s="54"/>
      <c r="G349" s="54"/>
      <c r="H349" s="54"/>
      <c r="I349" s="54"/>
      <c r="J349" s="54"/>
      <c r="K349" s="54"/>
      <c r="L349" s="54"/>
      <c r="M349" s="2"/>
      <c r="N349" s="54"/>
      <c r="P349" s="2"/>
      <c r="Q349" s="2"/>
      <c r="R349" s="2"/>
      <c r="S349" s="368"/>
      <c r="T349" s="2"/>
      <c r="U349" s="2"/>
    </row>
    <row r="350" spans="1:21" ht="12.95" customHeight="1">
      <c r="A350" s="2"/>
      <c r="B350" s="2"/>
      <c r="C350" s="2"/>
      <c r="D350" s="54"/>
      <c r="E350" s="54"/>
      <c r="F350" s="54"/>
      <c r="G350" s="54"/>
      <c r="H350" s="54"/>
      <c r="I350" s="54"/>
      <c r="J350" s="54"/>
      <c r="K350" s="54"/>
      <c r="L350" s="54"/>
      <c r="M350" s="2"/>
      <c r="N350" s="54"/>
      <c r="P350" s="2"/>
      <c r="Q350" s="2"/>
      <c r="R350" s="2"/>
      <c r="S350" s="368"/>
      <c r="T350" s="2"/>
      <c r="U350" s="2"/>
    </row>
    <row r="351" spans="1:21" ht="12.95" customHeight="1">
      <c r="A351" s="2"/>
      <c r="B351" s="2"/>
      <c r="C351" s="2"/>
      <c r="D351" s="54"/>
      <c r="E351" s="54"/>
      <c r="F351" s="54"/>
      <c r="G351" s="54"/>
      <c r="H351" s="54"/>
      <c r="I351" s="54"/>
      <c r="J351" s="54"/>
      <c r="K351" s="54"/>
      <c r="L351" s="54"/>
      <c r="M351" s="2"/>
      <c r="N351" s="54"/>
      <c r="P351" s="2"/>
      <c r="Q351" s="2"/>
      <c r="R351" s="2"/>
      <c r="S351" s="368"/>
      <c r="T351" s="2"/>
      <c r="U351" s="2"/>
    </row>
    <row r="352" spans="1:21" ht="12.95" customHeight="1">
      <c r="A352" s="2"/>
      <c r="B352" s="2"/>
      <c r="C352" s="2"/>
      <c r="D352" s="54"/>
      <c r="E352" s="54"/>
      <c r="F352" s="54"/>
      <c r="G352" s="54"/>
      <c r="H352" s="54"/>
      <c r="I352" s="54"/>
      <c r="J352" s="54"/>
      <c r="K352" s="54"/>
      <c r="L352" s="54"/>
      <c r="M352" s="2"/>
      <c r="N352" s="54"/>
      <c r="P352" s="2"/>
      <c r="Q352" s="2"/>
      <c r="R352" s="2"/>
      <c r="S352" s="368"/>
      <c r="T352" s="2"/>
      <c r="U352" s="2"/>
    </row>
    <row r="353" spans="1:21" ht="12.95" customHeight="1">
      <c r="A353" s="2"/>
      <c r="B353" s="2"/>
      <c r="C353" s="2"/>
      <c r="D353" s="54"/>
      <c r="E353" s="54"/>
      <c r="F353" s="54"/>
      <c r="G353" s="54"/>
      <c r="H353" s="54"/>
      <c r="I353" s="54"/>
      <c r="J353" s="54"/>
      <c r="K353" s="54"/>
      <c r="L353" s="54"/>
      <c r="M353" s="2"/>
      <c r="N353" s="54"/>
      <c r="P353" s="2"/>
      <c r="Q353" s="2"/>
      <c r="R353" s="2"/>
      <c r="S353" s="368"/>
      <c r="T353" s="2"/>
      <c r="U353" s="2"/>
    </row>
    <row r="354" spans="1:21" ht="12.95" customHeight="1">
      <c r="A354" s="2"/>
      <c r="B354" s="2"/>
      <c r="C354" s="2"/>
      <c r="D354" s="54"/>
      <c r="E354" s="54"/>
      <c r="F354" s="54"/>
      <c r="G354" s="54"/>
      <c r="H354" s="54"/>
      <c r="I354" s="54"/>
      <c r="J354" s="54"/>
      <c r="K354" s="54"/>
      <c r="L354" s="54"/>
      <c r="M354" s="2"/>
      <c r="N354" s="54"/>
      <c r="P354" s="2"/>
      <c r="Q354" s="2"/>
      <c r="R354" s="2"/>
      <c r="S354" s="368"/>
      <c r="T354" s="2"/>
      <c r="U354" s="2"/>
    </row>
    <row r="355" spans="1:21" ht="12.95" customHeight="1">
      <c r="A355" s="2"/>
      <c r="B355" s="2"/>
      <c r="C355" s="2"/>
      <c r="D355" s="54"/>
      <c r="E355" s="54"/>
      <c r="F355" s="54"/>
      <c r="G355" s="54"/>
      <c r="H355" s="54"/>
      <c r="I355" s="54"/>
      <c r="J355" s="54"/>
      <c r="K355" s="54"/>
      <c r="L355" s="54"/>
      <c r="M355" s="2"/>
      <c r="N355" s="54"/>
      <c r="P355" s="2"/>
      <c r="Q355" s="2"/>
      <c r="R355" s="2"/>
      <c r="S355" s="368"/>
      <c r="T355" s="2"/>
      <c r="U355" s="2"/>
    </row>
    <row r="356" spans="1:21" ht="12.95" customHeight="1">
      <c r="A356" s="2"/>
      <c r="B356" s="2"/>
      <c r="C356" s="2"/>
      <c r="D356" s="54"/>
      <c r="E356" s="54"/>
      <c r="F356" s="54"/>
      <c r="G356" s="54"/>
      <c r="H356" s="54"/>
      <c r="I356" s="54"/>
      <c r="J356" s="54"/>
      <c r="K356" s="54"/>
      <c r="L356" s="54"/>
      <c r="M356" s="2"/>
      <c r="N356" s="54"/>
      <c r="P356" s="2"/>
      <c r="Q356" s="2"/>
      <c r="R356" s="2"/>
      <c r="S356" s="368"/>
      <c r="T356" s="2"/>
      <c r="U356" s="2"/>
    </row>
    <row r="357" spans="1:21" ht="12.95" customHeight="1">
      <c r="A357" s="2"/>
      <c r="B357" s="2"/>
      <c r="C357" s="2"/>
      <c r="D357" s="54"/>
      <c r="E357" s="54"/>
      <c r="F357" s="54"/>
      <c r="G357" s="54"/>
      <c r="H357" s="54"/>
      <c r="I357" s="54"/>
      <c r="J357" s="54"/>
      <c r="K357" s="54"/>
      <c r="L357" s="54"/>
      <c r="M357" s="2"/>
      <c r="N357" s="54"/>
      <c r="P357" s="2"/>
      <c r="Q357" s="2"/>
      <c r="R357" s="2"/>
      <c r="S357" s="368"/>
      <c r="T357" s="2"/>
      <c r="U357" s="2"/>
    </row>
    <row r="358" spans="1:21" ht="12.95" customHeight="1">
      <c r="A358" s="2"/>
      <c r="B358" s="2"/>
      <c r="C358" s="2"/>
      <c r="D358" s="54"/>
      <c r="E358" s="54"/>
      <c r="F358" s="54"/>
      <c r="G358" s="54"/>
      <c r="H358" s="54"/>
      <c r="I358" s="54"/>
      <c r="J358" s="54"/>
      <c r="K358" s="54"/>
      <c r="L358" s="54"/>
      <c r="M358" s="2"/>
      <c r="N358" s="54"/>
      <c r="P358" s="2"/>
      <c r="Q358" s="2"/>
      <c r="R358" s="2"/>
      <c r="S358" s="368"/>
      <c r="T358" s="2"/>
      <c r="U358" s="2"/>
    </row>
    <row r="359" spans="1:21" ht="12.95" customHeight="1">
      <c r="A359" s="2"/>
      <c r="B359" s="2"/>
      <c r="C359" s="2"/>
      <c r="D359" s="54"/>
      <c r="E359" s="54"/>
      <c r="F359" s="54"/>
      <c r="G359" s="54"/>
      <c r="H359" s="54"/>
      <c r="I359" s="54"/>
      <c r="J359" s="54"/>
      <c r="K359" s="54"/>
      <c r="L359" s="54"/>
      <c r="M359" s="2"/>
      <c r="N359" s="54"/>
      <c r="P359" s="2"/>
      <c r="Q359" s="2"/>
      <c r="R359" s="2"/>
      <c r="S359" s="368"/>
      <c r="T359" s="2"/>
      <c r="U359" s="2"/>
    </row>
    <row r="360" spans="1:21" ht="12.95" customHeight="1">
      <c r="A360" s="2"/>
      <c r="B360" s="2"/>
      <c r="C360" s="2"/>
      <c r="D360" s="54"/>
      <c r="E360" s="54"/>
      <c r="F360" s="54"/>
      <c r="G360" s="54"/>
      <c r="H360" s="54"/>
      <c r="I360" s="54"/>
      <c r="J360" s="54"/>
      <c r="K360" s="54"/>
      <c r="L360" s="54"/>
      <c r="M360" s="2"/>
      <c r="N360" s="54"/>
      <c r="P360" s="2"/>
      <c r="Q360" s="2"/>
      <c r="R360" s="2"/>
      <c r="S360" s="368"/>
      <c r="T360" s="2"/>
      <c r="U360" s="2"/>
    </row>
    <row r="361" spans="1:21" ht="12.95" customHeight="1">
      <c r="A361" s="2"/>
      <c r="B361" s="2"/>
      <c r="C361" s="2"/>
      <c r="D361" s="54"/>
      <c r="E361" s="54"/>
      <c r="F361" s="54"/>
      <c r="G361" s="54"/>
      <c r="H361" s="54"/>
      <c r="I361" s="54"/>
      <c r="J361" s="54"/>
      <c r="K361" s="54"/>
      <c r="L361" s="54"/>
      <c r="M361" s="2"/>
      <c r="N361" s="54"/>
      <c r="P361" s="2"/>
      <c r="Q361" s="2"/>
      <c r="R361" s="2"/>
      <c r="S361" s="368"/>
      <c r="T361" s="2"/>
      <c r="U361" s="2"/>
    </row>
    <row r="362" spans="1:21" ht="12.95" customHeight="1">
      <c r="A362" s="2"/>
      <c r="B362" s="2"/>
      <c r="C362" s="2"/>
      <c r="D362" s="54"/>
      <c r="E362" s="54"/>
      <c r="F362" s="54"/>
      <c r="G362" s="54"/>
      <c r="H362" s="54"/>
      <c r="I362" s="54"/>
      <c r="J362" s="54"/>
      <c r="K362" s="54"/>
      <c r="L362" s="54"/>
      <c r="M362" s="2"/>
      <c r="N362" s="54"/>
      <c r="P362" s="2"/>
      <c r="Q362" s="2"/>
      <c r="R362" s="2"/>
      <c r="S362" s="368"/>
      <c r="T362" s="2"/>
      <c r="U362" s="2"/>
    </row>
    <row r="363" spans="1:21" ht="12.95" customHeight="1">
      <c r="A363" s="2"/>
      <c r="B363" s="2"/>
      <c r="C363" s="2"/>
      <c r="D363" s="54"/>
      <c r="E363" s="54"/>
      <c r="F363" s="54"/>
      <c r="G363" s="54"/>
      <c r="H363" s="54"/>
      <c r="I363" s="54"/>
      <c r="J363" s="54"/>
      <c r="K363" s="54"/>
      <c r="L363" s="54"/>
      <c r="M363" s="2"/>
      <c r="N363" s="54"/>
      <c r="P363" s="2"/>
      <c r="Q363" s="2"/>
      <c r="R363" s="2"/>
      <c r="S363" s="368"/>
      <c r="T363" s="2"/>
      <c r="U363" s="2"/>
    </row>
    <row r="364" spans="1:21" ht="12.95" customHeight="1">
      <c r="A364" s="2"/>
      <c r="B364" s="2"/>
      <c r="C364" s="2"/>
      <c r="D364" s="54"/>
      <c r="E364" s="54"/>
      <c r="F364" s="54"/>
      <c r="G364" s="54"/>
      <c r="H364" s="54"/>
      <c r="I364" s="54"/>
      <c r="J364" s="54"/>
      <c r="K364" s="54"/>
      <c r="L364" s="54"/>
      <c r="M364" s="2"/>
      <c r="N364" s="54"/>
      <c r="P364" s="2"/>
      <c r="Q364" s="2"/>
      <c r="R364" s="2"/>
      <c r="S364" s="368"/>
      <c r="T364" s="2"/>
      <c r="U364" s="2"/>
    </row>
    <row r="365" spans="1:21" ht="12.95" customHeight="1">
      <c r="A365" s="2"/>
      <c r="B365" s="2"/>
      <c r="C365" s="2"/>
      <c r="D365" s="54"/>
      <c r="E365" s="54"/>
      <c r="F365" s="54"/>
      <c r="G365" s="54"/>
      <c r="H365" s="54"/>
      <c r="I365" s="54"/>
      <c r="J365" s="54"/>
      <c r="K365" s="54"/>
      <c r="L365" s="54"/>
      <c r="M365" s="2"/>
      <c r="N365" s="54"/>
      <c r="P365" s="2"/>
      <c r="Q365" s="2"/>
      <c r="R365" s="2"/>
      <c r="S365" s="368"/>
      <c r="T365" s="2"/>
      <c r="U365" s="2"/>
    </row>
    <row r="366" spans="1:21" ht="12.95" customHeight="1">
      <c r="A366" s="2"/>
      <c r="B366" s="2"/>
      <c r="C366" s="2"/>
      <c r="D366" s="54"/>
      <c r="E366" s="54"/>
      <c r="F366" s="54"/>
      <c r="G366" s="54"/>
      <c r="H366" s="54"/>
      <c r="I366" s="54"/>
      <c r="J366" s="54"/>
      <c r="K366" s="54"/>
      <c r="L366" s="54"/>
      <c r="M366" s="2"/>
      <c r="N366" s="54"/>
      <c r="P366" s="2"/>
      <c r="Q366" s="2"/>
      <c r="R366" s="2"/>
      <c r="S366" s="368"/>
      <c r="T366" s="2"/>
      <c r="U366" s="2"/>
    </row>
    <row r="367" spans="1:21" ht="12.95" customHeight="1">
      <c r="A367" s="2"/>
      <c r="B367" s="2"/>
      <c r="C367" s="2"/>
      <c r="D367" s="54"/>
      <c r="E367" s="54"/>
      <c r="F367" s="54"/>
      <c r="G367" s="54"/>
      <c r="H367" s="54"/>
      <c r="I367" s="54"/>
      <c r="J367" s="54"/>
      <c r="K367" s="54"/>
      <c r="L367" s="54"/>
      <c r="M367" s="2"/>
      <c r="N367" s="54"/>
      <c r="P367" s="2"/>
      <c r="Q367" s="2"/>
      <c r="R367" s="2"/>
      <c r="S367" s="368"/>
      <c r="T367" s="2"/>
      <c r="U367" s="2"/>
    </row>
    <row r="368" spans="1:21" ht="12.95" customHeight="1">
      <c r="A368" s="2"/>
      <c r="B368" s="2"/>
      <c r="C368" s="2"/>
      <c r="D368" s="54"/>
      <c r="E368" s="54"/>
      <c r="F368" s="54"/>
      <c r="G368" s="54"/>
      <c r="H368" s="54"/>
      <c r="I368" s="54"/>
      <c r="J368" s="54"/>
      <c r="K368" s="54"/>
      <c r="L368" s="54"/>
      <c r="M368" s="2"/>
      <c r="N368" s="54"/>
      <c r="P368" s="2"/>
      <c r="Q368" s="2"/>
      <c r="R368" s="2"/>
      <c r="S368" s="368"/>
      <c r="T368" s="2"/>
      <c r="U368" s="2"/>
    </row>
    <row r="369" spans="1:21" ht="12.95" customHeight="1">
      <c r="A369" s="2"/>
      <c r="B369" s="2"/>
      <c r="C369" s="2"/>
      <c r="D369" s="54"/>
      <c r="E369" s="54"/>
      <c r="F369" s="54"/>
      <c r="G369" s="54"/>
      <c r="H369" s="54"/>
      <c r="I369" s="54"/>
      <c r="J369" s="54"/>
      <c r="K369" s="54"/>
      <c r="L369" s="54"/>
      <c r="M369" s="2"/>
      <c r="N369" s="54"/>
      <c r="P369" s="2"/>
      <c r="Q369" s="2"/>
      <c r="R369" s="2"/>
      <c r="S369" s="368"/>
      <c r="T369" s="2"/>
      <c r="U369" s="2"/>
    </row>
    <row r="370" spans="1:21" ht="12.95" customHeight="1">
      <c r="A370" s="2"/>
      <c r="B370" s="2"/>
      <c r="C370" s="2"/>
      <c r="D370" s="54"/>
      <c r="E370" s="54"/>
      <c r="F370" s="54"/>
      <c r="G370" s="54"/>
      <c r="H370" s="54"/>
      <c r="I370" s="54"/>
      <c r="J370" s="54"/>
      <c r="K370" s="54"/>
      <c r="L370" s="54"/>
      <c r="M370" s="2"/>
      <c r="N370" s="54"/>
      <c r="P370" s="2"/>
      <c r="Q370" s="2"/>
      <c r="R370" s="2"/>
      <c r="S370" s="368"/>
      <c r="T370" s="2"/>
      <c r="U370" s="2"/>
    </row>
    <row r="371" spans="1:21" ht="12.95" customHeight="1">
      <c r="A371" s="2"/>
      <c r="B371" s="2"/>
      <c r="C371" s="2"/>
      <c r="D371" s="54"/>
      <c r="E371" s="54"/>
      <c r="F371" s="54"/>
      <c r="G371" s="54"/>
      <c r="H371" s="54"/>
      <c r="I371" s="54"/>
      <c r="J371" s="54"/>
      <c r="K371" s="54"/>
      <c r="L371" s="54"/>
      <c r="M371" s="2"/>
      <c r="N371" s="54"/>
      <c r="P371" s="2"/>
      <c r="Q371" s="2"/>
      <c r="R371" s="2"/>
      <c r="S371" s="368"/>
      <c r="T371" s="2"/>
      <c r="U371" s="2"/>
    </row>
    <row r="372" spans="1:21" ht="12.95" customHeight="1">
      <c r="A372" s="2"/>
      <c r="B372" s="2"/>
      <c r="C372" s="2"/>
      <c r="D372" s="54"/>
      <c r="E372" s="54"/>
      <c r="F372" s="54"/>
      <c r="G372" s="54"/>
      <c r="H372" s="54"/>
      <c r="I372" s="54"/>
      <c r="J372" s="54"/>
      <c r="K372" s="54"/>
      <c r="L372" s="54"/>
      <c r="M372" s="2"/>
      <c r="N372" s="54"/>
      <c r="P372" s="2"/>
      <c r="Q372" s="2"/>
      <c r="R372" s="2"/>
      <c r="S372" s="368"/>
      <c r="T372" s="2"/>
      <c r="U372" s="2"/>
    </row>
    <row r="373" spans="1:21" ht="12.95" customHeight="1">
      <c r="A373" s="2"/>
      <c r="B373" s="2"/>
      <c r="C373" s="2"/>
      <c r="D373" s="54"/>
      <c r="E373" s="54"/>
      <c r="F373" s="54"/>
      <c r="G373" s="54"/>
      <c r="H373" s="54"/>
      <c r="I373" s="54"/>
      <c r="J373" s="54"/>
      <c r="K373" s="54"/>
      <c r="L373" s="54"/>
      <c r="M373" s="2"/>
      <c r="N373" s="54"/>
      <c r="P373" s="2"/>
      <c r="Q373" s="2"/>
      <c r="R373" s="2"/>
      <c r="S373" s="368"/>
      <c r="T373" s="2"/>
      <c r="U373" s="2"/>
    </row>
    <row r="374" spans="1:21" ht="12.95" customHeight="1">
      <c r="A374" s="2"/>
      <c r="B374" s="2"/>
      <c r="C374" s="2"/>
      <c r="D374" s="54"/>
      <c r="E374" s="54"/>
      <c r="F374" s="54"/>
      <c r="G374" s="54"/>
      <c r="H374" s="54"/>
      <c r="I374" s="54"/>
      <c r="J374" s="54"/>
      <c r="K374" s="54"/>
      <c r="L374" s="54"/>
      <c r="M374" s="2"/>
      <c r="N374" s="54"/>
      <c r="P374" s="2"/>
      <c r="Q374" s="2"/>
      <c r="R374" s="2"/>
      <c r="S374" s="368"/>
      <c r="T374" s="2"/>
      <c r="U374" s="2"/>
    </row>
    <row r="375" spans="1:21" ht="12.95" customHeight="1">
      <c r="A375" s="2"/>
      <c r="B375" s="2"/>
      <c r="C375" s="2"/>
      <c r="D375" s="54"/>
      <c r="E375" s="54"/>
      <c r="F375" s="54"/>
      <c r="G375" s="54"/>
      <c r="H375" s="54"/>
      <c r="I375" s="54"/>
      <c r="J375" s="54"/>
      <c r="K375" s="54"/>
      <c r="L375" s="54"/>
      <c r="M375" s="2"/>
      <c r="N375" s="54"/>
      <c r="P375" s="2"/>
      <c r="Q375" s="2"/>
      <c r="R375" s="2"/>
      <c r="S375" s="368"/>
      <c r="T375" s="2"/>
      <c r="U375" s="2"/>
    </row>
    <row r="376" spans="1:21" ht="12.95" customHeight="1">
      <c r="A376" s="2"/>
      <c r="B376" s="2"/>
      <c r="C376" s="2"/>
      <c r="D376" s="54"/>
      <c r="E376" s="54"/>
      <c r="F376" s="54"/>
      <c r="G376" s="54"/>
      <c r="H376" s="54"/>
      <c r="I376" s="54"/>
      <c r="J376" s="54"/>
      <c r="K376" s="54"/>
      <c r="L376" s="54"/>
      <c r="M376" s="2"/>
      <c r="N376" s="54"/>
      <c r="P376" s="2"/>
      <c r="Q376" s="2"/>
      <c r="R376" s="2"/>
      <c r="S376" s="368"/>
      <c r="T376" s="2"/>
      <c r="U376" s="2"/>
    </row>
    <row r="377" spans="1:21" ht="12.95" customHeight="1">
      <c r="A377" s="2"/>
      <c r="B377" s="2"/>
      <c r="C377" s="2"/>
      <c r="D377" s="54"/>
      <c r="E377" s="54"/>
      <c r="F377" s="54"/>
      <c r="G377" s="54"/>
      <c r="H377" s="54"/>
      <c r="I377" s="54"/>
      <c r="J377" s="54"/>
      <c r="K377" s="54"/>
      <c r="L377" s="54"/>
      <c r="M377" s="2"/>
      <c r="N377" s="54"/>
      <c r="P377" s="2"/>
      <c r="Q377" s="2"/>
      <c r="R377" s="2"/>
      <c r="S377" s="368"/>
      <c r="T377" s="2"/>
      <c r="U377" s="2"/>
    </row>
    <row r="378" spans="1:21" ht="12.95" customHeight="1">
      <c r="A378" s="2"/>
      <c r="B378" s="2"/>
      <c r="C378" s="2"/>
      <c r="D378" s="54"/>
      <c r="E378" s="54"/>
      <c r="F378" s="54"/>
      <c r="G378" s="54"/>
      <c r="H378" s="54"/>
      <c r="I378" s="54"/>
      <c r="J378" s="54"/>
      <c r="K378" s="54"/>
      <c r="L378" s="54"/>
      <c r="M378" s="2"/>
      <c r="N378" s="54"/>
      <c r="P378" s="2"/>
      <c r="Q378" s="2"/>
      <c r="R378" s="2"/>
      <c r="S378" s="368"/>
      <c r="T378" s="2"/>
      <c r="U378" s="2"/>
    </row>
    <row r="379" spans="1:21" ht="12.95" customHeight="1">
      <c r="A379" s="2"/>
      <c r="B379" s="2"/>
      <c r="C379" s="2"/>
      <c r="D379" s="54"/>
      <c r="E379" s="54"/>
      <c r="F379" s="54"/>
      <c r="G379" s="54"/>
      <c r="H379" s="54"/>
      <c r="I379" s="54"/>
      <c r="J379" s="54"/>
      <c r="K379" s="54"/>
      <c r="L379" s="54"/>
      <c r="M379" s="2"/>
      <c r="N379" s="54"/>
      <c r="P379" s="2"/>
      <c r="Q379" s="2"/>
      <c r="R379" s="2"/>
      <c r="S379" s="368"/>
      <c r="T379" s="2"/>
      <c r="U379" s="2"/>
    </row>
    <row r="380" spans="1:21" ht="12.95" customHeight="1">
      <c r="A380" s="2"/>
      <c r="B380" s="2"/>
      <c r="C380" s="2"/>
      <c r="D380" s="54"/>
      <c r="E380" s="54"/>
      <c r="F380" s="54"/>
      <c r="G380" s="54"/>
      <c r="H380" s="54"/>
      <c r="I380" s="54"/>
      <c r="J380" s="54"/>
      <c r="K380" s="54"/>
      <c r="L380" s="54"/>
      <c r="M380" s="2"/>
      <c r="N380" s="54"/>
      <c r="P380" s="2"/>
      <c r="Q380" s="2"/>
      <c r="R380" s="2"/>
      <c r="S380" s="368"/>
      <c r="T380" s="2"/>
      <c r="U380" s="2"/>
    </row>
    <row r="381" spans="1:21" ht="12.95" customHeight="1">
      <c r="A381" s="2"/>
      <c r="B381" s="2"/>
      <c r="C381" s="2"/>
      <c r="D381" s="54"/>
      <c r="E381" s="54"/>
      <c r="F381" s="54"/>
      <c r="G381" s="54"/>
      <c r="H381" s="54"/>
      <c r="I381" s="54"/>
      <c r="J381" s="54"/>
      <c r="K381" s="54"/>
      <c r="L381" s="54"/>
      <c r="M381" s="2"/>
      <c r="N381" s="54"/>
      <c r="P381" s="2"/>
      <c r="Q381" s="2"/>
      <c r="R381" s="2"/>
      <c r="S381" s="368"/>
      <c r="T381" s="2"/>
      <c r="U381" s="2"/>
    </row>
    <row r="382" spans="1:21" ht="12.95" customHeight="1">
      <c r="A382" s="2"/>
      <c r="B382" s="2"/>
      <c r="C382" s="2"/>
      <c r="D382" s="54"/>
      <c r="E382" s="54"/>
      <c r="F382" s="54"/>
      <c r="G382" s="54"/>
      <c r="H382" s="54"/>
      <c r="I382" s="54"/>
      <c r="J382" s="54"/>
      <c r="K382" s="54"/>
      <c r="L382" s="54"/>
      <c r="M382" s="2"/>
      <c r="N382" s="54"/>
      <c r="P382" s="2"/>
      <c r="Q382" s="2"/>
      <c r="R382" s="2"/>
      <c r="S382" s="368"/>
      <c r="T382" s="2"/>
      <c r="U382" s="2"/>
    </row>
    <row r="383" spans="1:21" ht="12.95" customHeight="1">
      <c r="A383" s="2"/>
      <c r="B383" s="2"/>
      <c r="C383" s="2"/>
      <c r="D383" s="54"/>
      <c r="E383" s="54"/>
      <c r="F383" s="54"/>
      <c r="G383" s="54"/>
      <c r="H383" s="54"/>
      <c r="I383" s="54"/>
      <c r="J383" s="54"/>
      <c r="K383" s="54"/>
      <c r="L383" s="54"/>
      <c r="M383" s="2"/>
      <c r="N383" s="54"/>
      <c r="P383" s="2"/>
      <c r="Q383" s="2"/>
      <c r="R383" s="2"/>
      <c r="S383" s="368"/>
      <c r="T383" s="2"/>
      <c r="U383" s="2"/>
    </row>
    <row r="384" spans="1:21" ht="12.95" customHeight="1">
      <c r="A384" s="2"/>
      <c r="B384" s="2"/>
      <c r="C384" s="2"/>
      <c r="D384" s="54"/>
      <c r="E384" s="54"/>
      <c r="F384" s="54"/>
      <c r="G384" s="54"/>
      <c r="H384" s="54"/>
      <c r="I384" s="54"/>
      <c r="J384" s="54"/>
      <c r="K384" s="54"/>
      <c r="L384" s="54"/>
      <c r="M384" s="2"/>
      <c r="N384" s="54"/>
      <c r="P384" s="2"/>
      <c r="Q384" s="2"/>
      <c r="R384" s="2"/>
      <c r="S384" s="368"/>
      <c r="T384" s="2"/>
      <c r="U384" s="2"/>
    </row>
    <row r="385" spans="1:21" ht="12.95" customHeight="1">
      <c r="A385" s="2"/>
      <c r="B385" s="2"/>
      <c r="C385" s="2"/>
      <c r="D385" s="54"/>
      <c r="E385" s="54"/>
      <c r="F385" s="54"/>
      <c r="G385" s="54"/>
      <c r="H385" s="54"/>
      <c r="I385" s="54"/>
      <c r="J385" s="54"/>
      <c r="K385" s="54"/>
      <c r="L385" s="54"/>
      <c r="M385" s="2"/>
      <c r="N385" s="54"/>
      <c r="P385" s="2"/>
      <c r="Q385" s="2"/>
      <c r="R385" s="2"/>
      <c r="S385" s="368"/>
      <c r="T385" s="2"/>
      <c r="U385" s="2"/>
    </row>
    <row r="386" spans="1:21" ht="12.95" customHeight="1">
      <c r="A386" s="2"/>
      <c r="B386" s="2"/>
      <c r="C386" s="2"/>
      <c r="D386" s="54"/>
      <c r="E386" s="54"/>
      <c r="F386" s="54"/>
      <c r="G386" s="54"/>
      <c r="H386" s="54"/>
      <c r="I386" s="54"/>
      <c r="J386" s="54"/>
      <c r="K386" s="54"/>
      <c r="L386" s="54"/>
      <c r="M386" s="2"/>
      <c r="N386" s="54"/>
      <c r="P386" s="2"/>
      <c r="Q386" s="2"/>
      <c r="R386" s="2"/>
      <c r="S386" s="368"/>
      <c r="T386" s="2"/>
      <c r="U386" s="2"/>
    </row>
    <row r="387" spans="1:21" ht="12.95" customHeight="1">
      <c r="A387" s="2"/>
      <c r="B387" s="2"/>
      <c r="C387" s="2"/>
      <c r="D387" s="54"/>
      <c r="E387" s="54"/>
      <c r="F387" s="54"/>
      <c r="G387" s="54"/>
      <c r="H387" s="54"/>
      <c r="I387" s="54"/>
      <c r="J387" s="54"/>
      <c r="K387" s="54"/>
      <c r="L387" s="54"/>
      <c r="M387" s="2"/>
      <c r="N387" s="54"/>
      <c r="P387" s="2"/>
      <c r="Q387" s="2"/>
      <c r="R387" s="2"/>
      <c r="S387" s="368"/>
      <c r="T387" s="2"/>
      <c r="U387" s="2"/>
    </row>
    <row r="388" spans="1:21" ht="12.95" customHeight="1">
      <c r="A388" s="2"/>
      <c r="B388" s="2"/>
      <c r="C388" s="2"/>
      <c r="D388" s="54"/>
      <c r="E388" s="54"/>
      <c r="F388" s="54"/>
      <c r="G388" s="54"/>
      <c r="H388" s="54"/>
      <c r="I388" s="54"/>
      <c r="J388" s="54"/>
      <c r="K388" s="54"/>
      <c r="L388" s="54"/>
      <c r="M388" s="2"/>
      <c r="N388" s="54"/>
      <c r="P388" s="2"/>
      <c r="Q388" s="2"/>
      <c r="R388" s="2"/>
      <c r="S388" s="368"/>
      <c r="T388" s="2"/>
      <c r="U388" s="2"/>
    </row>
    <row r="389" spans="1:21" ht="12.95" customHeight="1">
      <c r="A389" s="2"/>
      <c r="B389" s="2"/>
      <c r="C389" s="2"/>
      <c r="D389" s="54"/>
      <c r="E389" s="54"/>
      <c r="F389" s="54"/>
      <c r="G389" s="54"/>
      <c r="H389" s="54"/>
      <c r="I389" s="54"/>
      <c r="J389" s="54"/>
      <c r="K389" s="54"/>
      <c r="L389" s="54"/>
      <c r="M389" s="2"/>
      <c r="N389" s="54"/>
      <c r="P389" s="2"/>
      <c r="Q389" s="2"/>
      <c r="R389" s="2"/>
      <c r="S389" s="368"/>
      <c r="T389" s="2"/>
      <c r="U389" s="2"/>
    </row>
    <row r="390" spans="1:21" ht="12.95" customHeight="1">
      <c r="A390" s="2"/>
      <c r="B390" s="2"/>
      <c r="C390" s="2"/>
      <c r="D390" s="54"/>
      <c r="E390" s="54"/>
      <c r="F390" s="54"/>
      <c r="G390" s="54"/>
      <c r="H390" s="54"/>
      <c r="I390" s="54"/>
      <c r="J390" s="54"/>
      <c r="K390" s="54"/>
      <c r="L390" s="54"/>
      <c r="M390" s="2"/>
      <c r="N390" s="54"/>
      <c r="P390" s="2"/>
      <c r="Q390" s="2"/>
      <c r="R390" s="2"/>
      <c r="S390" s="368"/>
      <c r="T390" s="2"/>
      <c r="U390" s="2"/>
    </row>
    <row r="391" spans="1:21" ht="12.95" customHeight="1">
      <c r="A391" s="2"/>
      <c r="B391" s="2"/>
      <c r="C391" s="2"/>
      <c r="D391" s="54"/>
      <c r="E391" s="54"/>
      <c r="F391" s="54"/>
      <c r="G391" s="54"/>
      <c r="H391" s="54"/>
      <c r="I391" s="54"/>
      <c r="J391" s="54"/>
      <c r="K391" s="54"/>
      <c r="L391" s="54"/>
      <c r="M391" s="2"/>
      <c r="N391" s="54"/>
      <c r="P391" s="2"/>
      <c r="Q391" s="2"/>
      <c r="R391" s="2"/>
      <c r="S391" s="368"/>
      <c r="T391" s="2"/>
      <c r="U391" s="2"/>
    </row>
    <row r="392" spans="1:21" ht="12.95" customHeight="1">
      <c r="A392" s="2"/>
      <c r="B392" s="2"/>
      <c r="C392" s="2"/>
      <c r="D392" s="54"/>
      <c r="E392" s="54"/>
      <c r="F392" s="54"/>
      <c r="G392" s="54"/>
      <c r="H392" s="54"/>
      <c r="I392" s="54"/>
      <c r="J392" s="54"/>
      <c r="K392" s="54"/>
      <c r="L392" s="54"/>
      <c r="M392" s="2"/>
      <c r="N392" s="54"/>
      <c r="P392" s="2"/>
      <c r="Q392" s="2"/>
      <c r="R392" s="2"/>
      <c r="S392" s="368"/>
      <c r="T392" s="2"/>
      <c r="U392" s="2"/>
    </row>
    <row r="393" spans="1:21" ht="12.95" customHeight="1">
      <c r="A393" s="2"/>
      <c r="B393" s="2"/>
      <c r="C393" s="2"/>
      <c r="D393" s="54"/>
      <c r="E393" s="54"/>
      <c r="F393" s="54"/>
      <c r="G393" s="54"/>
      <c r="H393" s="54"/>
      <c r="I393" s="54"/>
      <c r="J393" s="54"/>
      <c r="K393" s="54"/>
      <c r="L393" s="54"/>
      <c r="M393" s="2"/>
      <c r="N393" s="54"/>
      <c r="P393" s="2"/>
      <c r="Q393" s="2"/>
      <c r="R393" s="2"/>
      <c r="S393" s="368"/>
      <c r="T393" s="2"/>
      <c r="U393" s="2"/>
    </row>
    <row r="394" spans="1:21" ht="12.95" customHeight="1">
      <c r="A394" s="2"/>
      <c r="B394" s="2"/>
      <c r="C394" s="2"/>
      <c r="D394" s="54"/>
      <c r="E394" s="54"/>
      <c r="F394" s="54"/>
      <c r="G394" s="54"/>
      <c r="H394" s="54"/>
      <c r="I394" s="54"/>
      <c r="J394" s="54"/>
      <c r="K394" s="54"/>
      <c r="L394" s="54"/>
      <c r="M394" s="2"/>
      <c r="N394" s="54"/>
      <c r="P394" s="2"/>
      <c r="Q394" s="2"/>
      <c r="R394" s="2"/>
      <c r="S394" s="368"/>
      <c r="T394" s="2"/>
      <c r="U394" s="2"/>
    </row>
    <row r="395" spans="1:21" ht="12.95" customHeight="1">
      <c r="A395" s="2"/>
      <c r="B395" s="2"/>
      <c r="C395" s="2"/>
      <c r="D395" s="54"/>
      <c r="E395" s="54"/>
      <c r="F395" s="54"/>
      <c r="G395" s="54"/>
      <c r="H395" s="54"/>
      <c r="I395" s="54"/>
      <c r="J395" s="54"/>
      <c r="K395" s="54"/>
      <c r="L395" s="54"/>
      <c r="M395" s="2"/>
      <c r="N395" s="54"/>
      <c r="P395" s="2"/>
      <c r="Q395" s="2"/>
      <c r="R395" s="2"/>
      <c r="S395" s="368"/>
      <c r="T395" s="2"/>
      <c r="U395" s="2"/>
    </row>
    <row r="396" spans="1:21" ht="12.95" customHeight="1">
      <c r="A396" s="2"/>
      <c r="B396" s="2"/>
      <c r="C396" s="2"/>
      <c r="D396" s="54"/>
      <c r="E396" s="54"/>
      <c r="F396" s="54"/>
      <c r="G396" s="54"/>
      <c r="H396" s="54"/>
      <c r="I396" s="54"/>
      <c r="J396" s="54"/>
      <c r="K396" s="54"/>
      <c r="L396" s="54"/>
      <c r="M396" s="2"/>
      <c r="N396" s="54"/>
      <c r="P396" s="2"/>
      <c r="Q396" s="2"/>
      <c r="R396" s="2"/>
      <c r="S396" s="368"/>
      <c r="T396" s="2"/>
      <c r="U396" s="2"/>
    </row>
    <row r="397" spans="1:21" ht="12.95" customHeight="1">
      <c r="A397" s="2"/>
      <c r="B397" s="2"/>
      <c r="C397" s="2"/>
      <c r="D397" s="54"/>
      <c r="E397" s="54"/>
      <c r="F397" s="54"/>
      <c r="G397" s="54"/>
      <c r="H397" s="54"/>
      <c r="I397" s="54"/>
      <c r="J397" s="54"/>
      <c r="K397" s="54"/>
      <c r="L397" s="54"/>
      <c r="M397" s="2"/>
      <c r="N397" s="54"/>
      <c r="P397" s="2"/>
      <c r="Q397" s="2"/>
      <c r="R397" s="2"/>
      <c r="S397" s="368"/>
      <c r="T397" s="2"/>
      <c r="U397" s="2"/>
    </row>
    <row r="398" spans="1:21" ht="12.95" customHeight="1">
      <c r="A398" s="2"/>
      <c r="B398" s="2"/>
      <c r="C398" s="2"/>
      <c r="D398" s="54"/>
      <c r="E398" s="54"/>
      <c r="F398" s="54"/>
      <c r="G398" s="54"/>
      <c r="H398" s="54"/>
      <c r="I398" s="54"/>
      <c r="J398" s="54"/>
      <c r="K398" s="54"/>
      <c r="L398" s="54"/>
      <c r="M398" s="2"/>
      <c r="N398" s="54"/>
      <c r="P398" s="2"/>
      <c r="Q398" s="2"/>
      <c r="R398" s="2"/>
      <c r="S398" s="368"/>
      <c r="T398" s="2"/>
      <c r="U398" s="2"/>
    </row>
    <row r="399" spans="1:21" ht="12.95" customHeight="1">
      <c r="A399" s="2"/>
      <c r="B399" s="2"/>
      <c r="C399" s="2"/>
      <c r="D399" s="54"/>
      <c r="E399" s="54"/>
      <c r="F399" s="54"/>
      <c r="G399" s="54"/>
      <c r="H399" s="54"/>
      <c r="I399" s="54"/>
      <c r="J399" s="54"/>
      <c r="K399" s="54"/>
      <c r="L399" s="54"/>
      <c r="M399" s="2"/>
      <c r="N399" s="54"/>
      <c r="P399" s="2"/>
      <c r="Q399" s="2"/>
      <c r="R399" s="2"/>
      <c r="S399" s="368"/>
      <c r="T399" s="2"/>
      <c r="U399" s="2"/>
    </row>
    <row r="400" spans="1:21" ht="12.95" customHeight="1">
      <c r="A400" s="2"/>
      <c r="B400" s="2"/>
      <c r="C400" s="2"/>
      <c r="D400" s="54"/>
      <c r="E400" s="54"/>
      <c r="F400" s="54"/>
      <c r="G400" s="54"/>
      <c r="H400" s="54"/>
      <c r="I400" s="54"/>
      <c r="J400" s="54"/>
      <c r="K400" s="54"/>
      <c r="L400" s="54"/>
      <c r="M400" s="2"/>
      <c r="N400" s="54"/>
      <c r="P400" s="2"/>
      <c r="Q400" s="2"/>
      <c r="R400" s="2"/>
      <c r="S400" s="368"/>
      <c r="T400" s="2"/>
      <c r="U400" s="2"/>
    </row>
    <row r="401" spans="1:21" ht="12.95" customHeight="1">
      <c r="A401" s="2"/>
      <c r="B401" s="2"/>
      <c r="C401" s="2"/>
      <c r="D401" s="54"/>
      <c r="E401" s="54"/>
      <c r="F401" s="54"/>
      <c r="G401" s="54"/>
      <c r="H401" s="54"/>
      <c r="I401" s="54"/>
      <c r="J401" s="54"/>
      <c r="K401" s="54"/>
      <c r="L401" s="54"/>
      <c r="M401" s="2"/>
      <c r="N401" s="54"/>
      <c r="P401" s="2"/>
      <c r="Q401" s="2"/>
      <c r="R401" s="2"/>
      <c r="S401" s="368"/>
      <c r="T401" s="2"/>
      <c r="U401" s="2"/>
    </row>
    <row r="402" spans="1:21" ht="12.95" customHeight="1">
      <c r="A402" s="2"/>
      <c r="B402" s="2"/>
      <c r="C402" s="2"/>
      <c r="D402" s="54"/>
      <c r="E402" s="54"/>
      <c r="F402" s="54"/>
      <c r="G402" s="54"/>
      <c r="H402" s="54"/>
      <c r="I402" s="54"/>
      <c r="J402" s="54"/>
      <c r="K402" s="54"/>
      <c r="L402" s="54"/>
      <c r="M402" s="2"/>
      <c r="N402" s="54"/>
      <c r="P402" s="2"/>
      <c r="Q402" s="2"/>
      <c r="R402" s="2"/>
      <c r="S402" s="368"/>
      <c r="T402" s="2"/>
      <c r="U402" s="2"/>
    </row>
    <row r="403" spans="1:21" ht="12.95" customHeight="1">
      <c r="A403" s="2"/>
      <c r="B403" s="2"/>
      <c r="C403" s="2"/>
      <c r="D403" s="54"/>
      <c r="E403" s="54"/>
      <c r="F403" s="54"/>
      <c r="G403" s="54"/>
      <c r="H403" s="54"/>
      <c r="I403" s="54"/>
      <c r="J403" s="54"/>
      <c r="K403" s="54"/>
      <c r="L403" s="54"/>
      <c r="M403" s="2"/>
      <c r="N403" s="54"/>
      <c r="P403" s="2"/>
      <c r="Q403" s="2"/>
      <c r="R403" s="2"/>
      <c r="S403" s="368"/>
      <c r="T403" s="2"/>
      <c r="U403" s="2"/>
    </row>
    <row r="404" spans="1:21" ht="12.95" customHeight="1">
      <c r="A404" s="2"/>
      <c r="B404" s="2"/>
      <c r="C404" s="2"/>
      <c r="D404" s="54"/>
      <c r="E404" s="54"/>
      <c r="F404" s="54"/>
      <c r="G404" s="54"/>
      <c r="H404" s="54"/>
      <c r="I404" s="54"/>
      <c r="J404" s="54"/>
      <c r="K404" s="54"/>
      <c r="L404" s="54"/>
      <c r="M404" s="2"/>
      <c r="N404" s="54"/>
      <c r="P404" s="2"/>
      <c r="Q404" s="2"/>
      <c r="R404" s="2"/>
      <c r="S404" s="368"/>
      <c r="T404" s="2"/>
      <c r="U404" s="2"/>
    </row>
    <row r="405" spans="1:21" ht="12.95" customHeight="1">
      <c r="A405" s="2"/>
      <c r="B405" s="2"/>
      <c r="C405" s="2"/>
      <c r="D405" s="54"/>
      <c r="E405" s="54"/>
      <c r="F405" s="54"/>
      <c r="G405" s="54"/>
      <c r="H405" s="54"/>
      <c r="I405" s="54"/>
      <c r="J405" s="54"/>
      <c r="K405" s="54"/>
      <c r="L405" s="54"/>
      <c r="M405" s="2"/>
      <c r="N405" s="54"/>
      <c r="P405" s="2"/>
      <c r="Q405" s="2"/>
      <c r="R405" s="2"/>
      <c r="S405" s="368"/>
      <c r="T405" s="2"/>
      <c r="U405" s="2"/>
    </row>
    <row r="406" spans="1:21" ht="12.95" customHeight="1">
      <c r="A406" s="2"/>
      <c r="B406" s="2"/>
      <c r="C406" s="2"/>
      <c r="D406" s="54"/>
      <c r="E406" s="54"/>
      <c r="F406" s="54"/>
      <c r="G406" s="54"/>
      <c r="H406" s="54"/>
      <c r="I406" s="54"/>
      <c r="J406" s="54"/>
      <c r="K406" s="54"/>
      <c r="L406" s="54"/>
      <c r="M406" s="2"/>
      <c r="N406" s="54"/>
      <c r="P406" s="2"/>
      <c r="Q406" s="2"/>
      <c r="R406" s="2"/>
      <c r="S406" s="368"/>
      <c r="T406" s="2"/>
      <c r="U406" s="2"/>
    </row>
    <row r="407" spans="1:21" ht="12.95" customHeight="1">
      <c r="A407" s="2"/>
      <c r="B407" s="2"/>
      <c r="C407" s="2"/>
      <c r="D407" s="54"/>
      <c r="E407" s="54"/>
      <c r="F407" s="54"/>
      <c r="G407" s="54"/>
      <c r="H407" s="54"/>
      <c r="I407" s="54"/>
      <c r="J407" s="54"/>
      <c r="K407" s="54"/>
      <c r="L407" s="54"/>
      <c r="M407" s="2"/>
      <c r="N407" s="54"/>
      <c r="P407" s="2"/>
      <c r="Q407" s="2"/>
      <c r="R407" s="2"/>
      <c r="S407" s="368"/>
      <c r="T407" s="2"/>
      <c r="U407" s="2"/>
    </row>
    <row r="408" spans="1:21" ht="12.95" customHeight="1">
      <c r="A408" s="2"/>
      <c r="B408" s="2"/>
      <c r="C408" s="2"/>
      <c r="D408" s="54"/>
      <c r="E408" s="54"/>
      <c r="F408" s="54"/>
      <c r="G408" s="54"/>
      <c r="H408" s="54"/>
      <c r="I408" s="54"/>
      <c r="J408" s="54"/>
      <c r="K408" s="54"/>
      <c r="L408" s="54"/>
      <c r="M408" s="2"/>
      <c r="N408" s="54"/>
      <c r="P408" s="2"/>
      <c r="Q408" s="2"/>
      <c r="R408" s="2"/>
      <c r="S408" s="368"/>
      <c r="T408" s="2"/>
      <c r="U408" s="2"/>
    </row>
    <row r="409" spans="1:21" ht="12.95" customHeight="1">
      <c r="A409" s="2"/>
      <c r="B409" s="2"/>
      <c r="C409" s="2"/>
      <c r="D409" s="54"/>
      <c r="E409" s="54"/>
      <c r="F409" s="54"/>
      <c r="G409" s="54"/>
      <c r="H409" s="54"/>
      <c r="I409" s="54"/>
      <c r="J409" s="54"/>
      <c r="K409" s="54"/>
      <c r="L409" s="54"/>
      <c r="M409" s="2"/>
      <c r="N409" s="54"/>
      <c r="P409" s="2"/>
      <c r="Q409" s="2"/>
      <c r="R409" s="2"/>
      <c r="S409" s="368"/>
      <c r="T409" s="2"/>
      <c r="U409" s="2"/>
    </row>
    <row r="410" spans="1:21" ht="12.95" customHeight="1">
      <c r="A410" s="2"/>
      <c r="B410" s="2"/>
      <c r="C410" s="2"/>
      <c r="D410" s="54"/>
      <c r="E410" s="54"/>
      <c r="F410" s="54"/>
      <c r="G410" s="54"/>
      <c r="H410" s="54"/>
      <c r="I410" s="54"/>
      <c r="J410" s="54"/>
      <c r="K410" s="54"/>
      <c r="L410" s="54"/>
      <c r="M410" s="2"/>
      <c r="N410" s="54"/>
      <c r="P410" s="2"/>
      <c r="Q410" s="2"/>
      <c r="R410" s="2"/>
      <c r="S410" s="368"/>
      <c r="T410" s="2"/>
      <c r="U410" s="2"/>
    </row>
    <row r="411" spans="1:21" ht="12.95" customHeight="1">
      <c r="A411" s="2"/>
      <c r="B411" s="2"/>
      <c r="C411" s="2"/>
      <c r="D411" s="54"/>
      <c r="E411" s="54"/>
      <c r="F411" s="54"/>
      <c r="G411" s="54"/>
      <c r="H411" s="54"/>
      <c r="I411" s="54"/>
      <c r="J411" s="54"/>
      <c r="K411" s="54"/>
      <c r="L411" s="54"/>
      <c r="M411" s="2"/>
      <c r="N411" s="54"/>
      <c r="P411" s="2"/>
      <c r="Q411" s="2"/>
      <c r="R411" s="2"/>
      <c r="S411" s="368"/>
      <c r="T411" s="2"/>
      <c r="U411" s="2"/>
    </row>
    <row r="412" spans="1:21" ht="12.95" customHeight="1">
      <c r="A412" s="2"/>
      <c r="B412" s="2"/>
      <c r="C412" s="2"/>
      <c r="D412" s="54"/>
      <c r="E412" s="54"/>
      <c r="F412" s="54"/>
      <c r="G412" s="54"/>
      <c r="H412" s="54"/>
      <c r="I412" s="54"/>
      <c r="J412" s="54"/>
      <c r="K412" s="54"/>
      <c r="L412" s="54"/>
      <c r="M412" s="2"/>
      <c r="N412" s="54"/>
      <c r="P412" s="2"/>
      <c r="Q412" s="2"/>
      <c r="R412" s="2"/>
      <c r="S412" s="368"/>
      <c r="T412" s="2"/>
      <c r="U412" s="2"/>
    </row>
    <row r="413" spans="1:21" ht="12.95" customHeight="1">
      <c r="A413" s="2"/>
      <c r="B413" s="2"/>
      <c r="C413" s="2"/>
      <c r="D413" s="54"/>
      <c r="E413" s="54"/>
      <c r="F413" s="54"/>
      <c r="G413" s="54"/>
      <c r="H413" s="54"/>
      <c r="I413" s="54"/>
      <c r="J413" s="54"/>
      <c r="K413" s="54"/>
      <c r="L413" s="54"/>
      <c r="M413" s="2"/>
      <c r="N413" s="54"/>
      <c r="P413" s="2"/>
      <c r="Q413" s="2"/>
      <c r="R413" s="2"/>
      <c r="S413" s="368"/>
      <c r="T413" s="2"/>
      <c r="U413" s="2"/>
    </row>
    <row r="414" spans="1:21" ht="12.95" customHeight="1">
      <c r="A414" s="2"/>
      <c r="B414" s="2"/>
      <c r="C414" s="2"/>
      <c r="D414" s="54"/>
      <c r="E414" s="54"/>
      <c r="F414" s="54"/>
      <c r="G414" s="54"/>
      <c r="H414" s="54"/>
      <c r="I414" s="54"/>
      <c r="J414" s="54"/>
      <c r="K414" s="54"/>
      <c r="L414" s="54"/>
      <c r="M414" s="2"/>
      <c r="N414" s="54"/>
      <c r="P414" s="2"/>
      <c r="Q414" s="2"/>
      <c r="R414" s="2"/>
      <c r="S414" s="368"/>
      <c r="T414" s="2"/>
      <c r="U414" s="2"/>
    </row>
    <row r="415" spans="1:21" ht="12.95" customHeight="1">
      <c r="A415" s="2"/>
      <c r="B415" s="2"/>
      <c r="C415" s="2"/>
      <c r="D415" s="54"/>
      <c r="E415" s="54"/>
      <c r="F415" s="54"/>
      <c r="G415" s="54"/>
      <c r="H415" s="54"/>
      <c r="I415" s="54"/>
      <c r="J415" s="54"/>
      <c r="K415" s="54"/>
      <c r="L415" s="54"/>
      <c r="M415" s="2"/>
      <c r="N415" s="54"/>
      <c r="P415" s="2"/>
      <c r="Q415" s="2"/>
      <c r="R415" s="2"/>
      <c r="S415" s="368"/>
      <c r="T415" s="2"/>
      <c r="U415" s="2"/>
    </row>
    <row r="416" spans="1:21" ht="12.95" customHeight="1">
      <c r="A416" s="2"/>
      <c r="B416" s="2"/>
      <c r="C416" s="2"/>
      <c r="D416" s="54"/>
      <c r="E416" s="54"/>
      <c r="F416" s="54"/>
      <c r="G416" s="54"/>
      <c r="H416" s="54"/>
      <c r="I416" s="54"/>
      <c r="J416" s="54"/>
      <c r="K416" s="54"/>
      <c r="L416" s="54"/>
      <c r="M416" s="2"/>
      <c r="N416" s="54"/>
      <c r="P416" s="2"/>
      <c r="Q416" s="2"/>
      <c r="R416" s="2"/>
      <c r="S416" s="368"/>
      <c r="T416" s="2"/>
      <c r="U416" s="2"/>
    </row>
    <row r="417" spans="1:21" ht="12.95" customHeight="1">
      <c r="A417" s="2"/>
      <c r="B417" s="2"/>
      <c r="C417" s="2"/>
      <c r="D417" s="54"/>
      <c r="E417" s="54"/>
      <c r="F417" s="54"/>
      <c r="G417" s="54"/>
      <c r="H417" s="54"/>
      <c r="I417" s="54"/>
      <c r="J417" s="54"/>
      <c r="K417" s="54"/>
      <c r="L417" s="54"/>
      <c r="M417" s="2"/>
      <c r="N417" s="54"/>
      <c r="P417" s="2"/>
      <c r="Q417" s="2"/>
      <c r="R417" s="2"/>
      <c r="S417" s="368"/>
      <c r="T417" s="2"/>
      <c r="U417" s="2"/>
    </row>
    <row r="418" spans="1:21" ht="12.95" customHeight="1">
      <c r="A418" s="2"/>
      <c r="B418" s="2"/>
      <c r="C418" s="2"/>
      <c r="D418" s="54"/>
      <c r="E418" s="54"/>
      <c r="F418" s="54"/>
      <c r="G418" s="54"/>
      <c r="H418" s="54"/>
      <c r="I418" s="54"/>
      <c r="J418" s="54"/>
      <c r="K418" s="54"/>
      <c r="L418" s="54"/>
      <c r="M418" s="2"/>
      <c r="N418" s="54"/>
      <c r="P418" s="2"/>
      <c r="Q418" s="2"/>
      <c r="R418" s="2"/>
      <c r="S418" s="368"/>
      <c r="T418" s="2"/>
      <c r="U418" s="2"/>
    </row>
    <row r="419" spans="1:21" ht="12.95" customHeight="1">
      <c r="A419" s="2"/>
      <c r="B419" s="2"/>
      <c r="C419" s="2"/>
      <c r="D419" s="54"/>
      <c r="E419" s="54"/>
      <c r="F419" s="54"/>
      <c r="G419" s="54"/>
      <c r="H419" s="54"/>
      <c r="I419" s="54"/>
      <c r="J419" s="54"/>
      <c r="K419" s="54"/>
      <c r="L419" s="54"/>
      <c r="M419" s="2"/>
      <c r="N419" s="54"/>
      <c r="P419" s="2"/>
      <c r="Q419" s="2"/>
      <c r="R419" s="2"/>
      <c r="S419" s="368"/>
      <c r="T419" s="2"/>
      <c r="U419" s="2"/>
    </row>
    <row r="420" spans="1:21" ht="12.95" customHeight="1">
      <c r="A420" s="2"/>
      <c r="B420" s="2"/>
      <c r="C420" s="2"/>
      <c r="D420" s="54"/>
      <c r="E420" s="54"/>
      <c r="F420" s="54"/>
      <c r="G420" s="54"/>
      <c r="H420" s="54"/>
      <c r="I420" s="54"/>
      <c r="J420" s="54"/>
      <c r="K420" s="54"/>
      <c r="L420" s="54"/>
      <c r="M420" s="2"/>
      <c r="N420" s="54"/>
      <c r="P420" s="2"/>
      <c r="Q420" s="2"/>
      <c r="R420" s="2"/>
      <c r="S420" s="368"/>
      <c r="T420" s="2"/>
      <c r="U420" s="2"/>
    </row>
    <row r="421" spans="1:21" ht="12.95" customHeight="1">
      <c r="A421" s="2"/>
      <c r="B421" s="2"/>
      <c r="C421" s="2"/>
      <c r="D421" s="54"/>
      <c r="E421" s="54"/>
      <c r="F421" s="54"/>
      <c r="G421" s="54"/>
      <c r="H421" s="54"/>
      <c r="I421" s="54"/>
      <c r="J421" s="54"/>
      <c r="K421" s="54"/>
      <c r="L421" s="54"/>
      <c r="M421" s="2"/>
      <c r="N421" s="54"/>
      <c r="P421" s="2"/>
      <c r="Q421" s="2"/>
      <c r="R421" s="2"/>
      <c r="S421" s="368"/>
      <c r="T421" s="2"/>
      <c r="U421" s="2"/>
    </row>
    <row r="422" spans="1:21" ht="12.95" customHeight="1">
      <c r="A422" s="2"/>
      <c r="B422" s="2"/>
      <c r="C422" s="2"/>
      <c r="D422" s="54"/>
      <c r="E422" s="54"/>
      <c r="F422" s="54"/>
      <c r="G422" s="54"/>
      <c r="H422" s="54"/>
      <c r="I422" s="54"/>
      <c r="J422" s="54"/>
      <c r="K422" s="54"/>
      <c r="L422" s="54"/>
      <c r="M422" s="2"/>
      <c r="N422" s="54"/>
      <c r="P422" s="2"/>
      <c r="Q422" s="2"/>
      <c r="R422" s="2"/>
      <c r="S422" s="368"/>
      <c r="T422" s="2"/>
      <c r="U422" s="2"/>
    </row>
    <row r="423" spans="1:21" ht="12.95" customHeight="1">
      <c r="A423" s="2"/>
      <c r="B423" s="2"/>
      <c r="C423" s="2"/>
      <c r="D423" s="54"/>
      <c r="E423" s="54"/>
      <c r="F423" s="54"/>
      <c r="G423" s="54"/>
      <c r="H423" s="54"/>
      <c r="I423" s="54"/>
      <c r="J423" s="54"/>
      <c r="K423" s="54"/>
      <c r="L423" s="54"/>
      <c r="M423" s="2"/>
      <c r="N423" s="54"/>
      <c r="P423" s="2"/>
      <c r="Q423" s="2"/>
      <c r="R423" s="2"/>
      <c r="S423" s="368"/>
      <c r="T423" s="2"/>
      <c r="U423" s="2"/>
    </row>
    <row r="424" spans="1:21" ht="12.95" customHeight="1">
      <c r="A424" s="2"/>
      <c r="B424" s="2"/>
      <c r="C424" s="2"/>
      <c r="D424" s="54"/>
      <c r="E424" s="54"/>
      <c r="F424" s="54"/>
      <c r="G424" s="54"/>
      <c r="H424" s="54"/>
      <c r="I424" s="54"/>
      <c r="J424" s="54"/>
      <c r="K424" s="54"/>
      <c r="L424" s="54"/>
      <c r="M424" s="2"/>
      <c r="N424" s="54"/>
      <c r="P424" s="2"/>
      <c r="Q424" s="2"/>
      <c r="R424" s="2"/>
      <c r="S424" s="368"/>
      <c r="T424" s="2"/>
      <c r="U424" s="2"/>
    </row>
    <row r="425" spans="1:21" ht="12.95" customHeight="1">
      <c r="A425" s="2"/>
      <c r="B425" s="2"/>
      <c r="C425" s="2"/>
      <c r="D425" s="54"/>
      <c r="E425" s="54"/>
      <c r="F425" s="54"/>
      <c r="G425" s="54"/>
      <c r="H425" s="54"/>
      <c r="I425" s="54"/>
      <c r="J425" s="54"/>
      <c r="K425" s="54"/>
      <c r="L425" s="54"/>
      <c r="M425" s="2"/>
      <c r="N425" s="54"/>
      <c r="P425" s="2"/>
      <c r="Q425" s="2"/>
      <c r="R425" s="2"/>
      <c r="S425" s="368"/>
      <c r="T425" s="2"/>
      <c r="U425" s="2"/>
    </row>
    <row r="426" spans="1:21" ht="12.95" customHeight="1">
      <c r="A426" s="2"/>
      <c r="B426" s="2"/>
      <c r="C426" s="2"/>
      <c r="D426" s="54"/>
      <c r="E426" s="54"/>
      <c r="F426" s="54"/>
      <c r="G426" s="54"/>
      <c r="H426" s="54"/>
      <c r="I426" s="54"/>
      <c r="J426" s="54"/>
      <c r="K426" s="54"/>
      <c r="L426" s="54"/>
      <c r="M426" s="2"/>
      <c r="N426" s="54"/>
      <c r="P426" s="2"/>
      <c r="Q426" s="2"/>
      <c r="R426" s="2"/>
      <c r="S426" s="368"/>
      <c r="T426" s="2"/>
      <c r="U426" s="2"/>
    </row>
    <row r="427" spans="1:21" ht="12.95" customHeight="1">
      <c r="A427" s="2"/>
      <c r="B427" s="2"/>
      <c r="C427" s="2"/>
      <c r="D427" s="54"/>
      <c r="E427" s="54"/>
      <c r="F427" s="54"/>
      <c r="G427" s="54"/>
      <c r="H427" s="54"/>
      <c r="I427" s="54"/>
      <c r="J427" s="54"/>
      <c r="K427" s="54"/>
      <c r="L427" s="54"/>
      <c r="M427" s="2"/>
      <c r="N427" s="54"/>
      <c r="P427" s="2"/>
      <c r="Q427" s="2"/>
      <c r="R427" s="2"/>
      <c r="S427" s="368"/>
      <c r="T427" s="2"/>
      <c r="U427" s="2"/>
    </row>
    <row r="428" spans="1:21" ht="12.95" customHeight="1">
      <c r="A428" s="2"/>
      <c r="B428" s="2"/>
      <c r="C428" s="2"/>
      <c r="D428" s="54"/>
      <c r="E428" s="54"/>
      <c r="F428" s="54"/>
      <c r="G428" s="54"/>
      <c r="H428" s="54"/>
      <c r="I428" s="54"/>
      <c r="J428" s="54"/>
      <c r="K428" s="54"/>
      <c r="L428" s="54"/>
      <c r="M428" s="2"/>
      <c r="N428" s="54"/>
      <c r="P428" s="2"/>
      <c r="Q428" s="2"/>
      <c r="R428" s="2"/>
      <c r="S428" s="368"/>
      <c r="T428" s="2"/>
      <c r="U428" s="2"/>
    </row>
    <row r="429" spans="1:21" ht="12.95" customHeight="1">
      <c r="A429" s="2"/>
      <c r="B429" s="2"/>
      <c r="C429" s="2"/>
      <c r="D429" s="54"/>
      <c r="E429" s="54"/>
      <c r="F429" s="54"/>
      <c r="G429" s="54"/>
      <c r="H429" s="54"/>
      <c r="I429" s="54"/>
      <c r="J429" s="54"/>
      <c r="K429" s="54"/>
      <c r="L429" s="54"/>
      <c r="M429" s="2"/>
      <c r="N429" s="54"/>
      <c r="P429" s="2"/>
      <c r="Q429" s="2"/>
      <c r="R429" s="2"/>
      <c r="S429" s="368"/>
      <c r="T429" s="2"/>
      <c r="U429" s="2"/>
    </row>
    <row r="430" spans="1:21" ht="12.95" customHeight="1">
      <c r="A430" s="2"/>
      <c r="B430" s="2"/>
      <c r="C430" s="2"/>
      <c r="D430" s="54"/>
      <c r="E430" s="54"/>
      <c r="F430" s="54"/>
      <c r="G430" s="54"/>
      <c r="H430" s="54"/>
      <c r="I430" s="54"/>
      <c r="J430" s="54"/>
      <c r="K430" s="54"/>
      <c r="L430" s="54"/>
      <c r="M430" s="2"/>
      <c r="N430" s="54"/>
      <c r="P430" s="2"/>
      <c r="Q430" s="2"/>
      <c r="R430" s="2"/>
      <c r="S430" s="368"/>
      <c r="T430" s="2"/>
      <c r="U430" s="2"/>
    </row>
    <row r="431" spans="1:21" ht="12.95" customHeight="1">
      <c r="A431" s="2"/>
      <c r="B431" s="2"/>
      <c r="C431" s="2"/>
      <c r="D431" s="54"/>
      <c r="E431" s="54"/>
      <c r="F431" s="54"/>
      <c r="G431" s="54"/>
      <c r="H431" s="54"/>
      <c r="I431" s="54"/>
      <c r="J431" s="54"/>
      <c r="K431" s="54"/>
      <c r="L431" s="54"/>
      <c r="M431" s="2"/>
      <c r="N431" s="54"/>
      <c r="P431" s="2"/>
      <c r="Q431" s="2"/>
      <c r="R431" s="2"/>
      <c r="S431" s="368"/>
      <c r="T431" s="2"/>
      <c r="U431" s="2"/>
    </row>
    <row r="432" spans="1:21" ht="12.95" customHeight="1">
      <c r="A432" s="2"/>
      <c r="B432" s="2"/>
      <c r="C432" s="2"/>
      <c r="D432" s="54"/>
      <c r="E432" s="54"/>
      <c r="F432" s="54"/>
      <c r="G432" s="54"/>
      <c r="H432" s="54"/>
      <c r="I432" s="54"/>
      <c r="J432" s="54"/>
      <c r="K432" s="54"/>
      <c r="L432" s="54"/>
      <c r="M432" s="2"/>
      <c r="N432" s="54"/>
      <c r="P432" s="2"/>
      <c r="Q432" s="2"/>
      <c r="R432" s="2"/>
      <c r="S432" s="368"/>
      <c r="T432" s="2"/>
      <c r="U432" s="2"/>
    </row>
    <row r="433" spans="1:21" ht="12.95" customHeight="1">
      <c r="A433" s="2"/>
      <c r="B433" s="2"/>
      <c r="C433" s="2"/>
      <c r="D433" s="54"/>
      <c r="E433" s="54"/>
      <c r="F433" s="54"/>
      <c r="G433" s="54"/>
      <c r="H433" s="54"/>
      <c r="I433" s="54"/>
      <c r="J433" s="54"/>
      <c r="K433" s="54"/>
      <c r="L433" s="54"/>
      <c r="M433" s="2"/>
      <c r="N433" s="54"/>
      <c r="P433" s="2"/>
      <c r="Q433" s="2"/>
      <c r="R433" s="2"/>
      <c r="S433" s="368"/>
      <c r="T433" s="2"/>
      <c r="U433" s="2"/>
    </row>
    <row r="434" spans="1:21" ht="12.95" customHeight="1">
      <c r="A434" s="2"/>
      <c r="B434" s="2"/>
      <c r="C434" s="2"/>
      <c r="D434" s="54"/>
      <c r="E434" s="54"/>
      <c r="F434" s="54"/>
      <c r="G434" s="54"/>
      <c r="H434" s="54"/>
      <c r="I434" s="54"/>
      <c r="J434" s="54"/>
      <c r="K434" s="54"/>
      <c r="L434" s="54"/>
      <c r="M434" s="2"/>
      <c r="N434" s="54"/>
      <c r="P434" s="2"/>
      <c r="Q434" s="2"/>
      <c r="R434" s="2"/>
      <c r="S434" s="368"/>
      <c r="T434" s="2"/>
      <c r="U434" s="2"/>
    </row>
    <row r="435" spans="1:21" ht="12.95" customHeight="1">
      <c r="A435" s="2"/>
      <c r="B435" s="2"/>
      <c r="C435" s="2"/>
      <c r="D435" s="54"/>
      <c r="E435" s="54"/>
      <c r="F435" s="54"/>
      <c r="G435" s="54"/>
      <c r="H435" s="54"/>
      <c r="I435" s="54"/>
      <c r="J435" s="54"/>
      <c r="K435" s="54"/>
      <c r="L435" s="54"/>
      <c r="M435" s="2"/>
      <c r="N435" s="54"/>
      <c r="P435" s="2"/>
      <c r="Q435" s="2"/>
      <c r="R435" s="2"/>
      <c r="S435" s="368"/>
      <c r="T435" s="2"/>
      <c r="U435" s="2"/>
    </row>
    <row r="436" spans="1:21" ht="12.95" customHeight="1">
      <c r="A436" s="2"/>
      <c r="B436" s="2"/>
      <c r="C436" s="2"/>
      <c r="D436" s="54"/>
      <c r="E436" s="54"/>
      <c r="F436" s="54"/>
      <c r="G436" s="54"/>
      <c r="H436" s="54"/>
      <c r="I436" s="54"/>
      <c r="J436" s="54"/>
      <c r="K436" s="54"/>
      <c r="L436" s="54"/>
      <c r="M436" s="2"/>
      <c r="N436" s="54"/>
      <c r="P436" s="2"/>
      <c r="Q436" s="2"/>
      <c r="R436" s="2"/>
      <c r="S436" s="368"/>
      <c r="T436" s="2"/>
      <c r="U436" s="2"/>
    </row>
    <row r="437" spans="1:21" ht="12.95" customHeight="1">
      <c r="A437" s="2"/>
      <c r="B437" s="2"/>
      <c r="C437" s="2"/>
      <c r="D437" s="54"/>
      <c r="E437" s="54"/>
      <c r="F437" s="54"/>
      <c r="G437" s="54"/>
      <c r="H437" s="54"/>
      <c r="I437" s="54"/>
      <c r="J437" s="54"/>
      <c r="K437" s="54"/>
      <c r="L437" s="54"/>
      <c r="M437" s="2"/>
      <c r="N437" s="54"/>
      <c r="P437" s="2"/>
      <c r="Q437" s="2"/>
      <c r="R437" s="2"/>
      <c r="S437" s="368"/>
      <c r="T437" s="2"/>
      <c r="U437" s="2"/>
    </row>
    <row r="438" spans="1:21" ht="12.95" customHeight="1">
      <c r="A438" s="2"/>
      <c r="B438" s="2"/>
      <c r="C438" s="2"/>
      <c r="D438" s="54"/>
      <c r="E438" s="54"/>
      <c r="F438" s="54"/>
      <c r="G438" s="54"/>
      <c r="H438" s="54"/>
      <c r="I438" s="54"/>
      <c r="J438" s="54"/>
      <c r="K438" s="54"/>
      <c r="L438" s="54"/>
      <c r="M438" s="2"/>
      <c r="N438" s="54"/>
      <c r="P438" s="2"/>
      <c r="Q438" s="2"/>
      <c r="R438" s="2"/>
      <c r="S438" s="368"/>
      <c r="T438" s="2"/>
      <c r="U438" s="2"/>
    </row>
    <row r="439" spans="1:21" ht="12.95" customHeight="1">
      <c r="A439" s="2"/>
      <c r="B439" s="2"/>
      <c r="C439" s="2"/>
      <c r="D439" s="54"/>
      <c r="E439" s="54"/>
      <c r="F439" s="54"/>
      <c r="G439" s="54"/>
      <c r="H439" s="54"/>
      <c r="I439" s="54"/>
      <c r="J439" s="54"/>
      <c r="K439" s="54"/>
      <c r="L439" s="54"/>
      <c r="M439" s="2"/>
      <c r="N439" s="54"/>
      <c r="P439" s="2"/>
      <c r="Q439" s="2"/>
      <c r="R439" s="2"/>
      <c r="S439" s="368"/>
      <c r="T439" s="2"/>
      <c r="U439" s="2"/>
    </row>
    <row r="440" spans="1:21" ht="12.95" customHeight="1">
      <c r="A440" s="2"/>
      <c r="B440" s="2"/>
      <c r="C440" s="2"/>
      <c r="D440" s="54"/>
      <c r="E440" s="54"/>
      <c r="F440" s="54"/>
      <c r="G440" s="54"/>
      <c r="H440" s="54"/>
      <c r="I440" s="54"/>
      <c r="J440" s="54"/>
      <c r="K440" s="54"/>
      <c r="L440" s="54"/>
      <c r="M440" s="2"/>
      <c r="N440" s="54"/>
      <c r="P440" s="2"/>
      <c r="Q440" s="2"/>
      <c r="R440" s="2"/>
      <c r="S440" s="368"/>
      <c r="T440" s="2"/>
      <c r="U440" s="2"/>
    </row>
    <row r="441" spans="1:21" ht="12.95" customHeight="1">
      <c r="A441" s="2"/>
      <c r="B441" s="2"/>
      <c r="C441" s="2"/>
      <c r="D441" s="54"/>
      <c r="E441" s="54"/>
      <c r="F441" s="54"/>
      <c r="G441" s="54"/>
      <c r="H441" s="54"/>
      <c r="I441" s="54"/>
      <c r="J441" s="54"/>
      <c r="K441" s="54"/>
      <c r="L441" s="54"/>
      <c r="M441" s="2"/>
      <c r="N441" s="54"/>
      <c r="P441" s="2"/>
      <c r="Q441" s="2"/>
      <c r="R441" s="2"/>
      <c r="S441" s="368"/>
      <c r="T441" s="2"/>
      <c r="U441" s="2"/>
    </row>
    <row r="442" spans="1:21" ht="12.95" customHeight="1">
      <c r="A442" s="2"/>
      <c r="B442" s="2"/>
      <c r="C442" s="2"/>
      <c r="D442" s="54"/>
      <c r="E442" s="54"/>
      <c r="F442" s="54"/>
      <c r="G442" s="54"/>
      <c r="H442" s="54"/>
      <c r="I442" s="54"/>
      <c r="J442" s="54"/>
      <c r="K442" s="54"/>
      <c r="L442" s="54"/>
      <c r="M442" s="2"/>
      <c r="N442" s="54"/>
      <c r="P442" s="2"/>
      <c r="Q442" s="2"/>
      <c r="R442" s="2"/>
      <c r="S442" s="368"/>
      <c r="T442" s="2"/>
      <c r="U442" s="2"/>
    </row>
    <row r="443" spans="1:21" ht="12.95" customHeight="1">
      <c r="A443" s="2"/>
      <c r="B443" s="2"/>
      <c r="C443" s="2"/>
      <c r="D443" s="54"/>
      <c r="E443" s="54"/>
      <c r="F443" s="54"/>
      <c r="G443" s="54"/>
      <c r="H443" s="54"/>
      <c r="I443" s="54"/>
      <c r="J443" s="54"/>
      <c r="K443" s="54"/>
      <c r="L443" s="54"/>
      <c r="M443" s="2"/>
      <c r="N443" s="54"/>
      <c r="P443" s="2"/>
      <c r="Q443" s="2"/>
      <c r="R443" s="2"/>
      <c r="S443" s="368"/>
      <c r="T443" s="2"/>
      <c r="U443" s="2"/>
    </row>
    <row r="444" spans="1:21" ht="12.95" customHeight="1">
      <c r="A444" s="2"/>
      <c r="B444" s="2"/>
      <c r="C444" s="2"/>
      <c r="D444" s="54"/>
      <c r="E444" s="54"/>
      <c r="F444" s="54"/>
      <c r="G444" s="54"/>
      <c r="H444" s="54"/>
      <c r="I444" s="54"/>
      <c r="J444" s="54"/>
      <c r="K444" s="54"/>
      <c r="L444" s="54"/>
      <c r="M444" s="2"/>
      <c r="N444" s="54"/>
      <c r="P444" s="2"/>
      <c r="Q444" s="2"/>
      <c r="R444" s="2"/>
      <c r="S444" s="368"/>
      <c r="T444" s="2"/>
      <c r="U444" s="2"/>
    </row>
    <row r="445" spans="1:21" ht="12.95" customHeight="1">
      <c r="A445" s="2"/>
      <c r="B445" s="2"/>
      <c r="C445" s="2"/>
      <c r="D445" s="54"/>
      <c r="E445" s="54"/>
      <c r="F445" s="54"/>
      <c r="G445" s="54"/>
      <c r="H445" s="54"/>
      <c r="I445" s="54"/>
      <c r="J445" s="54"/>
      <c r="K445" s="54"/>
      <c r="L445" s="54"/>
      <c r="M445" s="2"/>
      <c r="N445" s="54"/>
      <c r="P445" s="2"/>
      <c r="Q445" s="2"/>
      <c r="R445" s="2"/>
      <c r="S445" s="368"/>
      <c r="T445" s="2"/>
      <c r="U445" s="2"/>
    </row>
    <row r="446" spans="1:21" ht="12.95" customHeight="1">
      <c r="A446" s="2"/>
      <c r="B446" s="2"/>
      <c r="C446" s="2"/>
      <c r="D446" s="54"/>
      <c r="E446" s="54"/>
      <c r="F446" s="54"/>
      <c r="G446" s="54"/>
      <c r="H446" s="54"/>
      <c r="I446" s="54"/>
      <c r="J446" s="54"/>
      <c r="K446" s="54"/>
      <c r="L446" s="54"/>
      <c r="M446" s="2"/>
      <c r="N446" s="54"/>
      <c r="P446" s="2"/>
      <c r="Q446" s="2"/>
      <c r="R446" s="2"/>
      <c r="S446" s="368"/>
      <c r="T446" s="2"/>
      <c r="U446" s="2"/>
    </row>
    <row r="447" spans="1:21" ht="12.95" customHeight="1">
      <c r="A447" s="2"/>
      <c r="B447" s="2"/>
      <c r="C447" s="2"/>
      <c r="D447" s="54"/>
      <c r="E447" s="54"/>
      <c r="F447" s="54"/>
      <c r="G447" s="54"/>
      <c r="H447" s="54"/>
      <c r="I447" s="54"/>
      <c r="J447" s="54"/>
      <c r="K447" s="54"/>
      <c r="L447" s="54"/>
      <c r="M447" s="2"/>
      <c r="N447" s="54"/>
      <c r="P447" s="2"/>
      <c r="Q447" s="2"/>
      <c r="R447" s="2"/>
      <c r="S447" s="368"/>
      <c r="T447" s="2"/>
      <c r="U447" s="2"/>
    </row>
    <row r="448" spans="1:21" ht="12.95" customHeight="1">
      <c r="A448" s="2"/>
      <c r="B448" s="2"/>
      <c r="C448" s="2"/>
      <c r="D448" s="54"/>
      <c r="E448" s="54"/>
      <c r="F448" s="54"/>
      <c r="G448" s="54"/>
      <c r="H448" s="54"/>
      <c r="I448" s="54"/>
      <c r="J448" s="54"/>
      <c r="K448" s="54"/>
      <c r="L448" s="54"/>
      <c r="M448" s="2"/>
      <c r="N448" s="54"/>
      <c r="P448" s="2"/>
      <c r="Q448" s="2"/>
      <c r="R448" s="2"/>
      <c r="S448" s="368"/>
      <c r="T448" s="2"/>
      <c r="U448" s="2"/>
    </row>
    <row r="449" spans="1:21" ht="12.95" customHeight="1">
      <c r="A449" s="2"/>
      <c r="B449" s="2"/>
      <c r="C449" s="2"/>
      <c r="D449" s="54"/>
      <c r="E449" s="54"/>
      <c r="F449" s="54"/>
      <c r="G449" s="54"/>
      <c r="H449" s="54"/>
      <c r="I449" s="54"/>
      <c r="J449" s="54"/>
      <c r="K449" s="54"/>
      <c r="L449" s="54"/>
      <c r="M449" s="2"/>
      <c r="N449" s="54"/>
      <c r="P449" s="2"/>
      <c r="Q449" s="2"/>
      <c r="R449" s="2"/>
      <c r="S449" s="368"/>
      <c r="T449" s="2"/>
      <c r="U449" s="2"/>
    </row>
    <row r="450" spans="1:21" ht="12.95" customHeight="1">
      <c r="A450" s="2"/>
      <c r="B450" s="2"/>
      <c r="C450" s="2"/>
      <c r="D450" s="54"/>
      <c r="E450" s="54"/>
      <c r="F450" s="54"/>
      <c r="G450" s="54"/>
      <c r="H450" s="54"/>
      <c r="I450" s="54"/>
      <c r="J450" s="54"/>
      <c r="K450" s="54"/>
      <c r="L450" s="54"/>
      <c r="M450" s="2"/>
      <c r="N450" s="54"/>
      <c r="P450" s="2"/>
      <c r="Q450" s="2"/>
      <c r="R450" s="2"/>
      <c r="S450" s="368"/>
      <c r="T450" s="2"/>
      <c r="U450" s="2"/>
    </row>
    <row r="451" spans="1:21" ht="12.95" customHeight="1">
      <c r="A451" s="2"/>
      <c r="B451" s="2"/>
      <c r="C451" s="2"/>
      <c r="D451" s="54"/>
      <c r="E451" s="54"/>
      <c r="F451" s="54"/>
      <c r="G451" s="54"/>
      <c r="H451" s="54"/>
      <c r="I451" s="54"/>
      <c r="J451" s="54"/>
      <c r="K451" s="54"/>
      <c r="L451" s="54"/>
      <c r="M451" s="2"/>
      <c r="N451" s="54"/>
      <c r="P451" s="2"/>
      <c r="Q451" s="2"/>
      <c r="R451" s="2"/>
      <c r="S451" s="368"/>
      <c r="T451" s="2"/>
      <c r="U451" s="2"/>
    </row>
    <row r="452" spans="1:21" ht="12.95" customHeight="1">
      <c r="A452" s="2"/>
      <c r="B452" s="2"/>
      <c r="C452" s="2"/>
      <c r="D452" s="54"/>
      <c r="E452" s="54"/>
      <c r="F452" s="54"/>
      <c r="G452" s="54"/>
      <c r="H452" s="54"/>
      <c r="I452" s="54"/>
      <c r="J452" s="54"/>
      <c r="K452" s="54"/>
      <c r="L452" s="54"/>
      <c r="M452" s="2"/>
      <c r="N452" s="54"/>
      <c r="P452" s="2"/>
      <c r="Q452" s="2"/>
      <c r="R452" s="2"/>
      <c r="S452" s="368"/>
      <c r="T452" s="2"/>
      <c r="U452" s="2"/>
    </row>
    <row r="453" spans="1:21" ht="12.95" customHeight="1">
      <c r="A453" s="2"/>
      <c r="B453" s="2"/>
      <c r="C453" s="2"/>
      <c r="D453" s="54"/>
      <c r="E453" s="54"/>
      <c r="F453" s="54"/>
      <c r="G453" s="54"/>
      <c r="H453" s="54"/>
      <c r="I453" s="54"/>
      <c r="J453" s="54"/>
      <c r="K453" s="54"/>
      <c r="L453" s="54"/>
      <c r="M453" s="2"/>
      <c r="N453" s="54"/>
      <c r="P453" s="2"/>
      <c r="Q453" s="2"/>
      <c r="R453" s="2"/>
      <c r="S453" s="368"/>
      <c r="T453" s="2"/>
      <c r="U453" s="2"/>
    </row>
    <row r="454" spans="1:21" ht="12.95" customHeight="1">
      <c r="A454" s="2"/>
      <c r="B454" s="2"/>
      <c r="C454" s="2"/>
      <c r="D454" s="54"/>
      <c r="E454" s="54"/>
      <c r="F454" s="54"/>
      <c r="G454" s="54"/>
      <c r="H454" s="54"/>
      <c r="I454" s="54"/>
      <c r="J454" s="54"/>
      <c r="K454" s="54"/>
      <c r="L454" s="54"/>
      <c r="M454" s="2"/>
      <c r="N454" s="54"/>
      <c r="P454" s="2"/>
      <c r="Q454" s="2"/>
      <c r="R454" s="2"/>
      <c r="S454" s="368"/>
      <c r="T454" s="2"/>
      <c r="U454" s="2"/>
    </row>
    <row r="455" spans="1:21" ht="12.95" customHeight="1">
      <c r="A455" s="2"/>
      <c r="B455" s="2"/>
      <c r="C455" s="2"/>
      <c r="D455" s="54"/>
      <c r="E455" s="54"/>
      <c r="F455" s="54"/>
      <c r="G455" s="54"/>
      <c r="H455" s="54"/>
      <c r="I455" s="54"/>
      <c r="J455" s="54"/>
      <c r="K455" s="54"/>
      <c r="L455" s="54"/>
      <c r="M455" s="2"/>
      <c r="N455" s="54"/>
      <c r="P455" s="2"/>
      <c r="Q455" s="2"/>
      <c r="R455" s="2"/>
      <c r="S455" s="368"/>
      <c r="T455" s="2"/>
      <c r="U455" s="2"/>
    </row>
    <row r="456" spans="1:21" ht="12.95" customHeight="1">
      <c r="A456" s="2"/>
      <c r="B456" s="2"/>
      <c r="C456" s="2"/>
      <c r="D456" s="54"/>
      <c r="E456" s="54"/>
      <c r="F456" s="54"/>
      <c r="G456" s="54"/>
      <c r="H456" s="54"/>
      <c r="I456" s="54"/>
      <c r="J456" s="54"/>
      <c r="K456" s="54"/>
      <c r="L456" s="54"/>
      <c r="M456" s="2"/>
      <c r="N456" s="54"/>
      <c r="P456" s="2"/>
      <c r="Q456" s="2"/>
      <c r="R456" s="2"/>
      <c r="S456" s="368"/>
      <c r="T456" s="2"/>
      <c r="U456" s="2"/>
    </row>
    <row r="457" spans="1:21" ht="12.95" customHeight="1">
      <c r="A457" s="2"/>
      <c r="B457" s="2"/>
      <c r="C457" s="2"/>
      <c r="D457" s="54"/>
      <c r="E457" s="54"/>
      <c r="F457" s="54"/>
      <c r="G457" s="54"/>
      <c r="H457" s="54"/>
      <c r="I457" s="54"/>
      <c r="J457" s="54"/>
      <c r="K457" s="54"/>
      <c r="L457" s="54"/>
      <c r="M457" s="2"/>
      <c r="N457" s="54"/>
      <c r="P457" s="2"/>
      <c r="Q457" s="2"/>
      <c r="R457" s="2"/>
      <c r="S457" s="368"/>
      <c r="T457" s="2"/>
      <c r="U457" s="2"/>
    </row>
    <row r="458" spans="1:21" ht="12.95" customHeight="1">
      <c r="A458" s="2"/>
      <c r="B458" s="2"/>
      <c r="C458" s="2"/>
      <c r="D458" s="54"/>
      <c r="E458" s="54"/>
      <c r="F458" s="54"/>
      <c r="G458" s="54"/>
      <c r="H458" s="54"/>
      <c r="I458" s="54"/>
      <c r="J458" s="54"/>
      <c r="K458" s="54"/>
      <c r="L458" s="54"/>
      <c r="M458" s="2"/>
      <c r="N458" s="54"/>
      <c r="P458" s="2"/>
      <c r="Q458" s="2"/>
      <c r="R458" s="2"/>
      <c r="S458" s="368"/>
      <c r="T458" s="2"/>
      <c r="U458" s="2"/>
    </row>
    <row r="459" spans="1:21" ht="12.95" customHeight="1">
      <c r="A459" s="2"/>
      <c r="B459" s="2"/>
      <c r="C459" s="2"/>
      <c r="D459" s="54"/>
      <c r="E459" s="54"/>
      <c r="F459" s="54"/>
      <c r="G459" s="54"/>
      <c r="H459" s="54"/>
      <c r="I459" s="54"/>
      <c r="J459" s="54"/>
      <c r="K459" s="54"/>
      <c r="L459" s="54"/>
      <c r="M459" s="2"/>
      <c r="N459" s="54"/>
      <c r="P459" s="2"/>
      <c r="Q459" s="2"/>
      <c r="R459" s="2"/>
      <c r="S459" s="368"/>
      <c r="T459" s="2"/>
      <c r="U459" s="2"/>
    </row>
    <row r="460" spans="1:21" ht="12.95" customHeight="1">
      <c r="A460" s="2"/>
      <c r="B460" s="2"/>
      <c r="C460" s="2"/>
      <c r="D460" s="54"/>
      <c r="E460" s="54"/>
      <c r="F460" s="54"/>
      <c r="G460" s="54"/>
      <c r="H460" s="54"/>
      <c r="I460" s="54"/>
      <c r="J460" s="54"/>
      <c r="K460" s="54"/>
      <c r="L460" s="54"/>
      <c r="M460" s="2"/>
      <c r="N460" s="54"/>
      <c r="P460" s="2"/>
      <c r="Q460" s="2"/>
      <c r="R460" s="2"/>
      <c r="S460" s="368"/>
      <c r="T460" s="2"/>
      <c r="U460" s="2"/>
    </row>
    <row r="461" spans="1:21" ht="12.95" customHeight="1">
      <c r="A461" s="2"/>
      <c r="B461" s="2"/>
      <c r="C461" s="2"/>
      <c r="D461" s="54"/>
      <c r="E461" s="54"/>
      <c r="F461" s="54"/>
      <c r="G461" s="54"/>
      <c r="H461" s="54"/>
      <c r="I461" s="54"/>
      <c r="J461" s="54"/>
      <c r="K461" s="54"/>
      <c r="L461" s="54"/>
      <c r="M461" s="2"/>
      <c r="N461" s="54"/>
      <c r="P461" s="2"/>
      <c r="Q461" s="2"/>
      <c r="R461" s="2"/>
      <c r="S461" s="368"/>
      <c r="T461" s="2"/>
      <c r="U461" s="2"/>
    </row>
    <row r="462" spans="1:21" ht="12.95" customHeight="1">
      <c r="A462" s="2"/>
      <c r="B462" s="2"/>
      <c r="C462" s="2"/>
      <c r="D462" s="54"/>
      <c r="E462" s="54"/>
      <c r="F462" s="54"/>
      <c r="G462" s="54"/>
      <c r="H462" s="54"/>
      <c r="I462" s="54"/>
      <c r="J462" s="54"/>
      <c r="K462" s="54"/>
      <c r="L462" s="54"/>
      <c r="M462" s="2"/>
      <c r="N462" s="54"/>
      <c r="P462" s="2"/>
      <c r="Q462" s="2"/>
      <c r="R462" s="2"/>
      <c r="S462" s="368"/>
      <c r="T462" s="2"/>
      <c r="U462" s="2"/>
    </row>
    <row r="463" spans="1:21" ht="12.95" customHeight="1">
      <c r="A463" s="2"/>
      <c r="B463" s="2"/>
      <c r="C463" s="2"/>
      <c r="D463" s="54"/>
      <c r="E463" s="54"/>
      <c r="F463" s="54"/>
      <c r="G463" s="54"/>
      <c r="H463" s="54"/>
      <c r="I463" s="54"/>
      <c r="J463" s="54"/>
      <c r="K463" s="54"/>
      <c r="L463" s="54"/>
      <c r="M463" s="2"/>
      <c r="N463" s="54"/>
      <c r="P463" s="2"/>
      <c r="Q463" s="2"/>
      <c r="R463" s="2"/>
      <c r="S463" s="368"/>
      <c r="T463" s="2"/>
      <c r="U463" s="2"/>
    </row>
    <row r="464" spans="1:21" ht="12.95" customHeight="1">
      <c r="A464" s="2"/>
      <c r="B464" s="2"/>
      <c r="C464" s="2"/>
      <c r="D464" s="54"/>
      <c r="E464" s="54"/>
      <c r="F464" s="54"/>
      <c r="G464" s="54"/>
      <c r="H464" s="54"/>
      <c r="I464" s="54"/>
      <c r="J464" s="54"/>
      <c r="K464" s="54"/>
      <c r="L464" s="54"/>
      <c r="M464" s="2"/>
      <c r="N464" s="54"/>
      <c r="P464" s="2"/>
      <c r="Q464" s="2"/>
      <c r="R464" s="2"/>
      <c r="S464" s="368"/>
      <c r="T464" s="2"/>
      <c r="U464" s="2"/>
    </row>
    <row r="465" spans="1:21" ht="12.95" customHeight="1">
      <c r="A465" s="2"/>
      <c r="B465" s="2"/>
      <c r="C465" s="2"/>
      <c r="D465" s="54"/>
      <c r="E465" s="54"/>
      <c r="F465" s="54"/>
      <c r="G465" s="54"/>
      <c r="H465" s="54"/>
      <c r="I465" s="54"/>
      <c r="J465" s="54"/>
      <c r="K465" s="54"/>
      <c r="L465" s="54"/>
      <c r="M465" s="2"/>
      <c r="N465" s="54"/>
      <c r="P465" s="2"/>
      <c r="Q465" s="2"/>
      <c r="R465" s="2"/>
      <c r="S465" s="368"/>
      <c r="T465" s="2"/>
      <c r="U465" s="2"/>
    </row>
    <row r="466" spans="1:21" ht="12.95" customHeight="1">
      <c r="A466" s="2"/>
      <c r="B466" s="2"/>
      <c r="C466" s="2"/>
      <c r="D466" s="54"/>
      <c r="E466" s="54"/>
      <c r="F466" s="54"/>
      <c r="G466" s="54"/>
      <c r="H466" s="54"/>
      <c r="I466" s="54"/>
      <c r="J466" s="54"/>
      <c r="K466" s="54"/>
      <c r="L466" s="54"/>
      <c r="M466" s="2"/>
      <c r="N466" s="54"/>
      <c r="P466" s="2"/>
      <c r="Q466" s="2"/>
      <c r="R466" s="2"/>
      <c r="S466" s="368"/>
      <c r="T466" s="2"/>
      <c r="U466" s="2"/>
    </row>
    <row r="467" spans="1:21" ht="12.95" customHeight="1">
      <c r="A467" s="2"/>
      <c r="B467" s="2"/>
      <c r="C467" s="2"/>
      <c r="D467" s="54"/>
      <c r="E467" s="54"/>
      <c r="F467" s="54"/>
      <c r="G467" s="54"/>
      <c r="H467" s="54"/>
      <c r="I467" s="54"/>
      <c r="J467" s="54"/>
      <c r="K467" s="54"/>
      <c r="L467" s="54"/>
      <c r="M467" s="2"/>
      <c r="N467" s="54"/>
      <c r="P467" s="2"/>
      <c r="Q467" s="2"/>
      <c r="R467" s="2"/>
      <c r="S467" s="368"/>
      <c r="T467" s="2"/>
      <c r="U467" s="2"/>
    </row>
    <row r="468" spans="1:21" ht="12.95" customHeight="1">
      <c r="A468" s="2"/>
      <c r="B468" s="2"/>
      <c r="C468" s="2"/>
      <c r="D468" s="54"/>
      <c r="E468" s="54"/>
      <c r="F468" s="54"/>
      <c r="G468" s="54"/>
      <c r="H468" s="54"/>
      <c r="I468" s="54"/>
      <c r="J468" s="54"/>
      <c r="K468" s="54"/>
      <c r="L468" s="54"/>
      <c r="M468" s="2"/>
      <c r="N468" s="54"/>
      <c r="P468" s="2"/>
      <c r="Q468" s="2"/>
      <c r="R468" s="2"/>
      <c r="S468" s="368"/>
      <c r="T468" s="2"/>
      <c r="U468" s="2"/>
    </row>
    <row r="469" spans="1:21" ht="12.95" customHeight="1">
      <c r="A469" s="2"/>
      <c r="B469" s="2"/>
      <c r="C469" s="2"/>
      <c r="D469" s="54"/>
      <c r="E469" s="54"/>
      <c r="F469" s="54"/>
      <c r="G469" s="54"/>
      <c r="H469" s="54"/>
      <c r="I469" s="54"/>
      <c r="J469" s="54"/>
      <c r="K469" s="54"/>
      <c r="L469" s="54"/>
      <c r="M469" s="2"/>
      <c r="N469" s="54"/>
      <c r="P469" s="2"/>
      <c r="Q469" s="2"/>
      <c r="R469" s="2"/>
      <c r="S469" s="368"/>
      <c r="T469" s="2"/>
      <c r="U469" s="2"/>
    </row>
    <row r="470" spans="1:21" ht="12.95" customHeight="1">
      <c r="A470" s="2"/>
      <c r="B470" s="2"/>
      <c r="C470" s="2"/>
      <c r="D470" s="54"/>
      <c r="E470" s="54"/>
      <c r="F470" s="54"/>
      <c r="G470" s="54"/>
      <c r="H470" s="54"/>
      <c r="I470" s="54"/>
      <c r="J470" s="54"/>
      <c r="K470" s="54"/>
      <c r="L470" s="54"/>
      <c r="M470" s="2"/>
      <c r="N470" s="54"/>
      <c r="P470" s="2"/>
      <c r="Q470" s="2"/>
      <c r="R470" s="2"/>
      <c r="S470" s="368"/>
      <c r="T470" s="2"/>
      <c r="U470" s="2"/>
    </row>
    <row r="471" spans="1:21" ht="12.95" customHeight="1">
      <c r="A471" s="2"/>
      <c r="B471" s="2"/>
      <c r="C471" s="2"/>
      <c r="D471" s="54"/>
      <c r="E471" s="54"/>
      <c r="F471" s="54"/>
      <c r="G471" s="54"/>
      <c r="H471" s="54"/>
      <c r="I471" s="54"/>
      <c r="J471" s="54"/>
      <c r="K471" s="54"/>
      <c r="L471" s="54"/>
      <c r="M471" s="2"/>
      <c r="N471" s="54"/>
      <c r="P471" s="2"/>
      <c r="Q471" s="2"/>
      <c r="R471" s="2"/>
      <c r="S471" s="368"/>
      <c r="T471" s="2"/>
      <c r="U471" s="2"/>
    </row>
    <row r="472" spans="1:21" ht="12.95" customHeight="1">
      <c r="A472" s="2"/>
      <c r="B472" s="2"/>
      <c r="C472" s="2"/>
      <c r="D472" s="54"/>
      <c r="E472" s="54"/>
      <c r="F472" s="54"/>
      <c r="G472" s="54"/>
      <c r="H472" s="54"/>
      <c r="I472" s="54"/>
      <c r="J472" s="54"/>
      <c r="K472" s="54"/>
      <c r="L472" s="54"/>
      <c r="M472" s="2"/>
      <c r="N472" s="54"/>
      <c r="P472" s="2"/>
      <c r="Q472" s="2"/>
      <c r="R472" s="2"/>
      <c r="S472" s="368"/>
      <c r="T472" s="2"/>
      <c r="U472" s="2"/>
    </row>
    <row r="473" spans="1:21" ht="12.95" customHeight="1">
      <c r="A473" s="2"/>
      <c r="B473" s="2"/>
      <c r="C473" s="2"/>
      <c r="D473" s="54"/>
      <c r="E473" s="54"/>
      <c r="F473" s="54"/>
      <c r="G473" s="54"/>
      <c r="H473" s="54"/>
      <c r="I473" s="54"/>
      <c r="J473" s="54"/>
      <c r="K473" s="54"/>
      <c r="L473" s="54"/>
      <c r="M473" s="2"/>
      <c r="N473" s="54"/>
      <c r="P473" s="2"/>
      <c r="Q473" s="2"/>
      <c r="R473" s="2"/>
      <c r="S473" s="368"/>
      <c r="T473" s="2"/>
      <c r="U473" s="2"/>
    </row>
    <row r="474" spans="1:21" ht="12.95" customHeight="1">
      <c r="A474" s="2"/>
      <c r="B474" s="2"/>
      <c r="C474" s="2"/>
      <c r="D474" s="54"/>
      <c r="E474" s="54"/>
      <c r="F474" s="54"/>
      <c r="G474" s="54"/>
      <c r="H474" s="54"/>
      <c r="I474" s="54"/>
      <c r="J474" s="54"/>
      <c r="K474" s="54"/>
      <c r="L474" s="54"/>
      <c r="M474" s="2"/>
      <c r="N474" s="54"/>
      <c r="P474" s="2"/>
      <c r="Q474" s="2"/>
      <c r="R474" s="2"/>
      <c r="S474" s="368"/>
      <c r="T474" s="2"/>
      <c r="U474" s="2"/>
    </row>
    <row r="475" spans="1:21" ht="12.95" customHeight="1">
      <c r="A475" s="2"/>
      <c r="B475" s="2"/>
      <c r="C475" s="2"/>
      <c r="D475" s="54"/>
      <c r="E475" s="54"/>
      <c r="F475" s="54"/>
      <c r="G475" s="54"/>
      <c r="H475" s="54"/>
      <c r="I475" s="54"/>
      <c r="J475" s="54"/>
      <c r="K475" s="54"/>
      <c r="L475" s="54"/>
      <c r="M475" s="2"/>
      <c r="N475" s="54"/>
      <c r="P475" s="2"/>
      <c r="Q475" s="2"/>
      <c r="R475" s="2"/>
      <c r="S475" s="368"/>
      <c r="T475" s="2"/>
      <c r="U475" s="2"/>
    </row>
    <row r="476" spans="1:21" ht="12.95" customHeight="1">
      <c r="A476" s="2"/>
      <c r="B476" s="2"/>
      <c r="C476" s="2"/>
      <c r="D476" s="54"/>
      <c r="E476" s="54"/>
      <c r="F476" s="54"/>
      <c r="G476" s="54"/>
      <c r="H476" s="54"/>
      <c r="I476" s="54"/>
      <c r="J476" s="54"/>
      <c r="K476" s="54"/>
      <c r="L476" s="54"/>
      <c r="M476" s="2"/>
      <c r="N476" s="54"/>
      <c r="P476" s="2"/>
      <c r="Q476" s="2"/>
      <c r="R476" s="2"/>
      <c r="S476" s="368"/>
      <c r="T476" s="2"/>
      <c r="U476" s="2"/>
    </row>
    <row r="477" spans="1:21" ht="12.95" customHeight="1">
      <c r="A477" s="2"/>
      <c r="B477" s="2"/>
      <c r="C477" s="2"/>
      <c r="D477" s="54"/>
      <c r="E477" s="54"/>
      <c r="F477" s="54"/>
      <c r="G477" s="54"/>
      <c r="H477" s="54"/>
      <c r="I477" s="54"/>
      <c r="J477" s="54"/>
      <c r="K477" s="54"/>
      <c r="L477" s="54"/>
      <c r="M477" s="2"/>
      <c r="N477" s="54"/>
      <c r="P477" s="2"/>
      <c r="Q477" s="2"/>
      <c r="R477" s="2"/>
      <c r="S477" s="368"/>
      <c r="T477" s="2"/>
      <c r="U477" s="2"/>
    </row>
    <row r="478" spans="1:21" ht="12.95" customHeight="1">
      <c r="A478" s="2"/>
      <c r="B478" s="2"/>
      <c r="C478" s="2"/>
      <c r="D478" s="54"/>
      <c r="E478" s="54"/>
      <c r="F478" s="54"/>
      <c r="G478" s="54"/>
      <c r="H478" s="54"/>
      <c r="I478" s="54"/>
      <c r="J478" s="54"/>
      <c r="K478" s="54"/>
      <c r="L478" s="54"/>
      <c r="M478" s="2"/>
      <c r="N478" s="54"/>
      <c r="P478" s="2"/>
      <c r="Q478" s="2"/>
      <c r="R478" s="2"/>
      <c r="S478" s="368"/>
      <c r="T478" s="2"/>
      <c r="U478" s="2"/>
    </row>
    <row r="479" spans="1:21" ht="12.95" customHeight="1">
      <c r="A479" s="2"/>
      <c r="B479" s="2"/>
      <c r="C479" s="2"/>
      <c r="D479" s="54"/>
      <c r="E479" s="54"/>
      <c r="F479" s="54"/>
      <c r="G479" s="54"/>
      <c r="H479" s="54"/>
      <c r="I479" s="54"/>
      <c r="J479" s="54"/>
      <c r="K479" s="54"/>
      <c r="L479" s="54"/>
      <c r="M479" s="2"/>
      <c r="N479" s="54"/>
      <c r="P479" s="2"/>
      <c r="Q479" s="2"/>
      <c r="R479" s="2"/>
      <c r="S479" s="368"/>
      <c r="T479" s="2"/>
      <c r="U479" s="2"/>
    </row>
    <row r="480" spans="1:21" ht="12.95" customHeight="1">
      <c r="A480" s="2"/>
      <c r="B480" s="2"/>
      <c r="C480" s="2"/>
      <c r="D480" s="54"/>
      <c r="E480" s="54"/>
      <c r="F480" s="54"/>
      <c r="G480" s="54"/>
      <c r="H480" s="54"/>
      <c r="I480" s="54"/>
      <c r="J480" s="54"/>
      <c r="K480" s="54"/>
      <c r="L480" s="54"/>
      <c r="M480" s="2"/>
      <c r="N480" s="54"/>
      <c r="P480" s="2"/>
      <c r="Q480" s="2"/>
      <c r="R480" s="2"/>
      <c r="S480" s="368"/>
      <c r="T480" s="2"/>
      <c r="U480" s="2"/>
    </row>
    <row r="481" spans="1:21" ht="12.95" customHeight="1">
      <c r="A481" s="2"/>
      <c r="B481" s="2"/>
      <c r="C481" s="2"/>
      <c r="D481" s="54"/>
      <c r="E481" s="54"/>
      <c r="F481" s="54"/>
      <c r="G481" s="54"/>
      <c r="H481" s="54"/>
      <c r="I481" s="54"/>
      <c r="J481" s="54"/>
      <c r="K481" s="54"/>
      <c r="L481" s="54"/>
      <c r="M481" s="2"/>
      <c r="N481" s="54"/>
      <c r="P481" s="2"/>
      <c r="Q481" s="2"/>
      <c r="R481" s="2"/>
      <c r="S481" s="368"/>
      <c r="T481" s="2"/>
      <c r="U481" s="2"/>
    </row>
    <row r="482" spans="1:21" ht="12.95" customHeight="1">
      <c r="A482" s="2"/>
      <c r="B482" s="2"/>
      <c r="C482" s="2"/>
      <c r="D482" s="54"/>
      <c r="E482" s="54"/>
      <c r="F482" s="54"/>
      <c r="G482" s="54"/>
      <c r="H482" s="54"/>
      <c r="I482" s="54"/>
      <c r="J482" s="54"/>
      <c r="K482" s="54"/>
      <c r="L482" s="54"/>
      <c r="M482" s="2"/>
      <c r="N482" s="54"/>
      <c r="P482" s="2"/>
      <c r="Q482" s="2"/>
      <c r="R482" s="2"/>
      <c r="S482" s="368"/>
      <c r="T482" s="2"/>
      <c r="U482" s="2"/>
    </row>
    <row r="483" spans="1:21" ht="12.95" customHeight="1">
      <c r="A483" s="2"/>
      <c r="B483" s="2"/>
      <c r="C483" s="2"/>
      <c r="D483" s="54"/>
      <c r="E483" s="54"/>
      <c r="F483" s="54"/>
      <c r="G483" s="54"/>
      <c r="H483" s="54"/>
      <c r="I483" s="54"/>
      <c r="J483" s="54"/>
      <c r="K483" s="54"/>
      <c r="L483" s="54"/>
      <c r="M483" s="2"/>
      <c r="N483" s="54"/>
      <c r="P483" s="2"/>
      <c r="Q483" s="2"/>
      <c r="R483" s="2"/>
      <c r="S483" s="368"/>
      <c r="T483" s="2"/>
      <c r="U483" s="2"/>
    </row>
    <row r="484" spans="1:21" ht="12.95" customHeight="1">
      <c r="A484" s="2"/>
      <c r="B484" s="2"/>
      <c r="C484" s="2"/>
      <c r="D484" s="54"/>
      <c r="E484" s="54"/>
      <c r="F484" s="54"/>
      <c r="G484" s="54"/>
      <c r="H484" s="54"/>
      <c r="I484" s="54"/>
      <c r="J484" s="54"/>
      <c r="K484" s="54"/>
      <c r="L484" s="54"/>
      <c r="M484" s="2"/>
      <c r="N484" s="54"/>
      <c r="P484" s="2"/>
      <c r="Q484" s="2"/>
      <c r="R484" s="2"/>
      <c r="S484" s="368"/>
      <c r="T484" s="2"/>
      <c r="U484" s="2"/>
    </row>
    <row r="485" spans="1:21" ht="12.95" customHeight="1">
      <c r="A485" s="2"/>
      <c r="B485" s="2"/>
      <c r="C485" s="2"/>
      <c r="D485" s="54"/>
      <c r="E485" s="54"/>
      <c r="F485" s="54"/>
      <c r="G485" s="54"/>
      <c r="H485" s="54"/>
      <c r="I485" s="54"/>
      <c r="J485" s="54"/>
      <c r="K485" s="54"/>
      <c r="L485" s="54"/>
      <c r="M485" s="2"/>
      <c r="N485" s="54"/>
      <c r="P485" s="2"/>
      <c r="Q485" s="2"/>
      <c r="R485" s="2"/>
      <c r="S485" s="368"/>
      <c r="T485" s="2"/>
      <c r="U485" s="2"/>
    </row>
    <row r="486" spans="1:21" ht="12.95" customHeight="1">
      <c r="A486" s="2"/>
      <c r="B486" s="2"/>
      <c r="C486" s="2"/>
      <c r="D486" s="54"/>
      <c r="E486" s="54"/>
      <c r="F486" s="54"/>
      <c r="G486" s="54"/>
      <c r="H486" s="54"/>
      <c r="I486" s="54"/>
      <c r="J486" s="54"/>
      <c r="K486" s="54"/>
      <c r="L486" s="54"/>
      <c r="M486" s="2"/>
      <c r="N486" s="54"/>
      <c r="P486" s="2"/>
      <c r="Q486" s="2"/>
      <c r="R486" s="2"/>
      <c r="S486" s="368"/>
      <c r="T486" s="2"/>
      <c r="U486" s="2"/>
    </row>
    <row r="487" spans="1:21" ht="12.95" customHeight="1">
      <c r="A487" s="2"/>
      <c r="B487" s="2"/>
      <c r="C487" s="2"/>
      <c r="D487" s="54"/>
      <c r="E487" s="54"/>
      <c r="F487" s="54"/>
      <c r="G487" s="54"/>
      <c r="H487" s="54"/>
      <c r="I487" s="54"/>
      <c r="J487" s="54"/>
      <c r="K487" s="54"/>
      <c r="L487" s="54"/>
      <c r="M487" s="2"/>
      <c r="N487" s="54"/>
      <c r="P487" s="2"/>
      <c r="Q487" s="2"/>
      <c r="R487" s="2"/>
      <c r="S487" s="368"/>
      <c r="T487" s="2"/>
      <c r="U487" s="2"/>
    </row>
    <row r="488" spans="1:21" ht="12.95" customHeight="1">
      <c r="A488" s="2"/>
      <c r="B488" s="2"/>
      <c r="C488" s="2"/>
      <c r="D488" s="54"/>
      <c r="E488" s="54"/>
      <c r="F488" s="54"/>
      <c r="G488" s="54"/>
      <c r="H488" s="54"/>
      <c r="I488" s="54"/>
      <c r="J488" s="54"/>
      <c r="K488" s="54"/>
      <c r="L488" s="54"/>
      <c r="M488" s="2"/>
      <c r="N488" s="54"/>
      <c r="P488" s="2"/>
      <c r="Q488" s="2"/>
      <c r="R488" s="2"/>
      <c r="S488" s="368"/>
      <c r="T488" s="2"/>
      <c r="U488" s="2"/>
    </row>
    <row r="489" spans="1:21" ht="12.95" customHeight="1">
      <c r="A489" s="2"/>
      <c r="B489" s="2"/>
      <c r="C489" s="2"/>
      <c r="D489" s="54"/>
      <c r="E489" s="54"/>
      <c r="F489" s="54"/>
      <c r="G489" s="54"/>
      <c r="H489" s="54"/>
      <c r="I489" s="54"/>
      <c r="J489" s="54"/>
      <c r="K489" s="54"/>
      <c r="L489" s="54"/>
      <c r="M489" s="2"/>
      <c r="N489" s="54"/>
      <c r="P489" s="2"/>
      <c r="Q489" s="2"/>
      <c r="R489" s="2"/>
      <c r="S489" s="368"/>
      <c r="T489" s="2"/>
      <c r="U489" s="2"/>
    </row>
    <row r="490" spans="1:21" ht="12.95" customHeight="1">
      <c r="A490" s="2"/>
      <c r="B490" s="2"/>
      <c r="C490" s="2"/>
      <c r="D490" s="54"/>
      <c r="E490" s="54"/>
      <c r="F490" s="54"/>
      <c r="G490" s="54"/>
      <c r="H490" s="54"/>
      <c r="I490" s="54"/>
      <c r="J490" s="54"/>
      <c r="K490" s="54"/>
      <c r="L490" s="54"/>
      <c r="M490" s="2"/>
      <c r="N490" s="54"/>
      <c r="P490" s="2"/>
      <c r="Q490" s="2"/>
      <c r="R490" s="2"/>
      <c r="S490" s="368"/>
      <c r="T490" s="2"/>
      <c r="U490" s="2"/>
    </row>
    <row r="491" spans="1:21" ht="12.95" customHeight="1">
      <c r="A491" s="2"/>
      <c r="B491" s="2"/>
      <c r="C491" s="2"/>
      <c r="D491" s="54"/>
      <c r="E491" s="54"/>
      <c r="F491" s="54"/>
      <c r="G491" s="54"/>
      <c r="H491" s="54"/>
      <c r="I491" s="54"/>
      <c r="J491" s="54"/>
      <c r="K491" s="54"/>
      <c r="L491" s="54"/>
      <c r="M491" s="2"/>
      <c r="N491" s="54"/>
      <c r="P491" s="2"/>
      <c r="Q491" s="2"/>
      <c r="R491" s="2"/>
      <c r="S491" s="368"/>
      <c r="T491" s="2"/>
      <c r="U491" s="2"/>
    </row>
    <row r="492" spans="1:21" ht="12.95" customHeight="1">
      <c r="A492" s="2"/>
      <c r="B492" s="2"/>
      <c r="C492" s="2"/>
      <c r="D492" s="54"/>
      <c r="E492" s="54"/>
      <c r="F492" s="54"/>
      <c r="G492" s="54"/>
      <c r="H492" s="54"/>
      <c r="I492" s="54"/>
      <c r="J492" s="54"/>
      <c r="K492" s="54"/>
      <c r="L492" s="54"/>
      <c r="M492" s="2"/>
      <c r="N492" s="54"/>
      <c r="P492" s="2"/>
      <c r="Q492" s="2"/>
      <c r="R492" s="2"/>
      <c r="S492" s="368"/>
      <c r="T492" s="2"/>
      <c r="U492" s="2"/>
    </row>
    <row r="493" spans="1:21" ht="12.95" customHeight="1">
      <c r="A493" s="2"/>
      <c r="B493" s="2"/>
      <c r="C493" s="2"/>
      <c r="D493" s="54"/>
      <c r="E493" s="54"/>
      <c r="F493" s="54"/>
      <c r="G493" s="54"/>
      <c r="H493" s="54"/>
      <c r="I493" s="54"/>
      <c r="J493" s="54"/>
      <c r="K493" s="54"/>
      <c r="L493" s="54"/>
      <c r="M493" s="2"/>
      <c r="N493" s="54"/>
      <c r="P493" s="2"/>
      <c r="Q493" s="2"/>
      <c r="R493" s="2"/>
      <c r="S493" s="368"/>
      <c r="T493" s="2"/>
      <c r="U493" s="2"/>
    </row>
    <row r="494" spans="1:21" ht="12.95" customHeight="1">
      <c r="A494" s="2"/>
      <c r="B494" s="2"/>
      <c r="C494" s="2"/>
      <c r="D494" s="54"/>
      <c r="E494" s="54"/>
      <c r="F494" s="54"/>
      <c r="G494" s="54"/>
      <c r="H494" s="54"/>
      <c r="I494" s="54"/>
      <c r="J494" s="54"/>
      <c r="K494" s="54"/>
      <c r="L494" s="54"/>
      <c r="M494" s="2"/>
      <c r="N494" s="54"/>
      <c r="P494" s="2"/>
      <c r="Q494" s="2"/>
      <c r="R494" s="2"/>
      <c r="S494" s="368"/>
      <c r="T494" s="2"/>
      <c r="U494" s="2"/>
    </row>
    <row r="495" spans="1:21" ht="12.95" customHeight="1">
      <c r="A495" s="2"/>
      <c r="B495" s="2"/>
      <c r="C495" s="2"/>
      <c r="D495" s="54"/>
      <c r="E495" s="54"/>
      <c r="F495" s="54"/>
      <c r="G495" s="54"/>
      <c r="H495" s="54"/>
      <c r="I495" s="54"/>
      <c r="J495" s="54"/>
      <c r="K495" s="54"/>
      <c r="L495" s="54"/>
      <c r="M495" s="2"/>
      <c r="N495" s="54"/>
      <c r="P495" s="2"/>
      <c r="Q495" s="2"/>
      <c r="R495" s="2"/>
      <c r="S495" s="368"/>
      <c r="T495" s="2"/>
      <c r="U495" s="2"/>
    </row>
    <row r="496" spans="1:21" ht="12.95" customHeight="1">
      <c r="A496" s="2"/>
      <c r="B496" s="2"/>
      <c r="C496" s="2"/>
      <c r="D496" s="54"/>
      <c r="E496" s="54"/>
      <c r="F496" s="54"/>
      <c r="G496" s="54"/>
      <c r="H496" s="54"/>
      <c r="I496" s="54"/>
      <c r="J496" s="54"/>
      <c r="K496" s="54"/>
      <c r="L496" s="54"/>
      <c r="M496" s="2"/>
      <c r="N496" s="54"/>
      <c r="P496" s="2"/>
      <c r="Q496" s="2"/>
      <c r="R496" s="2"/>
      <c r="S496" s="368"/>
      <c r="T496" s="2"/>
      <c r="U496" s="2"/>
    </row>
    <row r="497" spans="1:21" ht="12.95" customHeight="1">
      <c r="A497" s="2"/>
      <c r="B497" s="2"/>
      <c r="C497" s="2"/>
      <c r="D497" s="54"/>
      <c r="E497" s="54"/>
      <c r="F497" s="54"/>
      <c r="G497" s="54"/>
      <c r="H497" s="54"/>
      <c r="I497" s="54"/>
      <c r="J497" s="54"/>
      <c r="K497" s="54"/>
      <c r="L497" s="54"/>
      <c r="M497" s="2"/>
      <c r="N497" s="54"/>
      <c r="P497" s="2"/>
      <c r="Q497" s="2"/>
      <c r="R497" s="2"/>
      <c r="S497" s="368"/>
      <c r="T497" s="2"/>
      <c r="U497" s="2"/>
    </row>
    <row r="498" spans="1:21" ht="12.95" customHeight="1">
      <c r="A498" s="2"/>
      <c r="B498" s="2"/>
      <c r="C498" s="2"/>
      <c r="D498" s="54"/>
      <c r="E498" s="54"/>
      <c r="F498" s="54"/>
      <c r="G498" s="54"/>
      <c r="H498" s="54"/>
      <c r="I498" s="54"/>
      <c r="J498" s="54"/>
      <c r="K498" s="54"/>
      <c r="L498" s="54"/>
      <c r="M498" s="2"/>
      <c r="N498" s="54"/>
      <c r="P498" s="2"/>
      <c r="Q498" s="2"/>
      <c r="R498" s="2"/>
      <c r="S498" s="368"/>
      <c r="T498" s="2"/>
      <c r="U498" s="2"/>
    </row>
    <row r="499" spans="1:21" ht="12.95" customHeight="1">
      <c r="A499" s="2"/>
      <c r="B499" s="2"/>
      <c r="C499" s="2"/>
      <c r="D499" s="54"/>
      <c r="E499" s="54"/>
      <c r="F499" s="54"/>
      <c r="G499" s="54"/>
      <c r="H499" s="54"/>
      <c r="I499" s="54"/>
      <c r="J499" s="54"/>
      <c r="K499" s="54"/>
      <c r="L499" s="54"/>
      <c r="M499" s="2"/>
      <c r="N499" s="54"/>
      <c r="P499" s="2"/>
      <c r="Q499" s="2"/>
      <c r="R499" s="2"/>
      <c r="S499" s="368"/>
      <c r="T499" s="2"/>
      <c r="U499" s="2"/>
    </row>
    <row r="500" spans="1:21" ht="12.95" customHeight="1">
      <c r="A500" s="2"/>
      <c r="B500" s="2"/>
      <c r="C500" s="2"/>
      <c r="D500" s="54"/>
      <c r="E500" s="54"/>
      <c r="F500" s="54"/>
      <c r="G500" s="54"/>
      <c r="H500" s="54"/>
      <c r="I500" s="54"/>
      <c r="J500" s="54"/>
      <c r="K500" s="54"/>
      <c r="L500" s="54"/>
      <c r="M500" s="2"/>
      <c r="N500" s="54"/>
      <c r="P500" s="2"/>
      <c r="Q500" s="2"/>
      <c r="R500" s="2"/>
      <c r="S500" s="368"/>
      <c r="T500" s="2"/>
      <c r="U500" s="2"/>
    </row>
    <row r="501" spans="1:21" ht="12.95" customHeight="1">
      <c r="A501" s="2"/>
      <c r="B501" s="2"/>
      <c r="C501" s="2"/>
      <c r="D501" s="54"/>
      <c r="E501" s="54"/>
      <c r="F501" s="54"/>
      <c r="G501" s="54"/>
      <c r="H501" s="54"/>
      <c r="I501" s="54"/>
      <c r="J501" s="54"/>
      <c r="K501" s="54"/>
      <c r="L501" s="54"/>
      <c r="M501" s="2"/>
      <c r="N501" s="54"/>
      <c r="P501" s="2"/>
      <c r="Q501" s="2"/>
      <c r="R501" s="2"/>
      <c r="S501" s="368"/>
      <c r="T501" s="2"/>
      <c r="U501" s="2"/>
    </row>
    <row r="502" spans="1:21" ht="12.95" customHeight="1">
      <c r="A502" s="2"/>
      <c r="B502" s="2"/>
      <c r="C502" s="2"/>
      <c r="D502" s="54"/>
      <c r="E502" s="54"/>
      <c r="F502" s="54"/>
      <c r="G502" s="54"/>
      <c r="H502" s="54"/>
      <c r="I502" s="54"/>
      <c r="J502" s="54"/>
      <c r="K502" s="54"/>
      <c r="L502" s="54"/>
      <c r="M502" s="2"/>
      <c r="N502" s="54"/>
      <c r="P502" s="2"/>
      <c r="Q502" s="2"/>
      <c r="R502" s="2"/>
      <c r="S502" s="368"/>
      <c r="T502" s="2"/>
      <c r="U502" s="2"/>
    </row>
    <row r="503" spans="1:21" ht="12.95" customHeight="1">
      <c r="A503" s="2"/>
      <c r="B503" s="2"/>
      <c r="C503" s="2"/>
      <c r="D503" s="54"/>
      <c r="E503" s="54"/>
      <c r="F503" s="54"/>
      <c r="G503" s="54"/>
      <c r="H503" s="54"/>
      <c r="I503" s="54"/>
      <c r="J503" s="54"/>
      <c r="K503" s="54"/>
      <c r="L503" s="54"/>
      <c r="M503" s="2"/>
      <c r="N503" s="54"/>
      <c r="P503" s="2"/>
      <c r="Q503" s="2"/>
      <c r="R503" s="2"/>
      <c r="S503" s="368"/>
      <c r="T503" s="2"/>
      <c r="U503" s="2"/>
    </row>
    <row r="504" spans="1:21" ht="12.95" customHeight="1">
      <c r="A504" s="2"/>
      <c r="B504" s="2"/>
      <c r="C504" s="2"/>
      <c r="D504" s="54"/>
      <c r="E504" s="54"/>
      <c r="F504" s="54"/>
      <c r="G504" s="54"/>
      <c r="H504" s="54"/>
      <c r="I504" s="54"/>
      <c r="J504" s="54"/>
      <c r="K504" s="54"/>
      <c r="L504" s="54"/>
      <c r="M504" s="2"/>
      <c r="N504" s="54"/>
      <c r="P504" s="2"/>
      <c r="Q504" s="2"/>
      <c r="R504" s="2"/>
      <c r="S504" s="368"/>
      <c r="T504" s="2"/>
      <c r="U504" s="2"/>
    </row>
    <row r="505" spans="1:21" ht="12.95" customHeight="1">
      <c r="A505" s="2"/>
      <c r="B505" s="2"/>
      <c r="C505" s="2"/>
      <c r="D505" s="54"/>
      <c r="E505" s="54"/>
      <c r="F505" s="54"/>
      <c r="G505" s="54"/>
      <c r="H505" s="54"/>
      <c r="I505" s="54"/>
      <c r="J505" s="54"/>
      <c r="K505" s="54"/>
      <c r="L505" s="54"/>
      <c r="M505" s="2"/>
      <c r="N505" s="54"/>
      <c r="P505" s="2"/>
      <c r="Q505" s="2"/>
      <c r="R505" s="2"/>
      <c r="S505" s="368"/>
      <c r="T505" s="2"/>
      <c r="U505" s="2"/>
    </row>
    <row r="506" spans="1:21" ht="12.95" customHeight="1">
      <c r="A506" s="2"/>
      <c r="B506" s="2"/>
      <c r="C506" s="2"/>
      <c r="D506" s="54"/>
      <c r="E506" s="54"/>
      <c r="F506" s="54"/>
      <c r="G506" s="54"/>
      <c r="H506" s="54"/>
      <c r="I506" s="54"/>
      <c r="J506" s="54"/>
      <c r="K506" s="54"/>
      <c r="L506" s="54"/>
      <c r="M506" s="2"/>
      <c r="N506" s="54"/>
      <c r="P506" s="2"/>
      <c r="Q506" s="2"/>
      <c r="R506" s="2"/>
      <c r="S506" s="368"/>
      <c r="T506" s="2"/>
      <c r="U506" s="2"/>
    </row>
    <row r="507" spans="1:21" ht="12.95" customHeight="1">
      <c r="A507" s="2"/>
      <c r="B507" s="2"/>
      <c r="C507" s="2"/>
      <c r="D507" s="54"/>
      <c r="E507" s="54"/>
      <c r="F507" s="54"/>
      <c r="G507" s="54"/>
      <c r="H507" s="54"/>
      <c r="I507" s="54"/>
      <c r="J507" s="54"/>
      <c r="K507" s="54"/>
      <c r="L507" s="54"/>
      <c r="M507" s="2"/>
      <c r="N507" s="54"/>
      <c r="P507" s="2"/>
      <c r="Q507" s="2"/>
      <c r="R507" s="2"/>
      <c r="S507" s="368"/>
      <c r="T507" s="2"/>
      <c r="U507" s="2"/>
    </row>
    <row r="508" spans="1:21" ht="12.95" customHeight="1">
      <c r="A508" s="2"/>
      <c r="B508" s="2"/>
      <c r="C508" s="2"/>
      <c r="D508" s="54"/>
      <c r="E508" s="54"/>
      <c r="F508" s="54"/>
      <c r="G508" s="54"/>
      <c r="H508" s="54"/>
      <c r="I508" s="54"/>
      <c r="J508" s="54"/>
      <c r="K508" s="54"/>
      <c r="L508" s="54"/>
      <c r="M508" s="2"/>
      <c r="N508" s="54"/>
      <c r="P508" s="2"/>
      <c r="Q508" s="2"/>
      <c r="R508" s="2"/>
      <c r="S508" s="368"/>
      <c r="T508" s="2"/>
      <c r="U508" s="2"/>
    </row>
    <row r="509" spans="1:21" ht="12.95" customHeight="1">
      <c r="A509" s="2"/>
      <c r="B509" s="2"/>
      <c r="C509" s="2"/>
      <c r="D509" s="54"/>
      <c r="E509" s="54"/>
      <c r="F509" s="54"/>
      <c r="G509" s="54"/>
      <c r="H509" s="54"/>
      <c r="I509" s="54"/>
      <c r="J509" s="54"/>
      <c r="K509" s="54"/>
      <c r="L509" s="54"/>
      <c r="M509" s="2"/>
      <c r="N509" s="54"/>
      <c r="P509" s="2"/>
      <c r="Q509" s="2"/>
      <c r="R509" s="2"/>
      <c r="S509" s="368"/>
      <c r="T509" s="2"/>
      <c r="U509" s="2"/>
    </row>
    <row r="510" spans="1:21" ht="12.95" customHeight="1">
      <c r="A510" s="2"/>
      <c r="B510" s="2"/>
      <c r="C510" s="2"/>
      <c r="D510" s="54"/>
      <c r="E510" s="54"/>
      <c r="F510" s="54"/>
      <c r="G510" s="54"/>
      <c r="H510" s="54"/>
      <c r="I510" s="54"/>
      <c r="J510" s="54"/>
      <c r="K510" s="54"/>
      <c r="L510" s="54"/>
      <c r="M510" s="2"/>
      <c r="N510" s="54"/>
      <c r="P510" s="2"/>
      <c r="Q510" s="2"/>
      <c r="R510" s="2"/>
      <c r="S510" s="368"/>
      <c r="T510" s="2"/>
      <c r="U510" s="2"/>
    </row>
    <row r="511" spans="1:21" ht="12.95" customHeight="1">
      <c r="A511" s="2"/>
      <c r="B511" s="2"/>
      <c r="C511" s="2"/>
      <c r="D511" s="54"/>
      <c r="E511" s="54"/>
      <c r="F511" s="54"/>
      <c r="G511" s="54"/>
      <c r="H511" s="54"/>
      <c r="I511" s="54"/>
      <c r="J511" s="54"/>
      <c r="K511" s="54"/>
      <c r="L511" s="54"/>
      <c r="M511" s="2"/>
      <c r="N511" s="54"/>
      <c r="P511" s="2"/>
      <c r="Q511" s="2"/>
      <c r="R511" s="2"/>
      <c r="S511" s="368"/>
      <c r="T511" s="2"/>
      <c r="U511" s="2"/>
    </row>
    <row r="512" spans="1:21" ht="12.95" customHeight="1">
      <c r="A512" s="2"/>
      <c r="B512" s="2"/>
      <c r="C512" s="2"/>
      <c r="D512" s="54"/>
      <c r="E512" s="54"/>
      <c r="F512" s="54"/>
      <c r="G512" s="54"/>
      <c r="H512" s="54"/>
      <c r="I512" s="54"/>
      <c r="J512" s="54"/>
      <c r="K512" s="54"/>
      <c r="L512" s="54"/>
      <c r="M512" s="2"/>
      <c r="N512" s="54"/>
      <c r="P512" s="2"/>
      <c r="Q512" s="2"/>
      <c r="R512" s="2"/>
      <c r="S512" s="368"/>
      <c r="T512" s="2"/>
      <c r="U512" s="2"/>
    </row>
    <row r="513" spans="1:21" ht="12.95" customHeight="1">
      <c r="A513" s="2"/>
      <c r="B513" s="2"/>
      <c r="C513" s="2"/>
      <c r="D513" s="54"/>
      <c r="E513" s="54"/>
      <c r="F513" s="54"/>
      <c r="G513" s="54"/>
      <c r="H513" s="54"/>
      <c r="I513" s="54"/>
      <c r="J513" s="54"/>
      <c r="K513" s="54"/>
      <c r="L513" s="54"/>
      <c r="M513" s="2"/>
      <c r="N513" s="54"/>
      <c r="P513" s="2"/>
      <c r="Q513" s="2"/>
      <c r="R513" s="2"/>
      <c r="S513" s="368"/>
      <c r="T513" s="2"/>
      <c r="U513" s="2"/>
    </row>
    <row r="514" spans="1:21" ht="12.95" customHeight="1">
      <c r="A514" s="2"/>
      <c r="B514" s="2"/>
      <c r="C514" s="2"/>
      <c r="D514" s="54"/>
      <c r="E514" s="54"/>
      <c r="F514" s="54"/>
      <c r="G514" s="54"/>
      <c r="H514" s="54"/>
      <c r="I514" s="54"/>
      <c r="J514" s="54"/>
      <c r="K514" s="54"/>
      <c r="L514" s="54"/>
      <c r="M514" s="2"/>
      <c r="N514" s="54"/>
      <c r="P514" s="2"/>
      <c r="Q514" s="2"/>
      <c r="R514" s="2"/>
      <c r="S514" s="368"/>
      <c r="T514" s="2"/>
      <c r="U514" s="2"/>
    </row>
    <row r="515" spans="1:21" ht="12.95" customHeight="1">
      <c r="A515" s="2"/>
      <c r="B515" s="2"/>
      <c r="C515" s="2"/>
      <c r="D515" s="54"/>
      <c r="E515" s="54"/>
      <c r="F515" s="54"/>
      <c r="G515" s="54"/>
      <c r="H515" s="54"/>
      <c r="I515" s="54"/>
      <c r="J515" s="54"/>
      <c r="K515" s="54"/>
      <c r="L515" s="54"/>
      <c r="M515" s="2"/>
      <c r="N515" s="54"/>
      <c r="P515" s="2"/>
      <c r="Q515" s="2"/>
      <c r="R515" s="2"/>
      <c r="S515" s="368"/>
      <c r="T515" s="2"/>
      <c r="U515" s="2"/>
    </row>
    <row r="516" spans="1:21" ht="12.95" customHeight="1">
      <c r="A516" s="2"/>
      <c r="B516" s="2"/>
      <c r="C516" s="2"/>
      <c r="D516" s="54"/>
      <c r="E516" s="54"/>
      <c r="F516" s="54"/>
      <c r="G516" s="54"/>
      <c r="H516" s="54"/>
      <c r="I516" s="54"/>
      <c r="J516" s="54"/>
      <c r="K516" s="54"/>
      <c r="L516" s="54"/>
      <c r="M516" s="2"/>
      <c r="N516" s="54"/>
      <c r="P516" s="2"/>
      <c r="Q516" s="2"/>
      <c r="R516" s="2"/>
      <c r="S516" s="368"/>
      <c r="T516" s="2"/>
      <c r="U516" s="2"/>
    </row>
    <row r="517" spans="1:21" ht="12.95" customHeight="1">
      <c r="A517" s="2"/>
      <c r="B517" s="2"/>
      <c r="C517" s="2"/>
      <c r="D517" s="54"/>
      <c r="E517" s="54"/>
      <c r="F517" s="54"/>
      <c r="G517" s="54"/>
      <c r="H517" s="54"/>
      <c r="I517" s="54"/>
      <c r="J517" s="54"/>
      <c r="K517" s="54"/>
      <c r="L517" s="54"/>
      <c r="M517" s="2"/>
      <c r="N517" s="54"/>
      <c r="P517" s="2"/>
      <c r="Q517" s="2"/>
      <c r="R517" s="2"/>
      <c r="S517" s="368"/>
      <c r="T517" s="2"/>
      <c r="U517" s="2"/>
    </row>
    <row r="518" spans="1:21" ht="12.95" customHeight="1">
      <c r="A518" s="2"/>
      <c r="B518" s="2"/>
      <c r="C518" s="2"/>
      <c r="D518" s="54"/>
      <c r="E518" s="54"/>
      <c r="F518" s="54"/>
      <c r="G518" s="54"/>
      <c r="H518" s="54"/>
      <c r="I518" s="54"/>
      <c r="J518" s="54"/>
      <c r="K518" s="54"/>
      <c r="L518" s="54"/>
      <c r="M518" s="2"/>
      <c r="N518" s="54"/>
      <c r="P518" s="2"/>
      <c r="Q518" s="2"/>
      <c r="R518" s="2"/>
      <c r="S518" s="368"/>
      <c r="T518" s="2"/>
      <c r="U518" s="2"/>
    </row>
    <row r="519" spans="1:21" ht="12.95" customHeight="1">
      <c r="A519" s="2"/>
      <c r="B519" s="2"/>
      <c r="C519" s="2"/>
      <c r="D519" s="54"/>
      <c r="E519" s="54"/>
      <c r="F519" s="54"/>
      <c r="G519" s="54"/>
      <c r="H519" s="54"/>
      <c r="I519" s="54"/>
      <c r="J519" s="54"/>
      <c r="K519" s="54"/>
      <c r="L519" s="54"/>
      <c r="M519" s="2"/>
      <c r="N519" s="54"/>
      <c r="P519" s="2"/>
      <c r="Q519" s="2"/>
      <c r="R519" s="2"/>
      <c r="S519" s="368"/>
      <c r="T519" s="2"/>
      <c r="U519" s="2"/>
    </row>
    <row r="520" spans="1:21" ht="12.95" customHeight="1">
      <c r="A520" s="2"/>
      <c r="B520" s="2"/>
      <c r="C520" s="2"/>
      <c r="D520" s="54"/>
      <c r="E520" s="54"/>
      <c r="F520" s="54"/>
      <c r="G520" s="54"/>
      <c r="H520" s="54"/>
      <c r="I520" s="54"/>
      <c r="J520" s="54"/>
      <c r="K520" s="54"/>
      <c r="L520" s="54"/>
      <c r="M520" s="2"/>
      <c r="N520" s="54"/>
      <c r="P520" s="2"/>
      <c r="Q520" s="2"/>
      <c r="R520" s="2"/>
      <c r="S520" s="368"/>
      <c r="T520" s="2"/>
      <c r="U520" s="2"/>
    </row>
    <row r="521" spans="1:21" ht="12.95" customHeight="1">
      <c r="A521" s="2"/>
      <c r="B521" s="2"/>
      <c r="C521" s="2"/>
      <c r="D521" s="54"/>
      <c r="E521" s="54"/>
      <c r="F521" s="54"/>
      <c r="G521" s="54"/>
      <c r="H521" s="54"/>
      <c r="I521" s="54"/>
      <c r="J521" s="54"/>
      <c r="K521" s="54"/>
      <c r="L521" s="54"/>
      <c r="M521" s="2"/>
      <c r="N521" s="54"/>
      <c r="P521" s="2"/>
      <c r="Q521" s="2"/>
      <c r="R521" s="2"/>
      <c r="S521" s="368"/>
      <c r="T521" s="2"/>
      <c r="U521" s="2"/>
    </row>
    <row r="522" spans="1:21" ht="12.95" customHeight="1">
      <c r="A522" s="2"/>
      <c r="B522" s="2"/>
      <c r="C522" s="2"/>
      <c r="D522" s="54"/>
      <c r="E522" s="54"/>
      <c r="F522" s="54"/>
      <c r="G522" s="54"/>
      <c r="H522" s="54"/>
      <c r="I522" s="54"/>
      <c r="J522" s="54"/>
      <c r="K522" s="54"/>
      <c r="L522" s="54"/>
      <c r="M522" s="2"/>
      <c r="N522" s="54"/>
      <c r="P522" s="2"/>
      <c r="Q522" s="2"/>
      <c r="R522" s="2"/>
      <c r="S522" s="368"/>
      <c r="T522" s="2"/>
      <c r="U522" s="2"/>
    </row>
    <row r="523" spans="1:21" ht="12.95" customHeight="1">
      <c r="A523" s="2"/>
      <c r="B523" s="2"/>
      <c r="C523" s="2"/>
      <c r="D523" s="54"/>
      <c r="E523" s="54"/>
      <c r="F523" s="54"/>
      <c r="G523" s="54"/>
      <c r="H523" s="54"/>
      <c r="I523" s="54"/>
      <c r="J523" s="54"/>
      <c r="K523" s="54"/>
      <c r="L523" s="54"/>
      <c r="M523" s="2"/>
      <c r="N523" s="54"/>
      <c r="P523" s="2"/>
      <c r="Q523" s="2"/>
      <c r="R523" s="2"/>
      <c r="S523" s="368"/>
      <c r="T523" s="2"/>
      <c r="U523" s="2"/>
    </row>
    <row r="524" spans="1:21" ht="12.95" customHeight="1">
      <c r="A524" s="2"/>
      <c r="B524" s="2"/>
      <c r="C524" s="2"/>
      <c r="D524" s="54"/>
      <c r="E524" s="54"/>
      <c r="F524" s="54"/>
      <c r="G524" s="54"/>
      <c r="H524" s="54"/>
      <c r="I524" s="54"/>
      <c r="J524" s="54"/>
      <c r="K524" s="54"/>
      <c r="L524" s="54"/>
      <c r="M524" s="2"/>
      <c r="N524" s="54"/>
      <c r="P524" s="2"/>
      <c r="Q524" s="2"/>
      <c r="R524" s="2"/>
      <c r="S524" s="368"/>
      <c r="T524" s="2"/>
      <c r="U524" s="2"/>
    </row>
    <row r="525" spans="1:21" ht="12.95" customHeight="1">
      <c r="A525" s="2"/>
      <c r="B525" s="2"/>
      <c r="C525" s="2"/>
      <c r="D525" s="54"/>
      <c r="E525" s="54"/>
      <c r="F525" s="54"/>
      <c r="G525" s="54"/>
      <c r="H525" s="54"/>
      <c r="I525" s="54"/>
      <c r="J525" s="54"/>
      <c r="K525" s="54"/>
      <c r="L525" s="54"/>
      <c r="M525" s="2"/>
      <c r="N525" s="54"/>
      <c r="P525" s="2"/>
      <c r="Q525" s="2"/>
      <c r="R525" s="2"/>
      <c r="S525" s="368"/>
      <c r="T525" s="2"/>
      <c r="U525" s="2"/>
    </row>
    <row r="526" spans="1:21" ht="12.95" customHeight="1">
      <c r="A526" s="2"/>
      <c r="B526" s="2"/>
      <c r="C526" s="2"/>
      <c r="D526" s="54"/>
      <c r="E526" s="54"/>
      <c r="F526" s="54"/>
      <c r="G526" s="54"/>
      <c r="H526" s="54"/>
      <c r="I526" s="54"/>
      <c r="J526" s="54"/>
      <c r="K526" s="54"/>
      <c r="L526" s="54"/>
      <c r="M526" s="2"/>
      <c r="N526" s="54"/>
      <c r="P526" s="2"/>
      <c r="Q526" s="2"/>
      <c r="R526" s="2"/>
      <c r="S526" s="368"/>
      <c r="T526" s="2"/>
      <c r="U526" s="2"/>
    </row>
    <row r="527" spans="1:21" ht="12.95" customHeight="1">
      <c r="A527" s="2"/>
      <c r="B527" s="2"/>
      <c r="C527" s="2"/>
      <c r="D527" s="54"/>
      <c r="E527" s="54"/>
      <c r="F527" s="54"/>
      <c r="G527" s="54"/>
      <c r="H527" s="54"/>
      <c r="I527" s="54"/>
      <c r="J527" s="54"/>
      <c r="K527" s="54"/>
      <c r="L527" s="54"/>
      <c r="M527" s="2"/>
      <c r="N527" s="54"/>
      <c r="P527" s="2"/>
      <c r="Q527" s="2"/>
      <c r="R527" s="2"/>
      <c r="S527" s="368"/>
      <c r="T527" s="2"/>
      <c r="U527" s="2"/>
    </row>
    <row r="528" spans="1:21" ht="12.95" customHeight="1">
      <c r="A528" s="2"/>
      <c r="B528" s="2"/>
      <c r="C528" s="2"/>
      <c r="D528" s="54"/>
      <c r="E528" s="54"/>
      <c r="F528" s="54"/>
      <c r="G528" s="54"/>
      <c r="H528" s="54"/>
      <c r="I528" s="54"/>
      <c r="J528" s="54"/>
      <c r="K528" s="54"/>
      <c r="L528" s="54"/>
      <c r="M528" s="2"/>
      <c r="N528" s="54"/>
      <c r="P528" s="2"/>
      <c r="Q528" s="2"/>
      <c r="R528" s="2"/>
      <c r="S528" s="368"/>
      <c r="T528" s="2"/>
      <c r="U528" s="2"/>
    </row>
    <row r="529" spans="1:21" ht="12.95" customHeight="1">
      <c r="A529" s="2"/>
      <c r="B529" s="2"/>
      <c r="C529" s="2"/>
      <c r="D529" s="54"/>
      <c r="E529" s="54"/>
      <c r="F529" s="54"/>
      <c r="G529" s="54"/>
      <c r="H529" s="54"/>
      <c r="I529" s="54"/>
      <c r="J529" s="54"/>
      <c r="K529" s="54"/>
      <c r="L529" s="54"/>
      <c r="M529" s="2"/>
      <c r="N529" s="54"/>
      <c r="P529" s="2"/>
      <c r="Q529" s="2"/>
      <c r="R529" s="2"/>
      <c r="S529" s="368"/>
      <c r="T529" s="2"/>
      <c r="U529" s="2"/>
    </row>
    <row r="530" spans="1:21" ht="12.95" customHeight="1">
      <c r="A530" s="2"/>
      <c r="B530" s="2"/>
      <c r="C530" s="2"/>
      <c r="D530" s="54"/>
      <c r="E530" s="54"/>
      <c r="F530" s="54"/>
      <c r="G530" s="54"/>
      <c r="H530" s="54"/>
      <c r="I530" s="54"/>
      <c r="J530" s="54"/>
      <c r="K530" s="54"/>
      <c r="L530" s="54"/>
      <c r="M530" s="2"/>
      <c r="N530" s="54"/>
      <c r="P530" s="2"/>
      <c r="Q530" s="2"/>
      <c r="R530" s="2"/>
      <c r="S530" s="368"/>
      <c r="T530" s="2"/>
      <c r="U530" s="2"/>
    </row>
    <row r="531" spans="1:21" ht="12.95" customHeight="1">
      <c r="A531" s="2"/>
      <c r="B531" s="2"/>
      <c r="C531" s="2"/>
      <c r="D531" s="54"/>
      <c r="E531" s="54"/>
      <c r="F531" s="54"/>
      <c r="G531" s="54"/>
      <c r="H531" s="54"/>
      <c r="I531" s="54"/>
      <c r="J531" s="54"/>
      <c r="K531" s="54"/>
      <c r="L531" s="54"/>
      <c r="M531" s="2"/>
      <c r="N531" s="54"/>
      <c r="P531" s="2"/>
      <c r="Q531" s="2"/>
      <c r="R531" s="2"/>
      <c r="S531" s="368"/>
      <c r="T531" s="2"/>
      <c r="U531" s="2"/>
    </row>
    <row r="532" spans="1:21" ht="12.95" customHeight="1">
      <c r="A532" s="2"/>
      <c r="B532" s="2"/>
      <c r="C532" s="2"/>
      <c r="D532" s="54"/>
      <c r="E532" s="54"/>
      <c r="F532" s="54"/>
      <c r="G532" s="54"/>
      <c r="H532" s="54"/>
      <c r="I532" s="54"/>
      <c r="J532" s="54"/>
      <c r="K532" s="54"/>
      <c r="L532" s="54"/>
      <c r="M532" s="2"/>
      <c r="N532" s="54"/>
      <c r="P532" s="2"/>
      <c r="Q532" s="2"/>
      <c r="R532" s="2"/>
      <c r="S532" s="368"/>
      <c r="T532" s="2"/>
      <c r="U532" s="2"/>
    </row>
    <row r="533" spans="1:21" ht="12.95" customHeight="1">
      <c r="A533" s="2"/>
      <c r="B533" s="2"/>
      <c r="C533" s="2"/>
      <c r="D533" s="54"/>
      <c r="E533" s="54"/>
      <c r="F533" s="54"/>
      <c r="G533" s="54"/>
      <c r="H533" s="54"/>
      <c r="I533" s="54"/>
      <c r="J533" s="54"/>
      <c r="K533" s="54"/>
      <c r="L533" s="54"/>
      <c r="M533" s="2"/>
      <c r="N533" s="54"/>
      <c r="P533" s="2"/>
      <c r="Q533" s="2"/>
      <c r="R533" s="2"/>
      <c r="S533" s="368"/>
      <c r="T533" s="2"/>
      <c r="U533" s="2"/>
    </row>
    <row r="534" spans="1:21" ht="12.95" customHeight="1">
      <c r="A534" s="2"/>
      <c r="B534" s="2"/>
      <c r="C534" s="2"/>
      <c r="D534" s="54"/>
      <c r="E534" s="54"/>
      <c r="F534" s="54"/>
      <c r="G534" s="54"/>
      <c r="H534" s="54"/>
      <c r="I534" s="54"/>
      <c r="J534" s="54"/>
      <c r="K534" s="54"/>
      <c r="L534" s="54"/>
      <c r="M534" s="2"/>
      <c r="N534" s="54"/>
      <c r="P534" s="2"/>
      <c r="Q534" s="2"/>
      <c r="R534" s="2"/>
      <c r="S534" s="368"/>
      <c r="T534" s="2"/>
      <c r="U534" s="2"/>
    </row>
    <row r="535" spans="1:21" ht="12.95" customHeight="1">
      <c r="A535" s="2"/>
      <c r="B535" s="2"/>
      <c r="C535" s="2"/>
      <c r="D535" s="54"/>
      <c r="E535" s="54"/>
      <c r="F535" s="54"/>
      <c r="G535" s="54"/>
      <c r="H535" s="54"/>
      <c r="I535" s="54"/>
      <c r="J535" s="54"/>
      <c r="K535" s="54"/>
      <c r="L535" s="54"/>
      <c r="M535" s="2"/>
      <c r="N535" s="54"/>
      <c r="P535" s="2"/>
      <c r="Q535" s="2"/>
      <c r="R535" s="2"/>
      <c r="S535" s="368"/>
      <c r="T535" s="2"/>
      <c r="U535" s="2"/>
    </row>
    <row r="536" spans="1:21" ht="12.95" customHeight="1">
      <c r="A536" s="2"/>
      <c r="B536" s="2"/>
      <c r="C536" s="2"/>
      <c r="D536" s="54"/>
      <c r="E536" s="54"/>
      <c r="F536" s="54"/>
      <c r="G536" s="54"/>
      <c r="H536" s="54"/>
      <c r="I536" s="54"/>
      <c r="J536" s="54"/>
      <c r="K536" s="54"/>
      <c r="L536" s="54"/>
      <c r="M536" s="2"/>
      <c r="N536" s="54"/>
      <c r="P536" s="2"/>
      <c r="Q536" s="2"/>
      <c r="R536" s="2"/>
      <c r="S536" s="368"/>
      <c r="T536" s="2"/>
      <c r="U536" s="2"/>
    </row>
    <row r="537" spans="1:21" ht="12.95" customHeight="1">
      <c r="A537" s="2"/>
      <c r="B537" s="2"/>
      <c r="C537" s="2"/>
      <c r="D537" s="54"/>
      <c r="E537" s="54"/>
      <c r="F537" s="54"/>
      <c r="G537" s="54"/>
      <c r="H537" s="54"/>
      <c r="I537" s="54"/>
      <c r="J537" s="54"/>
      <c r="K537" s="54"/>
      <c r="L537" s="54"/>
      <c r="M537" s="2"/>
      <c r="N537" s="54"/>
      <c r="P537" s="2"/>
      <c r="Q537" s="2"/>
      <c r="R537" s="2"/>
      <c r="S537" s="368"/>
      <c r="T537" s="2"/>
      <c r="U537" s="2"/>
    </row>
    <row r="538" spans="1:21" ht="12.95" customHeight="1">
      <c r="A538" s="2"/>
      <c r="B538" s="2"/>
      <c r="C538" s="2"/>
      <c r="D538" s="54"/>
      <c r="E538" s="54"/>
      <c r="F538" s="54"/>
      <c r="G538" s="54"/>
      <c r="H538" s="54"/>
      <c r="I538" s="54"/>
      <c r="J538" s="54"/>
      <c r="K538" s="54"/>
      <c r="L538" s="54"/>
      <c r="M538" s="2"/>
      <c r="N538" s="54"/>
      <c r="P538" s="2"/>
      <c r="Q538" s="2"/>
      <c r="R538" s="2"/>
      <c r="S538" s="368"/>
      <c r="T538" s="2"/>
      <c r="U538" s="2"/>
    </row>
    <row r="539" spans="1:21" ht="12.95" customHeight="1">
      <c r="A539" s="2"/>
      <c r="B539" s="2"/>
      <c r="C539" s="2"/>
      <c r="D539" s="54"/>
      <c r="E539" s="54"/>
      <c r="F539" s="54"/>
      <c r="G539" s="54"/>
      <c r="H539" s="54"/>
      <c r="I539" s="54"/>
      <c r="J539" s="54"/>
      <c r="K539" s="54"/>
      <c r="L539" s="54"/>
      <c r="M539" s="2"/>
      <c r="N539" s="54"/>
      <c r="P539" s="2"/>
      <c r="Q539" s="2"/>
      <c r="R539" s="2"/>
      <c r="S539" s="368"/>
      <c r="T539" s="2"/>
      <c r="U539" s="2"/>
    </row>
    <row r="540" spans="1:21" ht="12.95" customHeight="1">
      <c r="A540" s="2"/>
      <c r="B540" s="2"/>
      <c r="C540" s="2"/>
      <c r="D540" s="54"/>
      <c r="E540" s="54"/>
      <c r="F540" s="54"/>
      <c r="G540" s="54"/>
      <c r="H540" s="54"/>
      <c r="I540" s="54"/>
      <c r="J540" s="54"/>
      <c r="K540" s="54"/>
      <c r="L540" s="54"/>
      <c r="M540" s="2"/>
      <c r="N540" s="54"/>
      <c r="P540" s="2"/>
      <c r="Q540" s="2"/>
      <c r="R540" s="2"/>
      <c r="S540" s="368"/>
      <c r="T540" s="2"/>
      <c r="U540" s="2"/>
    </row>
    <row r="541" spans="1:21" ht="12.95" customHeight="1">
      <c r="A541" s="2"/>
      <c r="B541" s="2"/>
      <c r="C541" s="2"/>
      <c r="D541" s="54"/>
      <c r="E541" s="54"/>
      <c r="F541" s="54"/>
      <c r="G541" s="54"/>
      <c r="H541" s="54"/>
      <c r="I541" s="54"/>
      <c r="J541" s="54"/>
      <c r="K541" s="54"/>
      <c r="L541" s="54"/>
      <c r="M541" s="2"/>
      <c r="N541" s="54"/>
      <c r="P541" s="2"/>
      <c r="Q541" s="2"/>
      <c r="R541" s="2"/>
      <c r="S541" s="368"/>
      <c r="T541" s="2"/>
      <c r="U541" s="2"/>
    </row>
    <row r="542" spans="1:21" ht="12.95" customHeight="1">
      <c r="A542" s="2"/>
      <c r="B542" s="2"/>
      <c r="C542" s="2"/>
      <c r="D542" s="54"/>
      <c r="E542" s="54"/>
      <c r="F542" s="54"/>
      <c r="G542" s="54"/>
      <c r="H542" s="54"/>
      <c r="I542" s="54"/>
      <c r="J542" s="54"/>
      <c r="K542" s="54"/>
      <c r="L542" s="54"/>
      <c r="M542" s="2"/>
      <c r="N542" s="54"/>
      <c r="P542" s="2"/>
      <c r="Q542" s="2"/>
      <c r="R542" s="2"/>
      <c r="S542" s="368"/>
      <c r="T542" s="2"/>
      <c r="U542" s="2"/>
    </row>
    <row r="543" spans="1:21" ht="12.95" customHeight="1">
      <c r="A543" s="2"/>
      <c r="B543" s="2"/>
      <c r="C543" s="2"/>
      <c r="D543" s="54"/>
      <c r="E543" s="54"/>
      <c r="F543" s="54"/>
      <c r="G543" s="54"/>
      <c r="H543" s="54"/>
      <c r="I543" s="54"/>
      <c r="J543" s="54"/>
      <c r="K543" s="54"/>
      <c r="L543" s="54"/>
      <c r="M543" s="2"/>
      <c r="N543" s="54"/>
      <c r="P543" s="2"/>
      <c r="Q543" s="2"/>
      <c r="R543" s="2"/>
      <c r="S543" s="368"/>
      <c r="T543" s="2"/>
      <c r="U543" s="2"/>
    </row>
    <row r="544" spans="1:21" ht="12.95" customHeight="1">
      <c r="A544" s="2"/>
      <c r="B544" s="2"/>
      <c r="C544" s="2"/>
      <c r="D544" s="54"/>
      <c r="E544" s="54"/>
      <c r="F544" s="54"/>
      <c r="G544" s="54"/>
      <c r="H544" s="54"/>
      <c r="I544" s="54"/>
      <c r="J544" s="54"/>
      <c r="K544" s="54"/>
      <c r="L544" s="54"/>
      <c r="M544" s="2"/>
      <c r="N544" s="54"/>
      <c r="P544" s="2"/>
      <c r="Q544" s="2"/>
      <c r="R544" s="2"/>
      <c r="S544" s="368"/>
      <c r="T544" s="2"/>
      <c r="U544" s="2"/>
    </row>
    <row r="545" spans="1:21" ht="12.95" customHeight="1">
      <c r="A545" s="2"/>
      <c r="B545" s="2"/>
      <c r="C545" s="2"/>
      <c r="D545" s="54"/>
      <c r="E545" s="54"/>
      <c r="F545" s="54"/>
      <c r="G545" s="54"/>
      <c r="H545" s="54"/>
      <c r="I545" s="54"/>
      <c r="J545" s="54"/>
      <c r="K545" s="54"/>
      <c r="L545" s="54"/>
      <c r="M545" s="2"/>
      <c r="N545" s="54"/>
      <c r="P545" s="2"/>
      <c r="Q545" s="2"/>
      <c r="R545" s="2"/>
      <c r="S545" s="368"/>
      <c r="T545" s="2"/>
      <c r="U545" s="2"/>
    </row>
    <row r="546" spans="1:21" ht="12.95" customHeight="1">
      <c r="A546" s="2"/>
      <c r="B546" s="2"/>
      <c r="C546" s="2"/>
      <c r="D546" s="54"/>
      <c r="E546" s="54"/>
      <c r="F546" s="54"/>
      <c r="G546" s="54"/>
      <c r="H546" s="54"/>
      <c r="I546" s="54"/>
      <c r="J546" s="54"/>
      <c r="K546" s="54"/>
      <c r="L546" s="54"/>
      <c r="M546" s="2"/>
      <c r="N546" s="54"/>
      <c r="P546" s="2"/>
      <c r="Q546" s="2"/>
      <c r="R546" s="2"/>
      <c r="S546" s="368"/>
      <c r="T546" s="2"/>
      <c r="U546" s="2"/>
    </row>
    <row r="547" spans="1:21" ht="12.95" customHeight="1">
      <c r="A547" s="2"/>
      <c r="B547" s="2"/>
      <c r="C547" s="2"/>
      <c r="D547" s="54"/>
      <c r="E547" s="54"/>
      <c r="F547" s="54"/>
      <c r="G547" s="54"/>
      <c r="H547" s="54"/>
      <c r="I547" s="54"/>
      <c r="J547" s="54"/>
      <c r="K547" s="54"/>
      <c r="L547" s="54"/>
      <c r="M547" s="2"/>
      <c r="N547" s="54"/>
      <c r="P547" s="2"/>
      <c r="Q547" s="2"/>
      <c r="R547" s="2"/>
      <c r="S547" s="368"/>
      <c r="T547" s="2"/>
      <c r="U547" s="2"/>
    </row>
    <row r="548" spans="1:21" ht="12.95" customHeight="1">
      <c r="A548" s="2"/>
      <c r="B548" s="2"/>
      <c r="C548" s="2"/>
      <c r="D548" s="54"/>
      <c r="E548" s="54"/>
      <c r="F548" s="54"/>
      <c r="G548" s="54"/>
      <c r="H548" s="54"/>
      <c r="I548" s="54"/>
      <c r="J548" s="54"/>
      <c r="K548" s="54"/>
      <c r="L548" s="54"/>
      <c r="M548" s="2"/>
      <c r="N548" s="54"/>
      <c r="P548" s="2"/>
      <c r="Q548" s="2"/>
      <c r="R548" s="2"/>
      <c r="S548" s="368"/>
      <c r="T548" s="2"/>
      <c r="U548" s="2"/>
    </row>
    <row r="549" spans="1:21" ht="12.95" customHeight="1">
      <c r="A549" s="2"/>
      <c r="B549" s="2"/>
      <c r="C549" s="2"/>
      <c r="D549" s="54"/>
      <c r="E549" s="54"/>
      <c r="F549" s="54"/>
      <c r="G549" s="54"/>
      <c r="H549" s="54"/>
      <c r="I549" s="54"/>
      <c r="J549" s="54"/>
      <c r="K549" s="54"/>
      <c r="L549" s="54"/>
      <c r="M549" s="2"/>
      <c r="N549" s="54"/>
      <c r="P549" s="2"/>
      <c r="Q549" s="2"/>
      <c r="R549" s="2"/>
      <c r="S549" s="368"/>
      <c r="T549" s="2"/>
      <c r="U549" s="2"/>
    </row>
    <row r="550" spans="1:21" ht="12.95" customHeight="1">
      <c r="A550" s="2"/>
      <c r="B550" s="2"/>
      <c r="C550" s="2"/>
      <c r="D550" s="54"/>
      <c r="E550" s="54"/>
      <c r="F550" s="54"/>
      <c r="G550" s="54"/>
      <c r="H550" s="54"/>
      <c r="I550" s="54"/>
      <c r="J550" s="54"/>
      <c r="K550" s="54"/>
      <c r="L550" s="54"/>
      <c r="M550" s="2"/>
      <c r="N550" s="54"/>
      <c r="P550" s="2"/>
      <c r="Q550" s="2"/>
      <c r="R550" s="2"/>
      <c r="S550" s="368"/>
      <c r="T550" s="2"/>
      <c r="U550" s="2"/>
    </row>
    <row r="551" spans="1:21" ht="12.95" customHeight="1">
      <c r="A551" s="2"/>
      <c r="B551" s="2"/>
      <c r="C551" s="2"/>
      <c r="D551" s="54"/>
      <c r="E551" s="54"/>
      <c r="F551" s="54"/>
      <c r="G551" s="54"/>
      <c r="H551" s="54"/>
      <c r="I551" s="54"/>
      <c r="J551" s="54"/>
      <c r="K551" s="54"/>
      <c r="L551" s="54"/>
      <c r="M551" s="2"/>
      <c r="N551" s="54"/>
      <c r="P551" s="2"/>
      <c r="Q551" s="2"/>
      <c r="R551" s="2"/>
      <c r="S551" s="368"/>
      <c r="T551" s="2"/>
      <c r="U551" s="2"/>
    </row>
    <row r="552" spans="1:21" ht="12.95" customHeight="1">
      <c r="A552" s="2"/>
      <c r="B552" s="2"/>
      <c r="C552" s="2"/>
      <c r="D552" s="54"/>
      <c r="E552" s="54"/>
      <c r="F552" s="54"/>
      <c r="G552" s="54"/>
      <c r="H552" s="54"/>
      <c r="I552" s="54"/>
      <c r="J552" s="54"/>
      <c r="K552" s="54"/>
      <c r="L552" s="54"/>
      <c r="M552" s="2"/>
      <c r="N552" s="54"/>
      <c r="P552" s="2"/>
      <c r="Q552" s="2"/>
      <c r="R552" s="2"/>
      <c r="S552" s="368"/>
      <c r="T552" s="2"/>
      <c r="U552" s="2"/>
    </row>
    <row r="553" spans="1:21" ht="12.95" customHeight="1">
      <c r="A553" s="2"/>
      <c r="B553" s="2"/>
      <c r="C553" s="2"/>
      <c r="D553" s="54"/>
      <c r="E553" s="54"/>
      <c r="F553" s="54"/>
      <c r="G553" s="54"/>
      <c r="H553" s="54"/>
      <c r="I553" s="54"/>
      <c r="J553" s="54"/>
      <c r="K553" s="54"/>
      <c r="L553" s="54"/>
      <c r="M553" s="2"/>
      <c r="N553" s="54"/>
      <c r="P553" s="2"/>
      <c r="Q553" s="2"/>
      <c r="R553" s="2"/>
      <c r="S553" s="368"/>
      <c r="T553" s="2"/>
      <c r="U553" s="2"/>
    </row>
    <row r="554" spans="1:21" ht="12.95" customHeight="1">
      <c r="A554" s="2"/>
      <c r="B554" s="2"/>
      <c r="C554" s="2"/>
      <c r="D554" s="54"/>
      <c r="E554" s="54"/>
      <c r="F554" s="54"/>
      <c r="G554" s="54"/>
      <c r="H554" s="54"/>
      <c r="I554" s="54"/>
      <c r="J554" s="54"/>
      <c r="K554" s="54"/>
      <c r="L554" s="54"/>
      <c r="M554" s="2"/>
      <c r="N554" s="54"/>
      <c r="P554" s="2"/>
      <c r="Q554" s="2"/>
      <c r="R554" s="2"/>
      <c r="S554" s="368"/>
      <c r="T554" s="2"/>
      <c r="U554" s="2"/>
    </row>
    <row r="555" spans="1:21" ht="12.95" customHeight="1">
      <c r="A555" s="2"/>
      <c r="B555" s="2"/>
      <c r="C555" s="2"/>
      <c r="D555" s="54"/>
      <c r="E555" s="54"/>
      <c r="F555" s="54"/>
      <c r="G555" s="54"/>
      <c r="H555" s="54"/>
      <c r="I555" s="54"/>
      <c r="J555" s="54"/>
      <c r="K555" s="54"/>
      <c r="L555" s="54"/>
      <c r="M555" s="2"/>
      <c r="N555" s="54"/>
      <c r="P555" s="2"/>
      <c r="Q555" s="2"/>
      <c r="R555" s="2"/>
      <c r="S555" s="368"/>
      <c r="T555" s="2"/>
      <c r="U555" s="2"/>
    </row>
    <row r="556" spans="1:21" ht="12.95" customHeight="1">
      <c r="A556" s="2"/>
      <c r="B556" s="2"/>
      <c r="C556" s="2"/>
      <c r="D556" s="54"/>
      <c r="E556" s="54"/>
      <c r="F556" s="54"/>
      <c r="G556" s="54"/>
      <c r="H556" s="54"/>
      <c r="I556" s="54"/>
      <c r="J556" s="54"/>
      <c r="K556" s="54"/>
      <c r="L556" s="54"/>
      <c r="M556" s="2"/>
      <c r="N556" s="54"/>
      <c r="P556" s="2"/>
      <c r="Q556" s="2"/>
      <c r="R556" s="2"/>
      <c r="S556" s="368"/>
      <c r="T556" s="2"/>
      <c r="U556" s="2"/>
    </row>
    <row r="557" spans="1:21" ht="12.95" customHeight="1">
      <c r="A557" s="2"/>
      <c r="B557" s="2"/>
      <c r="C557" s="2"/>
      <c r="D557" s="54"/>
      <c r="E557" s="54"/>
      <c r="F557" s="54"/>
      <c r="G557" s="54"/>
      <c r="H557" s="54"/>
      <c r="I557" s="54"/>
      <c r="J557" s="54"/>
      <c r="K557" s="54"/>
      <c r="L557" s="54"/>
      <c r="M557" s="2"/>
      <c r="N557" s="54"/>
      <c r="P557" s="2"/>
      <c r="Q557" s="2"/>
      <c r="R557" s="2"/>
      <c r="S557" s="368"/>
      <c r="T557" s="2"/>
      <c r="U557" s="2"/>
    </row>
    <row r="558" spans="1:21" ht="12.95" customHeight="1">
      <c r="A558" s="2"/>
      <c r="B558" s="2"/>
      <c r="C558" s="2"/>
      <c r="D558" s="54"/>
      <c r="E558" s="54"/>
      <c r="F558" s="54"/>
      <c r="G558" s="54"/>
      <c r="H558" s="54"/>
      <c r="I558" s="54"/>
      <c r="J558" s="54"/>
      <c r="K558" s="54"/>
      <c r="L558" s="54"/>
      <c r="M558" s="2"/>
      <c r="N558" s="54"/>
      <c r="P558" s="2"/>
      <c r="Q558" s="2"/>
      <c r="R558" s="2"/>
      <c r="S558" s="368"/>
      <c r="T558" s="2"/>
      <c r="U558" s="2"/>
    </row>
    <row r="559" spans="1:21" ht="12.95" customHeight="1">
      <c r="A559" s="2"/>
      <c r="B559" s="2"/>
      <c r="C559" s="2"/>
      <c r="D559" s="54"/>
      <c r="E559" s="54"/>
      <c r="F559" s="54"/>
      <c r="G559" s="54"/>
      <c r="H559" s="54"/>
      <c r="I559" s="54"/>
      <c r="J559" s="54"/>
      <c r="K559" s="54"/>
      <c r="L559" s="54"/>
      <c r="M559" s="2"/>
      <c r="N559" s="54"/>
      <c r="P559" s="2"/>
      <c r="Q559" s="2"/>
      <c r="R559" s="2"/>
      <c r="S559" s="368"/>
      <c r="T559" s="2"/>
      <c r="U559" s="2"/>
    </row>
    <row r="560" spans="1:21" ht="12.95" customHeight="1">
      <c r="A560" s="2"/>
      <c r="B560" s="2"/>
      <c r="C560" s="2"/>
      <c r="D560" s="54"/>
      <c r="E560" s="54"/>
      <c r="F560" s="54"/>
      <c r="G560" s="54"/>
      <c r="H560" s="54"/>
      <c r="I560" s="54"/>
      <c r="J560" s="54"/>
      <c r="K560" s="54"/>
      <c r="L560" s="54"/>
      <c r="M560" s="2"/>
      <c r="N560" s="54"/>
      <c r="P560" s="2"/>
      <c r="Q560" s="2"/>
      <c r="R560" s="2"/>
      <c r="S560" s="368"/>
      <c r="T560" s="2"/>
      <c r="U560" s="2"/>
    </row>
    <row r="561" spans="1:21" ht="12.95" customHeight="1">
      <c r="A561" s="2"/>
      <c r="B561" s="2"/>
      <c r="C561" s="2"/>
      <c r="D561" s="54"/>
      <c r="E561" s="54"/>
      <c r="F561" s="54"/>
      <c r="G561" s="54"/>
      <c r="H561" s="54"/>
      <c r="I561" s="54"/>
      <c r="J561" s="54"/>
      <c r="K561" s="54"/>
      <c r="L561" s="54"/>
      <c r="M561" s="2"/>
      <c r="N561" s="54"/>
      <c r="P561" s="2"/>
      <c r="Q561" s="2"/>
      <c r="R561" s="2"/>
      <c r="S561" s="368"/>
      <c r="T561" s="2"/>
      <c r="U561" s="2"/>
    </row>
    <row r="562" spans="1:21" ht="12.95" customHeight="1">
      <c r="A562" s="2"/>
      <c r="B562" s="2"/>
      <c r="C562" s="2"/>
      <c r="D562" s="54"/>
      <c r="E562" s="54"/>
      <c r="F562" s="54"/>
      <c r="G562" s="54"/>
      <c r="H562" s="54"/>
      <c r="I562" s="54"/>
      <c r="J562" s="54"/>
      <c r="K562" s="54"/>
      <c r="L562" s="54"/>
      <c r="M562" s="2"/>
      <c r="N562" s="54"/>
      <c r="P562" s="2"/>
      <c r="Q562" s="2"/>
      <c r="R562" s="2"/>
      <c r="S562" s="368"/>
      <c r="T562" s="2"/>
      <c r="U562" s="2"/>
    </row>
    <row r="563" spans="1:21" ht="12.95" customHeight="1">
      <c r="A563" s="2"/>
      <c r="B563" s="2"/>
      <c r="C563" s="2"/>
      <c r="D563" s="54"/>
      <c r="E563" s="54"/>
      <c r="F563" s="54"/>
      <c r="G563" s="54"/>
      <c r="H563" s="54"/>
      <c r="I563" s="54"/>
      <c r="J563" s="54"/>
      <c r="K563" s="54"/>
      <c r="L563" s="54"/>
      <c r="M563" s="2"/>
      <c r="N563" s="54"/>
      <c r="P563" s="2"/>
      <c r="Q563" s="2"/>
      <c r="R563" s="2"/>
      <c r="S563" s="368"/>
      <c r="T563" s="2"/>
      <c r="U563" s="2"/>
    </row>
    <row r="564" spans="1:21" ht="12.95" customHeight="1">
      <c r="A564" s="2"/>
      <c r="B564" s="2"/>
      <c r="C564" s="2"/>
      <c r="D564" s="54"/>
      <c r="E564" s="54"/>
      <c r="F564" s="54"/>
      <c r="G564" s="54"/>
      <c r="H564" s="54"/>
      <c r="I564" s="54"/>
      <c r="J564" s="54"/>
      <c r="K564" s="54"/>
      <c r="L564" s="54"/>
      <c r="M564" s="2"/>
      <c r="N564" s="54"/>
      <c r="P564" s="2"/>
      <c r="Q564" s="2"/>
      <c r="R564" s="2"/>
      <c r="S564" s="368"/>
      <c r="T564" s="2"/>
      <c r="U564" s="2"/>
    </row>
    <row r="565" spans="1:21" ht="12.95" customHeight="1">
      <c r="A565" s="2"/>
      <c r="B565" s="2"/>
      <c r="C565" s="2"/>
      <c r="D565" s="54"/>
      <c r="E565" s="54"/>
      <c r="F565" s="54"/>
      <c r="G565" s="54"/>
      <c r="H565" s="54"/>
      <c r="I565" s="54"/>
      <c r="J565" s="54"/>
      <c r="K565" s="54"/>
      <c r="L565" s="54"/>
      <c r="M565" s="2"/>
      <c r="N565" s="54"/>
      <c r="P565" s="2"/>
      <c r="Q565" s="2"/>
      <c r="R565" s="2"/>
      <c r="S565" s="368"/>
      <c r="T565" s="2"/>
      <c r="U565" s="2"/>
    </row>
    <row r="566" spans="1:21" ht="12.95" customHeight="1">
      <c r="A566" s="2"/>
      <c r="B566" s="2"/>
      <c r="C566" s="2"/>
      <c r="D566" s="54"/>
      <c r="E566" s="54"/>
      <c r="F566" s="54"/>
      <c r="G566" s="54"/>
      <c r="H566" s="54"/>
      <c r="I566" s="54"/>
      <c r="J566" s="54"/>
      <c r="K566" s="54"/>
      <c r="L566" s="54"/>
      <c r="M566" s="2"/>
      <c r="N566" s="54"/>
      <c r="P566" s="2"/>
      <c r="Q566" s="2"/>
      <c r="R566" s="2"/>
      <c r="S566" s="368"/>
      <c r="T566" s="2"/>
      <c r="U566" s="2"/>
    </row>
    <row r="567" spans="1:21" ht="12.95" customHeight="1">
      <c r="A567" s="2"/>
      <c r="B567" s="2"/>
      <c r="C567" s="2"/>
      <c r="D567" s="54"/>
      <c r="E567" s="54"/>
      <c r="F567" s="54"/>
      <c r="G567" s="54"/>
      <c r="H567" s="54"/>
      <c r="I567" s="54"/>
      <c r="J567" s="54"/>
      <c r="K567" s="54"/>
      <c r="L567" s="54"/>
      <c r="M567" s="2"/>
      <c r="N567" s="54"/>
      <c r="P567" s="2"/>
      <c r="Q567" s="2"/>
      <c r="R567" s="2"/>
      <c r="S567" s="368"/>
      <c r="T567" s="2"/>
      <c r="U567" s="2"/>
    </row>
    <row r="568" spans="1:21" ht="12.95" customHeight="1">
      <c r="A568" s="2"/>
      <c r="B568" s="2"/>
      <c r="C568" s="2"/>
      <c r="D568" s="54"/>
      <c r="E568" s="54"/>
      <c r="F568" s="54"/>
      <c r="G568" s="54"/>
      <c r="H568" s="54"/>
      <c r="I568" s="54"/>
      <c r="J568" s="54"/>
      <c r="K568" s="54"/>
      <c r="L568" s="54"/>
      <c r="M568" s="2"/>
      <c r="N568" s="54"/>
      <c r="P568" s="2"/>
      <c r="Q568" s="2"/>
      <c r="R568" s="2"/>
      <c r="S568" s="368"/>
      <c r="T568" s="2"/>
      <c r="U568" s="2"/>
    </row>
    <row r="569" spans="1:21" ht="12.95" customHeight="1">
      <c r="A569" s="2"/>
      <c r="B569" s="2"/>
      <c r="C569" s="2"/>
      <c r="D569" s="54"/>
      <c r="E569" s="54"/>
      <c r="F569" s="54"/>
      <c r="G569" s="54"/>
      <c r="H569" s="54"/>
      <c r="I569" s="54"/>
      <c r="J569" s="54"/>
      <c r="K569" s="54"/>
      <c r="L569" s="54"/>
      <c r="M569" s="2"/>
      <c r="N569" s="54"/>
      <c r="P569" s="2"/>
      <c r="Q569" s="2"/>
      <c r="R569" s="2"/>
      <c r="S569" s="368"/>
      <c r="T569" s="2"/>
      <c r="U569" s="2"/>
    </row>
    <row r="570" spans="1:21" ht="12.95" customHeight="1">
      <c r="A570" s="2"/>
      <c r="B570" s="2"/>
      <c r="C570" s="2"/>
      <c r="D570" s="54"/>
      <c r="E570" s="54"/>
      <c r="F570" s="54"/>
      <c r="G570" s="54"/>
      <c r="H570" s="54"/>
      <c r="I570" s="54"/>
      <c r="J570" s="54"/>
      <c r="K570" s="54"/>
      <c r="L570" s="54"/>
      <c r="M570" s="2"/>
      <c r="N570" s="54"/>
      <c r="P570" s="2"/>
      <c r="Q570" s="2"/>
      <c r="R570" s="2"/>
      <c r="S570" s="368"/>
      <c r="T570" s="2"/>
      <c r="U570" s="2"/>
    </row>
    <row r="571" spans="1:21" ht="12.95" customHeight="1">
      <c r="A571" s="2"/>
      <c r="B571" s="2"/>
      <c r="C571" s="2"/>
      <c r="D571" s="54"/>
      <c r="E571" s="54"/>
      <c r="F571" s="54"/>
      <c r="G571" s="54"/>
      <c r="H571" s="54"/>
      <c r="I571" s="54"/>
      <c r="J571" s="54"/>
      <c r="K571" s="54"/>
      <c r="L571" s="54"/>
      <c r="M571" s="2"/>
      <c r="N571" s="54"/>
      <c r="P571" s="2"/>
      <c r="Q571" s="2"/>
      <c r="R571" s="2"/>
      <c r="S571" s="368"/>
      <c r="T571" s="2"/>
      <c r="U571" s="2"/>
    </row>
    <row r="572" spans="1:21" ht="12.95" customHeight="1">
      <c r="A572" s="2"/>
      <c r="B572" s="2"/>
      <c r="C572" s="2"/>
      <c r="D572" s="54"/>
      <c r="E572" s="54"/>
      <c r="F572" s="54"/>
      <c r="G572" s="54"/>
      <c r="H572" s="54"/>
      <c r="I572" s="54"/>
      <c r="J572" s="54"/>
      <c r="K572" s="54"/>
      <c r="L572" s="54"/>
      <c r="M572" s="2"/>
      <c r="N572" s="54"/>
      <c r="P572" s="2"/>
      <c r="Q572" s="2"/>
      <c r="R572" s="2"/>
      <c r="S572" s="368"/>
      <c r="T572" s="2"/>
      <c r="U572" s="2"/>
    </row>
    <row r="573" spans="1:21" ht="12.95" customHeight="1">
      <c r="A573" s="2"/>
      <c r="B573" s="2"/>
      <c r="C573" s="2"/>
      <c r="D573" s="54"/>
      <c r="E573" s="54"/>
      <c r="F573" s="54"/>
      <c r="G573" s="54"/>
      <c r="H573" s="54"/>
      <c r="I573" s="54"/>
      <c r="J573" s="54"/>
      <c r="K573" s="54"/>
      <c r="L573" s="54"/>
      <c r="M573" s="2"/>
      <c r="N573" s="54"/>
      <c r="P573" s="2"/>
      <c r="Q573" s="2"/>
      <c r="R573" s="2"/>
      <c r="S573" s="368"/>
      <c r="T573" s="2"/>
      <c r="U573" s="2"/>
    </row>
    <row r="574" spans="1:21" ht="12.95" customHeight="1">
      <c r="A574" s="2"/>
      <c r="B574" s="2"/>
      <c r="C574" s="2"/>
      <c r="D574" s="54"/>
      <c r="E574" s="54"/>
      <c r="F574" s="54"/>
      <c r="G574" s="54"/>
      <c r="H574" s="54"/>
      <c r="I574" s="54"/>
      <c r="J574" s="54"/>
      <c r="K574" s="54"/>
      <c r="L574" s="54"/>
      <c r="M574" s="2"/>
      <c r="N574" s="54"/>
      <c r="P574" s="2"/>
      <c r="Q574" s="2"/>
      <c r="R574" s="2"/>
      <c r="S574" s="368"/>
      <c r="T574" s="2"/>
      <c r="U574" s="2"/>
    </row>
    <row r="575" spans="1:21" ht="12.95" customHeight="1">
      <c r="A575" s="2"/>
      <c r="B575" s="2"/>
      <c r="C575" s="2"/>
      <c r="D575" s="54"/>
      <c r="E575" s="54"/>
      <c r="F575" s="54"/>
      <c r="G575" s="54"/>
      <c r="H575" s="54"/>
      <c r="I575" s="54"/>
      <c r="J575" s="54"/>
      <c r="K575" s="54"/>
      <c r="L575" s="54"/>
      <c r="M575" s="2"/>
      <c r="N575" s="54"/>
      <c r="P575" s="2"/>
      <c r="Q575" s="2"/>
      <c r="R575" s="2"/>
      <c r="S575" s="368"/>
      <c r="T575" s="2"/>
      <c r="U575" s="2"/>
    </row>
    <row r="576" spans="1:21" ht="12.95" customHeight="1">
      <c r="A576" s="2"/>
      <c r="B576" s="2"/>
      <c r="C576" s="2"/>
      <c r="D576" s="54"/>
      <c r="E576" s="54"/>
      <c r="F576" s="54"/>
      <c r="G576" s="54"/>
      <c r="H576" s="54"/>
      <c r="I576" s="54"/>
      <c r="J576" s="54"/>
      <c r="K576" s="54"/>
      <c r="L576" s="54"/>
      <c r="M576" s="2"/>
      <c r="N576" s="54"/>
      <c r="P576" s="2"/>
      <c r="Q576" s="2"/>
      <c r="R576" s="2"/>
      <c r="S576" s="368"/>
      <c r="T576" s="2"/>
      <c r="U576" s="2"/>
    </row>
    <row r="577" spans="1:21" ht="12.95" customHeight="1">
      <c r="A577" s="2"/>
      <c r="B577" s="2"/>
      <c r="C577" s="2"/>
      <c r="D577" s="54"/>
      <c r="E577" s="54"/>
      <c r="F577" s="54"/>
      <c r="G577" s="54"/>
      <c r="H577" s="54"/>
      <c r="I577" s="54"/>
      <c r="J577" s="54"/>
      <c r="K577" s="54"/>
      <c r="L577" s="54"/>
      <c r="M577" s="2"/>
      <c r="N577" s="54"/>
      <c r="P577" s="2"/>
      <c r="Q577" s="2"/>
      <c r="R577" s="2"/>
      <c r="S577" s="368"/>
      <c r="T577" s="2"/>
      <c r="U577" s="2"/>
    </row>
    <row r="578" spans="1:21" ht="12.95" customHeight="1">
      <c r="A578" s="2"/>
      <c r="B578" s="2"/>
      <c r="C578" s="2"/>
      <c r="D578" s="54"/>
      <c r="E578" s="54"/>
      <c r="F578" s="54"/>
      <c r="G578" s="54"/>
      <c r="H578" s="54"/>
      <c r="I578" s="54"/>
      <c r="J578" s="54"/>
      <c r="K578" s="54"/>
      <c r="L578" s="54"/>
      <c r="M578" s="2"/>
      <c r="N578" s="54"/>
      <c r="P578" s="2"/>
      <c r="Q578" s="2"/>
      <c r="R578" s="2"/>
      <c r="S578" s="368"/>
      <c r="T578" s="2"/>
      <c r="U578" s="2"/>
    </row>
    <row r="579" spans="1:21" ht="12.95" customHeight="1">
      <c r="A579" s="2"/>
      <c r="B579" s="2"/>
      <c r="C579" s="2"/>
      <c r="D579" s="54"/>
      <c r="E579" s="54"/>
      <c r="F579" s="54"/>
      <c r="G579" s="54"/>
      <c r="H579" s="54"/>
      <c r="I579" s="54"/>
      <c r="J579" s="54"/>
      <c r="K579" s="54"/>
      <c r="L579" s="54"/>
      <c r="M579" s="2"/>
      <c r="N579" s="54"/>
      <c r="P579" s="2"/>
      <c r="Q579" s="2"/>
      <c r="R579" s="2"/>
      <c r="S579" s="368"/>
      <c r="T579" s="2"/>
      <c r="U579" s="2"/>
    </row>
    <row r="580" spans="1:21" ht="12.95" customHeight="1">
      <c r="A580" s="2"/>
      <c r="B580" s="2"/>
      <c r="C580" s="2"/>
      <c r="D580" s="54"/>
      <c r="E580" s="54"/>
      <c r="F580" s="54"/>
      <c r="G580" s="54"/>
      <c r="H580" s="54"/>
      <c r="I580" s="54"/>
      <c r="J580" s="54"/>
      <c r="K580" s="54"/>
      <c r="L580" s="54"/>
      <c r="M580" s="2"/>
      <c r="N580" s="54"/>
      <c r="P580" s="2"/>
      <c r="Q580" s="2"/>
      <c r="R580" s="2"/>
      <c r="S580" s="368"/>
      <c r="T580" s="2"/>
      <c r="U580" s="2"/>
    </row>
    <row r="581" spans="1:21" ht="12.95" customHeight="1">
      <c r="A581" s="2"/>
      <c r="B581" s="2"/>
      <c r="C581" s="2"/>
      <c r="D581" s="54"/>
      <c r="E581" s="54"/>
      <c r="F581" s="54"/>
      <c r="G581" s="54"/>
      <c r="H581" s="54"/>
      <c r="I581" s="54"/>
      <c r="J581" s="54"/>
      <c r="K581" s="54"/>
      <c r="L581" s="54"/>
      <c r="M581" s="2"/>
      <c r="N581" s="54"/>
      <c r="P581" s="2"/>
      <c r="Q581" s="2"/>
      <c r="R581" s="2"/>
      <c r="S581" s="368"/>
      <c r="T581" s="2"/>
      <c r="U581" s="2"/>
    </row>
    <row r="582" spans="1:21" ht="12.95" customHeight="1">
      <c r="A582" s="2"/>
      <c r="B582" s="2"/>
      <c r="C582" s="2"/>
      <c r="D582" s="54"/>
      <c r="E582" s="54"/>
      <c r="F582" s="54"/>
      <c r="G582" s="54"/>
      <c r="H582" s="54"/>
      <c r="I582" s="54"/>
      <c r="J582" s="54"/>
      <c r="K582" s="54"/>
      <c r="L582" s="54"/>
      <c r="M582" s="2"/>
      <c r="N582" s="54"/>
      <c r="P582" s="2"/>
      <c r="Q582" s="2"/>
      <c r="R582" s="2"/>
      <c r="S582" s="368"/>
      <c r="T582" s="2"/>
      <c r="U582" s="2"/>
    </row>
    <row r="583" spans="1:21" ht="12.95" customHeight="1">
      <c r="A583" s="2"/>
      <c r="B583" s="2"/>
      <c r="C583" s="2"/>
      <c r="D583" s="54"/>
      <c r="E583" s="54"/>
      <c r="F583" s="54"/>
      <c r="G583" s="54"/>
      <c r="H583" s="54"/>
      <c r="I583" s="54"/>
      <c r="J583" s="54"/>
      <c r="K583" s="54"/>
      <c r="L583" s="54"/>
      <c r="M583" s="2"/>
      <c r="N583" s="54"/>
      <c r="P583" s="2"/>
      <c r="Q583" s="2"/>
      <c r="R583" s="2"/>
      <c r="S583" s="368"/>
      <c r="T583" s="2"/>
      <c r="U583" s="2"/>
    </row>
    <row r="584" spans="1:21" ht="12.95" customHeight="1">
      <c r="A584" s="2"/>
      <c r="B584" s="2"/>
      <c r="C584" s="2"/>
      <c r="D584" s="54"/>
      <c r="E584" s="54"/>
      <c r="F584" s="54"/>
      <c r="G584" s="54"/>
      <c r="H584" s="54"/>
      <c r="I584" s="54"/>
      <c r="J584" s="54"/>
      <c r="K584" s="54"/>
      <c r="L584" s="54"/>
      <c r="M584" s="2"/>
      <c r="N584" s="54"/>
      <c r="P584" s="2"/>
      <c r="Q584" s="2"/>
      <c r="R584" s="2"/>
      <c r="S584" s="368"/>
      <c r="T584" s="2"/>
      <c r="U584" s="2"/>
    </row>
    <row r="585" spans="1:21" ht="12.95" customHeight="1">
      <c r="A585" s="2"/>
      <c r="B585" s="2"/>
      <c r="C585" s="2"/>
      <c r="D585" s="54"/>
      <c r="E585" s="54"/>
      <c r="F585" s="54"/>
      <c r="G585" s="54"/>
      <c r="H585" s="54"/>
      <c r="I585" s="54"/>
      <c r="J585" s="54"/>
      <c r="K585" s="54"/>
      <c r="L585" s="54"/>
      <c r="M585" s="2"/>
      <c r="N585" s="54"/>
      <c r="P585" s="2"/>
      <c r="Q585" s="2"/>
      <c r="R585" s="2"/>
      <c r="S585" s="368"/>
      <c r="T585" s="2"/>
      <c r="U585" s="2"/>
    </row>
    <row r="586" spans="1:21" ht="12.95" customHeight="1">
      <c r="A586" s="2"/>
      <c r="B586" s="2"/>
      <c r="C586" s="2"/>
      <c r="D586" s="54"/>
      <c r="E586" s="54"/>
      <c r="F586" s="54"/>
      <c r="G586" s="54"/>
      <c r="H586" s="54"/>
      <c r="I586" s="54"/>
      <c r="J586" s="54"/>
      <c r="K586" s="54"/>
      <c r="L586" s="54"/>
      <c r="M586" s="2"/>
      <c r="N586" s="54"/>
      <c r="P586" s="2"/>
      <c r="Q586" s="2"/>
      <c r="R586" s="2"/>
      <c r="S586" s="368"/>
      <c r="T586" s="2"/>
      <c r="U586" s="2"/>
    </row>
    <row r="587" spans="1:21" ht="12.95" customHeight="1">
      <c r="A587" s="2"/>
      <c r="B587" s="2"/>
      <c r="C587" s="2"/>
      <c r="D587" s="54"/>
      <c r="E587" s="54"/>
      <c r="F587" s="54"/>
      <c r="G587" s="54"/>
      <c r="H587" s="54"/>
      <c r="I587" s="54"/>
      <c r="J587" s="54"/>
      <c r="K587" s="54"/>
      <c r="L587" s="54"/>
      <c r="M587" s="2"/>
      <c r="N587" s="54"/>
      <c r="P587" s="2"/>
      <c r="Q587" s="2"/>
      <c r="R587" s="2"/>
      <c r="S587" s="368"/>
      <c r="T587" s="2"/>
      <c r="U587" s="2"/>
    </row>
    <row r="588" spans="1:21" ht="12.95" customHeight="1">
      <c r="A588" s="2"/>
      <c r="B588" s="2"/>
      <c r="C588" s="2"/>
      <c r="D588" s="54"/>
      <c r="E588" s="54"/>
      <c r="F588" s="54"/>
      <c r="G588" s="54"/>
      <c r="H588" s="54"/>
      <c r="I588" s="54"/>
      <c r="J588" s="54"/>
      <c r="K588" s="54"/>
      <c r="L588" s="54"/>
      <c r="M588" s="2"/>
      <c r="N588" s="54"/>
      <c r="P588" s="2"/>
      <c r="Q588" s="2"/>
      <c r="R588" s="2"/>
      <c r="S588" s="368"/>
      <c r="T588" s="2"/>
      <c r="U588" s="2"/>
    </row>
    <row r="589" spans="1:21" ht="12.95" customHeight="1">
      <c r="A589" s="2"/>
      <c r="B589" s="2"/>
      <c r="C589" s="2"/>
      <c r="D589" s="54"/>
      <c r="E589" s="54"/>
      <c r="F589" s="54"/>
      <c r="G589" s="54"/>
      <c r="H589" s="54"/>
      <c r="I589" s="54"/>
      <c r="J589" s="54"/>
      <c r="K589" s="54"/>
      <c r="L589" s="54"/>
      <c r="M589" s="2"/>
      <c r="N589" s="54"/>
      <c r="P589" s="2"/>
      <c r="Q589" s="2"/>
      <c r="R589" s="2"/>
      <c r="S589" s="368"/>
      <c r="T589" s="2"/>
      <c r="U589" s="2"/>
    </row>
    <row r="590" spans="1:21" ht="12.95" customHeight="1">
      <c r="A590" s="2"/>
      <c r="B590" s="2"/>
      <c r="C590" s="2"/>
      <c r="D590" s="54"/>
      <c r="E590" s="54"/>
      <c r="F590" s="54"/>
      <c r="G590" s="54"/>
      <c r="H590" s="54"/>
      <c r="I590" s="54"/>
      <c r="J590" s="54"/>
      <c r="K590" s="54"/>
      <c r="L590" s="54"/>
      <c r="M590" s="2"/>
      <c r="N590" s="54"/>
      <c r="P590" s="2"/>
      <c r="Q590" s="2"/>
      <c r="R590" s="2"/>
      <c r="S590" s="368"/>
      <c r="T590" s="2"/>
      <c r="U590" s="2"/>
    </row>
    <row r="591" spans="1:21" ht="12.95" customHeight="1">
      <c r="A591" s="2"/>
      <c r="B591" s="2"/>
      <c r="C591" s="2"/>
      <c r="D591" s="54"/>
      <c r="E591" s="54"/>
      <c r="F591" s="54"/>
      <c r="G591" s="54"/>
      <c r="H591" s="54"/>
      <c r="I591" s="54"/>
      <c r="J591" s="54"/>
      <c r="K591" s="54"/>
      <c r="L591" s="54"/>
      <c r="M591" s="2"/>
      <c r="N591" s="54"/>
      <c r="P591" s="2"/>
      <c r="Q591" s="2"/>
      <c r="R591" s="2"/>
      <c r="S591" s="368"/>
      <c r="T591" s="2"/>
      <c r="U591" s="2"/>
    </row>
    <row r="592" spans="1:21" ht="12.95" customHeight="1">
      <c r="A592" s="2"/>
      <c r="B592" s="2"/>
      <c r="C592" s="2"/>
      <c r="D592" s="54"/>
      <c r="E592" s="54"/>
      <c r="F592" s="54"/>
      <c r="G592" s="54"/>
      <c r="H592" s="54"/>
      <c r="I592" s="54"/>
      <c r="J592" s="54"/>
      <c r="K592" s="54"/>
      <c r="L592" s="54"/>
      <c r="M592" s="2"/>
      <c r="N592" s="54"/>
      <c r="P592" s="2"/>
      <c r="Q592" s="2"/>
      <c r="R592" s="2"/>
      <c r="S592" s="368"/>
      <c r="T592" s="2"/>
      <c r="U592" s="2"/>
    </row>
    <row r="593" spans="1:21" ht="12.95" customHeight="1">
      <c r="A593" s="2"/>
      <c r="B593" s="2"/>
      <c r="C593" s="2"/>
      <c r="D593" s="54"/>
      <c r="E593" s="54"/>
      <c r="F593" s="54"/>
      <c r="G593" s="54"/>
      <c r="H593" s="54"/>
      <c r="I593" s="54"/>
      <c r="J593" s="54"/>
      <c r="K593" s="54"/>
      <c r="L593" s="54"/>
      <c r="M593" s="2"/>
      <c r="N593" s="54"/>
      <c r="P593" s="2"/>
      <c r="Q593" s="2"/>
      <c r="R593" s="2"/>
      <c r="S593" s="368"/>
      <c r="T593" s="2"/>
      <c r="U593" s="2"/>
    </row>
    <row r="594" spans="1:21" ht="12.95" customHeight="1">
      <c r="A594" s="2"/>
      <c r="B594" s="2"/>
      <c r="C594" s="2"/>
      <c r="D594" s="54"/>
      <c r="E594" s="54"/>
      <c r="F594" s="54"/>
      <c r="G594" s="54"/>
      <c r="H594" s="54"/>
      <c r="I594" s="54"/>
      <c r="J594" s="54"/>
      <c r="K594" s="54"/>
      <c r="L594" s="54"/>
      <c r="M594" s="2"/>
      <c r="N594" s="54"/>
      <c r="P594" s="2"/>
      <c r="Q594" s="2"/>
      <c r="R594" s="2"/>
      <c r="S594" s="368"/>
      <c r="T594" s="2"/>
      <c r="U594" s="2"/>
    </row>
    <row r="595" spans="1:21" ht="12.95" customHeight="1">
      <c r="A595" s="2"/>
      <c r="B595" s="2"/>
      <c r="C595" s="2"/>
      <c r="D595" s="54"/>
      <c r="E595" s="54"/>
      <c r="F595" s="54"/>
      <c r="G595" s="54"/>
      <c r="H595" s="54"/>
      <c r="I595" s="54"/>
      <c r="J595" s="54"/>
      <c r="K595" s="54"/>
      <c r="L595" s="54"/>
      <c r="M595" s="2"/>
      <c r="N595" s="54"/>
      <c r="P595" s="2"/>
      <c r="Q595" s="2"/>
      <c r="R595" s="2"/>
      <c r="S595" s="368"/>
      <c r="T595" s="2"/>
      <c r="U595" s="2"/>
    </row>
    <row r="596" spans="1:21" ht="12.95" customHeight="1">
      <c r="A596" s="2"/>
      <c r="B596" s="2"/>
      <c r="C596" s="2"/>
      <c r="D596" s="54"/>
      <c r="E596" s="54"/>
      <c r="F596" s="54"/>
      <c r="G596" s="54"/>
      <c r="H596" s="54"/>
      <c r="I596" s="54"/>
      <c r="J596" s="54"/>
      <c r="K596" s="54"/>
      <c r="L596" s="54"/>
      <c r="M596" s="2"/>
      <c r="N596" s="54"/>
      <c r="P596" s="2"/>
      <c r="Q596" s="2"/>
      <c r="R596" s="2"/>
      <c r="S596" s="368"/>
      <c r="T596" s="2"/>
      <c r="U596" s="2"/>
    </row>
    <row r="597" spans="1:21" ht="12.95" customHeight="1">
      <c r="A597" s="2"/>
      <c r="B597" s="2"/>
      <c r="C597" s="2"/>
      <c r="D597" s="54"/>
      <c r="E597" s="54"/>
      <c r="F597" s="54"/>
      <c r="G597" s="54"/>
      <c r="H597" s="54"/>
      <c r="I597" s="54"/>
      <c r="J597" s="54"/>
      <c r="K597" s="54"/>
      <c r="L597" s="54"/>
      <c r="M597" s="2"/>
      <c r="N597" s="54"/>
      <c r="P597" s="2"/>
      <c r="Q597" s="2"/>
      <c r="R597" s="2"/>
      <c r="S597" s="368"/>
      <c r="T597" s="2"/>
      <c r="U597" s="2"/>
    </row>
    <row r="598" spans="1:21" ht="12.95" customHeight="1">
      <c r="A598" s="2"/>
      <c r="B598" s="2"/>
      <c r="C598" s="2"/>
      <c r="D598" s="54"/>
      <c r="E598" s="54"/>
      <c r="F598" s="54"/>
      <c r="G598" s="54"/>
      <c r="H598" s="54"/>
      <c r="I598" s="54"/>
      <c r="J598" s="54"/>
      <c r="K598" s="54"/>
      <c r="L598" s="54"/>
      <c r="M598" s="2"/>
      <c r="N598" s="54"/>
      <c r="P598" s="2"/>
      <c r="Q598" s="2"/>
      <c r="R598" s="2"/>
      <c r="S598" s="368"/>
      <c r="T598" s="2"/>
      <c r="U598" s="2"/>
    </row>
    <row r="599" spans="1:21" ht="12.95" customHeight="1">
      <c r="A599" s="2"/>
      <c r="B599" s="2"/>
      <c r="C599" s="2"/>
      <c r="D599" s="54"/>
      <c r="E599" s="54"/>
      <c r="F599" s="54"/>
      <c r="G599" s="54"/>
      <c r="H599" s="54"/>
      <c r="I599" s="54"/>
      <c r="J599" s="54"/>
      <c r="K599" s="54"/>
      <c r="L599" s="54"/>
      <c r="M599" s="2"/>
      <c r="N599" s="54"/>
      <c r="P599" s="2"/>
      <c r="Q599" s="2"/>
      <c r="R599" s="2"/>
      <c r="S599" s="368"/>
      <c r="T599" s="2"/>
      <c r="U599" s="2"/>
    </row>
    <row r="600" spans="1:21" ht="12.95" customHeight="1">
      <c r="A600" s="2"/>
      <c r="B600" s="2"/>
      <c r="C600" s="2"/>
      <c r="D600" s="54"/>
      <c r="E600" s="54"/>
      <c r="F600" s="54"/>
      <c r="G600" s="54"/>
      <c r="H600" s="54"/>
      <c r="I600" s="54"/>
      <c r="J600" s="54"/>
      <c r="K600" s="54"/>
      <c r="L600" s="54"/>
      <c r="M600" s="2"/>
      <c r="N600" s="54"/>
      <c r="P600" s="2"/>
      <c r="Q600" s="2"/>
      <c r="R600" s="2"/>
      <c r="S600" s="368"/>
      <c r="T600" s="2"/>
      <c r="U600" s="2"/>
    </row>
    <row r="601" spans="1:21" ht="12.95" customHeight="1">
      <c r="A601" s="2"/>
      <c r="B601" s="2"/>
      <c r="C601" s="2"/>
      <c r="D601" s="54"/>
      <c r="E601" s="54"/>
      <c r="F601" s="54"/>
      <c r="G601" s="54"/>
      <c r="H601" s="54"/>
      <c r="I601" s="54"/>
      <c r="J601" s="54"/>
      <c r="K601" s="54"/>
      <c r="L601" s="54"/>
      <c r="M601" s="2"/>
      <c r="N601" s="54"/>
      <c r="P601" s="2"/>
      <c r="Q601" s="2"/>
      <c r="R601" s="2"/>
      <c r="S601" s="368"/>
      <c r="T601" s="2"/>
      <c r="U601" s="2"/>
    </row>
    <row r="602" spans="1:21" ht="12.95" customHeight="1">
      <c r="A602" s="2"/>
      <c r="B602" s="2"/>
      <c r="C602" s="2"/>
      <c r="D602" s="54"/>
      <c r="E602" s="54"/>
      <c r="F602" s="54"/>
      <c r="G602" s="54"/>
      <c r="H602" s="54"/>
      <c r="I602" s="54"/>
      <c r="J602" s="54"/>
      <c r="K602" s="54"/>
      <c r="L602" s="54"/>
      <c r="M602" s="2"/>
      <c r="N602" s="54"/>
      <c r="P602" s="2"/>
      <c r="Q602" s="2"/>
      <c r="R602" s="2"/>
      <c r="S602" s="368"/>
      <c r="T602" s="2"/>
      <c r="U602" s="2"/>
    </row>
    <row r="603" spans="1:21" ht="12.95" customHeight="1">
      <c r="A603" s="2"/>
      <c r="B603" s="2"/>
      <c r="C603" s="2"/>
      <c r="D603" s="54"/>
      <c r="E603" s="54"/>
      <c r="F603" s="54"/>
      <c r="G603" s="54"/>
      <c r="H603" s="54"/>
      <c r="I603" s="54"/>
      <c r="J603" s="54"/>
      <c r="K603" s="54"/>
      <c r="L603" s="54"/>
      <c r="M603" s="2"/>
      <c r="N603" s="54"/>
      <c r="P603" s="2"/>
      <c r="Q603" s="2"/>
      <c r="R603" s="2"/>
      <c r="S603" s="368"/>
      <c r="T603" s="2"/>
      <c r="U603" s="2"/>
    </row>
    <row r="604" spans="1:21" ht="12.95" customHeight="1">
      <c r="A604" s="2"/>
      <c r="B604" s="2"/>
      <c r="C604" s="2"/>
      <c r="D604" s="54"/>
      <c r="E604" s="54"/>
      <c r="F604" s="54"/>
      <c r="G604" s="54"/>
      <c r="H604" s="54"/>
      <c r="I604" s="54"/>
      <c r="J604" s="54"/>
      <c r="K604" s="54"/>
      <c r="L604" s="54"/>
      <c r="M604" s="2"/>
      <c r="N604" s="54"/>
      <c r="P604" s="2"/>
      <c r="Q604" s="2"/>
      <c r="R604" s="2"/>
      <c r="S604" s="368"/>
      <c r="T604" s="2"/>
      <c r="U604" s="2"/>
    </row>
    <row r="605" spans="1:21" ht="12.95" customHeight="1">
      <c r="A605" s="2"/>
      <c r="B605" s="2"/>
      <c r="C605" s="2"/>
      <c r="D605" s="54"/>
      <c r="E605" s="54"/>
      <c r="F605" s="54"/>
      <c r="G605" s="54"/>
      <c r="H605" s="54"/>
      <c r="I605" s="54"/>
      <c r="J605" s="54"/>
      <c r="K605" s="54"/>
      <c r="L605" s="54"/>
      <c r="M605" s="2"/>
      <c r="N605" s="54"/>
      <c r="P605" s="2"/>
      <c r="Q605" s="2"/>
      <c r="R605" s="2"/>
      <c r="S605" s="368"/>
      <c r="T605" s="2"/>
      <c r="U605" s="2"/>
    </row>
    <row r="606" spans="1:21" ht="12.95" customHeight="1">
      <c r="A606" s="2"/>
      <c r="B606" s="2"/>
      <c r="C606" s="2"/>
      <c r="D606" s="54"/>
      <c r="E606" s="54"/>
      <c r="F606" s="54"/>
      <c r="G606" s="54"/>
      <c r="H606" s="54"/>
      <c r="I606" s="54"/>
      <c r="J606" s="54"/>
      <c r="K606" s="54"/>
      <c r="L606" s="54"/>
      <c r="M606" s="2"/>
      <c r="N606" s="54"/>
      <c r="P606" s="2"/>
      <c r="Q606" s="2"/>
      <c r="R606" s="2"/>
      <c r="S606" s="368"/>
      <c r="T606" s="2"/>
      <c r="U606" s="2"/>
    </row>
    <row r="607" spans="1:21" ht="12.95" customHeight="1">
      <c r="A607" s="2"/>
      <c r="B607" s="2"/>
      <c r="C607" s="2"/>
      <c r="D607" s="54"/>
      <c r="E607" s="54"/>
      <c r="F607" s="54"/>
      <c r="G607" s="54"/>
      <c r="H607" s="54"/>
      <c r="I607" s="54"/>
      <c r="J607" s="54"/>
      <c r="K607" s="54"/>
      <c r="L607" s="54"/>
      <c r="M607" s="2"/>
      <c r="N607" s="54"/>
      <c r="P607" s="2"/>
      <c r="Q607" s="2"/>
      <c r="R607" s="2"/>
      <c r="S607" s="368"/>
      <c r="T607" s="2"/>
      <c r="U607" s="2"/>
    </row>
    <row r="608" spans="1:21" ht="12.95" customHeight="1">
      <c r="A608" s="2"/>
      <c r="B608" s="2"/>
      <c r="C608" s="2"/>
      <c r="D608" s="54"/>
      <c r="E608" s="54"/>
      <c r="F608" s="54"/>
      <c r="G608" s="54"/>
      <c r="H608" s="54"/>
      <c r="I608" s="54"/>
      <c r="J608" s="54"/>
      <c r="K608" s="54"/>
      <c r="L608" s="54"/>
      <c r="M608" s="2"/>
      <c r="N608" s="54"/>
      <c r="P608" s="2"/>
      <c r="Q608" s="2"/>
      <c r="R608" s="2"/>
      <c r="S608" s="368"/>
      <c r="T608" s="2"/>
      <c r="U608" s="2"/>
    </row>
    <row r="609" spans="1:21" ht="12.95" customHeight="1">
      <c r="A609" s="2"/>
      <c r="B609" s="2"/>
      <c r="C609" s="2"/>
      <c r="D609" s="54"/>
      <c r="E609" s="54"/>
      <c r="F609" s="54"/>
      <c r="G609" s="54"/>
      <c r="H609" s="54"/>
      <c r="I609" s="54"/>
      <c r="J609" s="54"/>
      <c r="K609" s="54"/>
      <c r="L609" s="54"/>
      <c r="M609" s="2"/>
      <c r="N609" s="54"/>
      <c r="P609" s="2"/>
      <c r="Q609" s="2"/>
      <c r="R609" s="2"/>
      <c r="S609" s="368"/>
      <c r="T609" s="2"/>
      <c r="U609" s="2"/>
    </row>
    <row r="610" spans="1:21" ht="12.95" customHeight="1">
      <c r="A610" s="2"/>
      <c r="B610" s="2"/>
      <c r="C610" s="2"/>
      <c r="D610" s="54"/>
      <c r="E610" s="54"/>
      <c r="F610" s="54"/>
      <c r="G610" s="54"/>
      <c r="H610" s="54"/>
      <c r="I610" s="54"/>
      <c r="J610" s="54"/>
      <c r="K610" s="54"/>
      <c r="L610" s="54"/>
      <c r="M610" s="2"/>
      <c r="N610" s="54"/>
      <c r="P610" s="2"/>
      <c r="Q610" s="2"/>
      <c r="R610" s="2"/>
      <c r="S610" s="368"/>
      <c r="T610" s="2"/>
      <c r="U610" s="2"/>
    </row>
    <row r="611" spans="1:21" ht="12.95" customHeight="1">
      <c r="A611" s="2"/>
      <c r="B611" s="2"/>
      <c r="C611" s="2"/>
      <c r="D611" s="54"/>
      <c r="E611" s="54"/>
      <c r="F611" s="54"/>
      <c r="G611" s="54"/>
      <c r="H611" s="54"/>
      <c r="I611" s="54"/>
      <c r="J611" s="54"/>
      <c r="K611" s="54"/>
      <c r="L611" s="54"/>
      <c r="M611" s="2"/>
      <c r="N611" s="54"/>
      <c r="P611" s="2"/>
      <c r="Q611" s="2"/>
      <c r="R611" s="2"/>
      <c r="S611" s="368"/>
      <c r="T611" s="2"/>
      <c r="U611" s="2"/>
    </row>
    <row r="612" spans="1:21" ht="12.95" customHeight="1">
      <c r="A612" s="2"/>
      <c r="B612" s="2"/>
      <c r="C612" s="2"/>
      <c r="D612" s="54"/>
      <c r="E612" s="54"/>
      <c r="F612" s="54"/>
      <c r="G612" s="54"/>
      <c r="H612" s="54"/>
      <c r="I612" s="54"/>
      <c r="J612" s="54"/>
      <c r="K612" s="54"/>
      <c r="L612" s="54"/>
      <c r="M612" s="2"/>
      <c r="N612" s="54"/>
      <c r="P612" s="2"/>
      <c r="Q612" s="2"/>
      <c r="R612" s="2"/>
      <c r="S612" s="368"/>
      <c r="T612" s="2"/>
      <c r="U612" s="2"/>
    </row>
    <row r="613" spans="1:21" ht="12.95" customHeight="1">
      <c r="A613" s="2"/>
      <c r="B613" s="2"/>
      <c r="C613" s="2"/>
      <c r="D613" s="54"/>
      <c r="E613" s="54"/>
      <c r="F613" s="54"/>
      <c r="G613" s="54"/>
      <c r="H613" s="54"/>
      <c r="I613" s="54"/>
      <c r="J613" s="54"/>
      <c r="K613" s="54"/>
      <c r="L613" s="54"/>
      <c r="M613" s="2"/>
      <c r="N613" s="54"/>
      <c r="P613" s="2"/>
      <c r="Q613" s="2"/>
      <c r="R613" s="2"/>
      <c r="S613" s="368"/>
      <c r="T613" s="2"/>
      <c r="U613" s="2"/>
    </row>
    <row r="614" spans="1:21" ht="12.95" customHeight="1">
      <c r="A614" s="2"/>
      <c r="B614" s="2"/>
      <c r="C614" s="2"/>
      <c r="D614" s="54"/>
      <c r="E614" s="54"/>
      <c r="F614" s="54"/>
      <c r="G614" s="54"/>
      <c r="H614" s="54"/>
      <c r="I614" s="54"/>
      <c r="J614" s="54"/>
      <c r="K614" s="54"/>
      <c r="L614" s="54"/>
      <c r="M614" s="2"/>
      <c r="N614" s="54"/>
      <c r="P614" s="2"/>
      <c r="Q614" s="2"/>
      <c r="R614" s="2"/>
      <c r="S614" s="368"/>
      <c r="T614" s="2"/>
      <c r="U614" s="2"/>
    </row>
    <row r="615" spans="1:21" ht="12.95" customHeight="1">
      <c r="A615" s="2"/>
      <c r="B615" s="2"/>
      <c r="C615" s="2"/>
      <c r="D615" s="54"/>
      <c r="E615" s="54"/>
      <c r="F615" s="54"/>
      <c r="G615" s="54"/>
      <c r="H615" s="54"/>
      <c r="I615" s="54"/>
      <c r="J615" s="54"/>
      <c r="K615" s="54"/>
      <c r="L615" s="54"/>
      <c r="M615" s="2"/>
      <c r="N615" s="54"/>
      <c r="P615" s="2"/>
      <c r="Q615" s="2"/>
      <c r="R615" s="2"/>
      <c r="S615" s="368"/>
      <c r="T615" s="2"/>
      <c r="U615" s="2"/>
    </row>
    <row r="616" spans="1:21" ht="12.95" customHeight="1">
      <c r="A616" s="2"/>
      <c r="B616" s="2"/>
      <c r="C616" s="2"/>
      <c r="D616" s="54"/>
      <c r="E616" s="54"/>
      <c r="F616" s="54"/>
      <c r="G616" s="54"/>
      <c r="H616" s="54"/>
      <c r="I616" s="54"/>
      <c r="J616" s="54"/>
      <c r="K616" s="54"/>
      <c r="L616" s="54"/>
      <c r="M616" s="2"/>
      <c r="N616" s="54"/>
      <c r="P616" s="2"/>
      <c r="Q616" s="2"/>
      <c r="R616" s="2"/>
      <c r="S616" s="368"/>
      <c r="T616" s="2"/>
      <c r="U616" s="2"/>
    </row>
    <row r="617" spans="1:21" ht="12.95" customHeight="1">
      <c r="A617" s="2"/>
      <c r="B617" s="2"/>
      <c r="C617" s="2"/>
      <c r="D617" s="54"/>
      <c r="E617" s="54"/>
      <c r="F617" s="54"/>
      <c r="G617" s="54"/>
      <c r="H617" s="54"/>
      <c r="I617" s="54"/>
      <c r="J617" s="54"/>
      <c r="K617" s="54"/>
      <c r="L617" s="54"/>
      <c r="M617" s="2"/>
      <c r="N617" s="54"/>
      <c r="P617" s="2"/>
      <c r="Q617" s="2"/>
      <c r="R617" s="2"/>
      <c r="S617" s="368"/>
      <c r="T617" s="2"/>
      <c r="U617" s="2"/>
    </row>
    <row r="618" spans="1:21" ht="12.95" customHeight="1">
      <c r="A618" s="2"/>
      <c r="B618" s="2"/>
      <c r="C618" s="2"/>
      <c r="D618" s="54"/>
      <c r="E618" s="54"/>
      <c r="F618" s="54"/>
      <c r="G618" s="54"/>
      <c r="H618" s="54"/>
      <c r="I618" s="54"/>
      <c r="J618" s="54"/>
      <c r="K618" s="54"/>
      <c r="L618" s="54"/>
      <c r="M618" s="2"/>
      <c r="N618" s="54"/>
      <c r="P618" s="2"/>
      <c r="Q618" s="2"/>
      <c r="R618" s="2"/>
      <c r="S618" s="368"/>
      <c r="T618" s="2"/>
      <c r="U618" s="2"/>
    </row>
    <row r="619" spans="1:21" ht="12.95" customHeight="1">
      <c r="A619" s="2"/>
      <c r="B619" s="2"/>
      <c r="C619" s="2"/>
      <c r="D619" s="54"/>
      <c r="E619" s="54"/>
      <c r="F619" s="54"/>
      <c r="G619" s="54"/>
      <c r="H619" s="54"/>
      <c r="I619" s="54"/>
      <c r="J619" s="54"/>
      <c r="K619" s="54"/>
      <c r="L619" s="54"/>
      <c r="M619" s="2"/>
      <c r="N619" s="54"/>
      <c r="P619" s="2"/>
      <c r="Q619" s="2"/>
      <c r="R619" s="2"/>
      <c r="S619" s="368"/>
      <c r="T619" s="2"/>
      <c r="U619" s="2"/>
    </row>
    <row r="620" spans="1:21" ht="12.95" customHeight="1">
      <c r="A620" s="2"/>
      <c r="B620" s="2"/>
      <c r="C620" s="2"/>
      <c r="D620" s="54"/>
      <c r="E620" s="54"/>
      <c r="F620" s="54"/>
      <c r="G620" s="54"/>
      <c r="H620" s="54"/>
      <c r="I620" s="54"/>
      <c r="J620" s="54"/>
      <c r="K620" s="54"/>
      <c r="L620" s="54"/>
      <c r="M620" s="2"/>
      <c r="N620" s="54"/>
      <c r="P620" s="2"/>
      <c r="Q620" s="2"/>
      <c r="R620" s="2"/>
      <c r="S620" s="368"/>
      <c r="T620" s="2"/>
      <c r="U620" s="2"/>
    </row>
    <row r="621" spans="1:21" ht="12.95" customHeight="1">
      <c r="A621" s="2"/>
      <c r="B621" s="2"/>
      <c r="C621" s="2"/>
      <c r="D621" s="54"/>
      <c r="E621" s="54"/>
      <c r="F621" s="54"/>
      <c r="G621" s="54"/>
      <c r="H621" s="54"/>
      <c r="I621" s="54"/>
      <c r="J621" s="54"/>
      <c r="K621" s="54"/>
      <c r="L621" s="54"/>
      <c r="M621" s="2"/>
      <c r="N621" s="54"/>
      <c r="P621" s="2"/>
      <c r="Q621" s="2"/>
      <c r="R621" s="2"/>
      <c r="S621" s="368"/>
      <c r="T621" s="2"/>
      <c r="U621" s="2"/>
    </row>
    <row r="622" spans="1:21" ht="12.95" customHeight="1">
      <c r="A622" s="2"/>
      <c r="B622" s="2"/>
      <c r="C622" s="2"/>
      <c r="D622" s="54"/>
      <c r="E622" s="54"/>
      <c r="F622" s="54"/>
      <c r="G622" s="54"/>
      <c r="H622" s="54"/>
      <c r="I622" s="54"/>
      <c r="J622" s="54"/>
      <c r="K622" s="54"/>
      <c r="L622" s="54"/>
      <c r="M622" s="2"/>
      <c r="N622" s="54"/>
      <c r="P622" s="2"/>
      <c r="Q622" s="2"/>
      <c r="R622" s="2"/>
      <c r="S622" s="368"/>
      <c r="T622" s="2"/>
      <c r="U622" s="2"/>
    </row>
    <row r="623" spans="1:21" ht="12.95" customHeight="1">
      <c r="A623" s="2"/>
      <c r="B623" s="2"/>
      <c r="C623" s="2"/>
      <c r="D623" s="54"/>
      <c r="E623" s="54"/>
      <c r="F623" s="54"/>
      <c r="G623" s="54"/>
      <c r="H623" s="54"/>
      <c r="I623" s="54"/>
      <c r="J623" s="54"/>
      <c r="K623" s="54"/>
      <c r="L623" s="54"/>
      <c r="M623" s="2"/>
      <c r="N623" s="54"/>
      <c r="P623" s="2"/>
      <c r="Q623" s="2"/>
      <c r="R623" s="2"/>
      <c r="S623" s="368"/>
      <c r="T623" s="2"/>
      <c r="U623" s="2"/>
    </row>
    <row r="624" spans="1:21" ht="12.95" customHeight="1">
      <c r="A624" s="2"/>
      <c r="B624" s="2"/>
      <c r="C624" s="2"/>
      <c r="D624" s="54"/>
      <c r="E624" s="54"/>
      <c r="F624" s="54"/>
      <c r="G624" s="54"/>
      <c r="H624" s="54"/>
      <c r="I624" s="54"/>
      <c r="J624" s="54"/>
      <c r="K624" s="54"/>
      <c r="L624" s="54"/>
      <c r="M624" s="2"/>
      <c r="N624" s="54"/>
      <c r="P624" s="2"/>
      <c r="Q624" s="2"/>
      <c r="R624" s="2"/>
      <c r="S624" s="368"/>
      <c r="T624" s="2"/>
      <c r="U624" s="2"/>
    </row>
    <row r="625" spans="1:21" ht="12.95" customHeight="1">
      <c r="A625" s="2"/>
      <c r="B625" s="2"/>
      <c r="C625" s="2"/>
      <c r="D625" s="54"/>
      <c r="E625" s="54"/>
      <c r="F625" s="54"/>
      <c r="G625" s="54"/>
      <c r="H625" s="54"/>
      <c r="I625" s="54"/>
      <c r="J625" s="54"/>
      <c r="K625" s="54"/>
      <c r="L625" s="54"/>
      <c r="M625" s="2"/>
      <c r="N625" s="54"/>
      <c r="P625" s="2"/>
      <c r="Q625" s="2"/>
      <c r="R625" s="2"/>
      <c r="S625" s="368"/>
      <c r="T625" s="2"/>
      <c r="U625" s="2"/>
    </row>
    <row r="626" spans="1:21" ht="12.95" customHeight="1">
      <c r="A626" s="2"/>
      <c r="B626" s="2"/>
      <c r="C626" s="2"/>
      <c r="D626" s="54"/>
      <c r="E626" s="54"/>
      <c r="F626" s="54"/>
      <c r="G626" s="54"/>
      <c r="H626" s="54"/>
      <c r="I626" s="54"/>
      <c r="J626" s="54"/>
      <c r="K626" s="54"/>
      <c r="L626" s="54"/>
      <c r="M626" s="2"/>
      <c r="N626" s="54"/>
      <c r="P626" s="2"/>
      <c r="Q626" s="2"/>
      <c r="R626" s="2"/>
      <c r="S626" s="368"/>
      <c r="T626" s="2"/>
      <c r="U626" s="2"/>
    </row>
    <row r="627" spans="1:21" ht="12.95" customHeight="1">
      <c r="A627" s="2"/>
      <c r="B627" s="2"/>
      <c r="C627" s="2"/>
      <c r="D627" s="54"/>
      <c r="E627" s="54"/>
      <c r="F627" s="54"/>
      <c r="G627" s="54"/>
      <c r="H627" s="54"/>
      <c r="I627" s="54"/>
      <c r="J627" s="54"/>
      <c r="K627" s="54"/>
      <c r="L627" s="54"/>
      <c r="M627" s="2"/>
      <c r="N627" s="54"/>
      <c r="P627" s="2"/>
      <c r="Q627" s="2"/>
      <c r="R627" s="2"/>
      <c r="S627" s="368"/>
      <c r="T627" s="2"/>
      <c r="U627" s="2"/>
    </row>
    <row r="628" spans="1:21" ht="12.95" customHeight="1">
      <c r="A628" s="2"/>
      <c r="B628" s="2"/>
      <c r="C628" s="2"/>
      <c r="D628" s="54"/>
      <c r="E628" s="54"/>
      <c r="F628" s="54"/>
      <c r="G628" s="54"/>
      <c r="H628" s="54"/>
      <c r="I628" s="54"/>
      <c r="J628" s="54"/>
      <c r="K628" s="54"/>
      <c r="L628" s="54"/>
      <c r="M628" s="2"/>
      <c r="N628" s="54"/>
      <c r="P628" s="2"/>
      <c r="Q628" s="2"/>
      <c r="R628" s="2"/>
      <c r="S628" s="368"/>
      <c r="T628" s="2"/>
      <c r="U628" s="2"/>
    </row>
    <row r="629" spans="1:21" ht="12.95" customHeight="1">
      <c r="A629" s="2"/>
      <c r="B629" s="2"/>
      <c r="C629" s="2"/>
      <c r="D629" s="54"/>
      <c r="E629" s="54"/>
      <c r="F629" s="54"/>
      <c r="G629" s="54"/>
      <c r="H629" s="54"/>
      <c r="I629" s="54"/>
      <c r="J629" s="54"/>
      <c r="K629" s="54"/>
      <c r="L629" s="54"/>
      <c r="M629" s="2"/>
      <c r="N629" s="54"/>
      <c r="P629" s="2"/>
      <c r="Q629" s="2"/>
      <c r="R629" s="2"/>
      <c r="S629" s="368"/>
      <c r="T629" s="2"/>
      <c r="U629" s="2"/>
    </row>
    <row r="630" spans="1:21" ht="12.95" customHeight="1">
      <c r="A630" s="2"/>
      <c r="B630" s="2"/>
      <c r="C630" s="2"/>
      <c r="D630" s="54"/>
      <c r="E630" s="54"/>
      <c r="F630" s="54"/>
      <c r="G630" s="54"/>
      <c r="H630" s="54"/>
      <c r="I630" s="54"/>
      <c r="J630" s="54"/>
      <c r="K630" s="54"/>
      <c r="L630" s="54"/>
      <c r="M630" s="2"/>
      <c r="N630" s="54"/>
      <c r="P630" s="2"/>
      <c r="Q630" s="2"/>
      <c r="R630" s="2"/>
      <c r="S630" s="368"/>
      <c r="T630" s="2"/>
      <c r="U630" s="2"/>
    </row>
    <row r="631" spans="1:21" ht="12.95" customHeight="1">
      <c r="A631" s="2"/>
      <c r="B631" s="2"/>
      <c r="C631" s="2"/>
      <c r="D631" s="54"/>
      <c r="E631" s="54"/>
      <c r="F631" s="54"/>
      <c r="G631" s="54"/>
      <c r="H631" s="54"/>
      <c r="I631" s="54"/>
      <c r="J631" s="54"/>
      <c r="K631" s="54"/>
      <c r="L631" s="54"/>
      <c r="M631" s="2"/>
      <c r="N631" s="54"/>
      <c r="P631" s="2"/>
      <c r="Q631" s="2"/>
      <c r="R631" s="2"/>
      <c r="S631" s="368"/>
      <c r="T631" s="2"/>
      <c r="U631" s="2"/>
    </row>
    <row r="632" spans="1:21" ht="12.95" customHeight="1">
      <c r="A632" s="2"/>
      <c r="B632" s="2"/>
      <c r="C632" s="2"/>
      <c r="D632" s="54"/>
      <c r="E632" s="54"/>
      <c r="F632" s="54"/>
      <c r="G632" s="54"/>
      <c r="H632" s="54"/>
      <c r="I632" s="54"/>
      <c r="J632" s="54"/>
      <c r="K632" s="54"/>
      <c r="L632" s="54"/>
      <c r="M632" s="2"/>
      <c r="N632" s="54"/>
      <c r="P632" s="2"/>
      <c r="Q632" s="2"/>
      <c r="R632" s="2"/>
      <c r="S632" s="368"/>
      <c r="T632" s="2"/>
      <c r="U632" s="2"/>
    </row>
    <row r="633" spans="1:21" ht="12.95" customHeight="1">
      <c r="A633" s="2"/>
      <c r="B633" s="2"/>
      <c r="C633" s="2"/>
      <c r="D633" s="54"/>
      <c r="E633" s="54"/>
      <c r="F633" s="54"/>
      <c r="G633" s="54"/>
      <c r="H633" s="54"/>
      <c r="I633" s="54"/>
      <c r="J633" s="54"/>
      <c r="K633" s="54"/>
      <c r="L633" s="54"/>
      <c r="M633" s="2"/>
      <c r="N633" s="54"/>
      <c r="P633" s="2"/>
      <c r="Q633" s="2"/>
      <c r="R633" s="2"/>
      <c r="S633" s="368"/>
      <c r="T633" s="2"/>
      <c r="U633" s="2"/>
    </row>
    <row r="634" spans="1:21" ht="12.95" customHeight="1">
      <c r="A634" s="2"/>
      <c r="B634" s="2"/>
      <c r="C634" s="2"/>
      <c r="D634" s="54"/>
      <c r="E634" s="54"/>
      <c r="F634" s="54"/>
      <c r="G634" s="54"/>
      <c r="H634" s="54"/>
      <c r="I634" s="54"/>
      <c r="J634" s="54"/>
      <c r="K634" s="54"/>
      <c r="L634" s="54"/>
      <c r="M634" s="2"/>
      <c r="N634" s="54"/>
      <c r="P634" s="2"/>
      <c r="Q634" s="2"/>
      <c r="R634" s="2"/>
      <c r="S634" s="368"/>
      <c r="T634" s="2"/>
      <c r="U634" s="2"/>
    </row>
    <row r="635" spans="1:21" ht="12.95" customHeight="1">
      <c r="A635" s="2"/>
      <c r="B635" s="2"/>
      <c r="C635" s="2"/>
      <c r="D635" s="54"/>
      <c r="E635" s="54"/>
      <c r="F635" s="54"/>
      <c r="G635" s="54"/>
      <c r="H635" s="54"/>
      <c r="I635" s="54"/>
      <c r="J635" s="54"/>
      <c r="K635" s="54"/>
      <c r="L635" s="54"/>
      <c r="M635" s="2"/>
      <c r="N635" s="54"/>
      <c r="P635" s="2"/>
      <c r="Q635" s="2"/>
      <c r="R635" s="2"/>
      <c r="S635" s="368"/>
      <c r="T635" s="2"/>
      <c r="U635" s="2"/>
    </row>
    <row r="636" spans="1:21" ht="12.95" customHeight="1">
      <c r="A636" s="2"/>
      <c r="B636" s="2"/>
      <c r="C636" s="2"/>
      <c r="D636" s="54"/>
      <c r="E636" s="54"/>
      <c r="F636" s="54"/>
      <c r="G636" s="54"/>
      <c r="H636" s="54"/>
      <c r="I636" s="54"/>
      <c r="J636" s="54"/>
      <c r="K636" s="54"/>
      <c r="L636" s="54"/>
      <c r="M636" s="2"/>
      <c r="N636" s="54"/>
      <c r="P636" s="2"/>
      <c r="Q636" s="2"/>
      <c r="R636" s="2"/>
      <c r="S636" s="368"/>
      <c r="T636" s="2"/>
      <c r="U636" s="2"/>
    </row>
    <row r="637" spans="1:21" ht="12.95" customHeight="1">
      <c r="A637" s="2"/>
      <c r="B637" s="2"/>
      <c r="C637" s="2"/>
      <c r="D637" s="54"/>
      <c r="E637" s="54"/>
      <c r="F637" s="54"/>
      <c r="G637" s="54"/>
      <c r="H637" s="54"/>
      <c r="I637" s="54"/>
      <c r="J637" s="54"/>
      <c r="K637" s="54"/>
      <c r="L637" s="54"/>
      <c r="M637" s="2"/>
      <c r="N637" s="54"/>
      <c r="P637" s="2"/>
      <c r="Q637" s="2"/>
      <c r="R637" s="2"/>
      <c r="S637" s="368"/>
      <c r="T637" s="2"/>
      <c r="U637" s="2"/>
    </row>
    <row r="638" spans="1:21" ht="12.95" customHeight="1">
      <c r="A638" s="2"/>
      <c r="B638" s="2"/>
      <c r="C638" s="2"/>
      <c r="D638" s="54"/>
      <c r="E638" s="54"/>
      <c r="F638" s="54"/>
      <c r="G638" s="54"/>
      <c r="H638" s="54"/>
      <c r="I638" s="54"/>
      <c r="J638" s="54"/>
      <c r="K638" s="54"/>
      <c r="L638" s="54"/>
      <c r="M638" s="2"/>
      <c r="N638" s="54"/>
      <c r="P638" s="2"/>
      <c r="Q638" s="2"/>
      <c r="R638" s="2"/>
      <c r="S638" s="368"/>
      <c r="T638" s="2"/>
      <c r="U638" s="2"/>
    </row>
    <row r="639" spans="1:21" ht="12.95" customHeight="1">
      <c r="A639" s="2"/>
      <c r="B639" s="2"/>
      <c r="C639" s="2"/>
      <c r="D639" s="54"/>
      <c r="E639" s="54"/>
      <c r="F639" s="54"/>
      <c r="G639" s="54"/>
      <c r="H639" s="54"/>
      <c r="I639" s="54"/>
      <c r="J639" s="54"/>
      <c r="K639" s="54"/>
      <c r="L639" s="54"/>
      <c r="M639" s="2"/>
      <c r="N639" s="54"/>
      <c r="P639" s="2"/>
      <c r="Q639" s="2"/>
      <c r="R639" s="2"/>
      <c r="S639" s="368"/>
      <c r="T639" s="2"/>
      <c r="U639" s="2"/>
    </row>
    <row r="640" spans="1:21" ht="12.95" customHeight="1">
      <c r="A640" s="2"/>
      <c r="B640" s="2"/>
      <c r="C640" s="2"/>
      <c r="D640" s="54"/>
      <c r="E640" s="54"/>
      <c r="F640" s="54"/>
      <c r="G640" s="54"/>
      <c r="H640" s="54"/>
      <c r="I640" s="54"/>
      <c r="J640" s="54"/>
      <c r="K640" s="54"/>
      <c r="L640" s="54"/>
      <c r="M640" s="2"/>
      <c r="N640" s="54"/>
      <c r="P640" s="2"/>
      <c r="Q640" s="2"/>
      <c r="R640" s="2"/>
      <c r="S640" s="368"/>
      <c r="T640" s="2"/>
      <c r="U640" s="2"/>
    </row>
    <row r="641" spans="1:21" ht="12.95" customHeight="1">
      <c r="A641" s="2"/>
      <c r="B641" s="2"/>
      <c r="C641" s="2"/>
      <c r="D641" s="54"/>
      <c r="E641" s="54"/>
      <c r="F641" s="54"/>
      <c r="G641" s="54"/>
      <c r="H641" s="54"/>
      <c r="I641" s="54"/>
      <c r="J641" s="54"/>
      <c r="K641" s="54"/>
      <c r="L641" s="54"/>
      <c r="M641" s="2"/>
      <c r="N641" s="54"/>
      <c r="P641" s="2"/>
      <c r="Q641" s="2"/>
      <c r="R641" s="2"/>
      <c r="S641" s="368"/>
      <c r="T641" s="2"/>
      <c r="U641" s="2"/>
    </row>
    <row r="642" spans="1:21" ht="12.95" customHeight="1">
      <c r="A642" s="2"/>
      <c r="B642" s="2"/>
      <c r="C642" s="2"/>
      <c r="D642" s="54"/>
      <c r="E642" s="54"/>
      <c r="F642" s="54"/>
      <c r="G642" s="54"/>
      <c r="H642" s="54"/>
      <c r="I642" s="54"/>
      <c r="J642" s="54"/>
      <c r="K642" s="54"/>
      <c r="L642" s="54"/>
      <c r="M642" s="2"/>
      <c r="N642" s="54"/>
      <c r="P642" s="2"/>
      <c r="Q642" s="2"/>
      <c r="R642" s="2"/>
      <c r="S642" s="368"/>
      <c r="T642" s="2"/>
      <c r="U642" s="2"/>
    </row>
    <row r="643" spans="1:21" ht="12.95" customHeight="1">
      <c r="A643" s="2"/>
      <c r="B643" s="2"/>
      <c r="C643" s="2"/>
      <c r="D643" s="54"/>
      <c r="E643" s="54"/>
      <c r="F643" s="54"/>
      <c r="G643" s="54"/>
      <c r="H643" s="54"/>
      <c r="I643" s="54"/>
      <c r="J643" s="54"/>
      <c r="K643" s="54"/>
      <c r="L643" s="54"/>
      <c r="M643" s="2"/>
      <c r="N643" s="54"/>
      <c r="P643" s="2"/>
      <c r="Q643" s="2"/>
      <c r="R643" s="2"/>
      <c r="S643" s="368"/>
      <c r="T643" s="2"/>
      <c r="U643" s="2"/>
    </row>
    <row r="644" spans="1:21" ht="12.95" customHeight="1">
      <c r="A644" s="2"/>
      <c r="B644" s="2"/>
      <c r="C644" s="2"/>
      <c r="D644" s="54"/>
      <c r="E644" s="54"/>
      <c r="F644" s="54"/>
      <c r="G644" s="54"/>
      <c r="H644" s="54"/>
      <c r="I644" s="54"/>
      <c r="J644" s="54"/>
      <c r="K644" s="54"/>
      <c r="L644" s="54"/>
      <c r="M644" s="2"/>
      <c r="N644" s="54"/>
      <c r="P644" s="2"/>
      <c r="Q644" s="2"/>
      <c r="R644" s="2"/>
      <c r="S644" s="368"/>
      <c r="T644" s="2"/>
      <c r="U644" s="2"/>
    </row>
    <row r="645" spans="1:21" ht="12.95" customHeight="1">
      <c r="A645" s="2"/>
      <c r="B645" s="2"/>
      <c r="C645" s="2"/>
      <c r="D645" s="54"/>
      <c r="E645" s="54"/>
      <c r="F645" s="54"/>
      <c r="G645" s="54"/>
      <c r="H645" s="54"/>
      <c r="I645" s="54"/>
      <c r="J645" s="54"/>
      <c r="K645" s="54"/>
      <c r="L645" s="54"/>
      <c r="M645" s="2"/>
      <c r="N645" s="54"/>
      <c r="P645" s="2"/>
      <c r="Q645" s="2"/>
      <c r="R645" s="2"/>
      <c r="S645" s="368"/>
      <c r="T645" s="2"/>
      <c r="U645" s="2"/>
    </row>
    <row r="646" spans="1:21" ht="12.95" customHeight="1">
      <c r="A646" s="2"/>
      <c r="B646" s="2"/>
      <c r="C646" s="2"/>
      <c r="D646" s="54"/>
      <c r="E646" s="54"/>
      <c r="F646" s="54"/>
      <c r="G646" s="54"/>
      <c r="H646" s="54"/>
      <c r="I646" s="54"/>
      <c r="J646" s="54"/>
      <c r="K646" s="54"/>
      <c r="L646" s="54"/>
      <c r="M646" s="2"/>
      <c r="N646" s="54"/>
      <c r="P646" s="2"/>
      <c r="Q646" s="2"/>
      <c r="R646" s="2"/>
      <c r="S646" s="368"/>
      <c r="T646" s="2"/>
      <c r="U646" s="2"/>
    </row>
    <row r="647" spans="1:21" ht="12.95" customHeight="1">
      <c r="A647" s="2"/>
      <c r="B647" s="2"/>
      <c r="C647" s="2"/>
      <c r="D647" s="54"/>
      <c r="E647" s="54"/>
      <c r="F647" s="54"/>
      <c r="G647" s="54"/>
      <c r="H647" s="54"/>
      <c r="I647" s="54"/>
      <c r="J647" s="54"/>
      <c r="K647" s="54"/>
      <c r="L647" s="54"/>
      <c r="M647" s="2"/>
      <c r="N647" s="54"/>
      <c r="P647" s="2"/>
      <c r="Q647" s="2"/>
      <c r="R647" s="2"/>
      <c r="S647" s="368"/>
      <c r="T647" s="2"/>
      <c r="U647" s="2"/>
    </row>
    <row r="648" spans="1:21" ht="12.95" customHeight="1">
      <c r="A648" s="2"/>
      <c r="B648" s="2"/>
      <c r="C648" s="2"/>
      <c r="D648" s="54"/>
      <c r="E648" s="54"/>
      <c r="F648" s="54"/>
      <c r="G648" s="54"/>
      <c r="H648" s="54"/>
      <c r="I648" s="54"/>
      <c r="J648" s="54"/>
      <c r="K648" s="54"/>
      <c r="L648" s="54"/>
      <c r="M648" s="2"/>
      <c r="N648" s="54"/>
      <c r="P648" s="2"/>
      <c r="Q648" s="2"/>
      <c r="R648" s="2"/>
      <c r="S648" s="368"/>
      <c r="T648" s="2"/>
      <c r="U648" s="2"/>
    </row>
    <row r="649" spans="1:21" ht="12.95" customHeight="1">
      <c r="A649" s="2"/>
      <c r="B649" s="2"/>
      <c r="C649" s="2"/>
      <c r="D649" s="54"/>
      <c r="E649" s="54"/>
      <c r="F649" s="54"/>
      <c r="G649" s="54"/>
      <c r="H649" s="54"/>
      <c r="I649" s="54"/>
      <c r="J649" s="54"/>
      <c r="K649" s="54"/>
      <c r="L649" s="54"/>
      <c r="M649" s="2"/>
      <c r="N649" s="54"/>
      <c r="P649" s="2"/>
      <c r="Q649" s="2"/>
      <c r="R649" s="2"/>
      <c r="S649" s="368"/>
      <c r="T649" s="2"/>
      <c r="U649" s="2"/>
    </row>
    <row r="650" spans="1:21" ht="12.95" customHeight="1">
      <c r="A650" s="2"/>
      <c r="B650" s="2"/>
      <c r="C650" s="2"/>
      <c r="D650" s="54"/>
      <c r="E650" s="54"/>
      <c r="F650" s="54"/>
      <c r="G650" s="54"/>
      <c r="H650" s="54"/>
      <c r="I650" s="54"/>
      <c r="J650" s="54"/>
      <c r="K650" s="54"/>
      <c r="L650" s="54"/>
      <c r="M650" s="2"/>
      <c r="N650" s="54"/>
      <c r="P650" s="2"/>
      <c r="Q650" s="2"/>
      <c r="R650" s="2"/>
      <c r="S650" s="368"/>
      <c r="T650" s="2"/>
      <c r="U650" s="2"/>
    </row>
    <row r="651" spans="1:21" ht="12.95" customHeight="1">
      <c r="A651" s="2"/>
      <c r="B651" s="2"/>
      <c r="C651" s="2"/>
      <c r="D651" s="54"/>
      <c r="E651" s="54"/>
      <c r="F651" s="54"/>
      <c r="G651" s="54"/>
      <c r="H651" s="54"/>
      <c r="I651" s="54"/>
      <c r="J651" s="54"/>
      <c r="K651" s="54"/>
      <c r="L651" s="54"/>
      <c r="M651" s="2"/>
      <c r="N651" s="54"/>
      <c r="P651" s="2"/>
      <c r="Q651" s="2"/>
      <c r="R651" s="2"/>
      <c r="S651" s="368"/>
      <c r="T651" s="2"/>
      <c r="U651" s="2"/>
    </row>
    <row r="652" spans="1:21" ht="12.95" customHeight="1">
      <c r="A652" s="2"/>
      <c r="B652" s="2"/>
      <c r="C652" s="2"/>
      <c r="D652" s="54"/>
      <c r="E652" s="54"/>
      <c r="F652" s="54"/>
      <c r="G652" s="54"/>
      <c r="H652" s="54"/>
      <c r="I652" s="54"/>
      <c r="J652" s="54"/>
      <c r="K652" s="54"/>
      <c r="L652" s="54"/>
      <c r="M652" s="2"/>
      <c r="N652" s="54"/>
      <c r="P652" s="2"/>
      <c r="Q652" s="2"/>
      <c r="R652" s="2"/>
      <c r="S652" s="368"/>
      <c r="T652" s="2"/>
      <c r="U652" s="2"/>
    </row>
    <row r="653" spans="1:21" ht="12.95" customHeight="1">
      <c r="A653" s="2"/>
      <c r="B653" s="2"/>
      <c r="C653" s="2"/>
      <c r="D653" s="54"/>
      <c r="E653" s="54"/>
      <c r="F653" s="54"/>
      <c r="G653" s="54"/>
      <c r="H653" s="54"/>
      <c r="I653" s="54"/>
      <c r="J653" s="54"/>
      <c r="K653" s="54"/>
      <c r="L653" s="54"/>
      <c r="M653" s="2"/>
      <c r="N653" s="54"/>
      <c r="P653" s="2"/>
      <c r="Q653" s="2"/>
      <c r="R653" s="2"/>
      <c r="S653" s="368"/>
      <c r="T653" s="2"/>
      <c r="U653" s="2"/>
    </row>
    <row r="654" spans="1:21" ht="12.95" customHeight="1">
      <c r="A654" s="2"/>
      <c r="B654" s="2"/>
      <c r="C654" s="2"/>
      <c r="D654" s="54"/>
      <c r="E654" s="54"/>
      <c r="F654" s="54"/>
      <c r="G654" s="54"/>
      <c r="H654" s="54"/>
      <c r="I654" s="54"/>
      <c r="J654" s="54"/>
      <c r="K654" s="54"/>
      <c r="L654" s="54"/>
      <c r="M654" s="2"/>
      <c r="N654" s="54"/>
      <c r="P654" s="2"/>
      <c r="Q654" s="2"/>
      <c r="R654" s="2"/>
      <c r="S654" s="368"/>
      <c r="T654" s="2"/>
      <c r="U654" s="2"/>
    </row>
    <row r="655" spans="1:21" ht="12.95" customHeight="1">
      <c r="A655" s="2"/>
      <c r="B655" s="2"/>
      <c r="C655" s="2"/>
      <c r="D655" s="54"/>
      <c r="E655" s="54"/>
      <c r="F655" s="54"/>
      <c r="G655" s="54"/>
      <c r="H655" s="54"/>
      <c r="I655" s="54"/>
      <c r="J655" s="54"/>
      <c r="K655" s="54"/>
      <c r="L655" s="54"/>
      <c r="M655" s="2"/>
      <c r="N655" s="54"/>
      <c r="P655" s="2"/>
      <c r="Q655" s="2"/>
      <c r="R655" s="2"/>
      <c r="S655" s="368"/>
      <c r="T655" s="2"/>
      <c r="U655" s="2"/>
    </row>
    <row r="656" spans="1:21" ht="12.95" customHeight="1">
      <c r="A656" s="2"/>
      <c r="B656" s="2"/>
      <c r="C656" s="2"/>
      <c r="D656" s="54"/>
      <c r="E656" s="54"/>
      <c r="F656" s="54"/>
      <c r="G656" s="54"/>
      <c r="H656" s="54"/>
      <c r="I656" s="54"/>
      <c r="J656" s="54"/>
      <c r="K656" s="54"/>
      <c r="L656" s="54"/>
      <c r="M656" s="2"/>
      <c r="N656" s="54"/>
      <c r="P656" s="2"/>
      <c r="Q656" s="2"/>
      <c r="R656" s="2"/>
      <c r="S656" s="368"/>
      <c r="T656" s="2"/>
      <c r="U656" s="2"/>
    </row>
    <row r="657" spans="1:21" ht="12.95" customHeight="1">
      <c r="A657" s="2"/>
      <c r="B657" s="2"/>
      <c r="C657" s="2"/>
      <c r="D657" s="54"/>
      <c r="E657" s="54"/>
      <c r="F657" s="54"/>
      <c r="G657" s="54"/>
      <c r="H657" s="54"/>
      <c r="I657" s="54"/>
      <c r="J657" s="54"/>
      <c r="K657" s="54"/>
      <c r="L657" s="54"/>
      <c r="M657" s="2"/>
      <c r="N657" s="54"/>
      <c r="P657" s="2"/>
      <c r="Q657" s="2"/>
      <c r="R657" s="2"/>
      <c r="S657" s="368"/>
      <c r="T657" s="2"/>
      <c r="U657" s="2"/>
    </row>
    <row r="658" spans="1:21" ht="12.95" customHeight="1">
      <c r="A658" s="2"/>
      <c r="B658" s="2"/>
      <c r="C658" s="2"/>
      <c r="D658" s="54"/>
      <c r="E658" s="54"/>
      <c r="F658" s="54"/>
      <c r="G658" s="54"/>
      <c r="H658" s="54"/>
      <c r="I658" s="54"/>
      <c r="J658" s="54"/>
      <c r="K658" s="54"/>
      <c r="L658" s="54"/>
      <c r="M658" s="2"/>
      <c r="N658" s="54"/>
      <c r="P658" s="2"/>
      <c r="Q658" s="2"/>
      <c r="R658" s="2"/>
      <c r="S658" s="368"/>
      <c r="T658" s="2"/>
      <c r="U658" s="2"/>
    </row>
    <row r="659" spans="1:21" ht="12.95" customHeight="1">
      <c r="A659" s="2"/>
      <c r="B659" s="2"/>
      <c r="C659" s="2"/>
      <c r="D659" s="54"/>
      <c r="E659" s="54"/>
      <c r="F659" s="54"/>
      <c r="G659" s="54"/>
      <c r="H659" s="54"/>
      <c r="I659" s="54"/>
      <c r="J659" s="54"/>
      <c r="K659" s="54"/>
      <c r="L659" s="54"/>
      <c r="M659" s="2"/>
      <c r="N659" s="54"/>
      <c r="P659" s="2"/>
      <c r="Q659" s="2"/>
      <c r="R659" s="2"/>
      <c r="S659" s="368"/>
      <c r="T659" s="2"/>
      <c r="U659" s="2"/>
    </row>
    <row r="660" spans="1:21" ht="12.95" customHeight="1">
      <c r="A660" s="2"/>
      <c r="B660" s="2"/>
      <c r="C660" s="2"/>
      <c r="D660" s="54"/>
      <c r="E660" s="54"/>
      <c r="F660" s="54"/>
      <c r="G660" s="54"/>
      <c r="H660" s="54"/>
      <c r="I660" s="54"/>
      <c r="J660" s="54"/>
      <c r="K660" s="54"/>
      <c r="L660" s="54"/>
      <c r="M660" s="2"/>
      <c r="N660" s="54"/>
      <c r="P660" s="2"/>
      <c r="Q660" s="2"/>
      <c r="R660" s="2"/>
      <c r="S660" s="368"/>
      <c r="T660" s="2"/>
      <c r="U660" s="2"/>
    </row>
    <row r="661" spans="1:21" ht="12.95" customHeight="1">
      <c r="A661" s="2"/>
      <c r="B661" s="2"/>
      <c r="C661" s="2"/>
      <c r="D661" s="54"/>
      <c r="E661" s="54"/>
      <c r="F661" s="54"/>
      <c r="G661" s="54"/>
      <c r="H661" s="54"/>
      <c r="I661" s="54"/>
      <c r="J661" s="54"/>
      <c r="K661" s="54"/>
      <c r="L661" s="54"/>
      <c r="M661" s="2"/>
      <c r="N661" s="54"/>
      <c r="P661" s="2"/>
      <c r="Q661" s="2"/>
      <c r="R661" s="2"/>
      <c r="S661" s="368"/>
      <c r="T661" s="2"/>
      <c r="U661" s="2"/>
    </row>
    <row r="662" spans="1:21" ht="12.95" customHeight="1">
      <c r="A662" s="2"/>
      <c r="B662" s="2"/>
      <c r="C662" s="2"/>
      <c r="D662" s="54"/>
      <c r="E662" s="54"/>
      <c r="F662" s="54"/>
      <c r="G662" s="54"/>
      <c r="H662" s="54"/>
      <c r="I662" s="54"/>
      <c r="J662" s="54"/>
      <c r="K662" s="54"/>
      <c r="L662" s="54"/>
      <c r="M662" s="2"/>
      <c r="N662" s="54"/>
      <c r="P662" s="2"/>
      <c r="Q662" s="2"/>
      <c r="R662" s="2"/>
      <c r="S662" s="368"/>
      <c r="T662" s="2"/>
      <c r="U662" s="2"/>
    </row>
    <row r="663" spans="1:21" ht="12.95" customHeight="1">
      <c r="A663" s="2"/>
      <c r="B663" s="2"/>
      <c r="C663" s="2"/>
      <c r="D663" s="54"/>
      <c r="E663" s="54"/>
      <c r="F663" s="54"/>
      <c r="G663" s="54"/>
      <c r="H663" s="54"/>
      <c r="I663" s="54"/>
      <c r="J663" s="54"/>
      <c r="K663" s="54"/>
      <c r="L663" s="54"/>
      <c r="M663" s="2"/>
      <c r="N663" s="54"/>
      <c r="P663" s="2"/>
      <c r="Q663" s="2"/>
      <c r="R663" s="2"/>
      <c r="S663" s="368"/>
      <c r="T663" s="2"/>
      <c r="U663" s="2"/>
    </row>
    <row r="664" spans="1:21" ht="12.95" customHeight="1">
      <c r="A664" s="2"/>
      <c r="B664" s="2"/>
      <c r="C664" s="2"/>
      <c r="D664" s="54"/>
      <c r="E664" s="54"/>
      <c r="F664" s="54"/>
      <c r="G664" s="54"/>
      <c r="H664" s="54"/>
      <c r="I664" s="54"/>
      <c r="J664" s="54"/>
      <c r="K664" s="54"/>
      <c r="L664" s="54"/>
      <c r="M664" s="2"/>
      <c r="N664" s="54"/>
      <c r="P664" s="2"/>
      <c r="Q664" s="2"/>
      <c r="R664" s="2"/>
      <c r="S664" s="368"/>
      <c r="T664" s="2"/>
      <c r="U664" s="2"/>
    </row>
    <row r="665" spans="1:21" ht="12.95" customHeight="1">
      <c r="A665" s="2"/>
      <c r="B665" s="2"/>
      <c r="C665" s="2"/>
      <c r="D665" s="54"/>
      <c r="E665" s="54"/>
      <c r="F665" s="54"/>
      <c r="G665" s="54"/>
      <c r="H665" s="54"/>
      <c r="I665" s="54"/>
      <c r="J665" s="54"/>
      <c r="K665" s="54"/>
      <c r="L665" s="54"/>
      <c r="M665" s="2"/>
      <c r="N665" s="54"/>
      <c r="P665" s="2"/>
      <c r="Q665" s="2"/>
      <c r="R665" s="2"/>
      <c r="S665" s="368"/>
      <c r="T665" s="2"/>
      <c r="U665" s="2"/>
    </row>
    <row r="666" spans="1:21" ht="12.95" customHeight="1">
      <c r="A666" s="2"/>
      <c r="B666" s="2"/>
      <c r="C666" s="2"/>
      <c r="D666" s="54"/>
      <c r="E666" s="54"/>
      <c r="F666" s="54"/>
      <c r="G666" s="54"/>
      <c r="H666" s="54"/>
      <c r="I666" s="54"/>
      <c r="J666" s="54"/>
      <c r="K666" s="54"/>
      <c r="L666" s="54"/>
      <c r="M666" s="2"/>
      <c r="N666" s="54"/>
      <c r="P666" s="2"/>
      <c r="Q666" s="2"/>
      <c r="R666" s="2"/>
      <c r="S666" s="368"/>
      <c r="T666" s="2"/>
      <c r="U666" s="2"/>
    </row>
    <row r="667" spans="1:21" ht="12.95" customHeight="1">
      <c r="A667" s="2"/>
      <c r="B667" s="2"/>
      <c r="C667" s="2"/>
      <c r="D667" s="54"/>
      <c r="E667" s="54"/>
      <c r="F667" s="54"/>
      <c r="G667" s="54"/>
      <c r="H667" s="54"/>
      <c r="I667" s="54"/>
      <c r="J667" s="54"/>
      <c r="K667" s="54"/>
      <c r="L667" s="54"/>
      <c r="M667" s="2"/>
      <c r="N667" s="54"/>
      <c r="P667" s="2"/>
      <c r="Q667" s="2"/>
      <c r="R667" s="2"/>
      <c r="S667" s="368"/>
      <c r="T667" s="2"/>
      <c r="U667" s="2"/>
    </row>
    <row r="668" spans="1:21" ht="12.95" customHeight="1">
      <c r="A668" s="2"/>
      <c r="B668" s="2"/>
      <c r="C668" s="2"/>
      <c r="D668" s="54"/>
      <c r="E668" s="54"/>
      <c r="F668" s="54"/>
      <c r="G668" s="54"/>
      <c r="H668" s="54"/>
      <c r="I668" s="54"/>
      <c r="J668" s="54"/>
      <c r="K668" s="54"/>
      <c r="L668" s="54"/>
      <c r="M668" s="2"/>
      <c r="N668" s="54"/>
      <c r="P668" s="2"/>
      <c r="Q668" s="2"/>
      <c r="R668" s="2"/>
      <c r="S668" s="368"/>
      <c r="T668" s="2"/>
      <c r="U668" s="2"/>
    </row>
    <row r="669" spans="1:21" ht="12.95" customHeight="1">
      <c r="A669" s="2"/>
      <c r="B669" s="2"/>
      <c r="C669" s="2"/>
      <c r="D669" s="54"/>
      <c r="E669" s="54"/>
      <c r="F669" s="54"/>
      <c r="G669" s="54"/>
      <c r="H669" s="54"/>
      <c r="I669" s="54"/>
      <c r="J669" s="54"/>
      <c r="K669" s="54"/>
      <c r="L669" s="54"/>
      <c r="M669" s="2"/>
      <c r="N669" s="54"/>
      <c r="P669" s="2"/>
      <c r="Q669" s="2"/>
      <c r="R669" s="2"/>
      <c r="S669" s="368"/>
      <c r="T669" s="2"/>
      <c r="U669" s="2"/>
    </row>
    <row r="670" spans="1:21" ht="12.95" customHeight="1">
      <c r="A670" s="2"/>
      <c r="B670" s="2"/>
      <c r="C670" s="2"/>
      <c r="D670" s="54"/>
      <c r="E670" s="54"/>
      <c r="F670" s="54"/>
      <c r="G670" s="54"/>
      <c r="H670" s="54"/>
      <c r="I670" s="54"/>
      <c r="J670" s="54"/>
      <c r="K670" s="54"/>
      <c r="L670" s="54"/>
      <c r="M670" s="2"/>
      <c r="N670" s="54"/>
      <c r="P670" s="2"/>
      <c r="Q670" s="2"/>
      <c r="R670" s="2"/>
      <c r="S670" s="368"/>
      <c r="T670" s="2"/>
      <c r="U670" s="2"/>
    </row>
    <row r="671" spans="1:21" ht="12.95" customHeight="1">
      <c r="A671" s="2"/>
      <c r="B671" s="2"/>
      <c r="C671" s="2"/>
      <c r="D671" s="54"/>
      <c r="E671" s="54"/>
      <c r="F671" s="54"/>
      <c r="G671" s="54"/>
      <c r="H671" s="54"/>
      <c r="I671" s="54"/>
      <c r="J671" s="54"/>
      <c r="K671" s="54"/>
      <c r="L671" s="54"/>
      <c r="M671" s="2"/>
      <c r="N671" s="54"/>
      <c r="P671" s="2"/>
      <c r="Q671" s="2"/>
      <c r="R671" s="2"/>
      <c r="S671" s="368"/>
      <c r="T671" s="2"/>
      <c r="U671" s="2"/>
    </row>
    <row r="672" spans="1:21" ht="12.95" customHeight="1">
      <c r="A672" s="2"/>
      <c r="B672" s="2"/>
      <c r="C672" s="2"/>
      <c r="D672" s="54"/>
      <c r="E672" s="54"/>
      <c r="F672" s="54"/>
      <c r="G672" s="54"/>
      <c r="H672" s="54"/>
      <c r="I672" s="54"/>
      <c r="J672" s="54"/>
      <c r="K672" s="54"/>
      <c r="L672" s="54"/>
      <c r="M672" s="2"/>
      <c r="N672" s="54"/>
      <c r="P672" s="2"/>
      <c r="Q672" s="2"/>
      <c r="R672" s="2"/>
      <c r="S672" s="368"/>
      <c r="T672" s="2"/>
      <c r="U672" s="2"/>
    </row>
    <row r="673" spans="1:21" ht="12.95" customHeight="1">
      <c r="A673" s="2"/>
      <c r="B673" s="2"/>
      <c r="C673" s="2"/>
      <c r="D673" s="54"/>
      <c r="E673" s="54"/>
      <c r="F673" s="54"/>
      <c r="G673" s="54"/>
      <c r="H673" s="54"/>
      <c r="I673" s="54"/>
      <c r="J673" s="54"/>
      <c r="K673" s="54"/>
      <c r="L673" s="54"/>
      <c r="M673" s="2"/>
      <c r="N673" s="54"/>
      <c r="P673" s="2"/>
      <c r="Q673" s="2"/>
      <c r="R673" s="2"/>
      <c r="S673" s="368"/>
      <c r="T673" s="2"/>
      <c r="U673" s="2"/>
    </row>
    <row r="674" spans="1:21" ht="12.95" customHeight="1">
      <c r="A674" s="2"/>
      <c r="B674" s="2"/>
      <c r="C674" s="2"/>
      <c r="D674" s="54"/>
      <c r="E674" s="54"/>
      <c r="F674" s="54"/>
      <c r="G674" s="54"/>
      <c r="H674" s="54"/>
      <c r="I674" s="54"/>
      <c r="J674" s="54"/>
      <c r="K674" s="54"/>
      <c r="L674" s="54"/>
      <c r="M674" s="2"/>
      <c r="N674" s="54"/>
      <c r="P674" s="2"/>
      <c r="Q674" s="2"/>
      <c r="R674" s="2"/>
      <c r="S674" s="368"/>
      <c r="T674" s="2"/>
      <c r="U674" s="2"/>
    </row>
    <row r="675" spans="1:21" ht="12.95" customHeight="1">
      <c r="A675" s="2"/>
      <c r="B675" s="2"/>
      <c r="C675" s="2"/>
      <c r="D675" s="54"/>
      <c r="E675" s="54"/>
      <c r="F675" s="54"/>
      <c r="G675" s="54"/>
      <c r="H675" s="54"/>
      <c r="I675" s="54"/>
      <c r="J675" s="54"/>
      <c r="K675" s="54"/>
      <c r="L675" s="54"/>
      <c r="M675" s="2"/>
      <c r="N675" s="54"/>
      <c r="P675" s="2"/>
      <c r="Q675" s="2"/>
      <c r="R675" s="2"/>
      <c r="S675" s="368"/>
      <c r="T675" s="2"/>
      <c r="U675" s="2"/>
    </row>
    <row r="676" spans="1:21" ht="12.95" customHeight="1">
      <c r="A676" s="2"/>
      <c r="B676" s="2"/>
      <c r="C676" s="2"/>
      <c r="D676" s="54"/>
      <c r="E676" s="54"/>
      <c r="F676" s="54"/>
      <c r="G676" s="54"/>
      <c r="H676" s="54"/>
      <c r="I676" s="54"/>
      <c r="J676" s="54"/>
      <c r="K676" s="54"/>
      <c r="L676" s="54"/>
      <c r="M676" s="2"/>
      <c r="N676" s="54"/>
      <c r="P676" s="2"/>
      <c r="Q676" s="2"/>
      <c r="R676" s="2"/>
      <c r="S676" s="368"/>
      <c r="T676" s="2"/>
      <c r="U676" s="2"/>
    </row>
    <row r="677" spans="1:21" ht="12.95" customHeight="1">
      <c r="A677" s="2"/>
      <c r="B677" s="2"/>
      <c r="C677" s="2"/>
      <c r="D677" s="54"/>
      <c r="E677" s="54"/>
      <c r="F677" s="54"/>
      <c r="G677" s="54"/>
      <c r="H677" s="54"/>
      <c r="I677" s="54"/>
      <c r="J677" s="54"/>
      <c r="K677" s="54"/>
      <c r="L677" s="54"/>
      <c r="M677" s="2"/>
      <c r="N677" s="54"/>
      <c r="P677" s="2"/>
      <c r="Q677" s="2"/>
      <c r="R677" s="2"/>
      <c r="S677" s="368"/>
      <c r="T677" s="2"/>
      <c r="U677" s="2"/>
    </row>
    <row r="678" spans="1:21" ht="12.95" customHeight="1">
      <c r="A678" s="2"/>
      <c r="B678" s="2"/>
      <c r="C678" s="2"/>
      <c r="D678" s="54"/>
      <c r="E678" s="54"/>
      <c r="F678" s="54"/>
      <c r="G678" s="54"/>
      <c r="H678" s="54"/>
      <c r="I678" s="54"/>
      <c r="J678" s="54"/>
      <c r="K678" s="54"/>
      <c r="L678" s="54"/>
      <c r="M678" s="2"/>
      <c r="N678" s="54"/>
      <c r="P678" s="2"/>
      <c r="Q678" s="2"/>
      <c r="R678" s="2"/>
      <c r="S678" s="368"/>
      <c r="T678" s="2"/>
      <c r="U678" s="2"/>
    </row>
    <row r="679" spans="1:21" ht="12.95" customHeight="1">
      <c r="A679" s="2"/>
      <c r="B679" s="2"/>
      <c r="C679" s="2"/>
      <c r="D679" s="54"/>
      <c r="E679" s="54"/>
      <c r="F679" s="54"/>
      <c r="G679" s="54"/>
      <c r="H679" s="54"/>
      <c r="I679" s="54"/>
      <c r="J679" s="54"/>
      <c r="K679" s="54"/>
      <c r="L679" s="54"/>
      <c r="M679" s="2"/>
      <c r="N679" s="54"/>
      <c r="P679" s="2"/>
      <c r="Q679" s="2"/>
      <c r="R679" s="2"/>
      <c r="S679" s="368"/>
      <c r="T679" s="2"/>
      <c r="U679" s="2"/>
    </row>
    <row r="680" spans="1:21" ht="12.95" customHeight="1">
      <c r="A680" s="2"/>
      <c r="B680" s="2"/>
      <c r="C680" s="2"/>
      <c r="D680" s="54"/>
      <c r="E680" s="54"/>
      <c r="F680" s="54"/>
      <c r="G680" s="54"/>
      <c r="H680" s="54"/>
      <c r="I680" s="54"/>
      <c r="J680" s="54"/>
      <c r="K680" s="54"/>
      <c r="L680" s="54"/>
      <c r="M680" s="2"/>
      <c r="N680" s="54"/>
      <c r="P680" s="2"/>
      <c r="Q680" s="2"/>
      <c r="R680" s="2"/>
      <c r="S680" s="368"/>
      <c r="T680" s="2"/>
      <c r="U680" s="2"/>
    </row>
    <row r="681" spans="1:21" ht="12.95" customHeight="1">
      <c r="A681" s="2"/>
      <c r="B681" s="2"/>
      <c r="C681" s="2"/>
      <c r="D681" s="54"/>
      <c r="E681" s="54"/>
      <c r="F681" s="54"/>
      <c r="G681" s="54"/>
      <c r="H681" s="54"/>
      <c r="I681" s="54"/>
      <c r="J681" s="54"/>
      <c r="K681" s="54"/>
      <c r="L681" s="54"/>
      <c r="M681" s="2"/>
      <c r="N681" s="54"/>
      <c r="P681" s="2"/>
      <c r="Q681" s="2"/>
      <c r="R681" s="2"/>
      <c r="S681" s="368"/>
      <c r="T681" s="2"/>
      <c r="U681" s="2"/>
    </row>
    <row r="682" spans="1:21" ht="12.95" customHeight="1">
      <c r="A682" s="2"/>
      <c r="B682" s="2"/>
      <c r="C682" s="2"/>
      <c r="D682" s="54"/>
      <c r="E682" s="54"/>
      <c r="F682" s="54"/>
      <c r="G682" s="54"/>
      <c r="H682" s="54"/>
      <c r="I682" s="54"/>
      <c r="J682" s="54"/>
      <c r="K682" s="54"/>
      <c r="L682" s="54"/>
      <c r="M682" s="2"/>
      <c r="N682" s="54"/>
      <c r="P682" s="2"/>
      <c r="Q682" s="2"/>
      <c r="R682" s="2"/>
      <c r="S682" s="368"/>
      <c r="T682" s="2"/>
      <c r="U682" s="2"/>
    </row>
    <row r="683" spans="1:21" ht="12.95" customHeight="1">
      <c r="A683" s="2"/>
      <c r="B683" s="2"/>
      <c r="C683" s="2"/>
      <c r="D683" s="54"/>
      <c r="E683" s="54"/>
      <c r="F683" s="54"/>
      <c r="G683" s="54"/>
      <c r="H683" s="54"/>
      <c r="I683" s="54"/>
      <c r="J683" s="54"/>
      <c r="K683" s="54"/>
      <c r="L683" s="54"/>
      <c r="M683" s="2"/>
      <c r="N683" s="54"/>
      <c r="P683" s="2"/>
      <c r="Q683" s="2"/>
      <c r="R683" s="2"/>
      <c r="S683" s="368"/>
      <c r="T683" s="2"/>
      <c r="U683" s="2"/>
    </row>
    <row r="684" spans="1:21" ht="12.95" customHeight="1">
      <c r="A684" s="2"/>
      <c r="B684" s="2"/>
      <c r="C684" s="2"/>
      <c r="D684" s="54"/>
      <c r="E684" s="54"/>
      <c r="F684" s="54"/>
      <c r="G684" s="54"/>
      <c r="H684" s="54"/>
      <c r="I684" s="54"/>
      <c r="J684" s="54"/>
      <c r="K684" s="54"/>
      <c r="L684" s="54"/>
      <c r="M684" s="2"/>
      <c r="N684" s="54"/>
      <c r="P684" s="2"/>
      <c r="Q684" s="2"/>
      <c r="R684" s="2"/>
      <c r="S684" s="368"/>
      <c r="T684" s="2"/>
      <c r="U684" s="2"/>
    </row>
    <row r="685" spans="1:21" ht="12.95" customHeight="1">
      <c r="A685" s="2"/>
      <c r="B685" s="2"/>
      <c r="C685" s="2"/>
      <c r="D685" s="54"/>
      <c r="E685" s="54"/>
      <c r="F685" s="54"/>
      <c r="G685" s="54"/>
      <c r="H685" s="54"/>
      <c r="I685" s="54"/>
      <c r="J685" s="54"/>
      <c r="K685" s="54"/>
      <c r="L685" s="54"/>
      <c r="M685" s="2"/>
      <c r="N685" s="54"/>
      <c r="P685" s="2"/>
      <c r="Q685" s="2"/>
      <c r="R685" s="2"/>
      <c r="S685" s="368"/>
      <c r="T685" s="2"/>
      <c r="U685" s="2"/>
    </row>
    <row r="686" spans="1:21" ht="12.95" customHeight="1">
      <c r="A686" s="2"/>
      <c r="B686" s="2"/>
      <c r="C686" s="2"/>
      <c r="D686" s="54"/>
      <c r="E686" s="54"/>
      <c r="F686" s="54"/>
      <c r="G686" s="54"/>
      <c r="H686" s="54"/>
      <c r="I686" s="54"/>
      <c r="J686" s="54"/>
      <c r="K686" s="54"/>
      <c r="L686" s="54"/>
      <c r="M686" s="2"/>
      <c r="N686" s="54"/>
      <c r="P686" s="2"/>
      <c r="Q686" s="2"/>
      <c r="R686" s="2"/>
      <c r="S686" s="368"/>
      <c r="T686" s="2"/>
      <c r="U686" s="2"/>
    </row>
    <row r="687" spans="1:21" ht="12.95" customHeight="1">
      <c r="A687" s="2"/>
      <c r="B687" s="2"/>
      <c r="C687" s="2"/>
      <c r="D687" s="54"/>
      <c r="E687" s="54"/>
      <c r="F687" s="54"/>
      <c r="G687" s="54"/>
      <c r="H687" s="54"/>
      <c r="I687" s="54"/>
      <c r="J687" s="54"/>
      <c r="K687" s="54"/>
      <c r="L687" s="54"/>
      <c r="M687" s="2"/>
      <c r="N687" s="54"/>
      <c r="P687" s="2"/>
      <c r="Q687" s="2"/>
      <c r="R687" s="2"/>
      <c r="S687" s="368"/>
      <c r="T687" s="2"/>
      <c r="U687" s="2"/>
    </row>
    <row r="688" spans="1:21" ht="12.95" customHeight="1">
      <c r="A688" s="2"/>
      <c r="B688" s="2"/>
      <c r="C688" s="2"/>
      <c r="D688" s="54"/>
      <c r="E688" s="54"/>
      <c r="F688" s="54"/>
      <c r="G688" s="54"/>
      <c r="H688" s="54"/>
      <c r="I688" s="54"/>
      <c r="J688" s="54"/>
      <c r="K688" s="54"/>
      <c r="L688" s="54"/>
      <c r="M688" s="2"/>
      <c r="N688" s="54"/>
      <c r="P688" s="2"/>
      <c r="Q688" s="2"/>
      <c r="R688" s="2"/>
      <c r="S688" s="368"/>
      <c r="T688" s="2"/>
      <c r="U688" s="2"/>
    </row>
    <row r="689" spans="1:21" ht="12.95" customHeight="1">
      <c r="A689" s="2"/>
      <c r="B689" s="2"/>
      <c r="C689" s="2"/>
      <c r="D689" s="54"/>
      <c r="E689" s="54"/>
      <c r="F689" s="54"/>
      <c r="G689" s="54"/>
      <c r="H689" s="54"/>
      <c r="I689" s="54"/>
      <c r="J689" s="54"/>
      <c r="K689" s="54"/>
      <c r="L689" s="54"/>
      <c r="M689" s="2"/>
      <c r="N689" s="54"/>
      <c r="P689" s="2"/>
      <c r="Q689" s="2"/>
      <c r="R689" s="2"/>
      <c r="S689" s="368"/>
      <c r="T689" s="2"/>
      <c r="U689" s="2"/>
    </row>
    <row r="690" spans="1:21" ht="12.95" customHeight="1">
      <c r="A690" s="2"/>
      <c r="B690" s="2"/>
      <c r="C690" s="2"/>
      <c r="D690" s="54"/>
      <c r="E690" s="54"/>
      <c r="F690" s="54"/>
      <c r="G690" s="54"/>
      <c r="H690" s="54"/>
      <c r="I690" s="54"/>
      <c r="J690" s="54"/>
      <c r="K690" s="54"/>
      <c r="L690" s="54"/>
      <c r="M690" s="2"/>
      <c r="N690" s="54"/>
      <c r="P690" s="2"/>
      <c r="Q690" s="2"/>
      <c r="R690" s="2"/>
      <c r="S690" s="368"/>
      <c r="T690" s="2"/>
      <c r="U690" s="2"/>
    </row>
    <row r="691" spans="1:21" ht="12.95" customHeight="1">
      <c r="A691" s="2"/>
      <c r="B691" s="2"/>
      <c r="C691" s="2"/>
      <c r="D691" s="54"/>
      <c r="E691" s="54"/>
      <c r="F691" s="54"/>
      <c r="G691" s="54"/>
      <c r="H691" s="54"/>
      <c r="I691" s="54"/>
      <c r="J691" s="54"/>
      <c r="K691" s="54"/>
      <c r="L691" s="54"/>
      <c r="M691" s="2"/>
      <c r="N691" s="54"/>
      <c r="P691" s="2"/>
      <c r="Q691" s="2"/>
      <c r="R691" s="2"/>
      <c r="S691" s="368"/>
      <c r="T691" s="2"/>
      <c r="U691" s="2"/>
    </row>
    <row r="692" spans="1:21" ht="12.95" customHeight="1">
      <c r="A692" s="2"/>
      <c r="B692" s="2"/>
      <c r="C692" s="2"/>
      <c r="D692" s="54"/>
      <c r="E692" s="54"/>
      <c r="F692" s="54"/>
      <c r="G692" s="54"/>
      <c r="H692" s="54"/>
      <c r="I692" s="54"/>
      <c r="J692" s="54"/>
      <c r="K692" s="54"/>
      <c r="L692" s="54"/>
      <c r="M692" s="2"/>
      <c r="N692" s="54"/>
      <c r="P692" s="2"/>
      <c r="Q692" s="2"/>
      <c r="R692" s="2"/>
      <c r="S692" s="368"/>
      <c r="T692" s="2"/>
      <c r="U692" s="2"/>
    </row>
    <row r="693" spans="1:21" ht="12.95" customHeight="1">
      <c r="A693" s="2"/>
      <c r="B693" s="2"/>
      <c r="C693" s="2"/>
      <c r="D693" s="54"/>
      <c r="E693" s="54"/>
      <c r="F693" s="54"/>
      <c r="G693" s="54"/>
      <c r="H693" s="54"/>
      <c r="I693" s="54"/>
      <c r="J693" s="54"/>
      <c r="K693" s="54"/>
      <c r="L693" s="54"/>
      <c r="M693" s="2"/>
      <c r="N693" s="54"/>
      <c r="P693" s="2"/>
      <c r="Q693" s="2"/>
      <c r="R693" s="2"/>
      <c r="S693" s="368"/>
      <c r="T693" s="2"/>
      <c r="U693" s="2"/>
    </row>
    <row r="694" spans="1:21" ht="12.95" customHeight="1">
      <c r="A694" s="2"/>
      <c r="B694" s="2"/>
      <c r="C694" s="2"/>
      <c r="D694" s="54"/>
      <c r="E694" s="54"/>
      <c r="F694" s="54"/>
      <c r="G694" s="54"/>
      <c r="H694" s="54"/>
      <c r="I694" s="54"/>
      <c r="J694" s="54"/>
      <c r="K694" s="54"/>
      <c r="L694" s="54"/>
      <c r="M694" s="2"/>
      <c r="N694" s="54"/>
      <c r="P694" s="2"/>
      <c r="Q694" s="2"/>
      <c r="R694" s="2"/>
      <c r="S694" s="368"/>
      <c r="T694" s="2"/>
      <c r="U694" s="2"/>
    </row>
    <row r="695" spans="1:21" ht="12.95" customHeight="1">
      <c r="A695" s="2"/>
      <c r="B695" s="2"/>
      <c r="C695" s="2"/>
      <c r="D695" s="54"/>
      <c r="E695" s="54"/>
      <c r="F695" s="54"/>
      <c r="G695" s="54"/>
      <c r="H695" s="54"/>
      <c r="I695" s="54"/>
      <c r="J695" s="54"/>
      <c r="K695" s="54"/>
      <c r="L695" s="54"/>
      <c r="M695" s="2"/>
      <c r="N695" s="54"/>
      <c r="P695" s="2"/>
      <c r="Q695" s="2"/>
      <c r="R695" s="2"/>
      <c r="S695" s="368"/>
      <c r="T695" s="2"/>
      <c r="U695" s="2"/>
    </row>
    <row r="696" spans="1:21" ht="12.95" customHeight="1">
      <c r="A696" s="2"/>
      <c r="B696" s="2"/>
      <c r="C696" s="2"/>
      <c r="D696" s="54"/>
      <c r="E696" s="54"/>
      <c r="F696" s="54"/>
      <c r="G696" s="54"/>
      <c r="H696" s="54"/>
      <c r="I696" s="54"/>
      <c r="J696" s="54"/>
      <c r="K696" s="54"/>
      <c r="L696" s="54"/>
      <c r="M696" s="2"/>
      <c r="N696" s="54"/>
      <c r="P696" s="2"/>
      <c r="Q696" s="2"/>
      <c r="R696" s="2"/>
      <c r="S696" s="368"/>
      <c r="T696" s="2"/>
      <c r="U696" s="2"/>
    </row>
    <row r="697" spans="1:21" ht="12.95" customHeight="1">
      <c r="A697" s="2"/>
      <c r="B697" s="2"/>
      <c r="C697" s="2"/>
      <c r="D697" s="54"/>
      <c r="E697" s="54"/>
      <c r="F697" s="54"/>
      <c r="G697" s="54"/>
      <c r="H697" s="54"/>
      <c r="I697" s="54"/>
      <c r="J697" s="54"/>
      <c r="K697" s="54"/>
      <c r="L697" s="54"/>
      <c r="M697" s="2"/>
      <c r="N697" s="54"/>
      <c r="P697" s="2"/>
      <c r="Q697" s="2"/>
      <c r="R697" s="2"/>
      <c r="S697" s="368"/>
      <c r="T697" s="2"/>
      <c r="U697" s="2"/>
    </row>
    <row r="698" spans="1:21" ht="12.95" customHeight="1">
      <c r="A698" s="2"/>
      <c r="B698" s="2"/>
      <c r="C698" s="2"/>
      <c r="D698" s="54"/>
      <c r="E698" s="54"/>
      <c r="F698" s="54"/>
      <c r="G698" s="54"/>
      <c r="H698" s="54"/>
      <c r="I698" s="54"/>
      <c r="J698" s="54"/>
      <c r="K698" s="54"/>
      <c r="L698" s="54"/>
      <c r="M698" s="2"/>
      <c r="N698" s="54"/>
      <c r="P698" s="2"/>
      <c r="Q698" s="2"/>
      <c r="R698" s="2"/>
      <c r="S698" s="368"/>
      <c r="T698" s="2"/>
      <c r="U698" s="2"/>
    </row>
    <row r="699" spans="1:21" ht="12.95" customHeight="1">
      <c r="A699" s="2"/>
      <c r="B699" s="2"/>
      <c r="C699" s="2"/>
      <c r="D699" s="54"/>
      <c r="E699" s="54"/>
      <c r="F699" s="54"/>
      <c r="G699" s="54"/>
      <c r="H699" s="54"/>
      <c r="I699" s="54"/>
      <c r="J699" s="54"/>
      <c r="K699" s="54"/>
      <c r="L699" s="54"/>
      <c r="M699" s="2"/>
      <c r="N699" s="54"/>
      <c r="P699" s="2"/>
      <c r="Q699" s="2"/>
      <c r="R699" s="2"/>
      <c r="S699" s="368"/>
      <c r="T699" s="2"/>
      <c r="U699" s="2"/>
    </row>
    <row r="700" spans="1:21" ht="12.95" customHeight="1">
      <c r="A700" s="2"/>
      <c r="B700" s="2"/>
      <c r="C700" s="2"/>
      <c r="D700" s="54"/>
      <c r="E700" s="54"/>
      <c r="F700" s="54"/>
      <c r="G700" s="54"/>
      <c r="H700" s="54"/>
      <c r="I700" s="54"/>
      <c r="J700" s="54"/>
      <c r="K700" s="54"/>
      <c r="L700" s="54"/>
      <c r="M700" s="2"/>
      <c r="N700" s="54"/>
      <c r="P700" s="2"/>
      <c r="Q700" s="2"/>
      <c r="R700" s="2"/>
      <c r="S700" s="368"/>
      <c r="T700" s="2"/>
      <c r="U700" s="2"/>
    </row>
    <row r="701" spans="1:21" ht="12.95" customHeight="1">
      <c r="A701" s="2"/>
      <c r="B701" s="2"/>
      <c r="C701" s="2"/>
      <c r="D701" s="54"/>
      <c r="E701" s="54"/>
      <c r="F701" s="54"/>
      <c r="G701" s="54"/>
      <c r="H701" s="54"/>
      <c r="I701" s="54"/>
      <c r="J701" s="54"/>
      <c r="K701" s="54"/>
      <c r="L701" s="54"/>
      <c r="M701" s="2"/>
      <c r="N701" s="54"/>
      <c r="P701" s="2"/>
      <c r="Q701" s="2"/>
      <c r="R701" s="2"/>
      <c r="S701" s="368"/>
      <c r="T701" s="2"/>
      <c r="U701" s="2"/>
    </row>
    <row r="702" spans="1:21" ht="12.95" customHeight="1">
      <c r="A702" s="2"/>
      <c r="B702" s="2"/>
      <c r="C702" s="2"/>
      <c r="D702" s="54"/>
      <c r="E702" s="54"/>
      <c r="F702" s="54"/>
      <c r="G702" s="54"/>
      <c r="H702" s="54"/>
      <c r="I702" s="54"/>
      <c r="J702" s="54"/>
      <c r="K702" s="54"/>
      <c r="L702" s="54"/>
      <c r="M702" s="2"/>
      <c r="N702" s="54"/>
      <c r="P702" s="2"/>
      <c r="Q702" s="2"/>
      <c r="R702" s="2"/>
      <c r="S702" s="368"/>
      <c r="T702" s="2"/>
      <c r="U702" s="2"/>
    </row>
    <row r="703" spans="1:21" ht="12.95" customHeight="1">
      <c r="A703" s="2"/>
      <c r="B703" s="2"/>
      <c r="C703" s="2"/>
      <c r="D703" s="54"/>
      <c r="E703" s="54"/>
      <c r="F703" s="54"/>
      <c r="G703" s="54"/>
      <c r="H703" s="54"/>
      <c r="I703" s="54"/>
      <c r="J703" s="54"/>
      <c r="K703" s="54"/>
      <c r="L703" s="54"/>
      <c r="M703" s="2"/>
      <c r="N703" s="54"/>
      <c r="P703" s="2"/>
      <c r="Q703" s="2"/>
      <c r="R703" s="2"/>
      <c r="S703" s="368"/>
      <c r="T703" s="2"/>
      <c r="U703" s="2"/>
    </row>
    <row r="704" spans="1:21" ht="12.95" customHeight="1">
      <c r="A704" s="2"/>
      <c r="B704" s="2"/>
      <c r="C704" s="2"/>
      <c r="D704" s="54"/>
      <c r="E704" s="54"/>
      <c r="F704" s="54"/>
      <c r="G704" s="54"/>
      <c r="H704" s="54"/>
      <c r="I704" s="54"/>
      <c r="J704" s="54"/>
      <c r="K704" s="54"/>
      <c r="L704" s="54"/>
      <c r="M704" s="2"/>
      <c r="N704" s="54"/>
      <c r="P704" s="2"/>
      <c r="Q704" s="2"/>
      <c r="R704" s="2"/>
      <c r="S704" s="368"/>
      <c r="T704" s="2"/>
      <c r="U704" s="2"/>
    </row>
    <row r="705" spans="1:21" ht="12.95" customHeight="1">
      <c r="A705" s="2"/>
      <c r="B705" s="2"/>
      <c r="C705" s="2"/>
      <c r="D705" s="54"/>
      <c r="E705" s="54"/>
      <c r="F705" s="54"/>
      <c r="G705" s="54"/>
      <c r="H705" s="54"/>
      <c r="I705" s="54"/>
      <c r="J705" s="54"/>
      <c r="K705" s="54"/>
      <c r="L705" s="54"/>
      <c r="M705" s="2"/>
      <c r="N705" s="54"/>
      <c r="P705" s="2"/>
      <c r="Q705" s="2"/>
      <c r="R705" s="2"/>
      <c r="S705" s="368"/>
      <c r="T705" s="2"/>
      <c r="U705" s="2"/>
    </row>
    <row r="706" spans="1:21" ht="12.95" customHeight="1">
      <c r="A706" s="2"/>
      <c r="B706" s="2"/>
      <c r="C706" s="2"/>
      <c r="D706" s="54"/>
      <c r="E706" s="54"/>
      <c r="F706" s="54"/>
      <c r="G706" s="54"/>
      <c r="H706" s="54"/>
      <c r="I706" s="54"/>
      <c r="J706" s="54"/>
      <c r="K706" s="54"/>
      <c r="L706" s="54"/>
      <c r="M706" s="2"/>
      <c r="N706" s="54"/>
      <c r="P706" s="2"/>
      <c r="Q706" s="2"/>
      <c r="R706" s="2"/>
      <c r="S706" s="368"/>
      <c r="T706" s="2"/>
      <c r="U706" s="2"/>
    </row>
    <row r="707" spans="1:21" ht="12.95" customHeight="1">
      <c r="A707" s="2"/>
      <c r="B707" s="2"/>
      <c r="C707" s="2"/>
      <c r="D707" s="54"/>
      <c r="E707" s="54"/>
      <c r="F707" s="54"/>
      <c r="G707" s="54"/>
      <c r="H707" s="54"/>
      <c r="I707" s="54"/>
      <c r="J707" s="54"/>
      <c r="K707" s="54"/>
      <c r="L707" s="54"/>
      <c r="M707" s="2"/>
      <c r="N707" s="54"/>
      <c r="P707" s="2"/>
      <c r="Q707" s="2"/>
      <c r="R707" s="2"/>
      <c r="S707" s="368"/>
      <c r="T707" s="2"/>
      <c r="U707" s="2"/>
    </row>
    <row r="708" spans="1:21" ht="12.95" customHeight="1">
      <c r="A708" s="2"/>
      <c r="B708" s="2"/>
      <c r="C708" s="2"/>
      <c r="D708" s="54"/>
      <c r="E708" s="54"/>
      <c r="F708" s="54"/>
      <c r="G708" s="54"/>
      <c r="H708" s="54"/>
      <c r="I708" s="54"/>
      <c r="J708" s="54"/>
      <c r="K708" s="54"/>
      <c r="L708" s="54"/>
      <c r="M708" s="2"/>
      <c r="N708" s="54"/>
      <c r="P708" s="2"/>
      <c r="Q708" s="2"/>
      <c r="R708" s="2"/>
      <c r="S708" s="368"/>
      <c r="T708" s="2"/>
      <c r="U708" s="2"/>
    </row>
    <row r="709" spans="1:21" ht="12.95" customHeight="1">
      <c r="A709" s="2"/>
      <c r="B709" s="2"/>
      <c r="C709" s="2"/>
      <c r="D709" s="54"/>
      <c r="E709" s="54"/>
      <c r="F709" s="54"/>
      <c r="G709" s="54"/>
      <c r="H709" s="54"/>
      <c r="I709" s="54"/>
      <c r="J709" s="54"/>
      <c r="K709" s="54"/>
      <c r="L709" s="54"/>
      <c r="M709" s="2"/>
      <c r="N709" s="54"/>
      <c r="P709" s="2"/>
      <c r="Q709" s="2"/>
      <c r="R709" s="2"/>
      <c r="S709" s="368"/>
      <c r="T709" s="2"/>
      <c r="U709" s="2"/>
    </row>
    <row r="710" spans="1:21" ht="12.95" customHeight="1">
      <c r="A710" s="2"/>
      <c r="B710" s="2"/>
      <c r="C710" s="2"/>
      <c r="D710" s="54"/>
      <c r="E710" s="54"/>
      <c r="F710" s="54"/>
      <c r="G710" s="54"/>
      <c r="H710" s="54"/>
      <c r="I710" s="54"/>
      <c r="J710" s="54"/>
      <c r="K710" s="54"/>
      <c r="L710" s="54"/>
      <c r="M710" s="2"/>
      <c r="N710" s="54"/>
      <c r="P710" s="2"/>
      <c r="Q710" s="2"/>
      <c r="R710" s="2"/>
      <c r="S710" s="368"/>
      <c r="T710" s="2"/>
      <c r="U710" s="2"/>
    </row>
    <row r="711" spans="1:21" ht="12.95" customHeight="1">
      <c r="A711" s="2"/>
      <c r="B711" s="2"/>
      <c r="C711" s="2"/>
      <c r="D711" s="54"/>
      <c r="E711" s="54"/>
      <c r="F711" s="54"/>
      <c r="G711" s="54"/>
      <c r="H711" s="54"/>
      <c r="I711" s="54"/>
      <c r="J711" s="54"/>
      <c r="K711" s="54"/>
      <c r="L711" s="54"/>
      <c r="M711" s="2"/>
      <c r="N711" s="54"/>
      <c r="P711" s="2"/>
      <c r="Q711" s="2"/>
      <c r="R711" s="2"/>
      <c r="S711" s="368"/>
      <c r="T711" s="2"/>
      <c r="U711" s="2"/>
    </row>
    <row r="712" spans="1:21" ht="12.95" customHeight="1">
      <c r="A712" s="2"/>
      <c r="B712" s="2"/>
      <c r="C712" s="2"/>
      <c r="D712" s="54"/>
      <c r="E712" s="54"/>
      <c r="F712" s="54"/>
      <c r="G712" s="54"/>
      <c r="H712" s="54"/>
      <c r="I712" s="54"/>
      <c r="J712" s="54"/>
      <c r="K712" s="54"/>
      <c r="L712" s="54"/>
      <c r="M712" s="2"/>
      <c r="N712" s="54"/>
      <c r="P712" s="2"/>
      <c r="Q712" s="2"/>
      <c r="R712" s="2"/>
      <c r="S712" s="368"/>
      <c r="T712" s="2"/>
      <c r="U712" s="2"/>
    </row>
    <row r="713" spans="1:21" ht="12.95" customHeight="1">
      <c r="A713" s="2"/>
      <c r="B713" s="2"/>
      <c r="C713" s="2"/>
      <c r="D713" s="54"/>
      <c r="E713" s="54"/>
      <c r="F713" s="54"/>
      <c r="G713" s="54"/>
      <c r="H713" s="54"/>
      <c r="I713" s="54"/>
      <c r="J713" s="54"/>
      <c r="K713" s="54"/>
      <c r="L713" s="54"/>
      <c r="M713" s="2"/>
      <c r="N713" s="54"/>
      <c r="P713" s="2"/>
      <c r="Q713" s="2"/>
      <c r="R713" s="2"/>
      <c r="S713" s="368"/>
      <c r="T713" s="2"/>
      <c r="U713" s="2"/>
    </row>
    <row r="714" spans="1:21" ht="12.95" customHeight="1">
      <c r="A714" s="2"/>
      <c r="B714" s="2"/>
      <c r="C714" s="2"/>
      <c r="D714" s="54"/>
      <c r="E714" s="54"/>
      <c r="F714" s="54"/>
      <c r="G714" s="54"/>
      <c r="H714" s="54"/>
      <c r="I714" s="54"/>
      <c r="J714" s="54"/>
      <c r="K714" s="54"/>
      <c r="L714" s="54"/>
      <c r="M714" s="2"/>
      <c r="N714" s="54"/>
      <c r="P714" s="2"/>
      <c r="Q714" s="2"/>
      <c r="R714" s="2"/>
      <c r="S714" s="368"/>
      <c r="T714" s="2"/>
      <c r="U714" s="2"/>
    </row>
    <row r="715" spans="1:21" ht="12.95" customHeight="1">
      <c r="A715" s="2"/>
      <c r="B715" s="2"/>
      <c r="C715" s="2"/>
      <c r="D715" s="54"/>
      <c r="E715" s="54"/>
      <c r="F715" s="54"/>
      <c r="G715" s="54"/>
      <c r="H715" s="54"/>
      <c r="I715" s="54"/>
      <c r="J715" s="54"/>
      <c r="K715" s="54"/>
      <c r="L715" s="54"/>
      <c r="M715" s="2"/>
      <c r="N715" s="54"/>
      <c r="P715" s="2"/>
      <c r="Q715" s="2"/>
      <c r="R715" s="2"/>
      <c r="S715" s="368"/>
      <c r="T715" s="2"/>
      <c r="U715" s="2"/>
    </row>
    <row r="716" spans="1:21" ht="12.95" customHeight="1">
      <c r="A716" s="2"/>
      <c r="B716" s="2"/>
      <c r="C716" s="2"/>
      <c r="D716" s="54"/>
      <c r="E716" s="54"/>
      <c r="F716" s="54"/>
      <c r="G716" s="54"/>
      <c r="H716" s="54"/>
      <c r="I716" s="54"/>
      <c r="J716" s="54"/>
      <c r="K716" s="54"/>
      <c r="L716" s="54"/>
      <c r="M716" s="2"/>
      <c r="N716" s="54"/>
      <c r="P716" s="2"/>
      <c r="Q716" s="2"/>
      <c r="R716" s="2"/>
      <c r="S716" s="368"/>
      <c r="T716" s="2"/>
      <c r="U716" s="2"/>
    </row>
    <row r="717" spans="1:21" ht="12.95" customHeight="1">
      <c r="A717" s="2"/>
      <c r="B717" s="2"/>
      <c r="C717" s="2"/>
      <c r="D717" s="54"/>
      <c r="E717" s="54"/>
      <c r="F717" s="54"/>
      <c r="G717" s="54"/>
      <c r="H717" s="54"/>
      <c r="I717" s="54"/>
      <c r="J717" s="54"/>
      <c r="K717" s="54"/>
      <c r="L717" s="54"/>
      <c r="M717" s="2"/>
      <c r="N717" s="54"/>
      <c r="P717" s="2"/>
      <c r="Q717" s="2"/>
      <c r="R717" s="2"/>
      <c r="S717" s="368"/>
      <c r="T717" s="2"/>
      <c r="U717" s="2"/>
    </row>
    <row r="718" spans="1:21" ht="12.95" customHeight="1">
      <c r="A718" s="2"/>
      <c r="B718" s="2"/>
      <c r="C718" s="2"/>
      <c r="D718" s="54"/>
      <c r="E718" s="54"/>
      <c r="F718" s="54"/>
      <c r="G718" s="54"/>
      <c r="H718" s="54"/>
      <c r="I718" s="54"/>
      <c r="J718" s="54"/>
      <c r="K718" s="54"/>
      <c r="L718" s="54"/>
      <c r="M718" s="2"/>
      <c r="N718" s="54"/>
      <c r="P718" s="2"/>
      <c r="Q718" s="2"/>
      <c r="R718" s="2"/>
      <c r="S718" s="368"/>
      <c r="T718" s="2"/>
      <c r="U718" s="2"/>
    </row>
    <row r="719" spans="1:21" ht="12.95" customHeight="1">
      <c r="A719" s="2"/>
      <c r="B719" s="2"/>
      <c r="C719" s="2"/>
      <c r="D719" s="54"/>
      <c r="E719" s="54"/>
      <c r="F719" s="54"/>
      <c r="G719" s="54"/>
      <c r="H719" s="54"/>
      <c r="I719" s="54"/>
      <c r="J719" s="54"/>
      <c r="K719" s="54"/>
      <c r="L719" s="54"/>
      <c r="M719" s="2"/>
      <c r="N719" s="54"/>
      <c r="P719" s="2"/>
      <c r="Q719" s="2"/>
      <c r="R719" s="2"/>
      <c r="S719" s="368"/>
      <c r="T719" s="2"/>
      <c r="U719" s="2"/>
    </row>
    <row r="720" spans="1:21" ht="12.95" customHeight="1">
      <c r="A720" s="2"/>
      <c r="B720" s="2"/>
      <c r="C720" s="2"/>
      <c r="D720" s="54"/>
      <c r="E720" s="54"/>
      <c r="F720" s="54"/>
      <c r="G720" s="54"/>
      <c r="H720" s="54"/>
      <c r="I720" s="54"/>
      <c r="J720" s="54"/>
      <c r="K720" s="54"/>
      <c r="L720" s="54"/>
      <c r="M720" s="2"/>
      <c r="N720" s="54"/>
      <c r="P720" s="2"/>
      <c r="Q720" s="2"/>
      <c r="R720" s="2"/>
      <c r="S720" s="368"/>
      <c r="T720" s="2"/>
      <c r="U720" s="2"/>
    </row>
    <row r="721" spans="1:21" ht="12.95" customHeight="1">
      <c r="A721" s="2"/>
      <c r="B721" s="2"/>
      <c r="C721" s="2"/>
      <c r="D721" s="54"/>
      <c r="E721" s="54"/>
      <c r="F721" s="54"/>
      <c r="G721" s="54"/>
      <c r="H721" s="54"/>
      <c r="I721" s="54"/>
      <c r="J721" s="54"/>
      <c r="K721" s="54"/>
      <c r="L721" s="54"/>
      <c r="M721" s="2"/>
      <c r="N721" s="54"/>
      <c r="P721" s="2"/>
      <c r="Q721" s="2"/>
      <c r="R721" s="2"/>
      <c r="S721" s="368"/>
      <c r="T721" s="2"/>
      <c r="U721" s="2"/>
    </row>
    <row r="722" spans="1:21" ht="12.95" customHeight="1">
      <c r="A722" s="2"/>
      <c r="B722" s="2"/>
      <c r="C722" s="2"/>
      <c r="D722" s="54"/>
      <c r="E722" s="54"/>
      <c r="F722" s="54"/>
      <c r="G722" s="54"/>
      <c r="H722" s="54"/>
      <c r="I722" s="54"/>
      <c r="J722" s="54"/>
      <c r="K722" s="54"/>
      <c r="L722" s="54"/>
      <c r="M722" s="2"/>
      <c r="N722" s="54"/>
      <c r="P722" s="2"/>
      <c r="Q722" s="2"/>
      <c r="R722" s="2"/>
      <c r="S722" s="368"/>
      <c r="T722" s="2"/>
      <c r="U722" s="2"/>
    </row>
    <row r="723" spans="1:21" ht="12.95" customHeight="1">
      <c r="A723" s="2"/>
      <c r="B723" s="2"/>
      <c r="C723" s="2"/>
      <c r="D723" s="54"/>
      <c r="E723" s="54"/>
      <c r="F723" s="54"/>
      <c r="G723" s="54"/>
      <c r="H723" s="54"/>
      <c r="I723" s="54"/>
      <c r="J723" s="54"/>
      <c r="K723" s="54"/>
      <c r="L723" s="54"/>
      <c r="M723" s="2"/>
      <c r="N723" s="54"/>
      <c r="P723" s="2"/>
      <c r="Q723" s="2"/>
      <c r="R723" s="2"/>
      <c r="S723" s="368"/>
      <c r="T723" s="2"/>
      <c r="U723" s="2"/>
    </row>
    <row r="724" spans="1:21" ht="12.95" customHeight="1">
      <c r="A724" s="2"/>
      <c r="B724" s="2"/>
      <c r="C724" s="2"/>
      <c r="D724" s="54"/>
      <c r="E724" s="54"/>
      <c r="F724" s="54"/>
      <c r="G724" s="54"/>
      <c r="H724" s="54"/>
      <c r="I724" s="54"/>
      <c r="J724" s="54"/>
      <c r="K724" s="54"/>
      <c r="L724" s="54"/>
      <c r="M724" s="2"/>
      <c r="N724" s="54"/>
      <c r="P724" s="2"/>
      <c r="Q724" s="2"/>
      <c r="R724" s="2"/>
      <c r="S724" s="368"/>
      <c r="T724" s="2"/>
      <c r="U724" s="2"/>
    </row>
    <row r="725" spans="1:21" ht="12.95" customHeight="1">
      <c r="A725" s="2"/>
      <c r="B725" s="2"/>
      <c r="C725" s="2"/>
      <c r="D725" s="54"/>
      <c r="E725" s="54"/>
      <c r="F725" s="54"/>
      <c r="G725" s="54"/>
      <c r="H725" s="54"/>
      <c r="I725" s="54"/>
      <c r="J725" s="54"/>
      <c r="K725" s="54"/>
      <c r="L725" s="54"/>
      <c r="M725" s="2"/>
      <c r="N725" s="54"/>
      <c r="P725" s="2"/>
      <c r="Q725" s="2"/>
      <c r="R725" s="2"/>
      <c r="S725" s="368"/>
      <c r="T725" s="2"/>
      <c r="U725" s="2"/>
    </row>
    <row r="726" spans="1:21" ht="12.95" customHeight="1">
      <c r="A726" s="2"/>
      <c r="B726" s="2"/>
      <c r="C726" s="2"/>
      <c r="D726" s="54"/>
      <c r="E726" s="54"/>
      <c r="F726" s="54"/>
      <c r="G726" s="54"/>
      <c r="H726" s="54"/>
      <c r="I726" s="54"/>
      <c r="J726" s="54"/>
      <c r="K726" s="54"/>
      <c r="L726" s="54"/>
      <c r="M726" s="2"/>
      <c r="N726" s="54"/>
      <c r="P726" s="2"/>
      <c r="Q726" s="2"/>
      <c r="R726" s="2"/>
      <c r="S726" s="368"/>
      <c r="T726" s="2"/>
      <c r="U726" s="2"/>
    </row>
    <row r="727" spans="1:21" ht="12.95" customHeight="1">
      <c r="A727" s="2"/>
      <c r="B727" s="2"/>
      <c r="C727" s="2"/>
      <c r="D727" s="54"/>
      <c r="E727" s="54"/>
      <c r="F727" s="54"/>
      <c r="G727" s="54"/>
      <c r="H727" s="54"/>
      <c r="I727" s="54"/>
      <c r="J727" s="54"/>
      <c r="K727" s="54"/>
      <c r="L727" s="54"/>
      <c r="M727" s="2"/>
      <c r="N727" s="54"/>
      <c r="P727" s="2"/>
      <c r="Q727" s="2"/>
      <c r="R727" s="2"/>
      <c r="S727" s="368"/>
      <c r="T727" s="2"/>
      <c r="U727" s="2"/>
    </row>
    <row r="728" spans="1:21" ht="12.95" customHeight="1">
      <c r="A728" s="2"/>
      <c r="B728" s="2"/>
      <c r="C728" s="2"/>
      <c r="D728" s="54"/>
      <c r="E728" s="54"/>
      <c r="F728" s="54"/>
      <c r="G728" s="54"/>
      <c r="H728" s="54"/>
      <c r="I728" s="54"/>
      <c r="J728" s="54"/>
      <c r="K728" s="54"/>
      <c r="L728" s="54"/>
      <c r="M728" s="2"/>
      <c r="N728" s="54"/>
      <c r="P728" s="2"/>
      <c r="Q728" s="2"/>
      <c r="R728" s="2"/>
      <c r="S728" s="368"/>
      <c r="T728" s="2"/>
      <c r="U728" s="2"/>
    </row>
    <row r="729" spans="1:21" ht="12.95" customHeight="1">
      <c r="A729" s="2"/>
      <c r="B729" s="2"/>
      <c r="C729" s="2"/>
      <c r="D729" s="54"/>
      <c r="E729" s="54"/>
      <c r="F729" s="54"/>
      <c r="G729" s="54"/>
      <c r="H729" s="54"/>
      <c r="I729" s="54"/>
      <c r="J729" s="54"/>
      <c r="K729" s="54"/>
      <c r="L729" s="54"/>
      <c r="M729" s="2"/>
      <c r="N729" s="54"/>
      <c r="P729" s="2"/>
      <c r="Q729" s="2"/>
      <c r="R729" s="2"/>
      <c r="S729" s="368"/>
      <c r="T729" s="2"/>
      <c r="U729" s="2"/>
    </row>
    <row r="730" spans="1:21" ht="12.95" customHeight="1">
      <c r="A730" s="2"/>
      <c r="B730" s="2"/>
      <c r="C730" s="2"/>
      <c r="D730" s="54"/>
      <c r="E730" s="54"/>
      <c r="F730" s="54"/>
      <c r="G730" s="54"/>
      <c r="H730" s="54"/>
      <c r="I730" s="54"/>
      <c r="J730" s="54"/>
      <c r="K730" s="54"/>
      <c r="L730" s="54"/>
      <c r="M730" s="2"/>
      <c r="N730" s="54"/>
      <c r="P730" s="2"/>
      <c r="Q730" s="2"/>
      <c r="R730" s="2"/>
      <c r="S730" s="368"/>
      <c r="T730" s="2"/>
      <c r="U730" s="2"/>
    </row>
    <row r="731" spans="1:21" ht="12.95" customHeight="1">
      <c r="A731" s="2"/>
      <c r="B731" s="2"/>
      <c r="C731" s="2"/>
      <c r="D731" s="54"/>
      <c r="E731" s="54"/>
      <c r="F731" s="54"/>
      <c r="G731" s="54"/>
      <c r="H731" s="54"/>
      <c r="I731" s="54"/>
      <c r="J731" s="54"/>
      <c r="K731" s="54"/>
      <c r="L731" s="54"/>
      <c r="M731" s="2"/>
      <c r="N731" s="54"/>
      <c r="P731" s="2"/>
      <c r="Q731" s="2"/>
      <c r="R731" s="2"/>
      <c r="S731" s="368"/>
      <c r="T731" s="2"/>
      <c r="U731" s="2"/>
    </row>
    <row r="732" spans="1:21" ht="12.95" customHeight="1">
      <c r="A732" s="2"/>
      <c r="B732" s="2"/>
      <c r="C732" s="2"/>
      <c r="D732" s="54"/>
      <c r="E732" s="54"/>
      <c r="F732" s="54"/>
      <c r="G732" s="54"/>
      <c r="H732" s="54"/>
      <c r="I732" s="54"/>
      <c r="J732" s="54"/>
      <c r="K732" s="54"/>
      <c r="L732" s="54"/>
      <c r="M732" s="2"/>
      <c r="N732" s="54"/>
      <c r="P732" s="2"/>
      <c r="Q732" s="2"/>
      <c r="R732" s="2"/>
      <c r="S732" s="368"/>
      <c r="T732" s="2"/>
      <c r="U732" s="2"/>
    </row>
    <row r="733" spans="1:21" ht="12.95" customHeight="1">
      <c r="A733" s="2"/>
      <c r="B733" s="2"/>
      <c r="C733" s="2"/>
      <c r="D733" s="54"/>
      <c r="E733" s="54"/>
      <c r="F733" s="54"/>
      <c r="G733" s="54"/>
      <c r="H733" s="54"/>
      <c r="I733" s="54"/>
      <c r="J733" s="54"/>
      <c r="K733" s="54"/>
      <c r="L733" s="54"/>
      <c r="M733" s="2"/>
      <c r="N733" s="54"/>
      <c r="P733" s="2"/>
      <c r="Q733" s="2"/>
      <c r="R733" s="2"/>
      <c r="S733" s="368"/>
      <c r="T733" s="2"/>
      <c r="U733" s="2"/>
    </row>
    <row r="734" spans="1:21" ht="12.95" customHeight="1">
      <c r="A734" s="2"/>
      <c r="B734" s="2"/>
      <c r="C734" s="2"/>
      <c r="D734" s="54"/>
      <c r="E734" s="54"/>
      <c r="F734" s="54"/>
      <c r="G734" s="54"/>
      <c r="H734" s="54"/>
      <c r="I734" s="54"/>
      <c r="J734" s="54"/>
      <c r="K734" s="54"/>
      <c r="L734" s="54"/>
      <c r="M734" s="2"/>
      <c r="N734" s="54"/>
      <c r="P734" s="2"/>
      <c r="Q734" s="2"/>
      <c r="R734" s="2"/>
      <c r="S734" s="368"/>
      <c r="T734" s="2"/>
      <c r="U734" s="2"/>
    </row>
    <row r="735" spans="1:21" ht="12.95" customHeight="1">
      <c r="A735" s="2"/>
      <c r="B735" s="2"/>
      <c r="C735" s="2"/>
      <c r="D735" s="54"/>
      <c r="E735" s="54"/>
      <c r="F735" s="54"/>
      <c r="G735" s="54"/>
      <c r="H735" s="54"/>
      <c r="I735" s="54"/>
      <c r="J735" s="54"/>
      <c r="K735" s="54"/>
      <c r="L735" s="54"/>
      <c r="M735" s="2"/>
      <c r="N735" s="54"/>
      <c r="P735" s="2"/>
      <c r="Q735" s="2"/>
      <c r="R735" s="2"/>
      <c r="S735" s="368"/>
      <c r="T735" s="2"/>
      <c r="U735" s="2"/>
    </row>
    <row r="736" spans="1:21" ht="12.95" customHeight="1">
      <c r="A736" s="2"/>
      <c r="B736" s="2"/>
      <c r="C736" s="2"/>
      <c r="D736" s="54"/>
      <c r="E736" s="54"/>
      <c r="F736" s="54"/>
      <c r="G736" s="54"/>
      <c r="H736" s="54"/>
      <c r="I736" s="54"/>
      <c r="J736" s="54"/>
      <c r="K736" s="54"/>
      <c r="L736" s="54"/>
      <c r="M736" s="2"/>
      <c r="N736" s="54"/>
      <c r="P736" s="2"/>
      <c r="Q736" s="2"/>
      <c r="R736" s="2"/>
      <c r="S736" s="368"/>
      <c r="T736" s="2"/>
      <c r="U736" s="2"/>
    </row>
    <row r="737" spans="1:21" ht="12.95" customHeight="1">
      <c r="A737" s="2"/>
      <c r="B737" s="2"/>
      <c r="C737" s="2"/>
      <c r="D737" s="54"/>
      <c r="E737" s="54"/>
      <c r="F737" s="54"/>
      <c r="G737" s="54"/>
      <c r="H737" s="54"/>
      <c r="I737" s="54"/>
      <c r="J737" s="54"/>
      <c r="K737" s="54"/>
      <c r="L737" s="54"/>
      <c r="M737" s="2"/>
      <c r="N737" s="54"/>
      <c r="P737" s="2"/>
      <c r="Q737" s="2"/>
      <c r="R737" s="2"/>
      <c r="S737" s="368"/>
      <c r="T737" s="2"/>
      <c r="U737" s="2"/>
    </row>
    <row r="738" spans="1:21" ht="12.95" customHeight="1">
      <c r="A738" s="2"/>
      <c r="B738" s="2"/>
      <c r="C738" s="2"/>
      <c r="D738" s="54"/>
      <c r="E738" s="54"/>
      <c r="F738" s="54"/>
      <c r="G738" s="54"/>
      <c r="H738" s="54"/>
      <c r="I738" s="54"/>
      <c r="J738" s="54"/>
      <c r="K738" s="54"/>
      <c r="L738" s="54"/>
      <c r="M738" s="2"/>
      <c r="N738" s="54"/>
      <c r="P738" s="2"/>
      <c r="Q738" s="2"/>
      <c r="R738" s="2"/>
      <c r="S738" s="368"/>
      <c r="T738" s="2"/>
      <c r="U738" s="2"/>
    </row>
    <row r="739" spans="1:21" ht="12.95" customHeight="1">
      <c r="A739" s="2"/>
      <c r="B739" s="2"/>
      <c r="C739" s="2"/>
      <c r="D739" s="54"/>
      <c r="E739" s="54"/>
      <c r="F739" s="54"/>
      <c r="G739" s="54"/>
      <c r="H739" s="54"/>
      <c r="I739" s="54"/>
      <c r="J739" s="54"/>
      <c r="K739" s="54"/>
      <c r="L739" s="54"/>
      <c r="M739" s="2"/>
      <c r="N739" s="54"/>
      <c r="P739" s="2"/>
      <c r="Q739" s="2"/>
      <c r="R739" s="2"/>
      <c r="S739" s="368"/>
      <c r="T739" s="2"/>
      <c r="U739" s="2"/>
    </row>
    <row r="740" spans="1:21" ht="12.95" customHeight="1">
      <c r="A740" s="2"/>
      <c r="B740" s="2"/>
      <c r="C740" s="2"/>
      <c r="D740" s="54"/>
      <c r="E740" s="54"/>
      <c r="F740" s="54"/>
      <c r="G740" s="54"/>
      <c r="H740" s="54"/>
      <c r="I740" s="54"/>
      <c r="J740" s="54"/>
      <c r="K740" s="54"/>
      <c r="L740" s="54"/>
      <c r="M740" s="2"/>
      <c r="N740" s="54"/>
      <c r="P740" s="2"/>
      <c r="Q740" s="2"/>
      <c r="R740" s="2"/>
      <c r="S740" s="368"/>
      <c r="T740" s="2"/>
      <c r="U740" s="2"/>
    </row>
    <row r="741" spans="1:21" ht="12.95" customHeight="1">
      <c r="A741" s="2"/>
      <c r="B741" s="2"/>
      <c r="C741" s="2"/>
      <c r="D741" s="54"/>
      <c r="E741" s="54"/>
      <c r="F741" s="54"/>
      <c r="G741" s="54"/>
      <c r="H741" s="54"/>
      <c r="I741" s="54"/>
      <c r="J741" s="54"/>
      <c r="K741" s="54"/>
      <c r="L741" s="54"/>
      <c r="M741" s="2"/>
      <c r="N741" s="54"/>
      <c r="P741" s="2"/>
      <c r="Q741" s="2"/>
      <c r="R741" s="2"/>
      <c r="S741" s="368"/>
      <c r="T741" s="2"/>
      <c r="U741" s="2"/>
    </row>
    <row r="742" spans="1:21" ht="12.95" customHeight="1">
      <c r="A742" s="2"/>
      <c r="B742" s="2"/>
      <c r="C742" s="2"/>
      <c r="D742" s="54"/>
      <c r="E742" s="54"/>
      <c r="F742" s="54"/>
      <c r="G742" s="54"/>
      <c r="H742" s="54"/>
      <c r="I742" s="54"/>
      <c r="J742" s="54"/>
      <c r="K742" s="54"/>
      <c r="L742" s="54"/>
      <c r="M742" s="2"/>
      <c r="N742" s="54"/>
      <c r="P742" s="2"/>
      <c r="Q742" s="2"/>
      <c r="R742" s="2"/>
      <c r="S742" s="368"/>
      <c r="T742" s="2"/>
      <c r="U742" s="2"/>
    </row>
    <row r="743" spans="1:21" ht="12.95" customHeight="1">
      <c r="A743" s="2"/>
      <c r="B743" s="2"/>
      <c r="C743" s="2"/>
      <c r="D743" s="54"/>
      <c r="E743" s="54"/>
      <c r="F743" s="54"/>
      <c r="G743" s="54"/>
      <c r="H743" s="54"/>
      <c r="I743" s="54"/>
      <c r="J743" s="54"/>
      <c r="K743" s="54"/>
      <c r="L743" s="54"/>
      <c r="M743" s="2"/>
      <c r="N743" s="54"/>
      <c r="P743" s="2"/>
      <c r="Q743" s="2"/>
      <c r="R743" s="2"/>
      <c r="S743" s="368"/>
      <c r="T743" s="2"/>
      <c r="U743" s="2"/>
    </row>
    <row r="744" spans="1:21" ht="12.95" customHeight="1">
      <c r="A744" s="2"/>
      <c r="B744" s="2"/>
      <c r="C744" s="2"/>
      <c r="D744" s="54"/>
      <c r="E744" s="54"/>
      <c r="F744" s="54"/>
      <c r="G744" s="54"/>
      <c r="H744" s="54"/>
      <c r="I744" s="54"/>
      <c r="J744" s="54"/>
      <c r="K744" s="54"/>
      <c r="L744" s="54"/>
      <c r="M744" s="2"/>
      <c r="N744" s="54"/>
      <c r="P744" s="2"/>
      <c r="Q744" s="2"/>
      <c r="R744" s="2"/>
      <c r="S744" s="368"/>
      <c r="T744" s="2"/>
      <c r="U744" s="2"/>
    </row>
    <row r="745" spans="1:21" ht="12.95" customHeight="1">
      <c r="A745" s="2"/>
      <c r="B745" s="2"/>
      <c r="C745" s="2"/>
      <c r="D745" s="54"/>
      <c r="E745" s="54"/>
      <c r="F745" s="54"/>
      <c r="G745" s="54"/>
      <c r="H745" s="54"/>
      <c r="I745" s="54"/>
      <c r="J745" s="54"/>
      <c r="K745" s="54"/>
      <c r="L745" s="54"/>
      <c r="M745" s="2"/>
      <c r="N745" s="54"/>
      <c r="P745" s="2"/>
      <c r="Q745" s="2"/>
      <c r="R745" s="2"/>
      <c r="S745" s="368"/>
      <c r="T745" s="2"/>
      <c r="U745" s="2"/>
    </row>
    <row r="746" spans="1:21" ht="12.95" customHeight="1">
      <c r="A746" s="2"/>
      <c r="B746" s="2"/>
      <c r="C746" s="2"/>
      <c r="D746" s="54"/>
      <c r="E746" s="54"/>
      <c r="F746" s="54"/>
      <c r="G746" s="54"/>
      <c r="H746" s="54"/>
      <c r="I746" s="54"/>
      <c r="J746" s="54"/>
      <c r="K746" s="54"/>
      <c r="L746" s="54"/>
      <c r="M746" s="2"/>
      <c r="N746" s="54"/>
      <c r="P746" s="2"/>
      <c r="Q746" s="2"/>
      <c r="R746" s="2"/>
      <c r="S746" s="368"/>
      <c r="T746" s="2"/>
      <c r="U746" s="2"/>
    </row>
    <row r="747" spans="1:21" ht="12.95" customHeight="1">
      <c r="A747" s="2"/>
      <c r="B747" s="2"/>
      <c r="C747" s="2"/>
      <c r="D747" s="54"/>
      <c r="E747" s="54"/>
      <c r="F747" s="54"/>
      <c r="G747" s="54"/>
      <c r="H747" s="54"/>
      <c r="I747" s="54"/>
      <c r="J747" s="54"/>
      <c r="K747" s="54"/>
      <c r="L747" s="54"/>
      <c r="M747" s="2"/>
      <c r="N747" s="54"/>
      <c r="P747" s="2"/>
      <c r="Q747" s="2"/>
      <c r="R747" s="2"/>
      <c r="S747" s="368"/>
      <c r="T747" s="2"/>
      <c r="U747" s="2"/>
    </row>
    <row r="748" spans="1:21" ht="12.95" customHeight="1">
      <c r="A748" s="2"/>
      <c r="B748" s="2"/>
      <c r="C748" s="2"/>
      <c r="D748" s="54"/>
      <c r="E748" s="54"/>
      <c r="F748" s="54"/>
      <c r="G748" s="54"/>
      <c r="H748" s="54"/>
      <c r="I748" s="54"/>
      <c r="J748" s="54"/>
      <c r="K748" s="54"/>
      <c r="L748" s="54"/>
      <c r="M748" s="2"/>
      <c r="N748" s="54"/>
      <c r="P748" s="2"/>
      <c r="Q748" s="2"/>
      <c r="R748" s="2"/>
      <c r="S748" s="368"/>
      <c r="T748" s="2"/>
      <c r="U748" s="2"/>
    </row>
    <row r="749" spans="1:21" ht="12.95" customHeight="1">
      <c r="A749" s="2"/>
      <c r="B749" s="2"/>
      <c r="C749" s="2"/>
      <c r="D749" s="54"/>
      <c r="E749" s="54"/>
      <c r="F749" s="54"/>
      <c r="G749" s="54"/>
      <c r="H749" s="54"/>
      <c r="I749" s="54"/>
      <c r="J749" s="54"/>
      <c r="K749" s="54"/>
      <c r="L749" s="54"/>
      <c r="M749" s="2"/>
      <c r="N749" s="54"/>
      <c r="P749" s="2"/>
      <c r="Q749" s="2"/>
      <c r="R749" s="2"/>
      <c r="S749" s="368"/>
      <c r="T749" s="2"/>
      <c r="U749" s="2"/>
    </row>
    <row r="750" spans="1:21" ht="12.95" customHeight="1">
      <c r="A750" s="2"/>
      <c r="B750" s="2"/>
      <c r="C750" s="2"/>
      <c r="D750" s="54"/>
      <c r="E750" s="54"/>
      <c r="F750" s="54"/>
      <c r="G750" s="54"/>
      <c r="H750" s="54"/>
      <c r="I750" s="54"/>
      <c r="J750" s="54"/>
      <c r="K750" s="54"/>
      <c r="L750" s="54"/>
      <c r="M750" s="2"/>
      <c r="N750" s="54"/>
      <c r="P750" s="2"/>
      <c r="Q750" s="2"/>
      <c r="R750" s="2"/>
      <c r="S750" s="368"/>
      <c r="T750" s="2"/>
      <c r="U750" s="2"/>
    </row>
    <row r="751" spans="1:21" ht="12.95" customHeight="1">
      <c r="A751" s="2"/>
      <c r="B751" s="2"/>
      <c r="C751" s="2"/>
      <c r="D751" s="54"/>
      <c r="E751" s="54"/>
      <c r="F751" s="54"/>
      <c r="G751" s="54"/>
      <c r="H751" s="54"/>
      <c r="I751" s="54"/>
      <c r="J751" s="54"/>
      <c r="K751" s="54"/>
      <c r="L751" s="54"/>
      <c r="M751" s="2"/>
      <c r="N751" s="54"/>
      <c r="P751" s="2"/>
      <c r="Q751" s="2"/>
      <c r="R751" s="2"/>
      <c r="S751" s="368"/>
      <c r="T751" s="2"/>
      <c r="U751" s="2"/>
    </row>
    <row r="752" spans="1:21" ht="12.95" customHeight="1">
      <c r="A752" s="2"/>
      <c r="B752" s="2"/>
      <c r="C752" s="2"/>
      <c r="D752" s="54"/>
      <c r="E752" s="54"/>
      <c r="F752" s="54"/>
      <c r="G752" s="54"/>
      <c r="H752" s="54"/>
      <c r="I752" s="54"/>
      <c r="J752" s="54"/>
      <c r="K752" s="54"/>
      <c r="L752" s="54"/>
      <c r="M752" s="2"/>
      <c r="N752" s="54"/>
      <c r="P752" s="2"/>
      <c r="Q752" s="2"/>
      <c r="R752" s="2"/>
      <c r="S752" s="368"/>
      <c r="T752" s="2"/>
      <c r="U752" s="2"/>
    </row>
    <row r="753" spans="1:21" ht="12.95" customHeight="1">
      <c r="A753" s="2"/>
      <c r="B753" s="2"/>
      <c r="C753" s="2"/>
      <c r="D753" s="54"/>
      <c r="E753" s="54"/>
      <c r="F753" s="54"/>
      <c r="G753" s="54"/>
      <c r="H753" s="54"/>
      <c r="I753" s="54"/>
      <c r="J753" s="54"/>
      <c r="K753" s="54"/>
      <c r="L753" s="54"/>
      <c r="M753" s="2"/>
      <c r="N753" s="54"/>
      <c r="P753" s="2"/>
      <c r="Q753" s="2"/>
      <c r="R753" s="2"/>
      <c r="S753" s="368"/>
      <c r="T753" s="2"/>
      <c r="U753" s="2"/>
    </row>
    <row r="754" spans="1:21" ht="12.95" customHeight="1">
      <c r="A754" s="2"/>
      <c r="B754" s="2"/>
      <c r="C754" s="2"/>
      <c r="D754" s="54"/>
      <c r="E754" s="54"/>
      <c r="F754" s="54"/>
      <c r="G754" s="54"/>
      <c r="H754" s="54"/>
      <c r="I754" s="54"/>
      <c r="J754" s="54"/>
      <c r="K754" s="54"/>
      <c r="L754" s="54"/>
      <c r="M754" s="2"/>
      <c r="N754" s="54"/>
      <c r="P754" s="2"/>
      <c r="Q754" s="2"/>
      <c r="R754" s="2"/>
      <c r="S754" s="368"/>
      <c r="T754" s="2"/>
      <c r="U754" s="2"/>
    </row>
    <row r="755" spans="1:21" ht="12.95" customHeight="1">
      <c r="A755" s="2"/>
      <c r="B755" s="2"/>
      <c r="C755" s="2"/>
      <c r="D755" s="54"/>
      <c r="E755" s="54"/>
      <c r="F755" s="54"/>
      <c r="G755" s="54"/>
      <c r="H755" s="54"/>
      <c r="I755" s="54"/>
      <c r="J755" s="54"/>
      <c r="K755" s="54"/>
      <c r="L755" s="54"/>
      <c r="M755" s="2"/>
      <c r="N755" s="54"/>
      <c r="P755" s="2"/>
      <c r="Q755" s="2"/>
      <c r="R755" s="2"/>
      <c r="S755" s="368"/>
      <c r="T755" s="2"/>
      <c r="U755" s="2"/>
    </row>
    <row r="756" spans="1:21" ht="12.95" customHeight="1">
      <c r="A756" s="2"/>
      <c r="B756" s="2"/>
      <c r="C756" s="2"/>
      <c r="D756" s="54"/>
      <c r="E756" s="54"/>
      <c r="F756" s="54"/>
      <c r="G756" s="54"/>
      <c r="H756" s="54"/>
      <c r="I756" s="54"/>
      <c r="J756" s="54"/>
      <c r="K756" s="54"/>
      <c r="L756" s="54"/>
      <c r="M756" s="2"/>
      <c r="N756" s="54"/>
      <c r="P756" s="2"/>
      <c r="Q756" s="2"/>
      <c r="R756" s="2"/>
      <c r="S756" s="368"/>
      <c r="T756" s="2"/>
      <c r="U756" s="2"/>
    </row>
    <row r="757" spans="1:21" ht="12.95" customHeight="1">
      <c r="A757" s="2"/>
      <c r="B757" s="2"/>
      <c r="C757" s="2"/>
      <c r="D757" s="54"/>
      <c r="E757" s="54"/>
      <c r="F757" s="54"/>
      <c r="G757" s="54"/>
      <c r="H757" s="54"/>
      <c r="I757" s="54"/>
      <c r="J757" s="54"/>
      <c r="K757" s="54"/>
      <c r="L757" s="54"/>
      <c r="M757" s="2"/>
      <c r="N757" s="54"/>
      <c r="P757" s="2"/>
      <c r="Q757" s="2"/>
      <c r="R757" s="2"/>
      <c r="S757" s="368"/>
      <c r="T757" s="2"/>
      <c r="U757" s="2"/>
    </row>
    <row r="758" spans="1:21" ht="12.95" customHeight="1">
      <c r="A758" s="2"/>
      <c r="B758" s="2"/>
      <c r="C758" s="2"/>
      <c r="D758" s="54"/>
      <c r="E758" s="54"/>
      <c r="F758" s="54"/>
      <c r="G758" s="54"/>
      <c r="H758" s="54"/>
      <c r="I758" s="54"/>
      <c r="J758" s="54"/>
      <c r="K758" s="54"/>
      <c r="L758" s="54"/>
      <c r="M758" s="2"/>
      <c r="N758" s="54"/>
      <c r="P758" s="2"/>
      <c r="Q758" s="2"/>
      <c r="R758" s="2"/>
      <c r="S758" s="368"/>
      <c r="T758" s="2"/>
      <c r="U758" s="2"/>
    </row>
    <row r="759" spans="1:21" ht="12.95" customHeight="1">
      <c r="A759" s="2"/>
      <c r="B759" s="2"/>
      <c r="C759" s="2"/>
      <c r="D759" s="54"/>
      <c r="E759" s="54"/>
      <c r="F759" s="54"/>
      <c r="G759" s="54"/>
      <c r="H759" s="54"/>
      <c r="I759" s="54"/>
      <c r="J759" s="54"/>
      <c r="K759" s="54"/>
      <c r="L759" s="54"/>
      <c r="M759" s="2"/>
      <c r="N759" s="54"/>
      <c r="P759" s="2"/>
      <c r="Q759" s="2"/>
      <c r="R759" s="2"/>
      <c r="S759" s="368"/>
      <c r="T759" s="2"/>
      <c r="U759" s="2"/>
    </row>
    <row r="760" spans="1:21" ht="12.95" customHeight="1">
      <c r="A760" s="2"/>
      <c r="B760" s="2"/>
      <c r="C760" s="2"/>
      <c r="D760" s="54"/>
      <c r="E760" s="54"/>
      <c r="F760" s="54"/>
      <c r="G760" s="54"/>
      <c r="H760" s="54"/>
      <c r="I760" s="54"/>
      <c r="J760" s="54"/>
      <c r="K760" s="54"/>
      <c r="L760" s="54"/>
      <c r="M760" s="2"/>
      <c r="N760" s="54"/>
      <c r="P760" s="2"/>
      <c r="Q760" s="2"/>
      <c r="R760" s="2"/>
      <c r="S760" s="368"/>
      <c r="T760" s="2"/>
      <c r="U760" s="2"/>
    </row>
    <row r="761" spans="1:21" ht="12.95" customHeight="1">
      <c r="A761" s="2"/>
      <c r="B761" s="2"/>
      <c r="C761" s="2"/>
      <c r="D761" s="54"/>
      <c r="E761" s="54"/>
      <c r="F761" s="54"/>
      <c r="G761" s="54"/>
      <c r="H761" s="54"/>
      <c r="I761" s="54"/>
      <c r="J761" s="54"/>
      <c r="K761" s="54"/>
      <c r="L761" s="54"/>
      <c r="M761" s="2"/>
      <c r="N761" s="54"/>
      <c r="P761" s="2"/>
      <c r="Q761" s="2"/>
      <c r="R761" s="2"/>
      <c r="S761" s="368"/>
      <c r="T761" s="2"/>
      <c r="U761" s="2"/>
    </row>
    <row r="762" spans="1:21" ht="12.95" customHeight="1">
      <c r="A762" s="2"/>
      <c r="B762" s="2"/>
      <c r="C762" s="2"/>
      <c r="D762" s="54"/>
      <c r="E762" s="54"/>
      <c r="F762" s="54"/>
      <c r="G762" s="54"/>
      <c r="H762" s="54"/>
      <c r="I762" s="54"/>
      <c r="J762" s="54"/>
      <c r="K762" s="54"/>
      <c r="L762" s="54"/>
      <c r="M762" s="2"/>
      <c r="N762" s="54"/>
      <c r="P762" s="2"/>
      <c r="Q762" s="2"/>
      <c r="R762" s="2"/>
      <c r="S762" s="368"/>
      <c r="T762" s="2"/>
      <c r="U762" s="2"/>
    </row>
    <row r="763" spans="1:21" ht="12.95" customHeight="1">
      <c r="A763" s="2"/>
      <c r="B763" s="2"/>
      <c r="C763" s="2"/>
      <c r="D763" s="54"/>
      <c r="E763" s="54"/>
      <c r="F763" s="54"/>
      <c r="G763" s="54"/>
      <c r="H763" s="54"/>
      <c r="I763" s="54"/>
      <c r="J763" s="54"/>
      <c r="K763" s="54"/>
      <c r="L763" s="54"/>
      <c r="M763" s="2"/>
      <c r="N763" s="54"/>
      <c r="P763" s="2"/>
      <c r="Q763" s="2"/>
      <c r="R763" s="2"/>
      <c r="S763" s="368"/>
      <c r="T763" s="2"/>
      <c r="U763" s="2"/>
    </row>
    <row r="764" spans="1:21" ht="12.95" customHeight="1">
      <c r="A764" s="2"/>
      <c r="B764" s="2"/>
      <c r="C764" s="2"/>
      <c r="D764" s="54"/>
      <c r="E764" s="54"/>
      <c r="F764" s="54"/>
      <c r="G764" s="54"/>
      <c r="H764" s="54"/>
      <c r="I764" s="54"/>
      <c r="J764" s="54"/>
      <c r="K764" s="54"/>
      <c r="L764" s="54"/>
      <c r="M764" s="2"/>
      <c r="N764" s="54"/>
      <c r="P764" s="2"/>
      <c r="Q764" s="2"/>
      <c r="R764" s="2"/>
      <c r="S764" s="368"/>
      <c r="T764" s="2"/>
      <c r="U764" s="2"/>
    </row>
    <row r="765" spans="1:21" ht="12.95" customHeight="1">
      <c r="A765" s="2"/>
      <c r="B765" s="2"/>
      <c r="C765" s="2"/>
      <c r="D765" s="54"/>
      <c r="E765" s="54"/>
      <c r="F765" s="54"/>
      <c r="G765" s="54"/>
      <c r="H765" s="54"/>
      <c r="I765" s="54"/>
      <c r="J765" s="54"/>
      <c r="K765" s="54"/>
      <c r="L765" s="54"/>
      <c r="M765" s="2"/>
      <c r="N765" s="54"/>
      <c r="P765" s="2"/>
      <c r="Q765" s="2"/>
      <c r="R765" s="2"/>
      <c r="S765" s="368"/>
      <c r="T765" s="2"/>
      <c r="U765" s="2"/>
    </row>
    <row r="766" spans="1:21" ht="12.95" customHeight="1">
      <c r="A766" s="2"/>
      <c r="B766" s="2"/>
      <c r="C766" s="2"/>
      <c r="D766" s="54"/>
      <c r="E766" s="54"/>
      <c r="F766" s="54"/>
      <c r="G766" s="54"/>
      <c r="H766" s="54"/>
      <c r="I766" s="54"/>
      <c r="J766" s="54"/>
      <c r="K766" s="54"/>
      <c r="L766" s="54"/>
      <c r="M766" s="2"/>
      <c r="N766" s="54"/>
      <c r="P766" s="2"/>
      <c r="Q766" s="2"/>
      <c r="R766" s="2"/>
      <c r="S766" s="368"/>
      <c r="T766" s="2"/>
      <c r="U766" s="2"/>
    </row>
    <row r="767" spans="1:21" ht="12.95" customHeight="1">
      <c r="A767" s="2"/>
      <c r="B767" s="2"/>
      <c r="C767" s="2"/>
      <c r="D767" s="54"/>
      <c r="E767" s="54"/>
      <c r="F767" s="54"/>
      <c r="G767" s="54"/>
      <c r="H767" s="54"/>
      <c r="I767" s="54"/>
      <c r="J767" s="54"/>
      <c r="K767" s="54"/>
      <c r="L767" s="54"/>
      <c r="M767" s="2"/>
      <c r="N767" s="54"/>
      <c r="P767" s="2"/>
      <c r="Q767" s="2"/>
      <c r="R767" s="2"/>
      <c r="S767" s="368"/>
      <c r="T767" s="2"/>
      <c r="U767" s="2"/>
    </row>
    <row r="768" spans="1:21" ht="12.95" customHeight="1">
      <c r="A768" s="2"/>
      <c r="B768" s="2"/>
      <c r="C768" s="2"/>
      <c r="D768" s="54"/>
      <c r="E768" s="54"/>
      <c r="F768" s="54"/>
      <c r="G768" s="54"/>
      <c r="H768" s="54"/>
      <c r="I768" s="54"/>
      <c r="J768" s="54"/>
      <c r="K768" s="54"/>
      <c r="L768" s="54"/>
      <c r="M768" s="2"/>
      <c r="N768" s="54"/>
      <c r="P768" s="2"/>
      <c r="Q768" s="2"/>
      <c r="R768" s="2"/>
      <c r="S768" s="368"/>
      <c r="T768" s="2"/>
      <c r="U768" s="2"/>
    </row>
    <row r="769" spans="1:21" ht="12.95" customHeight="1">
      <c r="A769" s="2"/>
      <c r="B769" s="2"/>
      <c r="C769" s="2"/>
      <c r="D769" s="54"/>
      <c r="E769" s="54"/>
      <c r="F769" s="54"/>
      <c r="G769" s="54"/>
      <c r="H769" s="54"/>
      <c r="I769" s="54"/>
      <c r="J769" s="54"/>
      <c r="K769" s="54"/>
      <c r="L769" s="54"/>
      <c r="M769" s="2"/>
      <c r="N769" s="54"/>
      <c r="P769" s="2"/>
      <c r="Q769" s="2"/>
      <c r="R769" s="2"/>
      <c r="S769" s="368"/>
      <c r="T769" s="2"/>
      <c r="U769" s="2"/>
    </row>
    <row r="770" spans="1:21" ht="12.95" customHeight="1">
      <c r="A770" s="2"/>
      <c r="B770" s="2"/>
      <c r="C770" s="2"/>
      <c r="D770" s="54"/>
      <c r="E770" s="54"/>
      <c r="F770" s="54"/>
      <c r="G770" s="54"/>
      <c r="H770" s="54"/>
      <c r="I770" s="54"/>
      <c r="J770" s="54"/>
      <c r="K770" s="54"/>
      <c r="L770" s="54"/>
      <c r="M770" s="2"/>
      <c r="N770" s="54"/>
      <c r="P770" s="2"/>
      <c r="Q770" s="2"/>
      <c r="R770" s="2"/>
      <c r="S770" s="368"/>
      <c r="T770" s="2"/>
      <c r="U770" s="2"/>
    </row>
    <row r="771" spans="1:21" ht="12.95" customHeight="1">
      <c r="A771" s="2"/>
      <c r="B771" s="2"/>
      <c r="C771" s="2"/>
      <c r="D771" s="54"/>
      <c r="E771" s="54"/>
      <c r="F771" s="54"/>
      <c r="G771" s="54"/>
      <c r="H771" s="54"/>
      <c r="I771" s="54"/>
      <c r="J771" s="54"/>
      <c r="K771" s="54"/>
      <c r="L771" s="54"/>
      <c r="M771" s="2"/>
      <c r="N771" s="54"/>
      <c r="P771" s="2"/>
      <c r="Q771" s="2"/>
      <c r="R771" s="2"/>
      <c r="S771" s="368"/>
      <c r="T771" s="2"/>
      <c r="U771" s="2"/>
    </row>
    <row r="772" spans="1:21" ht="12.95" customHeight="1">
      <c r="A772" s="2"/>
      <c r="B772" s="2"/>
      <c r="C772" s="2"/>
      <c r="D772" s="54"/>
      <c r="E772" s="54"/>
      <c r="F772" s="54"/>
      <c r="G772" s="54"/>
      <c r="H772" s="54"/>
      <c r="I772" s="54"/>
      <c r="J772" s="54"/>
      <c r="K772" s="54"/>
      <c r="L772" s="54"/>
      <c r="M772" s="2"/>
      <c r="N772" s="54"/>
      <c r="P772" s="2"/>
      <c r="Q772" s="2"/>
      <c r="R772" s="2"/>
      <c r="S772" s="368"/>
      <c r="T772" s="2"/>
      <c r="U772" s="2"/>
    </row>
    <row r="773" spans="1:21" ht="12.95" customHeight="1">
      <c r="A773" s="2"/>
      <c r="B773" s="2"/>
      <c r="C773" s="2"/>
      <c r="D773" s="54"/>
      <c r="E773" s="54"/>
      <c r="F773" s="54"/>
      <c r="G773" s="54"/>
      <c r="H773" s="54"/>
      <c r="I773" s="54"/>
      <c r="J773" s="54"/>
      <c r="K773" s="54"/>
      <c r="L773" s="54"/>
      <c r="M773" s="2"/>
      <c r="N773" s="54"/>
      <c r="P773" s="2"/>
      <c r="Q773" s="2"/>
      <c r="R773" s="2"/>
      <c r="S773" s="368"/>
      <c r="T773" s="2"/>
      <c r="U773" s="2"/>
    </row>
    <row r="774" spans="1:21" ht="12.95" customHeight="1">
      <c r="A774" s="2"/>
      <c r="B774" s="2"/>
      <c r="C774" s="2"/>
      <c r="D774" s="54"/>
      <c r="E774" s="54"/>
      <c r="F774" s="54"/>
      <c r="G774" s="54"/>
      <c r="H774" s="54"/>
      <c r="I774" s="54"/>
      <c r="J774" s="54"/>
      <c r="K774" s="54"/>
      <c r="L774" s="54"/>
      <c r="M774" s="2"/>
      <c r="N774" s="54"/>
      <c r="P774" s="2"/>
      <c r="Q774" s="2"/>
      <c r="R774" s="2"/>
      <c r="S774" s="368"/>
      <c r="T774" s="2"/>
      <c r="U774" s="2"/>
    </row>
    <row r="775" spans="1:21" ht="12.95" customHeight="1">
      <c r="A775" s="2"/>
      <c r="B775" s="2"/>
      <c r="C775" s="2"/>
      <c r="D775" s="54"/>
      <c r="E775" s="54"/>
      <c r="F775" s="54"/>
      <c r="G775" s="54"/>
      <c r="H775" s="54"/>
      <c r="I775" s="54"/>
      <c r="J775" s="54"/>
      <c r="K775" s="54"/>
      <c r="L775" s="54"/>
      <c r="M775" s="2"/>
      <c r="N775" s="54"/>
      <c r="P775" s="2"/>
      <c r="Q775" s="2"/>
      <c r="R775" s="2"/>
      <c r="S775" s="368"/>
      <c r="T775" s="2"/>
      <c r="U775" s="2"/>
    </row>
    <row r="776" spans="1:21" ht="12.95" customHeight="1">
      <c r="A776" s="2"/>
      <c r="B776" s="2"/>
      <c r="C776" s="2"/>
      <c r="D776" s="54"/>
      <c r="E776" s="54"/>
      <c r="F776" s="54"/>
      <c r="G776" s="54"/>
      <c r="H776" s="54"/>
      <c r="I776" s="54"/>
      <c r="J776" s="54"/>
      <c r="K776" s="54"/>
      <c r="L776" s="54"/>
      <c r="M776" s="2"/>
      <c r="N776" s="54"/>
      <c r="P776" s="2"/>
      <c r="Q776" s="2"/>
      <c r="R776" s="2"/>
      <c r="S776" s="368"/>
      <c r="T776" s="2"/>
      <c r="U776" s="2"/>
    </row>
    <row r="777" spans="1:21" ht="12.95" customHeight="1">
      <c r="A777" s="2"/>
      <c r="B777" s="2"/>
      <c r="C777" s="2"/>
      <c r="D777" s="54"/>
      <c r="E777" s="54"/>
      <c r="F777" s="54"/>
      <c r="G777" s="54"/>
      <c r="H777" s="54"/>
      <c r="I777" s="54"/>
      <c r="J777" s="54"/>
      <c r="K777" s="54"/>
      <c r="L777" s="54"/>
      <c r="M777" s="2"/>
      <c r="N777" s="54"/>
      <c r="P777" s="2"/>
      <c r="Q777" s="2"/>
      <c r="R777" s="2"/>
      <c r="S777" s="368"/>
      <c r="T777" s="2"/>
      <c r="U777" s="2"/>
    </row>
    <row r="778" spans="1:21" ht="12.95" customHeight="1">
      <c r="A778" s="2"/>
      <c r="B778" s="2"/>
      <c r="C778" s="2"/>
      <c r="D778" s="54"/>
      <c r="E778" s="54"/>
      <c r="F778" s="54"/>
      <c r="G778" s="54"/>
      <c r="H778" s="54"/>
      <c r="I778" s="54"/>
      <c r="J778" s="54"/>
      <c r="K778" s="54"/>
      <c r="L778" s="54"/>
      <c r="M778" s="2"/>
      <c r="N778" s="54"/>
      <c r="P778" s="2"/>
      <c r="Q778" s="2"/>
      <c r="R778" s="2"/>
      <c r="S778" s="368"/>
      <c r="T778" s="2"/>
      <c r="U778" s="2"/>
    </row>
    <row r="779" spans="1:21" ht="12.95" customHeight="1">
      <c r="A779" s="2"/>
      <c r="B779" s="2"/>
      <c r="C779" s="2"/>
      <c r="D779" s="54"/>
      <c r="E779" s="54"/>
      <c r="F779" s="54"/>
      <c r="G779" s="54"/>
      <c r="H779" s="54"/>
      <c r="I779" s="54"/>
      <c r="J779" s="54"/>
      <c r="K779" s="54"/>
      <c r="L779" s="54"/>
      <c r="M779" s="2"/>
      <c r="N779" s="54"/>
      <c r="P779" s="2"/>
      <c r="Q779" s="2"/>
      <c r="R779" s="2"/>
      <c r="S779" s="368"/>
      <c r="T779" s="2"/>
      <c r="U779" s="2"/>
    </row>
    <row r="780" spans="1:21" ht="12.95" customHeight="1">
      <c r="A780" s="2"/>
      <c r="B780" s="2"/>
      <c r="C780" s="2"/>
      <c r="D780" s="54"/>
      <c r="E780" s="54"/>
      <c r="F780" s="54"/>
      <c r="G780" s="54"/>
      <c r="H780" s="54"/>
      <c r="I780" s="54"/>
      <c r="J780" s="54"/>
      <c r="K780" s="54"/>
      <c r="L780" s="54"/>
      <c r="M780" s="2"/>
      <c r="N780" s="54"/>
      <c r="P780" s="2"/>
      <c r="Q780" s="2"/>
      <c r="R780" s="2"/>
      <c r="S780" s="368"/>
      <c r="T780" s="2"/>
      <c r="U780" s="2"/>
    </row>
    <row r="781" spans="1:21" ht="12.95" customHeight="1">
      <c r="A781" s="2"/>
      <c r="B781" s="2"/>
      <c r="C781" s="2"/>
      <c r="D781" s="54"/>
      <c r="E781" s="54"/>
      <c r="F781" s="54"/>
      <c r="G781" s="54"/>
      <c r="H781" s="54"/>
      <c r="I781" s="54"/>
      <c r="J781" s="54"/>
      <c r="K781" s="54"/>
      <c r="L781" s="54"/>
      <c r="M781" s="2"/>
      <c r="N781" s="54"/>
      <c r="P781" s="2"/>
      <c r="Q781" s="2"/>
      <c r="R781" s="2"/>
      <c r="S781" s="368"/>
      <c r="T781" s="2"/>
      <c r="U781" s="2"/>
    </row>
    <row r="782" spans="1:21" ht="12.95" customHeight="1">
      <c r="A782" s="2"/>
      <c r="B782" s="2"/>
      <c r="C782" s="2"/>
      <c r="D782" s="54"/>
      <c r="E782" s="54"/>
      <c r="F782" s="54"/>
      <c r="G782" s="54"/>
      <c r="H782" s="54"/>
      <c r="I782" s="54"/>
      <c r="J782" s="54"/>
      <c r="K782" s="54"/>
      <c r="L782" s="54"/>
      <c r="M782" s="2"/>
      <c r="N782" s="54"/>
      <c r="P782" s="2"/>
      <c r="Q782" s="2"/>
      <c r="R782" s="2"/>
      <c r="S782" s="368"/>
      <c r="T782" s="2"/>
      <c r="U782" s="2"/>
    </row>
    <row r="783" spans="1:21" ht="12.95" customHeight="1">
      <c r="A783" s="2"/>
      <c r="B783" s="2"/>
      <c r="C783" s="2"/>
      <c r="D783" s="54"/>
      <c r="E783" s="54"/>
      <c r="F783" s="54"/>
      <c r="G783" s="54"/>
      <c r="H783" s="54"/>
      <c r="I783" s="54"/>
      <c r="J783" s="54"/>
      <c r="K783" s="54"/>
      <c r="L783" s="54"/>
      <c r="M783" s="2"/>
      <c r="N783" s="54"/>
      <c r="P783" s="2"/>
      <c r="Q783" s="2"/>
      <c r="R783" s="2"/>
      <c r="S783" s="368"/>
      <c r="T783" s="2"/>
      <c r="U783" s="2"/>
    </row>
    <row r="784" spans="1:21" ht="12.95" customHeight="1">
      <c r="A784" s="2"/>
      <c r="B784" s="2"/>
      <c r="C784" s="2"/>
      <c r="D784" s="54"/>
      <c r="E784" s="54"/>
      <c r="F784" s="54"/>
      <c r="G784" s="54"/>
      <c r="H784" s="54"/>
      <c r="I784" s="54"/>
      <c r="J784" s="54"/>
      <c r="K784" s="54"/>
      <c r="L784" s="54"/>
      <c r="M784" s="2"/>
      <c r="N784" s="54"/>
      <c r="P784" s="2"/>
      <c r="Q784" s="2"/>
      <c r="R784" s="2"/>
      <c r="S784" s="368"/>
      <c r="T784" s="2"/>
      <c r="U784" s="2"/>
    </row>
    <row r="785" spans="1:21" ht="12.95" customHeight="1">
      <c r="A785" s="2"/>
      <c r="B785" s="2"/>
      <c r="C785" s="2"/>
      <c r="D785" s="54"/>
      <c r="E785" s="54"/>
      <c r="F785" s="54"/>
      <c r="G785" s="54"/>
      <c r="H785" s="54"/>
      <c r="I785" s="54"/>
      <c r="J785" s="54"/>
      <c r="K785" s="54"/>
      <c r="L785" s="54"/>
      <c r="M785" s="2"/>
      <c r="N785" s="54"/>
      <c r="P785" s="2"/>
      <c r="Q785" s="2"/>
      <c r="R785" s="2"/>
      <c r="S785" s="368"/>
      <c r="T785" s="2"/>
      <c r="U785" s="2"/>
    </row>
    <row r="786" spans="1:21" ht="12.95" customHeight="1">
      <c r="A786" s="2"/>
      <c r="B786" s="2"/>
      <c r="C786" s="2"/>
      <c r="D786" s="54"/>
      <c r="E786" s="54"/>
      <c r="F786" s="54"/>
      <c r="G786" s="54"/>
      <c r="H786" s="54"/>
      <c r="I786" s="54"/>
      <c r="J786" s="54"/>
      <c r="K786" s="54"/>
      <c r="L786" s="54"/>
      <c r="M786" s="2"/>
      <c r="N786" s="54"/>
      <c r="P786" s="2"/>
      <c r="Q786" s="2"/>
      <c r="R786" s="2"/>
      <c r="S786" s="368"/>
      <c r="T786" s="2"/>
      <c r="U786" s="2"/>
    </row>
    <row r="787" spans="1:21" ht="12.95" customHeight="1">
      <c r="A787" s="2"/>
      <c r="B787" s="2"/>
      <c r="C787" s="2"/>
      <c r="D787" s="54"/>
      <c r="E787" s="54"/>
      <c r="F787" s="54"/>
      <c r="G787" s="54"/>
      <c r="H787" s="54"/>
      <c r="I787" s="54"/>
      <c r="J787" s="54"/>
      <c r="K787" s="54"/>
      <c r="L787" s="54"/>
      <c r="M787" s="2"/>
      <c r="N787" s="54"/>
      <c r="P787" s="2"/>
      <c r="Q787" s="2"/>
      <c r="R787" s="2"/>
      <c r="S787" s="368"/>
      <c r="T787" s="2"/>
      <c r="U787" s="2"/>
    </row>
    <row r="788" spans="1:21" ht="12.95" customHeight="1">
      <c r="A788" s="2"/>
      <c r="B788" s="2"/>
      <c r="C788" s="2"/>
      <c r="D788" s="54"/>
      <c r="E788" s="54"/>
      <c r="F788" s="54"/>
      <c r="G788" s="54"/>
      <c r="H788" s="54"/>
      <c r="I788" s="54"/>
      <c r="J788" s="54"/>
      <c r="K788" s="54"/>
      <c r="L788" s="54"/>
      <c r="M788" s="2"/>
      <c r="N788" s="54"/>
      <c r="P788" s="2"/>
      <c r="Q788" s="2"/>
      <c r="R788" s="2"/>
      <c r="S788" s="368"/>
      <c r="T788" s="2"/>
      <c r="U788" s="2"/>
    </row>
    <row r="789" spans="1:21" ht="12.95" customHeight="1">
      <c r="A789" s="2"/>
      <c r="B789" s="2"/>
      <c r="C789" s="2"/>
      <c r="D789" s="54"/>
      <c r="E789" s="54"/>
      <c r="F789" s="54"/>
      <c r="G789" s="54"/>
      <c r="H789" s="54"/>
      <c r="I789" s="54"/>
      <c r="J789" s="54"/>
      <c r="K789" s="54"/>
      <c r="L789" s="54"/>
      <c r="M789" s="2"/>
      <c r="N789" s="54"/>
      <c r="P789" s="2"/>
      <c r="Q789" s="2"/>
      <c r="R789" s="2"/>
      <c r="S789" s="368"/>
      <c r="T789" s="2"/>
      <c r="U789" s="2"/>
    </row>
    <row r="790" spans="1:21" ht="12.95" customHeight="1">
      <c r="A790" s="2"/>
      <c r="B790" s="2"/>
      <c r="C790" s="2"/>
      <c r="D790" s="54"/>
      <c r="E790" s="54"/>
      <c r="F790" s="54"/>
      <c r="G790" s="54"/>
      <c r="H790" s="54"/>
      <c r="I790" s="54"/>
      <c r="J790" s="54"/>
      <c r="K790" s="54"/>
      <c r="L790" s="54"/>
      <c r="M790" s="2"/>
      <c r="N790" s="54"/>
      <c r="P790" s="2"/>
      <c r="Q790" s="2"/>
      <c r="R790" s="2"/>
      <c r="S790" s="368"/>
      <c r="T790" s="2"/>
      <c r="U790" s="2"/>
    </row>
    <row r="791" spans="1:21" ht="12.95" customHeight="1">
      <c r="A791" s="2"/>
      <c r="B791" s="2"/>
      <c r="C791" s="2"/>
      <c r="D791" s="54"/>
      <c r="E791" s="54"/>
      <c r="F791" s="54"/>
      <c r="G791" s="54"/>
      <c r="H791" s="54"/>
      <c r="I791" s="54"/>
      <c r="J791" s="54"/>
      <c r="K791" s="54"/>
      <c r="L791" s="54"/>
      <c r="M791" s="2"/>
      <c r="N791" s="54"/>
      <c r="P791" s="2"/>
      <c r="Q791" s="2"/>
      <c r="R791" s="2"/>
      <c r="S791" s="368"/>
      <c r="T791" s="2"/>
      <c r="U791" s="2"/>
    </row>
    <row r="792" spans="1:21" ht="12.95" customHeight="1">
      <c r="A792" s="2"/>
      <c r="B792" s="2"/>
      <c r="C792" s="2"/>
      <c r="D792" s="54"/>
      <c r="E792" s="54"/>
      <c r="F792" s="54"/>
      <c r="G792" s="54"/>
      <c r="H792" s="54"/>
      <c r="I792" s="54"/>
      <c r="J792" s="54"/>
      <c r="K792" s="54"/>
      <c r="L792" s="54"/>
      <c r="M792" s="2"/>
      <c r="N792" s="54"/>
      <c r="P792" s="2"/>
      <c r="Q792" s="2"/>
      <c r="R792" s="2"/>
      <c r="S792" s="368"/>
      <c r="T792" s="2"/>
      <c r="U792" s="2"/>
    </row>
    <row r="793" spans="1:21" ht="12.95" customHeight="1">
      <c r="A793" s="2"/>
      <c r="B793" s="2"/>
      <c r="C793" s="2"/>
      <c r="D793" s="54"/>
      <c r="E793" s="54"/>
      <c r="F793" s="54"/>
      <c r="G793" s="54"/>
      <c r="H793" s="54"/>
      <c r="I793" s="54"/>
      <c r="J793" s="54"/>
      <c r="K793" s="54"/>
      <c r="L793" s="54"/>
      <c r="M793" s="2"/>
      <c r="N793" s="54"/>
      <c r="P793" s="2"/>
      <c r="Q793" s="2"/>
      <c r="R793" s="2"/>
      <c r="S793" s="368"/>
      <c r="T793" s="2"/>
      <c r="U793" s="2"/>
    </row>
    <row r="794" spans="1:21" ht="12.95" customHeight="1">
      <c r="A794" s="2"/>
      <c r="B794" s="2"/>
      <c r="C794" s="2"/>
      <c r="D794" s="54"/>
      <c r="E794" s="54"/>
      <c r="F794" s="54"/>
      <c r="G794" s="54"/>
      <c r="H794" s="54"/>
      <c r="I794" s="54"/>
      <c r="J794" s="54"/>
      <c r="K794" s="54"/>
      <c r="L794" s="54"/>
      <c r="M794" s="2"/>
      <c r="N794" s="54"/>
      <c r="P794" s="2"/>
      <c r="Q794" s="2"/>
      <c r="R794" s="2"/>
      <c r="S794" s="368"/>
      <c r="T794" s="2"/>
      <c r="U794" s="2"/>
    </row>
    <row r="795" spans="1:21" ht="12.95" customHeight="1">
      <c r="A795" s="2"/>
      <c r="B795" s="2"/>
      <c r="C795" s="2"/>
      <c r="D795" s="54"/>
      <c r="E795" s="54"/>
      <c r="F795" s="54"/>
      <c r="G795" s="54"/>
      <c r="H795" s="54"/>
      <c r="I795" s="54"/>
      <c r="J795" s="54"/>
      <c r="K795" s="54"/>
      <c r="L795" s="54"/>
      <c r="M795" s="2"/>
      <c r="N795" s="54"/>
      <c r="P795" s="2"/>
      <c r="Q795" s="2"/>
      <c r="R795" s="2"/>
      <c r="S795" s="368"/>
      <c r="T795" s="2"/>
      <c r="U795" s="2"/>
    </row>
    <row r="796" spans="1:21" ht="12.95" customHeight="1">
      <c r="A796" s="2"/>
      <c r="B796" s="2"/>
      <c r="C796" s="2"/>
      <c r="D796" s="54"/>
      <c r="E796" s="54"/>
      <c r="F796" s="54"/>
      <c r="G796" s="54"/>
      <c r="H796" s="54"/>
      <c r="I796" s="54"/>
      <c r="J796" s="54"/>
      <c r="K796" s="54"/>
      <c r="L796" s="54"/>
      <c r="M796" s="2"/>
      <c r="N796" s="54"/>
      <c r="P796" s="2"/>
      <c r="Q796" s="2"/>
      <c r="R796" s="2"/>
      <c r="S796" s="368"/>
      <c r="T796" s="2"/>
      <c r="U796" s="2"/>
    </row>
    <row r="797" spans="1:21" ht="12.95" customHeight="1">
      <c r="A797" s="2"/>
      <c r="B797" s="2"/>
      <c r="C797" s="2"/>
      <c r="D797" s="54"/>
      <c r="E797" s="54"/>
      <c r="F797" s="54"/>
      <c r="G797" s="54"/>
      <c r="H797" s="54"/>
      <c r="I797" s="54"/>
      <c r="J797" s="54"/>
      <c r="K797" s="54"/>
      <c r="L797" s="54"/>
      <c r="M797" s="2"/>
      <c r="N797" s="54"/>
      <c r="P797" s="2"/>
      <c r="Q797" s="2"/>
      <c r="R797" s="2"/>
      <c r="S797" s="368"/>
      <c r="T797" s="2"/>
      <c r="U797" s="2"/>
    </row>
    <row r="798" spans="1:21" ht="12.95" customHeight="1">
      <c r="A798" s="2"/>
      <c r="B798" s="2"/>
      <c r="C798" s="2"/>
      <c r="D798" s="54"/>
      <c r="E798" s="54"/>
      <c r="F798" s="54"/>
      <c r="G798" s="54"/>
      <c r="H798" s="54"/>
      <c r="I798" s="54"/>
      <c r="J798" s="54"/>
      <c r="K798" s="54"/>
      <c r="L798" s="54"/>
      <c r="M798" s="2"/>
      <c r="N798" s="54"/>
      <c r="P798" s="2"/>
      <c r="Q798" s="2"/>
      <c r="R798" s="2"/>
      <c r="S798" s="368"/>
      <c r="T798" s="2"/>
      <c r="U798" s="2"/>
    </row>
    <row r="799" spans="1:21" ht="12.95" customHeight="1">
      <c r="A799" s="2"/>
      <c r="B799" s="2"/>
      <c r="C799" s="2"/>
      <c r="D799" s="54"/>
      <c r="E799" s="54"/>
      <c r="F799" s="54"/>
      <c r="G799" s="54"/>
      <c r="H799" s="54"/>
      <c r="I799" s="54"/>
      <c r="J799" s="54"/>
      <c r="K799" s="54"/>
      <c r="L799" s="54"/>
      <c r="M799" s="2"/>
      <c r="N799" s="54"/>
      <c r="P799" s="2"/>
      <c r="Q799" s="2"/>
      <c r="R799" s="2"/>
      <c r="S799" s="368"/>
      <c r="T799" s="2"/>
      <c r="U799" s="2"/>
    </row>
    <row r="800" spans="1:21" ht="12.95" customHeight="1">
      <c r="A800" s="2"/>
      <c r="B800" s="2"/>
      <c r="C800" s="2"/>
      <c r="D800" s="54"/>
      <c r="E800" s="54"/>
      <c r="F800" s="54"/>
      <c r="G800" s="54"/>
      <c r="H800" s="54"/>
      <c r="I800" s="54"/>
      <c r="J800" s="54"/>
      <c r="K800" s="54"/>
      <c r="L800" s="54"/>
      <c r="M800" s="2"/>
      <c r="N800" s="54"/>
      <c r="P800" s="2"/>
      <c r="Q800" s="2"/>
      <c r="R800" s="2"/>
      <c r="S800" s="368"/>
      <c r="T800" s="2"/>
      <c r="U800" s="2"/>
    </row>
    <row r="801" spans="1:21" ht="12.95" customHeight="1">
      <c r="A801" s="2"/>
      <c r="B801" s="2"/>
      <c r="C801" s="2"/>
      <c r="D801" s="54"/>
      <c r="E801" s="54"/>
      <c r="F801" s="54"/>
      <c r="G801" s="54"/>
      <c r="H801" s="54"/>
      <c r="I801" s="54"/>
      <c r="J801" s="54"/>
      <c r="K801" s="54"/>
      <c r="L801" s="54"/>
      <c r="M801" s="2"/>
      <c r="N801" s="54"/>
      <c r="P801" s="2"/>
      <c r="Q801" s="2"/>
      <c r="R801" s="2"/>
      <c r="S801" s="368"/>
      <c r="T801" s="2"/>
      <c r="U801" s="2"/>
    </row>
    <row r="802" spans="1:21" ht="12.95" customHeight="1">
      <c r="A802" s="2"/>
      <c r="B802" s="2"/>
      <c r="C802" s="2"/>
      <c r="D802" s="54"/>
      <c r="E802" s="54"/>
      <c r="F802" s="54"/>
      <c r="G802" s="54"/>
      <c r="H802" s="54"/>
      <c r="I802" s="54"/>
      <c r="J802" s="54"/>
      <c r="K802" s="54"/>
      <c r="L802" s="54"/>
      <c r="M802" s="2"/>
      <c r="N802" s="54"/>
      <c r="P802" s="2"/>
      <c r="Q802" s="2"/>
      <c r="R802" s="2"/>
      <c r="S802" s="368"/>
      <c r="T802" s="2"/>
      <c r="U802" s="2"/>
    </row>
    <row r="803" spans="1:21" ht="12.95" customHeight="1">
      <c r="A803" s="2"/>
      <c r="B803" s="2"/>
      <c r="C803" s="2"/>
      <c r="D803" s="54"/>
      <c r="E803" s="54"/>
      <c r="F803" s="54"/>
      <c r="G803" s="54"/>
      <c r="H803" s="54"/>
      <c r="I803" s="54"/>
      <c r="J803" s="54"/>
      <c r="K803" s="54"/>
      <c r="L803" s="54"/>
      <c r="M803" s="2"/>
      <c r="N803" s="54"/>
      <c r="P803" s="2"/>
      <c r="Q803" s="2"/>
      <c r="R803" s="2"/>
      <c r="S803" s="368"/>
      <c r="T803" s="2"/>
      <c r="U803" s="2"/>
    </row>
    <row r="804" spans="1:21" ht="12.95" customHeight="1">
      <c r="A804" s="2"/>
      <c r="B804" s="2"/>
      <c r="C804" s="2"/>
      <c r="D804" s="54"/>
      <c r="E804" s="54"/>
      <c r="F804" s="54"/>
      <c r="G804" s="54"/>
      <c r="H804" s="54"/>
      <c r="I804" s="54"/>
      <c r="J804" s="54"/>
      <c r="K804" s="54"/>
      <c r="L804" s="54"/>
      <c r="M804" s="2"/>
      <c r="N804" s="54"/>
      <c r="P804" s="2"/>
      <c r="Q804" s="2"/>
      <c r="R804" s="2"/>
      <c r="S804" s="368"/>
      <c r="T804" s="2"/>
      <c r="U804" s="2"/>
    </row>
    <row r="805" spans="1:21" ht="12.95" customHeight="1">
      <c r="A805" s="2"/>
      <c r="B805" s="2"/>
      <c r="C805" s="2"/>
      <c r="D805" s="54"/>
      <c r="E805" s="54"/>
      <c r="F805" s="54"/>
      <c r="G805" s="54"/>
      <c r="H805" s="54"/>
      <c r="I805" s="54"/>
      <c r="J805" s="54"/>
      <c r="K805" s="54"/>
      <c r="L805" s="54"/>
      <c r="M805" s="2"/>
      <c r="N805" s="54"/>
      <c r="P805" s="2"/>
      <c r="Q805" s="2"/>
      <c r="R805" s="2"/>
      <c r="S805" s="368"/>
      <c r="T805" s="2"/>
      <c r="U805" s="2"/>
    </row>
    <row r="806" spans="1:21" ht="12.95" customHeight="1">
      <c r="A806" s="2"/>
      <c r="B806" s="2"/>
      <c r="C806" s="2"/>
      <c r="D806" s="54"/>
      <c r="E806" s="54"/>
      <c r="F806" s="54"/>
      <c r="G806" s="54"/>
      <c r="H806" s="54"/>
      <c r="I806" s="54"/>
      <c r="J806" s="54"/>
      <c r="K806" s="54"/>
      <c r="L806" s="54"/>
      <c r="M806" s="2"/>
      <c r="N806" s="54"/>
      <c r="P806" s="2"/>
      <c r="Q806" s="2"/>
      <c r="R806" s="2"/>
      <c r="S806" s="368"/>
      <c r="T806" s="2"/>
      <c r="U806" s="2"/>
    </row>
    <row r="807" spans="1:21" ht="12.95" customHeight="1">
      <c r="A807" s="2"/>
      <c r="B807" s="2"/>
      <c r="C807" s="2"/>
      <c r="D807" s="54"/>
      <c r="E807" s="54"/>
      <c r="F807" s="54"/>
      <c r="G807" s="54"/>
      <c r="H807" s="54"/>
      <c r="I807" s="54"/>
      <c r="J807" s="54"/>
      <c r="K807" s="54"/>
      <c r="L807" s="54"/>
      <c r="M807" s="2"/>
      <c r="N807" s="54"/>
      <c r="P807" s="2"/>
      <c r="Q807" s="2"/>
      <c r="R807" s="2"/>
      <c r="S807" s="368"/>
      <c r="T807" s="2"/>
      <c r="U807" s="2"/>
    </row>
    <row r="808" spans="1:21" ht="12.95" customHeight="1">
      <c r="A808" s="2"/>
      <c r="B808" s="2"/>
      <c r="C808" s="2"/>
      <c r="D808" s="54"/>
      <c r="E808" s="54"/>
      <c r="F808" s="54"/>
      <c r="G808" s="54"/>
      <c r="H808" s="54"/>
      <c r="I808" s="54"/>
      <c r="J808" s="54"/>
      <c r="K808" s="54"/>
      <c r="L808" s="54"/>
      <c r="M808" s="2"/>
      <c r="N808" s="54"/>
      <c r="P808" s="2"/>
      <c r="Q808" s="2"/>
      <c r="R808" s="2"/>
      <c r="S808" s="368"/>
      <c r="T808" s="2"/>
      <c r="U808" s="2"/>
    </row>
    <row r="809" spans="1:21" ht="12.95" customHeight="1">
      <c r="A809" s="2"/>
      <c r="B809" s="2"/>
      <c r="C809" s="2"/>
      <c r="D809" s="54"/>
      <c r="E809" s="54"/>
      <c r="F809" s="54"/>
      <c r="G809" s="54"/>
      <c r="H809" s="54"/>
      <c r="I809" s="54"/>
      <c r="J809" s="54"/>
      <c r="K809" s="54"/>
      <c r="L809" s="54"/>
      <c r="M809" s="2"/>
      <c r="N809" s="54"/>
      <c r="P809" s="2"/>
      <c r="Q809" s="2"/>
      <c r="R809" s="2"/>
      <c r="S809" s="368"/>
      <c r="T809" s="2"/>
      <c r="U809" s="2"/>
    </row>
    <row r="810" spans="1:21" ht="12.95" customHeight="1">
      <c r="A810" s="2"/>
      <c r="B810" s="2"/>
      <c r="C810" s="2"/>
      <c r="D810" s="54"/>
      <c r="E810" s="54"/>
      <c r="F810" s="54"/>
      <c r="G810" s="54"/>
      <c r="H810" s="54"/>
      <c r="I810" s="54"/>
      <c r="J810" s="54"/>
      <c r="K810" s="54"/>
      <c r="L810" s="54"/>
      <c r="M810" s="2"/>
      <c r="N810" s="54"/>
      <c r="P810" s="2"/>
      <c r="Q810" s="2"/>
      <c r="R810" s="2"/>
      <c r="S810" s="368"/>
      <c r="T810" s="2"/>
      <c r="U810" s="2"/>
    </row>
    <row r="811" spans="1:21" ht="12.95" customHeight="1">
      <c r="A811" s="2"/>
      <c r="B811" s="2"/>
      <c r="C811" s="2"/>
      <c r="D811" s="54"/>
      <c r="E811" s="54"/>
      <c r="F811" s="54"/>
      <c r="G811" s="54"/>
      <c r="H811" s="54"/>
      <c r="I811" s="54"/>
      <c r="J811" s="54"/>
      <c r="K811" s="54"/>
      <c r="L811" s="54"/>
      <c r="M811" s="2"/>
      <c r="N811" s="54"/>
      <c r="P811" s="2"/>
      <c r="Q811" s="2"/>
      <c r="R811" s="2"/>
      <c r="S811" s="368"/>
      <c r="T811" s="2"/>
      <c r="U811" s="2"/>
    </row>
    <row r="812" spans="1:21" ht="12.95" customHeight="1">
      <c r="A812" s="2"/>
      <c r="B812" s="2"/>
      <c r="C812" s="2"/>
      <c r="D812" s="54"/>
      <c r="E812" s="54"/>
      <c r="F812" s="54"/>
      <c r="G812" s="54"/>
      <c r="H812" s="54"/>
      <c r="I812" s="54"/>
      <c r="J812" s="54"/>
      <c r="K812" s="54"/>
      <c r="L812" s="54"/>
      <c r="M812" s="2"/>
      <c r="N812" s="54"/>
      <c r="P812" s="2"/>
      <c r="Q812" s="2"/>
      <c r="R812" s="2"/>
      <c r="S812" s="368"/>
      <c r="T812" s="2"/>
      <c r="U812" s="2"/>
    </row>
    <row r="813" spans="1:21" ht="12.95" customHeight="1">
      <c r="A813" s="2"/>
      <c r="B813" s="2"/>
      <c r="C813" s="2"/>
      <c r="D813" s="54"/>
      <c r="E813" s="54"/>
      <c r="F813" s="54"/>
      <c r="G813" s="54"/>
      <c r="H813" s="54"/>
      <c r="I813" s="54"/>
      <c r="J813" s="54"/>
      <c r="K813" s="54"/>
      <c r="L813" s="54"/>
      <c r="M813" s="2"/>
      <c r="N813" s="54"/>
      <c r="P813" s="2"/>
      <c r="Q813" s="2"/>
      <c r="R813" s="2"/>
      <c r="S813" s="368"/>
      <c r="T813" s="2"/>
      <c r="U813" s="2"/>
    </row>
    <row r="814" spans="1:21" ht="12.95" customHeight="1">
      <c r="A814" s="2"/>
      <c r="B814" s="2"/>
      <c r="C814" s="2"/>
      <c r="D814" s="54"/>
      <c r="E814" s="54"/>
      <c r="F814" s="54"/>
      <c r="G814" s="54"/>
      <c r="H814" s="54"/>
      <c r="I814" s="54"/>
      <c r="J814" s="54"/>
      <c r="K814" s="54"/>
      <c r="L814" s="54"/>
      <c r="M814" s="2"/>
      <c r="N814" s="54"/>
      <c r="P814" s="2"/>
      <c r="Q814" s="2"/>
      <c r="R814" s="2"/>
      <c r="S814" s="368"/>
      <c r="T814" s="2"/>
      <c r="U814" s="2"/>
    </row>
    <row r="815" spans="1:21" ht="12.95" customHeight="1">
      <c r="A815" s="2"/>
      <c r="B815" s="2"/>
      <c r="C815" s="2"/>
      <c r="D815" s="54"/>
      <c r="E815" s="54"/>
      <c r="F815" s="54"/>
      <c r="G815" s="54"/>
      <c r="H815" s="54"/>
      <c r="I815" s="54"/>
      <c r="J815" s="54"/>
      <c r="K815" s="54"/>
      <c r="L815" s="54"/>
      <c r="M815" s="2"/>
      <c r="N815" s="54"/>
      <c r="P815" s="2"/>
      <c r="Q815" s="2"/>
      <c r="R815" s="2"/>
      <c r="S815" s="368"/>
      <c r="T815" s="2"/>
      <c r="U815" s="2"/>
    </row>
    <row r="816" spans="1:21" ht="12.95" customHeight="1">
      <c r="A816" s="2"/>
      <c r="B816" s="2"/>
      <c r="C816" s="2"/>
      <c r="D816" s="54"/>
      <c r="E816" s="54"/>
      <c r="F816" s="54"/>
      <c r="G816" s="54"/>
      <c r="H816" s="54"/>
      <c r="I816" s="54"/>
      <c r="J816" s="54"/>
      <c r="K816" s="54"/>
      <c r="L816" s="54"/>
      <c r="M816" s="2"/>
      <c r="N816" s="54"/>
      <c r="P816" s="2"/>
      <c r="Q816" s="2"/>
      <c r="R816" s="2"/>
      <c r="S816" s="368"/>
      <c r="T816" s="2"/>
      <c r="U816" s="2"/>
    </row>
    <row r="817" spans="1:21" ht="12.95" customHeight="1">
      <c r="A817" s="2"/>
      <c r="B817" s="2"/>
      <c r="C817" s="2"/>
      <c r="D817" s="54"/>
      <c r="E817" s="54"/>
      <c r="F817" s="54"/>
      <c r="G817" s="54"/>
      <c r="H817" s="54"/>
      <c r="I817" s="54"/>
      <c r="J817" s="54"/>
      <c r="K817" s="54"/>
      <c r="L817" s="54"/>
      <c r="M817" s="2"/>
      <c r="N817" s="54"/>
      <c r="P817" s="2"/>
      <c r="Q817" s="2"/>
      <c r="R817" s="2"/>
      <c r="S817" s="368"/>
      <c r="T817" s="2"/>
      <c r="U817" s="2"/>
    </row>
    <row r="818" spans="1:21" ht="12.95" customHeight="1">
      <c r="A818" s="2"/>
      <c r="B818" s="2"/>
      <c r="C818" s="2"/>
      <c r="D818" s="54"/>
      <c r="E818" s="54"/>
      <c r="F818" s="54"/>
      <c r="G818" s="54"/>
      <c r="H818" s="54"/>
      <c r="I818" s="54"/>
      <c r="J818" s="54"/>
      <c r="K818" s="54"/>
      <c r="L818" s="54"/>
      <c r="M818" s="2"/>
      <c r="N818" s="54"/>
      <c r="P818" s="2"/>
      <c r="Q818" s="2"/>
      <c r="R818" s="2"/>
      <c r="S818" s="368"/>
      <c r="T818" s="2"/>
      <c r="U818" s="2"/>
    </row>
    <row r="819" spans="1:21" ht="12.95" customHeight="1">
      <c r="A819" s="2"/>
      <c r="B819" s="2"/>
      <c r="C819" s="2"/>
      <c r="D819" s="54"/>
      <c r="E819" s="54"/>
      <c r="F819" s="54"/>
      <c r="G819" s="54"/>
      <c r="H819" s="54"/>
      <c r="I819" s="54"/>
      <c r="J819" s="54"/>
      <c r="K819" s="54"/>
      <c r="L819" s="54"/>
      <c r="M819" s="2"/>
      <c r="N819" s="54"/>
      <c r="P819" s="2"/>
      <c r="Q819" s="2"/>
      <c r="R819" s="2"/>
      <c r="S819" s="368"/>
      <c r="T819" s="2"/>
      <c r="U819" s="2"/>
    </row>
    <row r="820" spans="1:21" ht="12.95" customHeight="1">
      <c r="A820" s="2"/>
      <c r="B820" s="2"/>
      <c r="C820" s="2"/>
      <c r="D820" s="54"/>
      <c r="E820" s="54"/>
      <c r="F820" s="54"/>
      <c r="G820" s="54"/>
      <c r="H820" s="54"/>
      <c r="I820" s="54"/>
      <c r="J820" s="54"/>
      <c r="K820" s="54"/>
      <c r="L820" s="54"/>
      <c r="M820" s="2"/>
      <c r="N820" s="54"/>
      <c r="P820" s="2"/>
      <c r="Q820" s="2"/>
      <c r="R820" s="2"/>
      <c r="S820" s="368"/>
      <c r="T820" s="2"/>
      <c r="U820" s="2"/>
    </row>
    <row r="821" spans="1:21" ht="12.95" customHeight="1">
      <c r="A821" s="2"/>
      <c r="B821" s="2"/>
      <c r="C821" s="2"/>
      <c r="D821" s="54"/>
      <c r="E821" s="54"/>
      <c r="F821" s="54"/>
      <c r="G821" s="54"/>
      <c r="H821" s="54"/>
      <c r="I821" s="54"/>
      <c r="J821" s="54"/>
      <c r="K821" s="54"/>
      <c r="L821" s="54"/>
      <c r="M821" s="2"/>
      <c r="N821" s="54"/>
      <c r="P821" s="2"/>
      <c r="Q821" s="2"/>
      <c r="R821" s="2"/>
      <c r="S821" s="368"/>
      <c r="T821" s="2"/>
      <c r="U821" s="2"/>
    </row>
    <row r="822" spans="1:21" ht="12.95" customHeight="1">
      <c r="A822" s="2"/>
      <c r="B822" s="2"/>
      <c r="C822" s="2"/>
      <c r="D822" s="54"/>
      <c r="E822" s="54"/>
      <c r="F822" s="54"/>
      <c r="G822" s="54"/>
      <c r="H822" s="54"/>
      <c r="I822" s="54"/>
      <c r="J822" s="54"/>
      <c r="K822" s="54"/>
      <c r="L822" s="54"/>
      <c r="M822" s="2"/>
      <c r="N822" s="54"/>
      <c r="P822" s="2"/>
      <c r="Q822" s="2"/>
      <c r="R822" s="2"/>
      <c r="S822" s="368"/>
      <c r="T822" s="2"/>
      <c r="U822" s="2"/>
    </row>
    <row r="823" spans="1:21" ht="12.95" customHeight="1">
      <c r="A823" s="2"/>
      <c r="B823" s="2"/>
      <c r="C823" s="2"/>
      <c r="D823" s="54"/>
      <c r="E823" s="54"/>
      <c r="F823" s="54"/>
      <c r="G823" s="54"/>
      <c r="H823" s="54"/>
      <c r="I823" s="54"/>
      <c r="J823" s="54"/>
      <c r="K823" s="54"/>
      <c r="L823" s="54"/>
      <c r="M823" s="2"/>
      <c r="N823" s="54"/>
      <c r="P823" s="2"/>
      <c r="Q823" s="2"/>
      <c r="R823" s="2"/>
      <c r="S823" s="368"/>
      <c r="T823" s="2"/>
      <c r="U823" s="2"/>
    </row>
    <row r="824" spans="1:21" ht="12.95" customHeight="1">
      <c r="A824" s="2"/>
      <c r="B824" s="2"/>
      <c r="C824" s="2"/>
      <c r="D824" s="54"/>
      <c r="E824" s="54"/>
      <c r="F824" s="54"/>
      <c r="G824" s="54"/>
      <c r="H824" s="54"/>
      <c r="I824" s="54"/>
      <c r="J824" s="54"/>
      <c r="K824" s="54"/>
      <c r="L824" s="54"/>
      <c r="M824" s="2"/>
      <c r="N824" s="54"/>
      <c r="P824" s="2"/>
      <c r="Q824" s="2"/>
      <c r="R824" s="2"/>
      <c r="S824" s="368"/>
      <c r="T824" s="2"/>
      <c r="U824" s="2"/>
    </row>
    <row r="825" spans="1:21" ht="12.95" customHeight="1">
      <c r="A825" s="2"/>
      <c r="B825" s="2"/>
      <c r="C825" s="2"/>
      <c r="D825" s="54"/>
      <c r="E825" s="54"/>
      <c r="F825" s="54"/>
      <c r="G825" s="54"/>
      <c r="H825" s="54"/>
      <c r="I825" s="54"/>
      <c r="J825" s="54"/>
      <c r="K825" s="54"/>
      <c r="L825" s="54"/>
      <c r="M825" s="2"/>
      <c r="N825" s="54"/>
      <c r="P825" s="2"/>
      <c r="Q825" s="2"/>
      <c r="R825" s="2"/>
      <c r="S825" s="368"/>
      <c r="T825" s="2"/>
      <c r="U825" s="2"/>
    </row>
    <row r="826" spans="1:21" ht="12.95" customHeight="1">
      <c r="A826" s="2"/>
      <c r="B826" s="2"/>
      <c r="C826" s="2"/>
      <c r="D826" s="54"/>
      <c r="E826" s="54"/>
      <c r="F826" s="54"/>
      <c r="G826" s="54"/>
      <c r="H826" s="54"/>
      <c r="I826" s="54"/>
      <c r="J826" s="54"/>
      <c r="K826" s="54"/>
      <c r="L826" s="54"/>
      <c r="M826" s="2"/>
      <c r="N826" s="54"/>
      <c r="P826" s="2"/>
      <c r="Q826" s="2"/>
      <c r="R826" s="2"/>
      <c r="S826" s="368"/>
      <c r="T826" s="2"/>
      <c r="U826" s="2"/>
    </row>
    <row r="827" spans="1:21" ht="12.95" customHeight="1">
      <c r="A827" s="2"/>
      <c r="B827" s="2"/>
      <c r="C827" s="2"/>
      <c r="D827" s="54"/>
      <c r="E827" s="54"/>
      <c r="F827" s="54"/>
      <c r="G827" s="54"/>
      <c r="H827" s="54"/>
      <c r="I827" s="54"/>
      <c r="J827" s="54"/>
      <c r="K827" s="54"/>
      <c r="L827" s="54"/>
      <c r="M827" s="2"/>
      <c r="N827" s="54"/>
      <c r="P827" s="2"/>
      <c r="Q827" s="2"/>
      <c r="R827" s="2"/>
      <c r="S827" s="368"/>
      <c r="T827" s="2"/>
      <c r="U827" s="2"/>
    </row>
    <row r="828" spans="1:21" ht="12.95" customHeight="1">
      <c r="A828" s="2"/>
      <c r="B828" s="2"/>
      <c r="C828" s="2"/>
      <c r="D828" s="54"/>
      <c r="E828" s="54"/>
      <c r="F828" s="54"/>
      <c r="G828" s="54"/>
      <c r="H828" s="54"/>
      <c r="I828" s="54"/>
      <c r="J828" s="54"/>
      <c r="K828" s="54"/>
      <c r="L828" s="54"/>
      <c r="M828" s="2"/>
      <c r="N828" s="54"/>
      <c r="P828" s="2"/>
      <c r="Q828" s="2"/>
      <c r="R828" s="2"/>
      <c r="S828" s="368"/>
      <c r="T828" s="2"/>
      <c r="U828" s="2"/>
    </row>
    <row r="829" spans="1:21" ht="12.95" customHeight="1">
      <c r="A829" s="2"/>
      <c r="B829" s="2"/>
      <c r="C829" s="2"/>
      <c r="D829" s="54"/>
      <c r="E829" s="54"/>
      <c r="F829" s="54"/>
      <c r="G829" s="54"/>
      <c r="H829" s="54"/>
      <c r="I829" s="54"/>
      <c r="J829" s="54"/>
      <c r="K829" s="54"/>
      <c r="L829" s="54"/>
      <c r="M829" s="2"/>
      <c r="N829" s="54"/>
      <c r="P829" s="2"/>
      <c r="Q829" s="2"/>
      <c r="R829" s="2"/>
      <c r="S829" s="368"/>
      <c r="T829" s="2"/>
      <c r="U829" s="2"/>
    </row>
    <row r="830" spans="1:21" ht="12.95" customHeight="1">
      <c r="A830" s="2"/>
      <c r="B830" s="2"/>
      <c r="C830" s="2"/>
      <c r="D830" s="54"/>
      <c r="E830" s="54"/>
      <c r="F830" s="54"/>
      <c r="G830" s="54"/>
      <c r="H830" s="54"/>
      <c r="I830" s="54"/>
      <c r="J830" s="54"/>
      <c r="K830" s="54"/>
      <c r="L830" s="54"/>
      <c r="M830" s="2"/>
      <c r="N830" s="54"/>
      <c r="P830" s="2"/>
      <c r="Q830" s="2"/>
      <c r="R830" s="2"/>
      <c r="S830" s="368"/>
      <c r="T830" s="2"/>
      <c r="U830" s="2"/>
    </row>
    <row r="831" spans="1:21" ht="12.95" customHeight="1">
      <c r="A831" s="2"/>
      <c r="B831" s="2"/>
      <c r="C831" s="2"/>
      <c r="D831" s="54"/>
      <c r="E831" s="54"/>
      <c r="F831" s="54"/>
      <c r="G831" s="54"/>
      <c r="H831" s="54"/>
      <c r="I831" s="54"/>
      <c r="J831" s="54"/>
      <c r="K831" s="54"/>
      <c r="L831" s="54"/>
      <c r="M831" s="2"/>
      <c r="N831" s="54"/>
      <c r="P831" s="2"/>
      <c r="Q831" s="2"/>
      <c r="R831" s="2"/>
      <c r="S831" s="368"/>
      <c r="T831" s="2"/>
      <c r="U831" s="2"/>
    </row>
    <row r="832" spans="1:21" ht="12.95" customHeight="1">
      <c r="A832" s="2"/>
      <c r="B832" s="2"/>
      <c r="C832" s="2"/>
      <c r="D832" s="54"/>
      <c r="E832" s="54"/>
      <c r="F832" s="54"/>
      <c r="G832" s="54"/>
      <c r="H832" s="54"/>
      <c r="I832" s="54"/>
      <c r="J832" s="54"/>
      <c r="K832" s="54"/>
      <c r="L832" s="54"/>
      <c r="M832" s="2"/>
      <c r="N832" s="54"/>
      <c r="P832" s="2"/>
      <c r="Q832" s="2"/>
      <c r="R832" s="2"/>
      <c r="S832" s="368"/>
      <c r="T832" s="2"/>
      <c r="U832" s="2"/>
    </row>
    <row r="833" spans="1:21" ht="12.95" customHeight="1">
      <c r="A833" s="2"/>
      <c r="B833" s="2"/>
      <c r="C833" s="2"/>
      <c r="D833" s="54"/>
      <c r="E833" s="54"/>
      <c r="F833" s="54"/>
      <c r="G833" s="54"/>
      <c r="H833" s="54"/>
      <c r="I833" s="54"/>
      <c r="J833" s="54"/>
      <c r="K833" s="54"/>
      <c r="L833" s="54"/>
      <c r="M833" s="2"/>
      <c r="N833" s="54"/>
      <c r="P833" s="2"/>
      <c r="Q833" s="2"/>
      <c r="R833" s="2"/>
      <c r="S833" s="368"/>
      <c r="T833" s="2"/>
      <c r="U833" s="2"/>
    </row>
    <row r="834" spans="1:21" ht="12.95" customHeight="1">
      <c r="A834" s="2"/>
      <c r="B834" s="2"/>
      <c r="C834" s="2"/>
      <c r="D834" s="54"/>
      <c r="E834" s="54"/>
      <c r="F834" s="54"/>
      <c r="G834" s="54"/>
      <c r="H834" s="54"/>
      <c r="I834" s="54"/>
      <c r="J834" s="54"/>
      <c r="K834" s="54"/>
      <c r="L834" s="54"/>
      <c r="M834" s="2"/>
      <c r="N834" s="54"/>
      <c r="P834" s="2"/>
      <c r="Q834" s="2"/>
      <c r="R834" s="2"/>
      <c r="S834" s="368"/>
      <c r="T834" s="2"/>
      <c r="U834" s="2"/>
    </row>
    <row r="835" spans="1:21" ht="12.95" customHeight="1">
      <c r="A835" s="2"/>
      <c r="B835" s="2"/>
      <c r="C835" s="2"/>
      <c r="D835" s="54"/>
      <c r="E835" s="54"/>
      <c r="F835" s="54"/>
      <c r="G835" s="54"/>
      <c r="H835" s="54"/>
      <c r="I835" s="54"/>
      <c r="J835" s="54"/>
      <c r="K835" s="54"/>
      <c r="L835" s="54"/>
      <c r="M835" s="2"/>
      <c r="N835" s="54"/>
      <c r="P835" s="2"/>
      <c r="Q835" s="2"/>
      <c r="R835" s="2"/>
      <c r="S835" s="368"/>
      <c r="T835" s="2"/>
      <c r="U835" s="2"/>
    </row>
    <row r="836" spans="1:21" ht="12.95" customHeight="1">
      <c r="A836" s="2"/>
      <c r="B836" s="2"/>
      <c r="C836" s="2"/>
      <c r="D836" s="54"/>
      <c r="E836" s="54"/>
      <c r="F836" s="54"/>
      <c r="G836" s="54"/>
      <c r="H836" s="54"/>
      <c r="I836" s="54"/>
      <c r="J836" s="54"/>
      <c r="K836" s="54"/>
      <c r="L836" s="54"/>
      <c r="M836" s="2"/>
      <c r="N836" s="54"/>
      <c r="P836" s="2"/>
      <c r="Q836" s="2"/>
      <c r="R836" s="2"/>
      <c r="S836" s="368"/>
      <c r="T836" s="2"/>
      <c r="U836" s="2"/>
    </row>
    <row r="837" spans="1:21" ht="12.95" customHeight="1">
      <c r="A837" s="2"/>
      <c r="B837" s="2"/>
      <c r="C837" s="2"/>
      <c r="D837" s="54"/>
      <c r="E837" s="54"/>
      <c r="F837" s="54"/>
      <c r="G837" s="54"/>
      <c r="H837" s="54"/>
      <c r="I837" s="54"/>
      <c r="J837" s="54"/>
      <c r="K837" s="54"/>
      <c r="L837" s="54"/>
      <c r="M837" s="2"/>
      <c r="N837" s="54"/>
      <c r="P837" s="2"/>
      <c r="Q837" s="2"/>
      <c r="R837" s="2"/>
      <c r="S837" s="368"/>
      <c r="T837" s="2"/>
      <c r="U837" s="2"/>
    </row>
    <row r="838" spans="1:21" ht="12.95" customHeight="1">
      <c r="A838" s="2"/>
      <c r="B838" s="2"/>
      <c r="C838" s="2"/>
      <c r="D838" s="54"/>
      <c r="E838" s="54"/>
      <c r="F838" s="54"/>
      <c r="G838" s="54"/>
      <c r="H838" s="54"/>
      <c r="I838" s="54"/>
      <c r="J838" s="54"/>
      <c r="K838" s="54"/>
      <c r="L838" s="54"/>
      <c r="M838" s="2"/>
      <c r="N838" s="54"/>
      <c r="P838" s="2"/>
      <c r="Q838" s="2"/>
      <c r="R838" s="2"/>
      <c r="S838" s="368"/>
      <c r="T838" s="2"/>
      <c r="U838" s="2"/>
    </row>
    <row r="839" spans="1:21" ht="12.95" customHeight="1">
      <c r="A839" s="2"/>
      <c r="B839" s="2"/>
      <c r="C839" s="2"/>
      <c r="D839" s="54"/>
      <c r="E839" s="54"/>
      <c r="F839" s="54"/>
      <c r="G839" s="54"/>
      <c r="H839" s="54"/>
      <c r="I839" s="54"/>
      <c r="J839" s="54"/>
      <c r="K839" s="54"/>
      <c r="L839" s="54"/>
      <c r="M839" s="2"/>
      <c r="N839" s="54"/>
      <c r="P839" s="2"/>
      <c r="Q839" s="2"/>
      <c r="R839" s="2"/>
      <c r="S839" s="368"/>
      <c r="T839" s="2"/>
      <c r="U839" s="2"/>
    </row>
    <row r="840" spans="1:21" ht="12.95" customHeight="1">
      <c r="A840" s="2"/>
      <c r="B840" s="2"/>
      <c r="C840" s="2"/>
      <c r="D840" s="54"/>
      <c r="E840" s="54"/>
      <c r="F840" s="54"/>
      <c r="G840" s="54"/>
      <c r="H840" s="54"/>
      <c r="I840" s="54"/>
      <c r="J840" s="54"/>
      <c r="K840" s="54"/>
      <c r="L840" s="54"/>
      <c r="M840" s="2"/>
      <c r="N840" s="54"/>
      <c r="P840" s="2"/>
      <c r="Q840" s="2"/>
      <c r="R840" s="2"/>
      <c r="S840" s="368"/>
      <c r="T840" s="2"/>
      <c r="U840" s="2"/>
    </row>
    <row r="841" spans="1:21" ht="12.95" customHeight="1">
      <c r="A841" s="2"/>
      <c r="B841" s="2"/>
      <c r="C841" s="2"/>
      <c r="D841" s="54"/>
      <c r="E841" s="54"/>
      <c r="F841" s="54"/>
      <c r="G841" s="54"/>
      <c r="H841" s="54"/>
      <c r="I841" s="54"/>
      <c r="J841" s="54"/>
      <c r="K841" s="54"/>
      <c r="L841" s="54"/>
      <c r="M841" s="2"/>
      <c r="N841" s="54"/>
      <c r="P841" s="2"/>
      <c r="Q841" s="2"/>
      <c r="R841" s="2"/>
      <c r="S841" s="368"/>
      <c r="T841" s="2"/>
      <c r="U841" s="2"/>
    </row>
    <row r="842" spans="1:21" ht="12.95" customHeight="1">
      <c r="A842" s="2"/>
      <c r="B842" s="2"/>
      <c r="C842" s="2"/>
      <c r="D842" s="54"/>
      <c r="E842" s="54"/>
      <c r="F842" s="54"/>
      <c r="G842" s="54"/>
      <c r="H842" s="54"/>
      <c r="I842" s="54"/>
      <c r="J842" s="54"/>
      <c r="K842" s="54"/>
      <c r="L842" s="54"/>
      <c r="M842" s="2"/>
      <c r="N842" s="54"/>
      <c r="P842" s="2"/>
      <c r="Q842" s="2"/>
      <c r="R842" s="2"/>
      <c r="S842" s="368"/>
      <c r="T842" s="2"/>
      <c r="U842" s="2"/>
    </row>
    <row r="843" spans="1:21" ht="12.95" customHeight="1">
      <c r="A843" s="2"/>
      <c r="B843" s="2"/>
      <c r="C843" s="2"/>
      <c r="D843" s="54"/>
      <c r="E843" s="54"/>
      <c r="F843" s="54"/>
      <c r="G843" s="54"/>
      <c r="H843" s="54"/>
      <c r="I843" s="54"/>
      <c r="J843" s="54"/>
      <c r="K843" s="54"/>
      <c r="L843" s="54"/>
      <c r="M843" s="2"/>
      <c r="N843" s="54"/>
      <c r="P843" s="2"/>
      <c r="Q843" s="2"/>
      <c r="R843" s="2"/>
      <c r="S843" s="368"/>
      <c r="T843" s="2"/>
      <c r="U843" s="2"/>
    </row>
    <row r="844" spans="1:21" ht="12.95" customHeight="1">
      <c r="A844" s="2"/>
      <c r="B844" s="2"/>
      <c r="C844" s="2"/>
      <c r="D844" s="54"/>
      <c r="E844" s="54"/>
      <c r="F844" s="54"/>
      <c r="G844" s="54"/>
      <c r="H844" s="54"/>
      <c r="I844" s="54"/>
      <c r="J844" s="54"/>
      <c r="K844" s="54"/>
      <c r="L844" s="54"/>
      <c r="M844" s="2"/>
      <c r="N844" s="54"/>
      <c r="P844" s="2"/>
      <c r="Q844" s="2"/>
      <c r="R844" s="2"/>
      <c r="S844" s="368"/>
      <c r="T844" s="2"/>
      <c r="U844" s="2"/>
    </row>
    <row r="845" spans="1:21" ht="12.95" customHeight="1">
      <c r="A845" s="2"/>
      <c r="B845" s="2"/>
      <c r="C845" s="2"/>
      <c r="D845" s="54"/>
      <c r="E845" s="54"/>
      <c r="F845" s="54"/>
      <c r="G845" s="54"/>
      <c r="H845" s="54"/>
      <c r="I845" s="54"/>
      <c r="J845" s="54"/>
      <c r="K845" s="54"/>
      <c r="L845" s="54"/>
      <c r="M845" s="2"/>
      <c r="N845" s="54"/>
      <c r="P845" s="2"/>
      <c r="Q845" s="2"/>
      <c r="R845" s="2"/>
      <c r="S845" s="368"/>
      <c r="T845" s="2"/>
      <c r="U845" s="2"/>
    </row>
    <row r="846" spans="1:21" ht="12.95" customHeight="1">
      <c r="A846" s="2"/>
      <c r="B846" s="2"/>
      <c r="C846" s="2"/>
      <c r="D846" s="54"/>
      <c r="E846" s="54"/>
      <c r="F846" s="54"/>
      <c r="G846" s="54"/>
      <c r="H846" s="54"/>
      <c r="I846" s="54"/>
      <c r="J846" s="54"/>
      <c r="K846" s="54"/>
      <c r="L846" s="54"/>
      <c r="M846" s="2"/>
      <c r="N846" s="54"/>
      <c r="P846" s="2"/>
      <c r="Q846" s="2"/>
      <c r="R846" s="2"/>
      <c r="S846" s="368"/>
      <c r="T846" s="2"/>
      <c r="U846" s="2"/>
    </row>
    <row r="847" spans="1:21" ht="12.95" customHeight="1">
      <c r="A847" s="2"/>
      <c r="B847" s="2"/>
      <c r="C847" s="2"/>
      <c r="D847" s="54"/>
      <c r="E847" s="54"/>
      <c r="F847" s="54"/>
      <c r="G847" s="54"/>
      <c r="H847" s="54"/>
      <c r="I847" s="54"/>
      <c r="J847" s="54"/>
      <c r="K847" s="54"/>
      <c r="L847" s="54"/>
      <c r="M847" s="2"/>
      <c r="N847" s="54"/>
      <c r="P847" s="2"/>
      <c r="Q847" s="2"/>
      <c r="R847" s="2"/>
      <c r="S847" s="368"/>
      <c r="T847" s="2"/>
      <c r="U847" s="2"/>
    </row>
    <row r="848" spans="1:21" ht="12.95" customHeight="1">
      <c r="A848" s="2"/>
      <c r="B848" s="2"/>
      <c r="C848" s="2"/>
      <c r="D848" s="54"/>
      <c r="E848" s="54"/>
      <c r="F848" s="54"/>
      <c r="G848" s="54"/>
      <c r="H848" s="54"/>
      <c r="I848" s="54"/>
      <c r="J848" s="54"/>
      <c r="K848" s="54"/>
      <c r="L848" s="54"/>
      <c r="M848" s="2"/>
      <c r="N848" s="54"/>
      <c r="P848" s="2"/>
      <c r="Q848" s="2"/>
      <c r="R848" s="2"/>
      <c r="S848" s="368"/>
      <c r="T848" s="2"/>
      <c r="U848" s="2"/>
    </row>
    <row r="849" spans="1:21" ht="12.95" customHeight="1">
      <c r="A849" s="2"/>
      <c r="B849" s="2"/>
      <c r="C849" s="2"/>
      <c r="D849" s="54"/>
      <c r="E849" s="54"/>
      <c r="F849" s="54"/>
      <c r="G849" s="54"/>
      <c r="H849" s="54"/>
      <c r="I849" s="54"/>
      <c r="J849" s="54"/>
      <c r="K849" s="54"/>
      <c r="L849" s="54"/>
      <c r="M849" s="2"/>
      <c r="N849" s="54"/>
      <c r="P849" s="2"/>
      <c r="Q849" s="2"/>
      <c r="R849" s="2"/>
      <c r="S849" s="368"/>
      <c r="T849" s="2"/>
      <c r="U849" s="2"/>
    </row>
    <row r="850" spans="1:21" ht="12.95" customHeight="1">
      <c r="A850" s="2"/>
      <c r="B850" s="2"/>
      <c r="C850" s="2"/>
      <c r="D850" s="54"/>
      <c r="E850" s="54"/>
      <c r="F850" s="54"/>
      <c r="G850" s="54"/>
      <c r="H850" s="54"/>
      <c r="I850" s="54"/>
      <c r="J850" s="54"/>
      <c r="K850" s="54"/>
      <c r="L850" s="54"/>
      <c r="M850" s="2"/>
      <c r="N850" s="54"/>
      <c r="P850" s="2"/>
      <c r="Q850" s="2"/>
      <c r="R850" s="2"/>
      <c r="S850" s="368"/>
      <c r="T850" s="2"/>
      <c r="U850" s="2"/>
    </row>
    <row r="851" spans="1:21" ht="12.95" customHeight="1">
      <c r="A851" s="2"/>
      <c r="B851" s="2"/>
      <c r="C851" s="2"/>
      <c r="D851" s="54"/>
      <c r="E851" s="54"/>
      <c r="F851" s="54"/>
      <c r="G851" s="54"/>
      <c r="H851" s="54"/>
      <c r="I851" s="54"/>
      <c r="J851" s="54"/>
      <c r="K851" s="54"/>
      <c r="L851" s="54"/>
      <c r="M851" s="2"/>
      <c r="N851" s="54"/>
      <c r="P851" s="2"/>
      <c r="Q851" s="2"/>
      <c r="R851" s="2"/>
      <c r="S851" s="368"/>
      <c r="T851" s="2"/>
      <c r="U851" s="2"/>
    </row>
    <row r="852" spans="1:21" ht="12.95" customHeight="1">
      <c r="A852" s="2"/>
      <c r="B852" s="2"/>
      <c r="C852" s="2"/>
      <c r="D852" s="54"/>
      <c r="E852" s="54"/>
      <c r="F852" s="54"/>
      <c r="G852" s="54"/>
      <c r="H852" s="54"/>
      <c r="I852" s="54"/>
      <c r="J852" s="54"/>
      <c r="K852" s="54"/>
      <c r="L852" s="54"/>
      <c r="M852" s="2"/>
      <c r="N852" s="54"/>
      <c r="P852" s="2"/>
      <c r="Q852" s="2"/>
      <c r="R852" s="2"/>
      <c r="S852" s="368"/>
      <c r="T852" s="2"/>
      <c r="U852" s="2"/>
    </row>
    <row r="853" spans="1:21" ht="12.95" customHeight="1">
      <c r="A853" s="2"/>
      <c r="B853" s="2"/>
      <c r="C853" s="2"/>
      <c r="D853" s="54"/>
      <c r="E853" s="54"/>
      <c r="F853" s="54"/>
      <c r="G853" s="54"/>
      <c r="H853" s="54"/>
      <c r="I853" s="54"/>
      <c r="J853" s="54"/>
      <c r="K853" s="54"/>
      <c r="L853" s="54"/>
      <c r="M853" s="2"/>
      <c r="N853" s="54"/>
      <c r="P853" s="2"/>
      <c r="Q853" s="2"/>
      <c r="R853" s="2"/>
      <c r="S853" s="368"/>
      <c r="T853" s="2"/>
      <c r="U853" s="2"/>
    </row>
    <row r="854" spans="1:21" ht="12.95" customHeight="1">
      <c r="A854" s="2"/>
      <c r="B854" s="2"/>
      <c r="C854" s="2"/>
      <c r="D854" s="54"/>
      <c r="E854" s="54"/>
      <c r="F854" s="54"/>
      <c r="G854" s="54"/>
      <c r="H854" s="54"/>
      <c r="I854" s="54"/>
      <c r="J854" s="54"/>
      <c r="K854" s="54"/>
      <c r="L854" s="54"/>
      <c r="M854" s="2"/>
      <c r="N854" s="54"/>
      <c r="P854" s="2"/>
      <c r="Q854" s="2"/>
      <c r="R854" s="2"/>
      <c r="S854" s="368"/>
      <c r="T854" s="2"/>
      <c r="U854" s="2"/>
    </row>
    <row r="855" spans="1:21" ht="12.95" customHeight="1">
      <c r="A855" s="2"/>
      <c r="B855" s="2"/>
      <c r="C855" s="2"/>
      <c r="D855" s="54"/>
      <c r="E855" s="54"/>
      <c r="F855" s="54"/>
      <c r="G855" s="54"/>
      <c r="H855" s="54"/>
      <c r="I855" s="54"/>
      <c r="J855" s="54"/>
      <c r="K855" s="54"/>
      <c r="L855" s="54"/>
      <c r="M855" s="2"/>
      <c r="N855" s="54"/>
      <c r="P855" s="2"/>
      <c r="Q855" s="2"/>
      <c r="R855" s="2"/>
      <c r="S855" s="368"/>
      <c r="T855" s="2"/>
      <c r="U855" s="2"/>
    </row>
    <row r="856" spans="1:21" ht="12.95" customHeight="1">
      <c r="A856" s="2"/>
      <c r="B856" s="2"/>
      <c r="C856" s="2"/>
      <c r="D856" s="54"/>
      <c r="E856" s="54"/>
      <c r="F856" s="54"/>
      <c r="G856" s="54"/>
      <c r="H856" s="54"/>
      <c r="I856" s="54"/>
      <c r="J856" s="54"/>
      <c r="K856" s="54"/>
      <c r="L856" s="54"/>
      <c r="M856" s="2"/>
      <c r="N856" s="54"/>
      <c r="P856" s="2"/>
      <c r="Q856" s="2"/>
      <c r="R856" s="2"/>
      <c r="S856" s="368"/>
      <c r="T856" s="2"/>
      <c r="U856" s="2"/>
    </row>
    <row r="857" spans="1:21" ht="12.95" customHeight="1">
      <c r="A857" s="2"/>
      <c r="B857" s="2"/>
      <c r="C857" s="2"/>
      <c r="D857" s="54"/>
      <c r="E857" s="54"/>
      <c r="F857" s="54"/>
      <c r="G857" s="54"/>
      <c r="H857" s="54"/>
      <c r="I857" s="54"/>
      <c r="J857" s="54"/>
      <c r="K857" s="54"/>
      <c r="L857" s="54"/>
      <c r="M857" s="2"/>
      <c r="N857" s="54"/>
      <c r="P857" s="2"/>
      <c r="Q857" s="2"/>
      <c r="R857" s="2"/>
      <c r="S857" s="368"/>
      <c r="T857" s="2"/>
      <c r="U857" s="2"/>
    </row>
    <row r="858" spans="1:21" ht="12.95" customHeight="1">
      <c r="A858" s="2"/>
      <c r="B858" s="2"/>
      <c r="C858" s="2"/>
      <c r="D858" s="54"/>
      <c r="E858" s="54"/>
      <c r="F858" s="54"/>
      <c r="G858" s="54"/>
      <c r="H858" s="54"/>
      <c r="I858" s="54"/>
      <c r="J858" s="54"/>
      <c r="K858" s="54"/>
      <c r="L858" s="54"/>
      <c r="M858" s="2"/>
      <c r="N858" s="54"/>
      <c r="P858" s="2"/>
      <c r="Q858" s="2"/>
      <c r="R858" s="2"/>
      <c r="S858" s="368"/>
      <c r="T858" s="2"/>
      <c r="U858" s="2"/>
    </row>
    <row r="859" spans="1:21" ht="12.95" customHeight="1">
      <c r="A859" s="2"/>
      <c r="B859" s="2"/>
      <c r="C859" s="2"/>
      <c r="D859" s="54"/>
      <c r="E859" s="54"/>
      <c r="F859" s="54"/>
      <c r="G859" s="54"/>
      <c r="H859" s="54"/>
      <c r="I859" s="54"/>
      <c r="J859" s="54"/>
      <c r="K859" s="54"/>
      <c r="L859" s="54"/>
      <c r="M859" s="2"/>
      <c r="N859" s="54"/>
      <c r="P859" s="2"/>
      <c r="Q859" s="2"/>
      <c r="R859" s="2"/>
      <c r="S859" s="368"/>
      <c r="T859" s="2"/>
      <c r="U859" s="2"/>
    </row>
    <row r="860" spans="1:21" ht="12.95" customHeight="1">
      <c r="A860" s="2"/>
      <c r="B860" s="2"/>
      <c r="C860" s="2"/>
      <c r="D860" s="54"/>
      <c r="E860" s="54"/>
      <c r="F860" s="54"/>
      <c r="G860" s="54"/>
      <c r="H860" s="54"/>
      <c r="I860" s="54"/>
      <c r="J860" s="54"/>
      <c r="K860" s="54"/>
      <c r="L860" s="54"/>
      <c r="M860" s="2"/>
      <c r="N860" s="54"/>
      <c r="P860" s="2"/>
      <c r="Q860" s="2"/>
      <c r="R860" s="2"/>
      <c r="S860" s="368"/>
      <c r="T860" s="2"/>
      <c r="U860" s="2"/>
    </row>
    <row r="861" spans="1:21" ht="12.95" customHeight="1">
      <c r="A861" s="2"/>
      <c r="B861" s="2"/>
      <c r="C861" s="2"/>
      <c r="D861" s="54"/>
      <c r="E861" s="54"/>
      <c r="F861" s="54"/>
      <c r="G861" s="54"/>
      <c r="H861" s="54"/>
      <c r="I861" s="54"/>
      <c r="J861" s="54"/>
      <c r="K861" s="54"/>
      <c r="L861" s="54"/>
      <c r="M861" s="2"/>
      <c r="N861" s="54"/>
      <c r="P861" s="2"/>
      <c r="Q861" s="2"/>
      <c r="R861" s="2"/>
      <c r="S861" s="368"/>
      <c r="T861" s="2"/>
      <c r="U861" s="2"/>
    </row>
    <row r="862" spans="1:21" ht="12.95" customHeight="1">
      <c r="A862" s="2"/>
      <c r="B862" s="2"/>
      <c r="C862" s="2"/>
      <c r="D862" s="54"/>
      <c r="E862" s="54"/>
      <c r="F862" s="54"/>
      <c r="G862" s="54"/>
      <c r="H862" s="54"/>
      <c r="I862" s="54"/>
      <c r="J862" s="54"/>
      <c r="K862" s="54"/>
      <c r="L862" s="54"/>
      <c r="M862" s="2"/>
      <c r="N862" s="54"/>
      <c r="P862" s="2"/>
      <c r="Q862" s="2"/>
      <c r="R862" s="2"/>
      <c r="S862" s="368"/>
      <c r="T862" s="2"/>
      <c r="U862" s="2"/>
    </row>
    <row r="863" spans="1:21" ht="12.95" customHeight="1">
      <c r="A863" s="2"/>
      <c r="B863" s="2"/>
      <c r="C863" s="2"/>
      <c r="D863" s="54"/>
      <c r="E863" s="54"/>
      <c r="F863" s="54"/>
      <c r="G863" s="54"/>
      <c r="H863" s="54"/>
      <c r="I863" s="54"/>
      <c r="J863" s="54"/>
      <c r="K863" s="54"/>
      <c r="L863" s="54"/>
      <c r="M863" s="2"/>
      <c r="N863" s="54"/>
      <c r="P863" s="2"/>
      <c r="Q863" s="2"/>
      <c r="R863" s="2"/>
      <c r="S863" s="368"/>
      <c r="T863" s="2"/>
      <c r="U863" s="2"/>
    </row>
    <row r="864" spans="1:21" ht="12.95" customHeight="1">
      <c r="A864" s="2"/>
      <c r="B864" s="2"/>
      <c r="C864" s="2"/>
      <c r="D864" s="54"/>
      <c r="E864" s="54"/>
      <c r="F864" s="54"/>
      <c r="G864" s="54"/>
      <c r="H864" s="54"/>
      <c r="I864" s="54"/>
      <c r="J864" s="54"/>
      <c r="K864" s="54"/>
      <c r="L864" s="54"/>
      <c r="M864" s="2"/>
      <c r="N864" s="54"/>
      <c r="P864" s="2"/>
      <c r="Q864" s="2"/>
      <c r="R864" s="2"/>
      <c r="S864" s="368"/>
      <c r="T864" s="2"/>
      <c r="U864" s="2"/>
    </row>
    <row r="865" spans="1:21" ht="12.95" customHeight="1">
      <c r="A865" s="2"/>
      <c r="B865" s="2"/>
      <c r="C865" s="2"/>
      <c r="D865" s="54"/>
      <c r="E865" s="54"/>
      <c r="F865" s="54"/>
      <c r="G865" s="54"/>
      <c r="H865" s="54"/>
      <c r="I865" s="54"/>
      <c r="J865" s="54"/>
      <c r="K865" s="54"/>
      <c r="L865" s="54"/>
      <c r="M865" s="2"/>
      <c r="N865" s="54"/>
      <c r="P865" s="2"/>
      <c r="Q865" s="2"/>
      <c r="R865" s="2"/>
      <c r="S865" s="368"/>
      <c r="T865" s="2"/>
      <c r="U865" s="2"/>
    </row>
    <row r="866" spans="1:21" ht="12.95" customHeight="1">
      <c r="A866" s="2"/>
      <c r="B866" s="2"/>
      <c r="C866" s="2"/>
      <c r="D866" s="54"/>
      <c r="E866" s="54"/>
      <c r="F866" s="54"/>
      <c r="G866" s="54"/>
      <c r="H866" s="54"/>
      <c r="I866" s="54"/>
      <c r="J866" s="54"/>
      <c r="K866" s="54"/>
      <c r="L866" s="54"/>
      <c r="M866" s="2"/>
      <c r="N866" s="54"/>
      <c r="P866" s="2"/>
      <c r="Q866" s="2"/>
      <c r="R866" s="2"/>
      <c r="S866" s="368"/>
      <c r="T866" s="2"/>
      <c r="U866" s="2"/>
    </row>
    <row r="867" spans="1:21" ht="12.95" customHeight="1">
      <c r="A867" s="2"/>
      <c r="B867" s="2"/>
      <c r="C867" s="2"/>
      <c r="D867" s="54"/>
      <c r="E867" s="54"/>
      <c r="F867" s="54"/>
      <c r="G867" s="54"/>
      <c r="H867" s="54"/>
      <c r="I867" s="54"/>
      <c r="J867" s="54"/>
      <c r="K867" s="54"/>
      <c r="L867" s="54"/>
      <c r="M867" s="2"/>
      <c r="N867" s="54"/>
      <c r="P867" s="2"/>
      <c r="Q867" s="2"/>
      <c r="R867" s="2"/>
      <c r="S867" s="368"/>
      <c r="T867" s="2"/>
      <c r="U867" s="2"/>
    </row>
    <row r="868" spans="1:21" ht="12.95" customHeight="1">
      <c r="A868" s="2"/>
      <c r="B868" s="2"/>
      <c r="C868" s="2"/>
      <c r="D868" s="54"/>
      <c r="E868" s="54"/>
      <c r="F868" s="54"/>
      <c r="G868" s="54"/>
      <c r="H868" s="54"/>
      <c r="I868" s="54"/>
      <c r="J868" s="54"/>
      <c r="K868" s="54"/>
      <c r="L868" s="54"/>
      <c r="M868" s="2"/>
      <c r="N868" s="54"/>
      <c r="P868" s="2"/>
      <c r="Q868" s="2"/>
      <c r="R868" s="2"/>
      <c r="S868" s="368"/>
      <c r="T868" s="2"/>
      <c r="U868" s="2"/>
    </row>
    <row r="869" spans="1:21" ht="12.95" customHeight="1">
      <c r="A869" s="2"/>
      <c r="B869" s="2"/>
      <c r="C869" s="2"/>
      <c r="D869" s="54"/>
      <c r="E869" s="54"/>
      <c r="F869" s="54"/>
      <c r="G869" s="54"/>
      <c r="H869" s="54"/>
      <c r="I869" s="54"/>
      <c r="J869" s="54"/>
      <c r="K869" s="54"/>
      <c r="L869" s="54"/>
      <c r="M869" s="2"/>
      <c r="N869" s="54"/>
      <c r="P869" s="2"/>
      <c r="Q869" s="2"/>
      <c r="R869" s="2"/>
      <c r="S869" s="368"/>
      <c r="T869" s="2"/>
      <c r="U869" s="2"/>
    </row>
    <row r="870" spans="1:21" ht="12.95" customHeight="1">
      <c r="A870" s="2"/>
      <c r="B870" s="2"/>
      <c r="C870" s="2"/>
      <c r="D870" s="54"/>
      <c r="E870" s="54"/>
      <c r="F870" s="54"/>
      <c r="G870" s="54"/>
      <c r="H870" s="54"/>
      <c r="I870" s="54"/>
      <c r="J870" s="54"/>
      <c r="K870" s="54"/>
      <c r="L870" s="54"/>
      <c r="M870" s="2"/>
      <c r="N870" s="54"/>
      <c r="P870" s="2"/>
      <c r="Q870" s="2"/>
      <c r="R870" s="2"/>
      <c r="S870" s="368"/>
      <c r="T870" s="2"/>
      <c r="U870" s="2"/>
    </row>
    <row r="871" spans="1:21" ht="12.95" customHeight="1">
      <c r="A871" s="2"/>
      <c r="B871" s="2"/>
      <c r="C871" s="2"/>
      <c r="D871" s="54"/>
      <c r="E871" s="54"/>
      <c r="F871" s="54"/>
      <c r="G871" s="54"/>
      <c r="H871" s="54"/>
      <c r="I871" s="54"/>
      <c r="J871" s="54"/>
      <c r="K871" s="54"/>
      <c r="L871" s="54"/>
      <c r="M871" s="2"/>
      <c r="N871" s="54"/>
      <c r="P871" s="2"/>
      <c r="Q871" s="2"/>
      <c r="R871" s="2"/>
      <c r="S871" s="368"/>
      <c r="T871" s="2"/>
      <c r="U871" s="2"/>
    </row>
    <row r="872" spans="1:21" ht="12.95" customHeight="1">
      <c r="A872" s="2"/>
      <c r="B872" s="2"/>
      <c r="C872" s="2"/>
      <c r="D872" s="54"/>
      <c r="E872" s="54"/>
      <c r="F872" s="54"/>
      <c r="G872" s="54"/>
      <c r="H872" s="54"/>
      <c r="I872" s="54"/>
      <c r="J872" s="54"/>
      <c r="K872" s="54"/>
      <c r="L872" s="54"/>
      <c r="M872" s="2"/>
      <c r="N872" s="54"/>
      <c r="P872" s="2"/>
      <c r="Q872" s="2"/>
      <c r="R872" s="2"/>
      <c r="S872" s="368"/>
      <c r="T872" s="2"/>
      <c r="U872" s="2"/>
    </row>
    <row r="873" spans="1:21" ht="12.95" customHeight="1">
      <c r="A873" s="2"/>
      <c r="B873" s="2"/>
      <c r="C873" s="2"/>
      <c r="D873" s="54"/>
      <c r="E873" s="54"/>
      <c r="F873" s="54"/>
      <c r="G873" s="54"/>
      <c r="H873" s="54"/>
      <c r="I873" s="54"/>
      <c r="J873" s="54"/>
      <c r="K873" s="54"/>
      <c r="L873" s="54"/>
      <c r="M873" s="2"/>
      <c r="N873" s="54"/>
      <c r="P873" s="2"/>
      <c r="Q873" s="2"/>
      <c r="R873" s="2"/>
      <c r="S873" s="368"/>
      <c r="T873" s="2"/>
      <c r="U873" s="2"/>
    </row>
    <row r="874" spans="1:21" ht="12.95" customHeight="1">
      <c r="A874" s="2"/>
      <c r="B874" s="2"/>
      <c r="C874" s="2"/>
      <c r="D874" s="54"/>
      <c r="E874" s="54"/>
      <c r="F874" s="54"/>
      <c r="G874" s="54"/>
      <c r="H874" s="54"/>
      <c r="I874" s="54"/>
      <c r="J874" s="54"/>
      <c r="K874" s="54"/>
      <c r="L874" s="54"/>
      <c r="M874" s="2"/>
      <c r="N874" s="54"/>
      <c r="P874" s="2"/>
      <c r="Q874" s="2"/>
      <c r="R874" s="2"/>
      <c r="S874" s="368"/>
      <c r="T874" s="2"/>
      <c r="U874" s="2"/>
    </row>
    <row r="875" spans="1:21" ht="12.95" customHeight="1">
      <c r="A875" s="2"/>
      <c r="B875" s="2"/>
      <c r="C875" s="2"/>
      <c r="D875" s="54"/>
      <c r="E875" s="54"/>
      <c r="F875" s="54"/>
      <c r="G875" s="54"/>
      <c r="H875" s="54"/>
      <c r="I875" s="54"/>
      <c r="J875" s="54"/>
      <c r="K875" s="54"/>
      <c r="L875" s="54"/>
      <c r="M875" s="2"/>
      <c r="N875" s="54"/>
      <c r="P875" s="2"/>
      <c r="Q875" s="2"/>
      <c r="R875" s="2"/>
      <c r="S875" s="368"/>
      <c r="T875" s="2"/>
      <c r="U875" s="2"/>
    </row>
    <row r="876" spans="1:21" ht="12.95" customHeight="1">
      <c r="A876" s="2"/>
      <c r="B876" s="2"/>
      <c r="C876" s="2"/>
      <c r="D876" s="54"/>
      <c r="E876" s="54"/>
      <c r="F876" s="54"/>
      <c r="G876" s="54"/>
      <c r="H876" s="54"/>
      <c r="I876" s="54"/>
      <c r="J876" s="54"/>
      <c r="K876" s="54"/>
      <c r="L876" s="54"/>
      <c r="M876" s="2"/>
      <c r="N876" s="54"/>
      <c r="P876" s="2"/>
      <c r="Q876" s="2"/>
      <c r="R876" s="2"/>
      <c r="S876" s="368"/>
      <c r="T876" s="2"/>
      <c r="U876" s="2"/>
    </row>
    <row r="877" spans="1:21" ht="12.95" customHeight="1">
      <c r="A877" s="2"/>
      <c r="B877" s="2"/>
      <c r="C877" s="2"/>
      <c r="D877" s="54"/>
      <c r="E877" s="54"/>
      <c r="F877" s="54"/>
      <c r="G877" s="54"/>
      <c r="H877" s="54"/>
      <c r="I877" s="54"/>
      <c r="J877" s="54"/>
      <c r="K877" s="54"/>
      <c r="L877" s="54"/>
      <c r="M877" s="2"/>
      <c r="N877" s="54"/>
      <c r="P877" s="2"/>
      <c r="Q877" s="2"/>
      <c r="R877" s="2"/>
      <c r="S877" s="368"/>
      <c r="T877" s="2"/>
      <c r="U877" s="2"/>
    </row>
    <row r="878" spans="1:21" ht="12.95" customHeight="1">
      <c r="A878" s="2"/>
      <c r="B878" s="2"/>
      <c r="C878" s="2"/>
      <c r="D878" s="54"/>
      <c r="E878" s="54"/>
      <c r="F878" s="54"/>
      <c r="G878" s="54"/>
      <c r="H878" s="54"/>
      <c r="I878" s="54"/>
      <c r="J878" s="54"/>
      <c r="K878" s="54"/>
      <c r="L878" s="54"/>
      <c r="M878" s="2"/>
      <c r="N878" s="54"/>
      <c r="P878" s="2"/>
      <c r="Q878" s="2"/>
      <c r="R878" s="2"/>
      <c r="S878" s="368"/>
      <c r="T878" s="2"/>
      <c r="U878" s="2"/>
    </row>
    <row r="879" spans="1:21" ht="12.95" customHeight="1">
      <c r="A879" s="2"/>
      <c r="B879" s="2"/>
      <c r="C879" s="2"/>
      <c r="D879" s="54"/>
      <c r="E879" s="54"/>
      <c r="F879" s="54"/>
      <c r="G879" s="54"/>
      <c r="H879" s="54"/>
      <c r="I879" s="54"/>
      <c r="J879" s="54"/>
      <c r="K879" s="54"/>
      <c r="L879" s="54"/>
      <c r="M879" s="2"/>
      <c r="N879" s="54"/>
      <c r="P879" s="2"/>
      <c r="Q879" s="2"/>
      <c r="R879" s="2"/>
      <c r="S879" s="368"/>
      <c r="T879" s="2"/>
      <c r="U879" s="2"/>
    </row>
    <row r="880" spans="1:21" ht="12.95" customHeight="1">
      <c r="A880" s="2"/>
      <c r="B880" s="2"/>
      <c r="C880" s="2"/>
      <c r="D880" s="54"/>
      <c r="E880" s="54"/>
      <c r="F880" s="54"/>
      <c r="G880" s="54"/>
      <c r="H880" s="54"/>
      <c r="I880" s="54"/>
      <c r="J880" s="54"/>
      <c r="K880" s="54"/>
      <c r="L880" s="54"/>
      <c r="M880" s="2"/>
      <c r="N880" s="54"/>
      <c r="P880" s="2"/>
      <c r="Q880" s="2"/>
      <c r="R880" s="2"/>
      <c r="S880" s="368"/>
      <c r="T880" s="2"/>
      <c r="U880" s="2"/>
    </row>
    <row r="881" spans="1:21" ht="12.95" customHeight="1">
      <c r="A881" s="2"/>
      <c r="B881" s="2"/>
      <c r="C881" s="2"/>
      <c r="D881" s="54"/>
      <c r="E881" s="54"/>
      <c r="F881" s="54"/>
      <c r="G881" s="54"/>
      <c r="H881" s="54"/>
      <c r="I881" s="54"/>
      <c r="J881" s="54"/>
      <c r="K881" s="54"/>
      <c r="L881" s="54"/>
      <c r="M881" s="2"/>
      <c r="N881" s="54"/>
      <c r="P881" s="2"/>
      <c r="Q881" s="2"/>
      <c r="R881" s="2"/>
      <c r="S881" s="368"/>
      <c r="T881" s="2"/>
      <c r="U881" s="2"/>
    </row>
    <row r="882" spans="1:21" ht="12.95" customHeight="1">
      <c r="A882" s="2"/>
      <c r="B882" s="2"/>
      <c r="C882" s="2"/>
      <c r="D882" s="54"/>
      <c r="E882" s="54"/>
      <c r="F882" s="54"/>
      <c r="G882" s="54"/>
      <c r="H882" s="54"/>
      <c r="I882" s="54"/>
      <c r="J882" s="54"/>
      <c r="K882" s="54"/>
      <c r="L882" s="54"/>
      <c r="M882" s="2"/>
      <c r="N882" s="54"/>
      <c r="P882" s="2"/>
      <c r="Q882" s="2"/>
      <c r="R882" s="2"/>
      <c r="S882" s="368"/>
      <c r="T882" s="2"/>
      <c r="U882" s="2"/>
    </row>
    <row r="883" spans="1:21" ht="12.95" customHeight="1">
      <c r="A883" s="2"/>
      <c r="B883" s="2"/>
      <c r="C883" s="2"/>
      <c r="D883" s="54"/>
      <c r="E883" s="54"/>
      <c r="F883" s="54"/>
      <c r="G883" s="54"/>
      <c r="H883" s="54"/>
      <c r="I883" s="54"/>
      <c r="J883" s="54"/>
      <c r="K883" s="54"/>
      <c r="L883" s="54"/>
      <c r="M883" s="2"/>
      <c r="N883" s="54"/>
      <c r="P883" s="2"/>
      <c r="Q883" s="2"/>
      <c r="R883" s="2"/>
      <c r="S883" s="368"/>
      <c r="T883" s="2"/>
      <c r="U883" s="2"/>
    </row>
    <row r="884" spans="1:21" ht="12.95" customHeight="1">
      <c r="A884" s="2"/>
      <c r="B884" s="2"/>
      <c r="C884" s="2"/>
      <c r="D884" s="54"/>
      <c r="E884" s="54"/>
      <c r="F884" s="54"/>
      <c r="G884" s="54"/>
      <c r="H884" s="54"/>
      <c r="I884" s="54"/>
      <c r="J884" s="54"/>
      <c r="K884" s="54"/>
      <c r="L884" s="54"/>
      <c r="M884" s="2"/>
      <c r="N884" s="54"/>
      <c r="P884" s="2"/>
      <c r="Q884" s="2"/>
      <c r="R884" s="2"/>
      <c r="S884" s="368"/>
      <c r="T884" s="2"/>
      <c r="U884" s="2"/>
    </row>
    <row r="885" spans="1:21" ht="12.95" customHeight="1">
      <c r="A885" s="2"/>
      <c r="B885" s="2"/>
      <c r="C885" s="2"/>
      <c r="D885" s="54"/>
      <c r="E885" s="54"/>
      <c r="F885" s="54"/>
      <c r="G885" s="54"/>
      <c r="H885" s="54"/>
      <c r="I885" s="54"/>
      <c r="J885" s="54"/>
      <c r="K885" s="54"/>
      <c r="L885" s="54"/>
      <c r="M885" s="2"/>
      <c r="N885" s="54"/>
      <c r="P885" s="2"/>
      <c r="Q885" s="2"/>
      <c r="R885" s="2"/>
      <c r="S885" s="368"/>
      <c r="T885" s="2"/>
      <c r="U885" s="2"/>
    </row>
    <row r="886" spans="1:21" ht="12.95" customHeight="1">
      <c r="A886" s="2"/>
      <c r="B886" s="2"/>
      <c r="C886" s="2"/>
      <c r="D886" s="54"/>
      <c r="E886" s="54"/>
      <c r="F886" s="54"/>
      <c r="G886" s="54"/>
      <c r="H886" s="54"/>
      <c r="I886" s="54"/>
      <c r="J886" s="54"/>
      <c r="K886" s="54"/>
      <c r="L886" s="54"/>
      <c r="M886" s="2"/>
      <c r="N886" s="54"/>
      <c r="P886" s="2"/>
      <c r="Q886" s="2"/>
      <c r="R886" s="2"/>
      <c r="S886" s="368"/>
      <c r="T886" s="2"/>
      <c r="U886" s="2"/>
    </row>
    <row r="887" spans="1:21" ht="12.95" customHeight="1">
      <c r="A887" s="2"/>
      <c r="B887" s="2"/>
      <c r="C887" s="2"/>
      <c r="D887" s="54"/>
      <c r="E887" s="54"/>
      <c r="F887" s="54"/>
      <c r="G887" s="54"/>
      <c r="H887" s="54"/>
      <c r="I887" s="54"/>
      <c r="J887" s="54"/>
      <c r="K887" s="54"/>
      <c r="L887" s="54"/>
      <c r="M887" s="2"/>
      <c r="N887" s="54"/>
      <c r="P887" s="2"/>
      <c r="Q887" s="2"/>
      <c r="R887" s="2"/>
      <c r="S887" s="368"/>
      <c r="T887" s="2"/>
      <c r="U887" s="2"/>
    </row>
    <row r="888" spans="1:21" ht="12.95" customHeight="1">
      <c r="A888" s="2"/>
      <c r="B888" s="2"/>
      <c r="C888" s="2"/>
      <c r="D888" s="54"/>
      <c r="E888" s="54"/>
      <c r="F888" s="54"/>
      <c r="G888" s="54"/>
      <c r="H888" s="54"/>
      <c r="I888" s="54"/>
      <c r="J888" s="54"/>
      <c r="K888" s="54"/>
      <c r="L888" s="54"/>
      <c r="M888" s="2"/>
      <c r="N888" s="54"/>
      <c r="P888" s="2"/>
      <c r="Q888" s="2"/>
      <c r="R888" s="2"/>
      <c r="S888" s="368"/>
      <c r="T888" s="2"/>
      <c r="U888" s="2"/>
    </row>
    <row r="889" spans="1:21" ht="12.95" customHeight="1">
      <c r="A889" s="2"/>
      <c r="B889" s="2"/>
      <c r="C889" s="2"/>
      <c r="D889" s="54"/>
      <c r="E889" s="54"/>
      <c r="F889" s="54"/>
      <c r="G889" s="54"/>
      <c r="H889" s="54"/>
      <c r="I889" s="54"/>
      <c r="J889" s="54"/>
      <c r="K889" s="54"/>
      <c r="L889" s="54"/>
      <c r="M889" s="2"/>
      <c r="N889" s="54"/>
      <c r="P889" s="2"/>
      <c r="Q889" s="2"/>
      <c r="R889" s="2"/>
      <c r="S889" s="368"/>
      <c r="T889" s="2"/>
      <c r="U889" s="2"/>
    </row>
    <row r="890" spans="1:21" ht="12.95" customHeight="1">
      <c r="A890" s="2"/>
      <c r="B890" s="2"/>
      <c r="C890" s="2"/>
      <c r="D890" s="54"/>
      <c r="E890" s="54"/>
      <c r="F890" s="54"/>
      <c r="G890" s="54"/>
      <c r="H890" s="54"/>
      <c r="I890" s="54"/>
      <c r="J890" s="54"/>
      <c r="K890" s="54"/>
      <c r="L890" s="54"/>
      <c r="M890" s="2"/>
      <c r="N890" s="54"/>
      <c r="P890" s="2"/>
      <c r="Q890" s="2"/>
      <c r="R890" s="2"/>
      <c r="S890" s="368"/>
      <c r="T890" s="2"/>
      <c r="U890" s="2"/>
    </row>
    <row r="891" spans="1:21" ht="12.95" customHeight="1">
      <c r="A891" s="2"/>
      <c r="B891" s="2"/>
      <c r="C891" s="2"/>
      <c r="D891" s="54"/>
      <c r="E891" s="54"/>
      <c r="F891" s="54"/>
      <c r="G891" s="54"/>
      <c r="H891" s="54"/>
      <c r="I891" s="54"/>
      <c r="J891" s="54"/>
      <c r="K891" s="54"/>
      <c r="L891" s="54"/>
      <c r="M891" s="2"/>
      <c r="N891" s="54"/>
      <c r="P891" s="2"/>
      <c r="Q891" s="2"/>
      <c r="R891" s="2"/>
      <c r="S891" s="368"/>
      <c r="T891" s="2"/>
      <c r="U891" s="2"/>
    </row>
    <row r="892" spans="1:21" ht="12.95" customHeight="1">
      <c r="A892" s="2"/>
      <c r="B892" s="2"/>
      <c r="C892" s="2"/>
      <c r="D892" s="54"/>
      <c r="E892" s="54"/>
      <c r="F892" s="54"/>
      <c r="G892" s="54"/>
      <c r="H892" s="54"/>
      <c r="I892" s="54"/>
      <c r="J892" s="54"/>
      <c r="K892" s="54"/>
      <c r="L892" s="54"/>
      <c r="M892" s="2"/>
      <c r="N892" s="54"/>
      <c r="P892" s="2"/>
      <c r="Q892" s="2"/>
      <c r="R892" s="2"/>
      <c r="S892" s="368"/>
      <c r="T892" s="2"/>
      <c r="U892" s="2"/>
    </row>
    <row r="893" spans="1:21" ht="12.95" customHeight="1">
      <c r="A893" s="2"/>
      <c r="B893" s="2"/>
      <c r="C893" s="2"/>
      <c r="D893" s="54"/>
      <c r="E893" s="54"/>
      <c r="F893" s="54"/>
      <c r="G893" s="54"/>
      <c r="H893" s="54"/>
      <c r="I893" s="54"/>
      <c r="J893" s="54"/>
      <c r="K893" s="54"/>
      <c r="L893" s="54"/>
      <c r="M893" s="2"/>
      <c r="N893" s="54"/>
      <c r="P893" s="2"/>
      <c r="Q893" s="2"/>
      <c r="R893" s="2"/>
      <c r="S893" s="368"/>
      <c r="T893" s="2"/>
      <c r="U893" s="2"/>
    </row>
    <row r="894" spans="1:21" ht="12.95" customHeight="1">
      <c r="A894" s="2"/>
      <c r="B894" s="2"/>
      <c r="C894" s="2"/>
      <c r="D894" s="54"/>
      <c r="E894" s="54"/>
      <c r="F894" s="54"/>
      <c r="G894" s="54"/>
      <c r="H894" s="54"/>
      <c r="I894" s="54"/>
      <c r="J894" s="54"/>
      <c r="K894" s="54"/>
      <c r="L894" s="54"/>
      <c r="M894" s="2"/>
      <c r="N894" s="54"/>
      <c r="P894" s="2"/>
      <c r="Q894" s="2"/>
      <c r="R894" s="2"/>
      <c r="S894" s="368"/>
      <c r="T894" s="2"/>
      <c r="U894" s="2"/>
    </row>
    <row r="895" spans="1:21" ht="12.95" customHeight="1">
      <c r="A895" s="2"/>
      <c r="B895" s="2"/>
      <c r="C895" s="2"/>
      <c r="D895" s="54"/>
      <c r="E895" s="54"/>
      <c r="F895" s="54"/>
      <c r="G895" s="54"/>
      <c r="H895" s="54"/>
      <c r="I895" s="54"/>
      <c r="J895" s="54"/>
      <c r="K895" s="54"/>
      <c r="L895" s="54"/>
      <c r="M895" s="2"/>
      <c r="N895" s="54"/>
      <c r="P895" s="2"/>
      <c r="Q895" s="2"/>
      <c r="R895" s="2"/>
      <c r="S895" s="368"/>
      <c r="T895" s="2"/>
      <c r="U895" s="2"/>
    </row>
    <row r="896" spans="1:21" ht="12.95" customHeight="1">
      <c r="A896" s="2"/>
      <c r="B896" s="2"/>
      <c r="C896" s="2"/>
      <c r="D896" s="54"/>
      <c r="E896" s="54"/>
      <c r="F896" s="54"/>
      <c r="G896" s="54"/>
      <c r="H896" s="54"/>
      <c r="I896" s="54"/>
      <c r="J896" s="54"/>
      <c r="K896" s="54"/>
      <c r="L896" s="54"/>
      <c r="M896" s="2"/>
      <c r="N896" s="54"/>
      <c r="P896" s="2"/>
      <c r="Q896" s="2"/>
      <c r="R896" s="2"/>
      <c r="S896" s="368"/>
      <c r="T896" s="2"/>
      <c r="U896" s="2"/>
    </row>
    <row r="897" spans="1:21" ht="12.95" customHeight="1">
      <c r="A897" s="2"/>
      <c r="B897" s="2"/>
      <c r="C897" s="2"/>
      <c r="D897" s="54"/>
      <c r="E897" s="54"/>
      <c r="F897" s="54"/>
      <c r="G897" s="54"/>
      <c r="H897" s="54"/>
      <c r="I897" s="54"/>
      <c r="J897" s="54"/>
      <c r="K897" s="54"/>
      <c r="L897" s="54"/>
      <c r="M897" s="2"/>
      <c r="N897" s="54"/>
      <c r="P897" s="2"/>
      <c r="Q897" s="2"/>
      <c r="R897" s="2"/>
      <c r="S897" s="368"/>
      <c r="T897" s="2"/>
      <c r="U897" s="2"/>
    </row>
    <row r="898" spans="1:21" ht="12.95" customHeight="1">
      <c r="A898" s="2"/>
      <c r="B898" s="2"/>
      <c r="C898" s="2"/>
      <c r="D898" s="54"/>
      <c r="E898" s="54"/>
      <c r="F898" s="54"/>
      <c r="G898" s="54"/>
      <c r="H898" s="54"/>
      <c r="I898" s="54"/>
      <c r="J898" s="54"/>
      <c r="K898" s="54"/>
      <c r="L898" s="54"/>
      <c r="M898" s="2"/>
      <c r="N898" s="54"/>
      <c r="P898" s="2"/>
      <c r="Q898" s="2"/>
      <c r="R898" s="2"/>
      <c r="S898" s="368"/>
      <c r="T898" s="2"/>
      <c r="U898" s="2"/>
    </row>
    <row r="899" spans="1:21" ht="12.95" customHeight="1">
      <c r="A899" s="2"/>
      <c r="B899" s="2"/>
      <c r="C899" s="2"/>
      <c r="D899" s="54"/>
      <c r="E899" s="54"/>
      <c r="F899" s="54"/>
      <c r="G899" s="54"/>
      <c r="H899" s="54"/>
      <c r="I899" s="54"/>
      <c r="J899" s="54"/>
      <c r="K899" s="54"/>
      <c r="L899" s="54"/>
      <c r="M899" s="2"/>
      <c r="N899" s="54"/>
      <c r="P899" s="2"/>
      <c r="Q899" s="2"/>
      <c r="R899" s="2"/>
      <c r="S899" s="368"/>
      <c r="T899" s="2"/>
      <c r="U899" s="2"/>
    </row>
    <row r="900" spans="1:21" ht="12.95" customHeight="1">
      <c r="A900" s="2"/>
      <c r="B900" s="2"/>
      <c r="C900" s="2"/>
      <c r="D900" s="54"/>
      <c r="E900" s="54"/>
      <c r="F900" s="54"/>
      <c r="G900" s="54"/>
      <c r="H900" s="54"/>
      <c r="I900" s="54"/>
      <c r="J900" s="54"/>
      <c r="K900" s="54"/>
      <c r="L900" s="54"/>
      <c r="M900" s="2"/>
      <c r="N900" s="54"/>
      <c r="P900" s="2"/>
      <c r="Q900" s="2"/>
      <c r="R900" s="2"/>
      <c r="S900" s="368"/>
      <c r="T900" s="2"/>
      <c r="U900" s="2"/>
    </row>
    <row r="901" spans="1:21" ht="12.95" customHeight="1">
      <c r="A901" s="2"/>
      <c r="B901" s="2"/>
      <c r="C901" s="2"/>
      <c r="D901" s="54"/>
      <c r="E901" s="54"/>
      <c r="F901" s="54"/>
      <c r="G901" s="54"/>
      <c r="H901" s="54"/>
      <c r="I901" s="54"/>
      <c r="J901" s="54"/>
      <c r="K901" s="54"/>
      <c r="L901" s="54"/>
      <c r="M901" s="2"/>
      <c r="N901" s="54"/>
      <c r="P901" s="2"/>
      <c r="Q901" s="2"/>
      <c r="R901" s="2"/>
      <c r="S901" s="368"/>
      <c r="T901" s="2"/>
      <c r="U901" s="2"/>
    </row>
    <row r="902" spans="1:21" ht="12.95" customHeight="1">
      <c r="A902" s="2"/>
      <c r="B902" s="2"/>
      <c r="C902" s="2"/>
      <c r="D902" s="54"/>
      <c r="E902" s="54"/>
      <c r="F902" s="54"/>
      <c r="G902" s="54"/>
      <c r="H902" s="54"/>
      <c r="I902" s="54"/>
      <c r="J902" s="54"/>
      <c r="K902" s="54"/>
      <c r="L902" s="54"/>
      <c r="M902" s="2"/>
      <c r="N902" s="54"/>
      <c r="P902" s="2"/>
      <c r="Q902" s="2"/>
      <c r="R902" s="2"/>
      <c r="S902" s="368"/>
      <c r="T902" s="2"/>
      <c r="U902" s="2"/>
    </row>
    <row r="903" spans="1:21" ht="12.95" customHeight="1">
      <c r="A903" s="2"/>
      <c r="B903" s="2"/>
      <c r="C903" s="2"/>
      <c r="D903" s="54"/>
      <c r="E903" s="54"/>
      <c r="F903" s="54"/>
      <c r="G903" s="54"/>
      <c r="H903" s="54"/>
      <c r="I903" s="54"/>
      <c r="J903" s="54"/>
      <c r="K903" s="54"/>
      <c r="L903" s="54"/>
      <c r="M903" s="2"/>
      <c r="N903" s="54"/>
      <c r="P903" s="2"/>
      <c r="Q903" s="2"/>
      <c r="R903" s="2"/>
      <c r="S903" s="368"/>
      <c r="T903" s="2"/>
      <c r="U903" s="2"/>
    </row>
    <row r="904" spans="1:21" ht="12.95" customHeight="1">
      <c r="A904" s="2"/>
      <c r="B904" s="2"/>
      <c r="C904" s="2"/>
      <c r="D904" s="54"/>
      <c r="E904" s="54"/>
      <c r="F904" s="54"/>
      <c r="G904" s="54"/>
      <c r="H904" s="54"/>
      <c r="I904" s="54"/>
      <c r="J904" s="54"/>
      <c r="K904" s="54"/>
      <c r="L904" s="54"/>
      <c r="M904" s="2"/>
      <c r="N904" s="54"/>
      <c r="P904" s="2"/>
      <c r="Q904" s="2"/>
      <c r="R904" s="2"/>
      <c r="S904" s="368"/>
      <c r="T904" s="2"/>
      <c r="U904" s="2"/>
    </row>
    <row r="905" spans="1:21" ht="12.95" customHeight="1">
      <c r="A905" s="2"/>
      <c r="B905" s="2"/>
      <c r="C905" s="2"/>
      <c r="D905" s="54"/>
      <c r="E905" s="54"/>
      <c r="F905" s="54"/>
      <c r="G905" s="54"/>
      <c r="H905" s="54"/>
      <c r="I905" s="54"/>
      <c r="J905" s="54"/>
      <c r="K905" s="54"/>
      <c r="L905" s="54"/>
      <c r="M905" s="2"/>
      <c r="N905" s="54"/>
      <c r="P905" s="2"/>
      <c r="Q905" s="2"/>
      <c r="R905" s="2"/>
      <c r="S905" s="368"/>
      <c r="T905" s="2"/>
      <c r="U905" s="2"/>
    </row>
    <row r="906" spans="1:21" ht="12.95" customHeight="1">
      <c r="A906" s="2"/>
      <c r="B906" s="2"/>
      <c r="C906" s="2"/>
      <c r="D906" s="54"/>
      <c r="E906" s="54"/>
      <c r="F906" s="54"/>
      <c r="G906" s="54"/>
      <c r="H906" s="54"/>
      <c r="I906" s="54"/>
      <c r="J906" s="54"/>
      <c r="K906" s="54"/>
      <c r="L906" s="54"/>
      <c r="M906" s="2"/>
      <c r="N906" s="54"/>
      <c r="P906" s="2"/>
      <c r="Q906" s="2"/>
      <c r="R906" s="2"/>
      <c r="S906" s="368"/>
      <c r="T906" s="2"/>
      <c r="U906" s="2"/>
    </row>
    <row r="907" spans="1:21" ht="12.95" customHeight="1">
      <c r="A907" s="2"/>
      <c r="B907" s="2"/>
      <c r="C907" s="2"/>
      <c r="D907" s="54"/>
      <c r="E907" s="54"/>
      <c r="F907" s="54"/>
      <c r="G907" s="54"/>
      <c r="H907" s="54"/>
      <c r="I907" s="54"/>
      <c r="J907" s="54"/>
      <c r="K907" s="54"/>
      <c r="L907" s="54"/>
      <c r="M907" s="2"/>
      <c r="N907" s="54"/>
      <c r="P907" s="2"/>
      <c r="Q907" s="2"/>
      <c r="R907" s="2"/>
      <c r="S907" s="368"/>
      <c r="T907" s="2"/>
      <c r="U907" s="2"/>
    </row>
    <row r="908" spans="1:21" ht="12.95" customHeight="1">
      <c r="A908" s="2"/>
      <c r="B908" s="2"/>
      <c r="C908" s="2"/>
      <c r="D908" s="54"/>
      <c r="E908" s="54"/>
      <c r="F908" s="54"/>
      <c r="G908" s="54"/>
      <c r="H908" s="54"/>
      <c r="I908" s="54"/>
      <c r="J908" s="54"/>
      <c r="K908" s="54"/>
      <c r="L908" s="54"/>
      <c r="M908" s="2"/>
      <c r="N908" s="54"/>
      <c r="P908" s="2"/>
      <c r="Q908" s="2"/>
      <c r="R908" s="2"/>
      <c r="S908" s="368"/>
      <c r="T908" s="2"/>
      <c r="U908" s="2"/>
    </row>
    <row r="909" spans="1:21" ht="12.95" customHeight="1">
      <c r="A909" s="2"/>
      <c r="B909" s="2"/>
      <c r="C909" s="2"/>
      <c r="D909" s="54"/>
      <c r="E909" s="54"/>
      <c r="F909" s="54"/>
      <c r="G909" s="54"/>
      <c r="H909" s="54"/>
      <c r="I909" s="54"/>
      <c r="J909" s="54"/>
      <c r="K909" s="54"/>
      <c r="L909" s="54"/>
      <c r="M909" s="2"/>
      <c r="N909" s="54"/>
      <c r="P909" s="2"/>
      <c r="Q909" s="2"/>
      <c r="R909" s="2"/>
      <c r="S909" s="368"/>
      <c r="T909" s="2"/>
      <c r="U909" s="2"/>
    </row>
    <row r="910" spans="1:21" ht="12.95" customHeight="1">
      <c r="A910" s="2"/>
      <c r="B910" s="2"/>
      <c r="C910" s="2"/>
      <c r="D910" s="54"/>
      <c r="E910" s="54"/>
      <c r="F910" s="54"/>
      <c r="G910" s="54"/>
      <c r="H910" s="54"/>
      <c r="I910" s="54"/>
      <c r="J910" s="54"/>
      <c r="K910" s="54"/>
      <c r="L910" s="54"/>
      <c r="M910" s="2"/>
      <c r="N910" s="54"/>
      <c r="P910" s="2"/>
      <c r="Q910" s="2"/>
      <c r="R910" s="2"/>
      <c r="S910" s="368"/>
      <c r="T910" s="2"/>
      <c r="U910" s="2"/>
    </row>
    <row r="911" spans="1:21" ht="12.95" customHeight="1">
      <c r="A911" s="2"/>
      <c r="B911" s="2"/>
      <c r="C911" s="2"/>
      <c r="D911" s="54"/>
      <c r="E911" s="54"/>
      <c r="F911" s="54"/>
      <c r="G911" s="54"/>
      <c r="H911" s="54"/>
      <c r="I911" s="54"/>
      <c r="J911" s="54"/>
      <c r="K911" s="54"/>
      <c r="L911" s="54"/>
      <c r="M911" s="2"/>
      <c r="N911" s="54"/>
      <c r="P911" s="2"/>
      <c r="Q911" s="2"/>
      <c r="R911" s="2"/>
      <c r="S911" s="368"/>
      <c r="T911" s="2"/>
      <c r="U911" s="2"/>
    </row>
    <row r="912" spans="1:21" ht="12.95" customHeight="1">
      <c r="A912" s="2"/>
      <c r="B912" s="2"/>
      <c r="C912" s="2"/>
      <c r="D912" s="54"/>
      <c r="E912" s="54"/>
      <c r="F912" s="54"/>
      <c r="G912" s="54"/>
      <c r="H912" s="54"/>
      <c r="I912" s="54"/>
      <c r="J912" s="54"/>
      <c r="K912" s="54"/>
      <c r="L912" s="54"/>
      <c r="M912" s="2"/>
      <c r="N912" s="54"/>
      <c r="P912" s="2"/>
      <c r="Q912" s="2"/>
      <c r="R912" s="2"/>
      <c r="S912" s="368"/>
      <c r="T912" s="2"/>
      <c r="U912" s="2"/>
    </row>
    <row r="913" spans="1:21" ht="12.95" customHeight="1">
      <c r="A913" s="2"/>
      <c r="B913" s="2"/>
      <c r="C913" s="2"/>
      <c r="D913" s="54"/>
      <c r="E913" s="54"/>
      <c r="F913" s="54"/>
      <c r="G913" s="54"/>
      <c r="H913" s="54"/>
      <c r="I913" s="54"/>
      <c r="J913" s="54"/>
      <c r="K913" s="54"/>
      <c r="L913" s="54"/>
      <c r="M913" s="2"/>
      <c r="N913" s="54"/>
      <c r="P913" s="2"/>
      <c r="Q913" s="2"/>
      <c r="R913" s="2"/>
      <c r="S913" s="368"/>
      <c r="T913" s="2"/>
      <c r="U913" s="2"/>
    </row>
    <row r="914" spans="1:21" ht="12.95" customHeight="1">
      <c r="A914" s="2"/>
      <c r="B914" s="2"/>
      <c r="C914" s="2"/>
      <c r="D914" s="54"/>
      <c r="E914" s="54"/>
      <c r="F914" s="54"/>
      <c r="G914" s="54"/>
      <c r="H914" s="54"/>
      <c r="I914" s="54"/>
      <c r="J914" s="54"/>
      <c r="K914" s="54"/>
      <c r="L914" s="54"/>
      <c r="M914" s="2"/>
      <c r="N914" s="54"/>
      <c r="P914" s="2"/>
      <c r="Q914" s="2"/>
      <c r="R914" s="2"/>
      <c r="S914" s="368"/>
      <c r="T914" s="2"/>
      <c r="U914" s="2"/>
    </row>
    <row r="915" spans="1:21" ht="12.95" customHeight="1">
      <c r="A915" s="2"/>
      <c r="B915" s="2"/>
      <c r="C915" s="2"/>
      <c r="D915" s="54"/>
      <c r="E915" s="54"/>
      <c r="F915" s="54"/>
      <c r="G915" s="54"/>
      <c r="H915" s="54"/>
      <c r="I915" s="54"/>
      <c r="J915" s="54"/>
      <c r="K915" s="54"/>
      <c r="L915" s="54"/>
      <c r="M915" s="2"/>
      <c r="N915" s="54"/>
      <c r="P915" s="2"/>
      <c r="Q915" s="2"/>
      <c r="R915" s="2"/>
      <c r="S915" s="368"/>
      <c r="T915" s="2"/>
      <c r="U915" s="2"/>
    </row>
    <row r="916" spans="1:21" ht="12.95" customHeight="1">
      <c r="A916" s="2"/>
      <c r="B916" s="2"/>
      <c r="C916" s="2"/>
      <c r="D916" s="54"/>
      <c r="E916" s="54"/>
      <c r="F916" s="54"/>
      <c r="G916" s="54"/>
      <c r="H916" s="54"/>
      <c r="I916" s="54"/>
      <c r="J916" s="54"/>
      <c r="K916" s="54"/>
      <c r="L916" s="54"/>
      <c r="M916" s="2"/>
      <c r="N916" s="54"/>
      <c r="P916" s="2"/>
      <c r="Q916" s="2"/>
      <c r="R916" s="2"/>
      <c r="S916" s="368"/>
      <c r="T916" s="2"/>
      <c r="U916" s="2"/>
    </row>
    <row r="917" spans="1:21" ht="12.95" customHeight="1">
      <c r="A917" s="2"/>
      <c r="B917" s="2"/>
      <c r="C917" s="2"/>
      <c r="D917" s="54"/>
      <c r="E917" s="54"/>
      <c r="F917" s="54"/>
      <c r="G917" s="54"/>
      <c r="H917" s="54"/>
      <c r="I917" s="54"/>
      <c r="J917" s="54"/>
      <c r="K917" s="54"/>
      <c r="L917" s="54"/>
      <c r="M917" s="2"/>
      <c r="N917" s="54"/>
      <c r="P917" s="2"/>
      <c r="Q917" s="2"/>
      <c r="R917" s="2"/>
      <c r="S917" s="368"/>
      <c r="T917" s="2"/>
      <c r="U917" s="2"/>
    </row>
    <row r="918" spans="1:21" ht="12.95" customHeight="1">
      <c r="A918" s="2"/>
      <c r="B918" s="2"/>
      <c r="C918" s="2"/>
      <c r="D918" s="54"/>
      <c r="E918" s="54"/>
      <c r="F918" s="54"/>
      <c r="G918" s="54"/>
      <c r="H918" s="54"/>
      <c r="I918" s="54"/>
      <c r="J918" s="54"/>
      <c r="K918" s="54"/>
      <c r="L918" s="54"/>
      <c r="M918" s="2"/>
      <c r="N918" s="54"/>
      <c r="P918" s="2"/>
      <c r="Q918" s="2"/>
      <c r="R918" s="2"/>
      <c r="S918" s="368"/>
      <c r="T918" s="2"/>
      <c r="U918" s="2"/>
    </row>
    <row r="919" spans="1:21" ht="12.95" customHeight="1">
      <c r="A919" s="2"/>
      <c r="B919" s="2"/>
      <c r="C919" s="2"/>
      <c r="D919" s="54"/>
      <c r="E919" s="54"/>
      <c r="F919" s="54"/>
      <c r="G919" s="54"/>
      <c r="H919" s="54"/>
      <c r="I919" s="54"/>
      <c r="J919" s="54"/>
      <c r="K919" s="54"/>
      <c r="L919" s="54"/>
      <c r="M919" s="2"/>
      <c r="N919" s="54"/>
      <c r="P919" s="2"/>
      <c r="Q919" s="2"/>
      <c r="R919" s="2"/>
      <c r="S919" s="368"/>
      <c r="T919" s="2"/>
      <c r="U919" s="2"/>
    </row>
    <row r="920" spans="1:21" ht="12.95" customHeight="1">
      <c r="A920" s="2"/>
      <c r="B920" s="2"/>
      <c r="C920" s="2"/>
      <c r="D920" s="54"/>
      <c r="E920" s="54"/>
      <c r="F920" s="54"/>
      <c r="G920" s="54"/>
      <c r="H920" s="54"/>
      <c r="I920" s="54"/>
      <c r="J920" s="54"/>
      <c r="K920" s="54"/>
      <c r="L920" s="54"/>
      <c r="M920" s="2"/>
      <c r="N920" s="54"/>
      <c r="P920" s="2"/>
      <c r="Q920" s="2"/>
      <c r="R920" s="2"/>
      <c r="S920" s="368"/>
      <c r="T920" s="2"/>
      <c r="U920" s="2"/>
    </row>
    <row r="921" spans="1:21" ht="12.95" customHeight="1">
      <c r="A921" s="2"/>
      <c r="B921" s="2"/>
      <c r="C921" s="2"/>
      <c r="D921" s="54"/>
      <c r="E921" s="54"/>
      <c r="F921" s="54"/>
      <c r="G921" s="54"/>
      <c r="H921" s="54"/>
      <c r="I921" s="54"/>
      <c r="J921" s="54"/>
      <c r="K921" s="54"/>
      <c r="L921" s="54"/>
      <c r="M921" s="2"/>
      <c r="N921" s="54"/>
      <c r="P921" s="2"/>
      <c r="Q921" s="2"/>
      <c r="R921" s="2"/>
      <c r="S921" s="368"/>
      <c r="T921" s="2"/>
      <c r="U921" s="2"/>
    </row>
    <row r="922" spans="1:21" ht="12.95" customHeight="1">
      <c r="A922" s="2"/>
      <c r="B922" s="2"/>
      <c r="C922" s="2"/>
      <c r="D922" s="54"/>
      <c r="E922" s="54"/>
      <c r="F922" s="54"/>
      <c r="G922" s="54"/>
      <c r="H922" s="54"/>
      <c r="I922" s="54"/>
      <c r="J922" s="54"/>
      <c r="K922" s="54"/>
      <c r="L922" s="54"/>
      <c r="M922" s="2"/>
      <c r="N922" s="54"/>
      <c r="P922" s="2"/>
      <c r="Q922" s="2"/>
      <c r="R922" s="2"/>
      <c r="S922" s="368"/>
      <c r="T922" s="2"/>
      <c r="U922" s="2"/>
    </row>
    <row r="923" spans="1:21" ht="12.95" customHeight="1">
      <c r="A923" s="2"/>
      <c r="B923" s="2"/>
      <c r="C923" s="2"/>
      <c r="D923" s="54"/>
      <c r="E923" s="54"/>
      <c r="F923" s="54"/>
      <c r="G923" s="54"/>
      <c r="H923" s="54"/>
      <c r="I923" s="54"/>
      <c r="J923" s="54"/>
      <c r="K923" s="54"/>
      <c r="L923" s="54"/>
      <c r="M923" s="2"/>
      <c r="N923" s="54"/>
      <c r="P923" s="2"/>
      <c r="Q923" s="2"/>
      <c r="R923" s="2"/>
      <c r="S923" s="368"/>
      <c r="T923" s="2"/>
      <c r="U923" s="2"/>
    </row>
    <row r="924" spans="1:21" ht="12.95" customHeight="1">
      <c r="A924" s="2"/>
      <c r="B924" s="2"/>
      <c r="C924" s="2"/>
      <c r="D924" s="54"/>
      <c r="E924" s="54"/>
      <c r="F924" s="54"/>
      <c r="G924" s="54"/>
      <c r="H924" s="54"/>
      <c r="I924" s="54"/>
      <c r="J924" s="54"/>
      <c r="K924" s="54"/>
      <c r="L924" s="54"/>
      <c r="M924" s="2"/>
      <c r="N924" s="54"/>
      <c r="P924" s="2"/>
      <c r="Q924" s="2"/>
      <c r="R924" s="2"/>
      <c r="S924" s="368"/>
      <c r="T924" s="2"/>
      <c r="U924" s="2"/>
    </row>
    <row r="925" spans="1:21" ht="12.95" customHeight="1">
      <c r="A925" s="2"/>
      <c r="B925" s="2"/>
      <c r="C925" s="2"/>
      <c r="D925" s="54"/>
      <c r="E925" s="54"/>
      <c r="F925" s="54"/>
      <c r="G925" s="54"/>
      <c r="H925" s="54"/>
      <c r="I925" s="54"/>
      <c r="J925" s="54"/>
      <c r="K925" s="54"/>
      <c r="L925" s="54"/>
      <c r="M925" s="2"/>
      <c r="N925" s="54"/>
      <c r="P925" s="2"/>
      <c r="Q925" s="2"/>
      <c r="R925" s="2"/>
      <c r="S925" s="368"/>
      <c r="T925" s="2"/>
      <c r="U925" s="2"/>
    </row>
    <row r="926" spans="1:21" ht="12.95" customHeight="1">
      <c r="A926" s="2"/>
      <c r="B926" s="2"/>
      <c r="C926" s="2"/>
      <c r="D926" s="54"/>
      <c r="E926" s="54"/>
      <c r="F926" s="54"/>
      <c r="G926" s="54"/>
      <c r="H926" s="54"/>
      <c r="I926" s="54"/>
      <c r="J926" s="54"/>
      <c r="K926" s="54"/>
      <c r="L926" s="54"/>
      <c r="M926" s="2"/>
      <c r="N926" s="54"/>
      <c r="P926" s="2"/>
      <c r="Q926" s="2"/>
      <c r="R926" s="2"/>
      <c r="S926" s="368"/>
      <c r="T926" s="2"/>
      <c r="U926" s="2"/>
    </row>
    <row r="927" spans="1:21" ht="12.95" customHeight="1">
      <c r="A927" s="2"/>
      <c r="B927" s="2"/>
      <c r="C927" s="2"/>
      <c r="D927" s="54"/>
      <c r="E927" s="54"/>
      <c r="F927" s="54"/>
      <c r="G927" s="54"/>
      <c r="H927" s="54"/>
      <c r="I927" s="54"/>
      <c r="J927" s="54"/>
      <c r="K927" s="54"/>
      <c r="L927" s="54"/>
      <c r="M927" s="2"/>
      <c r="N927" s="54"/>
      <c r="P927" s="2"/>
      <c r="Q927" s="2"/>
      <c r="R927" s="2"/>
      <c r="S927" s="368"/>
      <c r="T927" s="2"/>
      <c r="U927" s="2"/>
    </row>
    <row r="928" spans="1:21" ht="12.95" customHeight="1">
      <c r="A928" s="2"/>
      <c r="B928" s="2"/>
      <c r="C928" s="2"/>
      <c r="D928" s="54"/>
      <c r="E928" s="54"/>
      <c r="F928" s="54"/>
      <c r="G928" s="54"/>
      <c r="H928" s="54"/>
      <c r="I928" s="54"/>
      <c r="J928" s="54"/>
      <c r="K928" s="54"/>
      <c r="L928" s="54"/>
      <c r="M928" s="2"/>
      <c r="N928" s="54"/>
      <c r="P928" s="2"/>
      <c r="Q928" s="2"/>
      <c r="R928" s="2"/>
      <c r="S928" s="368"/>
      <c r="T928" s="2"/>
      <c r="U928" s="2"/>
    </row>
    <row r="929" spans="1:21" ht="12.95" customHeight="1">
      <c r="A929" s="2"/>
      <c r="B929" s="2"/>
      <c r="C929" s="2"/>
      <c r="D929" s="54"/>
      <c r="E929" s="54"/>
      <c r="F929" s="54"/>
      <c r="G929" s="54"/>
      <c r="H929" s="54"/>
      <c r="I929" s="54"/>
      <c r="J929" s="54"/>
      <c r="K929" s="54"/>
      <c r="L929" s="54"/>
      <c r="M929" s="2"/>
      <c r="N929" s="54"/>
      <c r="P929" s="2"/>
      <c r="Q929" s="2"/>
      <c r="R929" s="2"/>
      <c r="S929" s="368"/>
      <c r="T929" s="2"/>
      <c r="U929" s="2"/>
    </row>
    <row r="930" spans="1:21" ht="12.95" customHeight="1">
      <c r="A930" s="2"/>
      <c r="B930" s="2"/>
      <c r="C930" s="2"/>
      <c r="D930" s="54"/>
      <c r="E930" s="54"/>
      <c r="F930" s="54"/>
      <c r="G930" s="54"/>
      <c r="H930" s="54"/>
      <c r="I930" s="54"/>
      <c r="J930" s="54"/>
      <c r="K930" s="54"/>
      <c r="L930" s="54"/>
      <c r="M930" s="2"/>
      <c r="N930" s="54"/>
      <c r="P930" s="2"/>
      <c r="Q930" s="2"/>
      <c r="R930" s="2"/>
      <c r="S930" s="368"/>
      <c r="T930" s="2"/>
      <c r="U930" s="2"/>
    </row>
    <row r="931" spans="1:21" ht="12.95" customHeight="1">
      <c r="A931" s="2"/>
      <c r="B931" s="2"/>
      <c r="C931" s="2"/>
      <c r="D931" s="54"/>
      <c r="E931" s="54"/>
      <c r="F931" s="54"/>
      <c r="G931" s="54"/>
      <c r="H931" s="54"/>
      <c r="I931" s="54"/>
      <c r="J931" s="54"/>
      <c r="K931" s="54"/>
      <c r="L931" s="54"/>
      <c r="M931" s="2"/>
      <c r="N931" s="54"/>
      <c r="P931" s="2"/>
      <c r="Q931" s="2"/>
      <c r="R931" s="2"/>
      <c r="S931" s="368"/>
      <c r="T931" s="2"/>
      <c r="U931" s="2"/>
    </row>
    <row r="932" spans="1:21" ht="12.95" customHeight="1">
      <c r="A932" s="2"/>
      <c r="B932" s="2"/>
      <c r="C932" s="2"/>
      <c r="D932" s="54"/>
      <c r="E932" s="54"/>
      <c r="F932" s="54"/>
      <c r="G932" s="54"/>
      <c r="H932" s="54"/>
      <c r="I932" s="54"/>
      <c r="J932" s="54"/>
      <c r="K932" s="54"/>
      <c r="L932" s="54"/>
      <c r="M932" s="2"/>
      <c r="N932" s="54"/>
      <c r="P932" s="2"/>
      <c r="Q932" s="2"/>
      <c r="R932" s="2"/>
      <c r="S932" s="368"/>
      <c r="T932" s="2"/>
      <c r="U932" s="2"/>
    </row>
    <row r="933" spans="1:21" ht="12.95" customHeight="1">
      <c r="A933" s="2"/>
      <c r="B933" s="2"/>
      <c r="C933" s="2"/>
      <c r="D933" s="54"/>
      <c r="E933" s="54"/>
      <c r="F933" s="54"/>
      <c r="G933" s="54"/>
      <c r="H933" s="54"/>
      <c r="I933" s="54"/>
      <c r="J933" s="54"/>
      <c r="K933" s="54"/>
      <c r="L933" s="54"/>
      <c r="M933" s="2"/>
      <c r="N933" s="54"/>
      <c r="P933" s="2"/>
      <c r="Q933" s="2"/>
      <c r="R933" s="2"/>
      <c r="S933" s="368"/>
      <c r="T933" s="2"/>
      <c r="U933" s="2"/>
    </row>
    <row r="934" spans="1:21" ht="12.95" customHeight="1">
      <c r="A934" s="2"/>
      <c r="B934" s="2"/>
      <c r="C934" s="2"/>
      <c r="D934" s="54"/>
      <c r="E934" s="54"/>
      <c r="F934" s="54"/>
      <c r="G934" s="54"/>
      <c r="H934" s="54"/>
      <c r="I934" s="54"/>
      <c r="J934" s="54"/>
      <c r="K934" s="54"/>
      <c r="L934" s="54"/>
      <c r="M934" s="2"/>
      <c r="N934" s="54"/>
      <c r="P934" s="2"/>
      <c r="Q934" s="2"/>
      <c r="R934" s="2"/>
      <c r="S934" s="368"/>
      <c r="T934" s="2"/>
      <c r="U934" s="2"/>
    </row>
    <row r="935" spans="1:21" ht="12.95" customHeight="1">
      <c r="A935" s="2"/>
      <c r="B935" s="2"/>
      <c r="C935" s="2"/>
      <c r="D935" s="54"/>
      <c r="E935" s="54"/>
      <c r="F935" s="54"/>
      <c r="G935" s="54"/>
      <c r="H935" s="54"/>
      <c r="I935" s="54"/>
      <c r="J935" s="54"/>
      <c r="K935" s="54"/>
      <c r="L935" s="54"/>
      <c r="M935" s="2"/>
      <c r="N935" s="54"/>
      <c r="P935" s="2"/>
      <c r="Q935" s="2"/>
      <c r="R935" s="2"/>
      <c r="S935" s="368"/>
      <c r="T935" s="2"/>
      <c r="U935" s="2"/>
    </row>
    <row r="936" spans="1:21" ht="12.95" customHeight="1">
      <c r="A936" s="2"/>
      <c r="B936" s="2"/>
      <c r="C936" s="2"/>
      <c r="D936" s="54"/>
      <c r="E936" s="54"/>
      <c r="F936" s="54"/>
      <c r="G936" s="54"/>
      <c r="H936" s="54"/>
      <c r="I936" s="54"/>
      <c r="J936" s="54"/>
      <c r="K936" s="54"/>
      <c r="L936" s="54"/>
      <c r="M936" s="2"/>
      <c r="N936" s="54"/>
      <c r="P936" s="2"/>
      <c r="Q936" s="2"/>
      <c r="R936" s="2"/>
      <c r="S936" s="368"/>
      <c r="T936" s="2"/>
      <c r="U936" s="2"/>
    </row>
    <row r="937" spans="1:21" ht="12.95" customHeight="1">
      <c r="A937" s="2"/>
      <c r="B937" s="2"/>
      <c r="C937" s="2"/>
      <c r="D937" s="54"/>
      <c r="E937" s="54"/>
      <c r="F937" s="54"/>
      <c r="G937" s="54"/>
      <c r="H937" s="54"/>
      <c r="I937" s="54"/>
      <c r="J937" s="54"/>
      <c r="K937" s="54"/>
      <c r="L937" s="54"/>
      <c r="M937" s="2"/>
      <c r="N937" s="54"/>
      <c r="P937" s="2"/>
      <c r="Q937" s="2"/>
      <c r="R937" s="2"/>
      <c r="S937" s="368"/>
      <c r="T937" s="2"/>
      <c r="U937" s="2"/>
    </row>
    <row r="938" spans="1:21" ht="12.95" customHeight="1">
      <c r="A938" s="2"/>
      <c r="B938" s="2"/>
      <c r="C938" s="2"/>
      <c r="D938" s="54"/>
      <c r="E938" s="54"/>
      <c r="F938" s="54"/>
      <c r="G938" s="54"/>
      <c r="H938" s="54"/>
      <c r="I938" s="54"/>
      <c r="J938" s="54"/>
      <c r="K938" s="54"/>
      <c r="L938" s="54"/>
      <c r="M938" s="2"/>
      <c r="N938" s="54"/>
      <c r="P938" s="2"/>
      <c r="Q938" s="2"/>
      <c r="R938" s="2"/>
      <c r="S938" s="368"/>
      <c r="T938" s="2"/>
      <c r="U938" s="2"/>
    </row>
    <row r="939" spans="1:21" ht="12.95" customHeight="1">
      <c r="A939" s="2"/>
      <c r="B939" s="2"/>
      <c r="C939" s="2"/>
      <c r="D939" s="54"/>
      <c r="E939" s="54"/>
      <c r="F939" s="54"/>
      <c r="G939" s="54"/>
      <c r="H939" s="54"/>
      <c r="I939" s="54"/>
      <c r="J939" s="54"/>
      <c r="K939" s="54"/>
      <c r="L939" s="54"/>
      <c r="M939" s="2"/>
      <c r="N939" s="54"/>
      <c r="P939" s="2"/>
      <c r="Q939" s="2"/>
      <c r="R939" s="2"/>
      <c r="S939" s="368"/>
      <c r="T939" s="2"/>
      <c r="U939" s="2"/>
    </row>
    <row r="940" spans="1:21" ht="12.95" customHeight="1">
      <c r="A940" s="2"/>
      <c r="B940" s="2"/>
      <c r="C940" s="2"/>
      <c r="D940" s="54"/>
      <c r="E940" s="54"/>
      <c r="F940" s="54"/>
      <c r="G940" s="54"/>
      <c r="H940" s="54"/>
      <c r="I940" s="54"/>
      <c r="J940" s="54"/>
      <c r="K940" s="54"/>
      <c r="L940" s="54"/>
      <c r="M940" s="2"/>
      <c r="N940" s="54"/>
      <c r="P940" s="2"/>
      <c r="Q940" s="2"/>
      <c r="R940" s="2"/>
      <c r="S940" s="368"/>
      <c r="T940" s="2"/>
      <c r="U940" s="2"/>
    </row>
    <row r="941" spans="1:21" ht="12.95" customHeight="1">
      <c r="A941" s="2"/>
      <c r="B941" s="2"/>
      <c r="C941" s="2"/>
      <c r="D941" s="54"/>
      <c r="E941" s="54"/>
      <c r="F941" s="54"/>
      <c r="G941" s="54"/>
      <c r="H941" s="54"/>
      <c r="I941" s="54"/>
      <c r="J941" s="54"/>
      <c r="K941" s="54"/>
      <c r="L941" s="54"/>
      <c r="M941" s="2"/>
      <c r="N941" s="54"/>
      <c r="P941" s="2"/>
      <c r="Q941" s="2"/>
      <c r="R941" s="2"/>
      <c r="S941" s="368"/>
      <c r="T941" s="2"/>
      <c r="U941" s="2"/>
    </row>
    <row r="942" spans="1:21" ht="12.95" customHeight="1">
      <c r="A942" s="2"/>
      <c r="B942" s="2"/>
      <c r="C942" s="2"/>
      <c r="D942" s="54"/>
      <c r="E942" s="54"/>
      <c r="F942" s="54"/>
      <c r="G942" s="54"/>
      <c r="H942" s="54"/>
      <c r="I942" s="54"/>
      <c r="J942" s="54"/>
      <c r="K942" s="54"/>
      <c r="L942" s="54"/>
      <c r="M942" s="2"/>
      <c r="N942" s="54"/>
      <c r="P942" s="2"/>
      <c r="Q942" s="2"/>
      <c r="R942" s="2"/>
      <c r="S942" s="368"/>
      <c r="T942" s="2"/>
      <c r="U942" s="2"/>
    </row>
    <row r="943" spans="1:21" ht="12.95" customHeight="1">
      <c r="A943" s="2"/>
      <c r="B943" s="2"/>
      <c r="C943" s="2"/>
      <c r="D943" s="54"/>
      <c r="E943" s="54"/>
      <c r="F943" s="54"/>
      <c r="G943" s="54"/>
      <c r="H943" s="54"/>
      <c r="I943" s="54"/>
      <c r="J943" s="54"/>
      <c r="K943" s="54"/>
      <c r="L943" s="54"/>
      <c r="M943" s="2"/>
      <c r="N943" s="54"/>
      <c r="P943" s="2"/>
      <c r="Q943" s="2"/>
      <c r="R943" s="2"/>
      <c r="S943" s="368"/>
      <c r="T943" s="2"/>
      <c r="U943" s="2"/>
    </row>
    <row r="944" spans="1:21" ht="12.95" customHeight="1">
      <c r="A944" s="2"/>
      <c r="B944" s="2"/>
      <c r="C944" s="2"/>
      <c r="D944" s="54"/>
      <c r="E944" s="54"/>
      <c r="F944" s="54"/>
      <c r="G944" s="54"/>
      <c r="H944" s="54"/>
      <c r="I944" s="54"/>
      <c r="J944" s="54"/>
      <c r="K944" s="54"/>
      <c r="L944" s="54"/>
      <c r="M944" s="2"/>
      <c r="N944" s="54"/>
      <c r="P944" s="2"/>
      <c r="Q944" s="2"/>
      <c r="R944" s="2"/>
      <c r="S944" s="368"/>
      <c r="T944" s="2"/>
      <c r="U944" s="2"/>
    </row>
    <row r="945" spans="1:21" ht="12.95" customHeight="1">
      <c r="A945" s="2"/>
      <c r="B945" s="2"/>
      <c r="C945" s="2"/>
      <c r="D945" s="54"/>
      <c r="E945" s="54"/>
      <c r="F945" s="54"/>
      <c r="G945" s="54"/>
      <c r="H945" s="54"/>
      <c r="I945" s="54"/>
      <c r="J945" s="54"/>
      <c r="K945" s="54"/>
      <c r="L945" s="54"/>
      <c r="M945" s="2"/>
      <c r="N945" s="54"/>
      <c r="P945" s="2"/>
      <c r="Q945" s="2"/>
      <c r="R945" s="2"/>
      <c r="S945" s="368"/>
      <c r="T945" s="2"/>
      <c r="U945" s="2"/>
    </row>
    <row r="946" spans="1:21" ht="12.95" customHeight="1">
      <c r="A946" s="2"/>
      <c r="B946" s="2"/>
      <c r="C946" s="2"/>
      <c r="D946" s="54"/>
      <c r="E946" s="54"/>
      <c r="F946" s="54"/>
      <c r="G946" s="54"/>
      <c r="H946" s="54"/>
      <c r="I946" s="54"/>
      <c r="J946" s="54"/>
      <c r="K946" s="54"/>
      <c r="L946" s="54"/>
      <c r="M946" s="2"/>
      <c r="N946" s="54"/>
      <c r="P946" s="2"/>
      <c r="Q946" s="2"/>
      <c r="R946" s="2"/>
      <c r="S946" s="368"/>
      <c r="T946" s="2"/>
      <c r="U946" s="2"/>
    </row>
    <row r="947" spans="1:21" ht="12.95" customHeight="1">
      <c r="A947" s="2"/>
      <c r="B947" s="2"/>
      <c r="C947" s="2"/>
      <c r="D947" s="54"/>
      <c r="E947" s="54"/>
      <c r="F947" s="54"/>
      <c r="G947" s="54"/>
      <c r="H947" s="54"/>
      <c r="I947" s="54"/>
      <c r="J947" s="54"/>
      <c r="K947" s="54"/>
      <c r="L947" s="54"/>
      <c r="M947" s="2"/>
      <c r="N947" s="54"/>
      <c r="P947" s="2"/>
      <c r="Q947" s="2"/>
      <c r="R947" s="2"/>
      <c r="S947" s="368"/>
      <c r="T947" s="2"/>
      <c r="U947" s="2"/>
    </row>
    <row r="948" spans="1:21" ht="12.95" customHeight="1">
      <c r="A948" s="2"/>
      <c r="B948" s="2"/>
      <c r="C948" s="2"/>
      <c r="D948" s="54"/>
      <c r="E948" s="54"/>
      <c r="F948" s="54"/>
      <c r="G948" s="54"/>
      <c r="H948" s="54"/>
      <c r="I948" s="54"/>
      <c r="J948" s="54"/>
      <c r="K948" s="54"/>
      <c r="L948" s="54"/>
      <c r="M948" s="2"/>
      <c r="N948" s="54"/>
      <c r="P948" s="2"/>
      <c r="Q948" s="2"/>
      <c r="R948" s="2"/>
      <c r="S948" s="368"/>
      <c r="T948" s="2"/>
      <c r="U948" s="2"/>
    </row>
    <row r="949" spans="1:21" ht="12.95" customHeight="1">
      <c r="A949" s="2"/>
      <c r="B949" s="2"/>
      <c r="C949" s="2"/>
      <c r="D949" s="54"/>
      <c r="E949" s="54"/>
      <c r="F949" s="54"/>
      <c r="G949" s="54"/>
      <c r="H949" s="54"/>
      <c r="I949" s="54"/>
      <c r="J949" s="54"/>
      <c r="K949" s="54"/>
      <c r="L949" s="54"/>
      <c r="M949" s="2"/>
      <c r="N949" s="54"/>
      <c r="P949" s="2"/>
      <c r="Q949" s="2"/>
      <c r="R949" s="2"/>
      <c r="S949" s="368"/>
      <c r="T949" s="2"/>
      <c r="U949" s="2"/>
    </row>
    <row r="950" spans="1:21" ht="12.95" customHeight="1">
      <c r="A950" s="2"/>
      <c r="B950" s="2"/>
      <c r="C950" s="2"/>
      <c r="D950" s="54"/>
      <c r="E950" s="54"/>
      <c r="F950" s="54"/>
      <c r="G950" s="54"/>
      <c r="H950" s="54"/>
      <c r="I950" s="54"/>
      <c r="J950" s="54"/>
      <c r="K950" s="54"/>
      <c r="L950" s="54"/>
      <c r="M950" s="2"/>
      <c r="N950" s="54"/>
      <c r="P950" s="2"/>
      <c r="Q950" s="2"/>
      <c r="R950" s="2"/>
      <c r="S950" s="368"/>
      <c r="T950" s="2"/>
      <c r="U950" s="2"/>
    </row>
    <row r="951" spans="1:21" ht="12.95" customHeight="1">
      <c r="A951" s="2"/>
      <c r="B951" s="2"/>
      <c r="C951" s="2"/>
      <c r="D951" s="54"/>
      <c r="E951" s="54"/>
      <c r="F951" s="54"/>
      <c r="G951" s="54"/>
      <c r="H951" s="54"/>
      <c r="I951" s="54"/>
      <c r="J951" s="54"/>
      <c r="K951" s="54"/>
      <c r="L951" s="54"/>
      <c r="M951" s="2"/>
      <c r="N951" s="54"/>
      <c r="P951" s="2"/>
      <c r="Q951" s="2"/>
      <c r="R951" s="2"/>
      <c r="S951" s="368"/>
      <c r="T951" s="2"/>
      <c r="U951" s="2"/>
    </row>
    <row r="952" spans="1:21" ht="12.95" customHeight="1">
      <c r="A952" s="2"/>
      <c r="B952" s="2"/>
      <c r="C952" s="2"/>
      <c r="D952" s="54"/>
      <c r="E952" s="54"/>
      <c r="F952" s="54"/>
      <c r="G952" s="54"/>
      <c r="H952" s="54"/>
      <c r="I952" s="54"/>
      <c r="J952" s="54"/>
      <c r="K952" s="54"/>
      <c r="L952" s="54"/>
      <c r="M952" s="2"/>
      <c r="N952" s="54"/>
      <c r="P952" s="2"/>
      <c r="Q952" s="2"/>
      <c r="R952" s="2"/>
      <c r="S952" s="368"/>
      <c r="T952" s="2"/>
      <c r="U952" s="2"/>
    </row>
    <row r="953" spans="1:21" ht="12.95" customHeight="1">
      <c r="A953" s="2"/>
      <c r="B953" s="2"/>
      <c r="C953" s="2"/>
      <c r="D953" s="54"/>
      <c r="E953" s="54"/>
      <c r="F953" s="54"/>
      <c r="G953" s="54"/>
      <c r="H953" s="54"/>
      <c r="I953" s="54"/>
      <c r="J953" s="54"/>
      <c r="K953" s="54"/>
      <c r="L953" s="54"/>
      <c r="M953" s="2"/>
      <c r="N953" s="54"/>
      <c r="P953" s="2"/>
      <c r="Q953" s="2"/>
      <c r="R953" s="2"/>
      <c r="S953" s="368"/>
      <c r="T953" s="2"/>
      <c r="U953" s="2"/>
    </row>
    <row r="954" spans="1:21" ht="12.95" customHeight="1">
      <c r="A954" s="2"/>
      <c r="B954" s="2"/>
      <c r="C954" s="2"/>
      <c r="D954" s="54"/>
      <c r="E954" s="54"/>
      <c r="F954" s="54"/>
      <c r="G954" s="54"/>
      <c r="H954" s="54"/>
      <c r="I954" s="54"/>
      <c r="J954" s="54"/>
      <c r="K954" s="54"/>
      <c r="L954" s="54"/>
      <c r="M954" s="2"/>
      <c r="N954" s="54"/>
      <c r="P954" s="2"/>
      <c r="Q954" s="2"/>
      <c r="R954" s="2"/>
      <c r="S954" s="368"/>
      <c r="T954" s="2"/>
      <c r="U954" s="2"/>
    </row>
    <row r="955" spans="1:21" ht="12.95" customHeight="1">
      <c r="A955" s="2"/>
      <c r="B955" s="2"/>
      <c r="C955" s="2"/>
      <c r="D955" s="54"/>
      <c r="E955" s="54"/>
      <c r="F955" s="54"/>
      <c r="G955" s="54"/>
      <c r="H955" s="54"/>
      <c r="I955" s="54"/>
      <c r="J955" s="54"/>
      <c r="K955" s="54"/>
      <c r="L955" s="54"/>
      <c r="M955" s="2"/>
      <c r="N955" s="54"/>
      <c r="P955" s="2"/>
      <c r="Q955" s="2"/>
      <c r="R955" s="2"/>
      <c r="S955" s="368"/>
      <c r="T955" s="2"/>
      <c r="U955" s="2"/>
    </row>
    <row r="956" spans="1:21" ht="12.95" customHeight="1">
      <c r="A956" s="2"/>
      <c r="B956" s="2"/>
      <c r="C956" s="2"/>
      <c r="D956" s="54"/>
      <c r="E956" s="54"/>
      <c r="F956" s="54"/>
      <c r="G956" s="54"/>
      <c r="H956" s="54"/>
      <c r="I956" s="54"/>
      <c r="J956" s="54"/>
      <c r="K956" s="54"/>
      <c r="L956" s="54"/>
      <c r="M956" s="2"/>
      <c r="N956" s="54"/>
      <c r="P956" s="2"/>
      <c r="Q956" s="2"/>
      <c r="R956" s="2"/>
      <c r="S956" s="368"/>
      <c r="T956" s="2"/>
      <c r="U956" s="2"/>
    </row>
    <row r="957" spans="1:21" ht="12.95" customHeight="1">
      <c r="A957" s="2"/>
      <c r="B957" s="2"/>
      <c r="C957" s="2"/>
      <c r="D957" s="54"/>
      <c r="E957" s="54"/>
      <c r="F957" s="54"/>
      <c r="G957" s="54"/>
      <c r="H957" s="54"/>
      <c r="I957" s="54"/>
      <c r="J957" s="54"/>
      <c r="K957" s="54"/>
      <c r="L957" s="54"/>
      <c r="M957" s="2"/>
      <c r="N957" s="54"/>
      <c r="P957" s="2"/>
      <c r="Q957" s="2"/>
      <c r="R957" s="2"/>
      <c r="S957" s="368"/>
      <c r="T957" s="2"/>
      <c r="U957" s="2"/>
    </row>
    <row r="958" spans="1:21" ht="12.95" customHeight="1">
      <c r="A958" s="2"/>
      <c r="B958" s="2"/>
      <c r="C958" s="2"/>
      <c r="D958" s="54"/>
      <c r="E958" s="54"/>
      <c r="F958" s="54"/>
      <c r="G958" s="54"/>
      <c r="H958" s="54"/>
      <c r="I958" s="54"/>
      <c r="J958" s="54"/>
      <c r="K958" s="54"/>
      <c r="L958" s="54"/>
      <c r="M958" s="2"/>
      <c r="N958" s="54"/>
      <c r="P958" s="2"/>
      <c r="Q958" s="2"/>
      <c r="R958" s="2"/>
      <c r="S958" s="368"/>
      <c r="T958" s="2"/>
      <c r="U958" s="2"/>
    </row>
    <row r="959" spans="1:21" ht="12.95" customHeight="1">
      <c r="A959" s="2"/>
      <c r="B959" s="2"/>
      <c r="C959" s="2"/>
      <c r="D959" s="54"/>
      <c r="E959" s="54"/>
      <c r="F959" s="54"/>
      <c r="G959" s="54"/>
      <c r="H959" s="54"/>
      <c r="I959" s="54"/>
      <c r="J959" s="54"/>
      <c r="K959" s="54"/>
      <c r="L959" s="54"/>
      <c r="M959" s="2"/>
      <c r="N959" s="54"/>
      <c r="P959" s="2"/>
      <c r="Q959" s="2"/>
      <c r="R959" s="2"/>
      <c r="S959" s="368"/>
      <c r="T959" s="2"/>
      <c r="U959" s="2"/>
    </row>
    <row r="960" spans="1:21" ht="12.95" customHeight="1">
      <c r="A960" s="2"/>
      <c r="B960" s="2"/>
      <c r="C960" s="2"/>
      <c r="D960" s="54"/>
      <c r="E960" s="54"/>
      <c r="F960" s="54"/>
      <c r="G960" s="54"/>
      <c r="H960" s="54"/>
      <c r="I960" s="54"/>
      <c r="J960" s="54"/>
      <c r="K960" s="54"/>
      <c r="L960" s="54"/>
      <c r="M960" s="2"/>
      <c r="N960" s="54"/>
      <c r="P960" s="2"/>
      <c r="Q960" s="2"/>
      <c r="R960" s="2"/>
      <c r="S960" s="368"/>
      <c r="T960" s="2"/>
      <c r="U960" s="2"/>
    </row>
    <row r="961" spans="1:21" ht="12.95" customHeight="1">
      <c r="A961" s="2"/>
      <c r="B961" s="2"/>
      <c r="C961" s="2"/>
      <c r="D961" s="54"/>
      <c r="E961" s="54"/>
      <c r="F961" s="54"/>
      <c r="G961" s="54"/>
      <c r="H961" s="54"/>
      <c r="I961" s="54"/>
      <c r="J961" s="54"/>
      <c r="K961" s="54"/>
      <c r="L961" s="54"/>
      <c r="M961" s="2"/>
      <c r="N961" s="54"/>
      <c r="P961" s="2"/>
      <c r="Q961" s="2"/>
      <c r="R961" s="2"/>
      <c r="S961" s="368"/>
      <c r="T961" s="2"/>
      <c r="U961" s="2"/>
    </row>
    <row r="962" spans="1:21" ht="12.95" customHeight="1">
      <c r="A962" s="2"/>
      <c r="B962" s="2"/>
      <c r="C962" s="2"/>
      <c r="D962" s="54"/>
      <c r="E962" s="54"/>
      <c r="F962" s="54"/>
      <c r="G962" s="54"/>
      <c r="H962" s="54"/>
      <c r="I962" s="54"/>
      <c r="J962" s="54"/>
      <c r="K962" s="54"/>
      <c r="L962" s="54"/>
      <c r="M962" s="2"/>
      <c r="N962" s="54"/>
      <c r="P962" s="2"/>
      <c r="Q962" s="2"/>
      <c r="R962" s="2"/>
      <c r="S962" s="368"/>
      <c r="T962" s="2"/>
      <c r="U962" s="2"/>
    </row>
    <row r="963" spans="1:21" ht="12.95" customHeight="1">
      <c r="A963" s="2"/>
      <c r="B963" s="2"/>
      <c r="C963" s="2"/>
      <c r="D963" s="54"/>
      <c r="E963" s="54"/>
      <c r="F963" s="54"/>
      <c r="G963" s="54"/>
      <c r="H963" s="54"/>
      <c r="I963" s="54"/>
      <c r="J963" s="54"/>
      <c r="K963" s="54"/>
      <c r="L963" s="54"/>
      <c r="M963" s="2"/>
      <c r="N963" s="54"/>
      <c r="P963" s="2"/>
      <c r="Q963" s="2"/>
      <c r="R963" s="2"/>
      <c r="S963" s="368"/>
      <c r="T963" s="2"/>
      <c r="U963" s="2"/>
    </row>
    <row r="964" spans="1:21" ht="12.95" customHeight="1">
      <c r="A964" s="2"/>
      <c r="B964" s="2"/>
      <c r="C964" s="2"/>
      <c r="D964" s="54"/>
      <c r="E964" s="54"/>
      <c r="F964" s="54"/>
      <c r="G964" s="54"/>
      <c r="H964" s="54"/>
      <c r="I964" s="54"/>
      <c r="J964" s="54"/>
      <c r="K964" s="54"/>
      <c r="L964" s="54"/>
      <c r="M964" s="2"/>
      <c r="N964" s="54"/>
      <c r="P964" s="2"/>
      <c r="Q964" s="2"/>
      <c r="R964" s="2"/>
      <c r="S964" s="368"/>
      <c r="T964" s="2"/>
      <c r="U964" s="2"/>
    </row>
    <row r="965" spans="1:21" ht="12.95" customHeight="1">
      <c r="A965" s="2"/>
      <c r="B965" s="2"/>
      <c r="C965" s="2"/>
      <c r="D965" s="54"/>
      <c r="E965" s="54"/>
      <c r="F965" s="54"/>
      <c r="G965" s="54"/>
      <c r="H965" s="54"/>
      <c r="I965" s="54"/>
      <c r="J965" s="54"/>
      <c r="K965" s="54"/>
      <c r="L965" s="54"/>
      <c r="M965" s="2"/>
      <c r="N965" s="54"/>
      <c r="P965" s="2"/>
      <c r="Q965" s="2"/>
      <c r="R965" s="2"/>
      <c r="S965" s="368"/>
      <c r="T965" s="2"/>
      <c r="U965" s="2"/>
    </row>
    <row r="966" spans="1:21" ht="12.95" customHeight="1">
      <c r="A966" s="2"/>
      <c r="B966" s="2"/>
      <c r="C966" s="2"/>
      <c r="D966" s="54"/>
      <c r="E966" s="54"/>
      <c r="F966" s="54"/>
      <c r="G966" s="54"/>
      <c r="H966" s="54"/>
      <c r="I966" s="54"/>
      <c r="J966" s="54"/>
      <c r="K966" s="54"/>
      <c r="L966" s="54"/>
      <c r="M966" s="2"/>
      <c r="N966" s="54"/>
      <c r="P966" s="2"/>
      <c r="Q966" s="2"/>
      <c r="R966" s="2"/>
      <c r="S966" s="368"/>
      <c r="T966" s="2"/>
      <c r="U966" s="2"/>
    </row>
    <row r="967" spans="1:21" ht="12.95" customHeight="1">
      <c r="A967" s="2"/>
      <c r="B967" s="2"/>
      <c r="C967" s="2"/>
      <c r="D967" s="54"/>
      <c r="E967" s="54"/>
      <c r="F967" s="54"/>
      <c r="G967" s="54"/>
      <c r="H967" s="54"/>
      <c r="I967" s="54"/>
      <c r="J967" s="54"/>
      <c r="K967" s="54"/>
      <c r="L967" s="54"/>
      <c r="M967" s="2"/>
      <c r="N967" s="54"/>
      <c r="P967" s="2"/>
      <c r="Q967" s="2"/>
      <c r="R967" s="2"/>
      <c r="S967" s="368"/>
      <c r="T967" s="2"/>
      <c r="U967" s="2"/>
    </row>
    <row r="968" spans="1:21" ht="12.95" customHeight="1">
      <c r="A968" s="2"/>
      <c r="B968" s="2"/>
      <c r="C968" s="2"/>
      <c r="D968" s="54"/>
      <c r="E968" s="54"/>
      <c r="F968" s="54"/>
      <c r="G968" s="54"/>
      <c r="H968" s="54"/>
      <c r="I968" s="54"/>
      <c r="J968" s="54"/>
      <c r="K968" s="54"/>
      <c r="L968" s="54"/>
      <c r="M968" s="2"/>
      <c r="N968" s="54"/>
      <c r="P968" s="2"/>
      <c r="Q968" s="2"/>
      <c r="R968" s="2"/>
      <c r="S968" s="368"/>
      <c r="T968" s="2"/>
      <c r="U968" s="2"/>
    </row>
    <row r="969" spans="1:21" ht="12.95" customHeight="1">
      <c r="A969" s="2"/>
      <c r="B969" s="2"/>
      <c r="C969" s="2"/>
      <c r="D969" s="54"/>
      <c r="E969" s="54"/>
      <c r="F969" s="54"/>
      <c r="G969" s="54"/>
      <c r="H969" s="54"/>
      <c r="I969" s="54"/>
      <c r="J969" s="54"/>
      <c r="K969" s="54"/>
      <c r="L969" s="54"/>
      <c r="M969" s="2"/>
      <c r="N969" s="54"/>
      <c r="P969" s="2"/>
      <c r="Q969" s="2"/>
      <c r="R969" s="2"/>
      <c r="S969" s="368"/>
      <c r="T969" s="2"/>
      <c r="U969" s="2"/>
    </row>
    <row r="970" spans="1:21" ht="12.95" customHeight="1">
      <c r="A970" s="2"/>
      <c r="B970" s="2"/>
      <c r="C970" s="2"/>
      <c r="D970" s="54"/>
      <c r="E970" s="54"/>
      <c r="F970" s="54"/>
      <c r="G970" s="54"/>
      <c r="H970" s="54"/>
      <c r="I970" s="54"/>
      <c r="J970" s="54"/>
      <c r="K970" s="54"/>
      <c r="L970" s="54"/>
      <c r="M970" s="2"/>
      <c r="N970" s="54"/>
      <c r="P970" s="2"/>
      <c r="Q970" s="2"/>
      <c r="R970" s="2"/>
      <c r="S970" s="368"/>
      <c r="T970" s="2"/>
      <c r="U970" s="2"/>
    </row>
    <row r="971" spans="1:21" ht="12.95" customHeight="1">
      <c r="A971" s="2"/>
      <c r="B971" s="2"/>
      <c r="C971" s="2"/>
      <c r="D971" s="54"/>
      <c r="E971" s="54"/>
      <c r="F971" s="54"/>
      <c r="G971" s="54"/>
      <c r="H971" s="54"/>
      <c r="I971" s="54"/>
      <c r="J971" s="54"/>
      <c r="K971" s="54"/>
      <c r="L971" s="54"/>
      <c r="M971" s="2"/>
      <c r="N971" s="54"/>
      <c r="P971" s="2"/>
      <c r="Q971" s="2"/>
      <c r="R971" s="2"/>
      <c r="S971" s="368"/>
      <c r="T971" s="2"/>
      <c r="U971" s="2"/>
    </row>
    <row r="972" spans="1:21" ht="12.95" customHeight="1">
      <c r="A972" s="2"/>
      <c r="B972" s="2"/>
      <c r="C972" s="2"/>
      <c r="D972" s="54"/>
      <c r="E972" s="54"/>
      <c r="F972" s="54"/>
      <c r="G972" s="54"/>
      <c r="H972" s="54"/>
      <c r="I972" s="54"/>
      <c r="J972" s="54"/>
      <c r="K972" s="54"/>
      <c r="L972" s="54"/>
      <c r="M972" s="2"/>
      <c r="N972" s="54"/>
      <c r="P972" s="2"/>
      <c r="Q972" s="2"/>
      <c r="R972" s="2"/>
      <c r="S972" s="368"/>
      <c r="T972" s="2"/>
      <c r="U972" s="2"/>
    </row>
    <row r="973" spans="1:21" ht="12.95" customHeight="1">
      <c r="A973" s="2"/>
      <c r="B973" s="2"/>
      <c r="C973" s="2"/>
      <c r="D973" s="54"/>
      <c r="E973" s="54"/>
      <c r="F973" s="54"/>
      <c r="G973" s="54"/>
      <c r="H973" s="54"/>
      <c r="I973" s="54"/>
      <c r="J973" s="54"/>
      <c r="K973" s="54"/>
      <c r="L973" s="54"/>
      <c r="M973" s="2"/>
      <c r="N973" s="54"/>
      <c r="P973" s="2"/>
      <c r="Q973" s="2"/>
      <c r="R973" s="2"/>
      <c r="S973" s="368"/>
      <c r="T973" s="2"/>
      <c r="U973" s="2"/>
    </row>
    <row r="974" spans="1:21" ht="12.95" customHeight="1">
      <c r="A974" s="2"/>
      <c r="B974" s="2"/>
      <c r="C974" s="2"/>
      <c r="D974" s="54"/>
      <c r="E974" s="54"/>
      <c r="F974" s="54"/>
      <c r="G974" s="54"/>
      <c r="H974" s="54"/>
      <c r="I974" s="54"/>
      <c r="J974" s="54"/>
      <c r="K974" s="54"/>
      <c r="L974" s="54"/>
      <c r="M974" s="2"/>
      <c r="N974" s="54"/>
      <c r="P974" s="2"/>
      <c r="Q974" s="2"/>
      <c r="R974" s="2"/>
      <c r="S974" s="368"/>
      <c r="T974" s="2"/>
      <c r="U974" s="2"/>
    </row>
    <row r="975" spans="1:21" ht="12.95" customHeight="1">
      <c r="A975" s="2"/>
      <c r="B975" s="2"/>
      <c r="C975" s="2"/>
      <c r="D975" s="54"/>
      <c r="E975" s="54"/>
      <c r="F975" s="54"/>
      <c r="G975" s="54"/>
      <c r="H975" s="54"/>
      <c r="I975" s="54"/>
      <c r="J975" s="54"/>
      <c r="K975" s="54"/>
      <c r="L975" s="54"/>
      <c r="M975" s="2"/>
      <c r="N975" s="54"/>
      <c r="P975" s="2"/>
      <c r="Q975" s="2"/>
      <c r="R975" s="2"/>
      <c r="S975" s="368"/>
      <c r="T975" s="2"/>
      <c r="U975" s="2"/>
    </row>
    <row r="976" spans="1:21" ht="12.95" customHeight="1">
      <c r="A976" s="2"/>
      <c r="B976" s="2"/>
      <c r="C976" s="2"/>
      <c r="D976" s="54"/>
      <c r="E976" s="54"/>
      <c r="F976" s="54"/>
      <c r="G976" s="54"/>
      <c r="H976" s="54"/>
      <c r="I976" s="54"/>
      <c r="J976" s="54"/>
      <c r="K976" s="54"/>
      <c r="L976" s="54"/>
      <c r="M976" s="2"/>
      <c r="N976" s="54"/>
      <c r="P976" s="2"/>
      <c r="Q976" s="2"/>
      <c r="R976" s="2"/>
      <c r="S976" s="368"/>
      <c r="T976" s="2"/>
      <c r="U976" s="2"/>
    </row>
    <row r="977" spans="1:21" ht="12.95" customHeight="1">
      <c r="A977" s="2"/>
      <c r="B977" s="2"/>
      <c r="C977" s="2"/>
      <c r="D977" s="54"/>
      <c r="E977" s="54"/>
      <c r="F977" s="54"/>
      <c r="G977" s="54"/>
      <c r="H977" s="54"/>
      <c r="I977" s="54"/>
      <c r="J977" s="54"/>
      <c r="K977" s="54"/>
      <c r="L977" s="54"/>
      <c r="M977" s="2"/>
      <c r="N977" s="54"/>
      <c r="P977" s="2"/>
      <c r="Q977" s="2"/>
      <c r="R977" s="2"/>
      <c r="S977" s="368"/>
      <c r="T977" s="2"/>
      <c r="U977" s="2"/>
    </row>
    <row r="978" spans="1:21" ht="12.95" customHeight="1">
      <c r="A978" s="2"/>
      <c r="B978" s="2"/>
      <c r="C978" s="2"/>
      <c r="D978" s="54"/>
      <c r="E978" s="54"/>
      <c r="F978" s="54"/>
      <c r="G978" s="54"/>
      <c r="H978" s="54"/>
      <c r="I978" s="54"/>
      <c r="J978" s="54"/>
      <c r="K978" s="54"/>
      <c r="L978" s="54"/>
      <c r="M978" s="2"/>
      <c r="N978" s="54"/>
      <c r="P978" s="2"/>
      <c r="Q978" s="2"/>
      <c r="R978" s="2"/>
      <c r="S978" s="368"/>
      <c r="T978" s="2"/>
      <c r="U978" s="2"/>
    </row>
    <row r="979" spans="1:21" ht="12.95" customHeight="1">
      <c r="A979" s="2"/>
      <c r="B979" s="2"/>
      <c r="C979" s="2"/>
      <c r="D979" s="54"/>
      <c r="E979" s="54"/>
      <c r="F979" s="54"/>
      <c r="G979" s="54"/>
      <c r="H979" s="54"/>
      <c r="I979" s="54"/>
      <c r="J979" s="54"/>
      <c r="K979" s="54"/>
      <c r="L979" s="54"/>
      <c r="M979" s="2"/>
      <c r="N979" s="54"/>
      <c r="P979" s="2"/>
      <c r="Q979" s="2"/>
      <c r="R979" s="2"/>
      <c r="S979" s="368"/>
      <c r="T979" s="2"/>
      <c r="U979" s="2"/>
    </row>
    <row r="980" spans="1:21" ht="12.95" customHeight="1">
      <c r="A980" s="2"/>
      <c r="B980" s="2"/>
      <c r="C980" s="2"/>
      <c r="D980" s="54"/>
      <c r="E980" s="54"/>
      <c r="F980" s="54"/>
      <c r="G980" s="54"/>
      <c r="H980" s="54"/>
      <c r="I980" s="54"/>
      <c r="J980" s="54"/>
      <c r="K980" s="54"/>
      <c r="L980" s="54"/>
      <c r="M980" s="2"/>
      <c r="N980" s="54"/>
      <c r="P980" s="2"/>
      <c r="Q980" s="2"/>
      <c r="R980" s="2"/>
      <c r="S980" s="368"/>
      <c r="T980" s="2"/>
      <c r="U980" s="2"/>
    </row>
    <row r="981" spans="1:21" ht="12.95" customHeight="1">
      <c r="A981" s="2"/>
      <c r="B981" s="2"/>
      <c r="C981" s="2"/>
      <c r="D981" s="54"/>
      <c r="E981" s="54"/>
      <c r="F981" s="54"/>
      <c r="G981" s="54"/>
      <c r="H981" s="54"/>
      <c r="I981" s="54"/>
      <c r="J981" s="54"/>
      <c r="K981" s="54"/>
      <c r="L981" s="54"/>
      <c r="M981" s="2"/>
      <c r="N981" s="54"/>
      <c r="P981" s="2"/>
      <c r="Q981" s="2"/>
      <c r="R981" s="2"/>
      <c r="S981" s="368"/>
      <c r="T981" s="2"/>
      <c r="U981" s="2"/>
    </row>
    <row r="982" spans="1:21" ht="12.95" customHeight="1">
      <c r="A982" s="2"/>
      <c r="B982" s="2"/>
      <c r="C982" s="2"/>
      <c r="D982" s="54"/>
      <c r="E982" s="54"/>
      <c r="F982" s="54"/>
      <c r="G982" s="54"/>
      <c r="H982" s="54"/>
      <c r="I982" s="54"/>
      <c r="J982" s="54"/>
      <c r="K982" s="54"/>
      <c r="L982" s="54"/>
      <c r="M982" s="2"/>
      <c r="N982" s="54"/>
      <c r="P982" s="2"/>
      <c r="Q982" s="2"/>
      <c r="R982" s="2"/>
      <c r="S982" s="368"/>
      <c r="T982" s="2"/>
      <c r="U982" s="2"/>
    </row>
    <row r="983" spans="1:21" ht="12.95" customHeight="1">
      <c r="A983" s="2"/>
      <c r="B983" s="2"/>
      <c r="C983" s="2"/>
      <c r="D983" s="54"/>
      <c r="E983" s="54"/>
      <c r="F983" s="54"/>
      <c r="G983" s="54"/>
      <c r="H983" s="54"/>
      <c r="I983" s="54"/>
      <c r="J983" s="54"/>
      <c r="K983" s="54"/>
      <c r="L983" s="54"/>
      <c r="M983" s="2"/>
      <c r="N983" s="54"/>
      <c r="P983" s="2"/>
      <c r="Q983" s="2"/>
      <c r="R983" s="2"/>
      <c r="S983" s="368"/>
      <c r="T983" s="2"/>
      <c r="U983" s="2"/>
    </row>
    <row r="984" spans="1:21" ht="12.95" customHeight="1">
      <c r="A984" s="2"/>
      <c r="B984" s="2"/>
      <c r="C984" s="2"/>
      <c r="D984" s="54"/>
      <c r="E984" s="54"/>
      <c r="F984" s="54"/>
      <c r="G984" s="54"/>
      <c r="H984" s="54"/>
      <c r="I984" s="54"/>
      <c r="J984" s="54"/>
      <c r="K984" s="54"/>
      <c r="L984" s="54"/>
      <c r="M984" s="2"/>
      <c r="N984" s="54"/>
      <c r="P984" s="2"/>
      <c r="Q984" s="2"/>
      <c r="R984" s="2"/>
      <c r="S984" s="368"/>
      <c r="T984" s="2"/>
      <c r="U984" s="2"/>
    </row>
    <row r="985" spans="1:21" ht="12.95" customHeight="1">
      <c r="A985" s="2"/>
      <c r="B985" s="2"/>
      <c r="C985" s="2"/>
      <c r="D985" s="54"/>
      <c r="E985" s="54"/>
      <c r="F985" s="54"/>
      <c r="G985" s="54"/>
      <c r="H985" s="54"/>
      <c r="I985" s="54"/>
      <c r="J985" s="54"/>
      <c r="K985" s="54"/>
      <c r="L985" s="54"/>
      <c r="M985" s="2"/>
      <c r="N985" s="54"/>
      <c r="P985" s="2"/>
      <c r="Q985" s="2"/>
      <c r="R985" s="2"/>
      <c r="S985" s="368"/>
      <c r="T985" s="2"/>
      <c r="U985" s="2"/>
    </row>
    <row r="986" spans="1:21" ht="12.95" customHeight="1">
      <c r="A986" s="2"/>
      <c r="B986" s="2"/>
      <c r="C986" s="2"/>
      <c r="D986" s="54"/>
      <c r="E986" s="54"/>
      <c r="F986" s="54"/>
      <c r="G986" s="54"/>
      <c r="H986" s="54"/>
      <c r="I986" s="54"/>
      <c r="J986" s="54"/>
      <c r="K986" s="54"/>
      <c r="L986" s="54"/>
      <c r="M986" s="2"/>
      <c r="N986" s="54"/>
      <c r="P986" s="2"/>
      <c r="Q986" s="2"/>
      <c r="R986" s="2"/>
      <c r="S986" s="368"/>
      <c r="T986" s="2"/>
      <c r="U986" s="2"/>
    </row>
    <row r="987" spans="1:21" ht="12.95" customHeight="1">
      <c r="A987" s="2"/>
      <c r="B987" s="2"/>
      <c r="C987" s="2"/>
      <c r="D987" s="54"/>
      <c r="E987" s="54"/>
      <c r="F987" s="54"/>
      <c r="G987" s="54"/>
      <c r="H987" s="54"/>
      <c r="I987" s="54"/>
      <c r="J987" s="54"/>
      <c r="K987" s="54"/>
      <c r="L987" s="54"/>
      <c r="M987" s="2"/>
      <c r="N987" s="54"/>
      <c r="P987" s="2"/>
      <c r="Q987" s="2"/>
      <c r="R987" s="2"/>
      <c r="S987" s="368"/>
      <c r="T987" s="2"/>
      <c r="U987" s="2"/>
    </row>
    <row r="988" spans="1:21" ht="12.95" customHeight="1">
      <c r="A988" s="2"/>
      <c r="B988" s="2"/>
      <c r="C988" s="2"/>
      <c r="D988" s="54"/>
      <c r="E988" s="54"/>
      <c r="F988" s="54"/>
      <c r="G988" s="54"/>
      <c r="H988" s="54"/>
      <c r="I988" s="54"/>
      <c r="J988" s="54"/>
      <c r="K988" s="54"/>
      <c r="L988" s="54"/>
      <c r="M988" s="2"/>
      <c r="N988" s="54"/>
      <c r="P988" s="2"/>
      <c r="Q988" s="2"/>
      <c r="R988" s="2"/>
      <c r="S988" s="368"/>
      <c r="T988" s="2"/>
      <c r="U988" s="2"/>
    </row>
    <row r="989" spans="1:21" ht="12.95" customHeight="1">
      <c r="A989" s="2"/>
      <c r="B989" s="2"/>
      <c r="C989" s="2"/>
      <c r="D989" s="54"/>
      <c r="E989" s="54"/>
      <c r="F989" s="54"/>
      <c r="G989" s="54"/>
      <c r="H989" s="54"/>
      <c r="I989" s="54"/>
      <c r="J989" s="54"/>
      <c r="K989" s="54"/>
      <c r="L989" s="54"/>
      <c r="M989" s="2"/>
      <c r="N989" s="54"/>
      <c r="P989" s="2"/>
      <c r="Q989" s="2"/>
      <c r="R989" s="2"/>
      <c r="S989" s="368"/>
      <c r="T989" s="2"/>
      <c r="U989" s="2"/>
    </row>
    <row r="990" spans="1:21" ht="12.95" customHeight="1">
      <c r="A990" s="2"/>
      <c r="B990" s="2"/>
      <c r="C990" s="2"/>
      <c r="D990" s="54"/>
      <c r="E990" s="54"/>
      <c r="F990" s="54"/>
      <c r="G990" s="54"/>
      <c r="H990" s="54"/>
      <c r="I990" s="54"/>
      <c r="J990" s="54"/>
      <c r="K990" s="54"/>
      <c r="L990" s="54"/>
      <c r="M990" s="2"/>
      <c r="N990" s="54"/>
      <c r="P990" s="2"/>
      <c r="Q990" s="2"/>
      <c r="R990" s="2"/>
      <c r="S990" s="368"/>
      <c r="T990" s="2"/>
      <c r="U990" s="2"/>
    </row>
    <row r="991" spans="1:21" ht="12.95" customHeight="1">
      <c r="A991" s="2"/>
      <c r="B991" s="2"/>
      <c r="C991" s="2"/>
      <c r="D991" s="54"/>
      <c r="E991" s="54"/>
      <c r="F991" s="54"/>
      <c r="G991" s="54"/>
      <c r="H991" s="54"/>
      <c r="I991" s="54"/>
      <c r="J991" s="54"/>
      <c r="K991" s="54"/>
      <c r="L991" s="54"/>
      <c r="M991" s="2"/>
      <c r="N991" s="54"/>
      <c r="P991" s="2"/>
      <c r="Q991" s="2"/>
      <c r="R991" s="2"/>
      <c r="S991" s="368"/>
      <c r="T991" s="2"/>
      <c r="U991" s="2"/>
    </row>
    <row r="992" spans="1:21" ht="12.95" customHeight="1">
      <c r="A992" s="2"/>
      <c r="B992" s="2"/>
      <c r="C992" s="2"/>
      <c r="D992" s="54"/>
      <c r="E992" s="54"/>
      <c r="F992" s="54"/>
      <c r="G992" s="54"/>
      <c r="H992" s="54"/>
      <c r="I992" s="54"/>
      <c r="J992" s="54"/>
      <c r="K992" s="54"/>
      <c r="L992" s="54"/>
      <c r="M992" s="2"/>
      <c r="N992" s="54"/>
      <c r="P992" s="2"/>
      <c r="Q992" s="2"/>
      <c r="R992" s="2"/>
      <c r="S992" s="368"/>
      <c r="T992" s="2"/>
      <c r="U992" s="2"/>
    </row>
    <row r="993" spans="1:21" ht="12.95" customHeight="1">
      <c r="A993" s="2"/>
      <c r="B993" s="2"/>
      <c r="C993" s="2"/>
      <c r="D993" s="54"/>
      <c r="E993" s="54"/>
      <c r="F993" s="54"/>
      <c r="G993" s="54"/>
      <c r="H993" s="54"/>
      <c r="I993" s="54"/>
      <c r="J993" s="54"/>
      <c r="K993" s="54"/>
      <c r="L993" s="54"/>
      <c r="M993" s="2"/>
      <c r="N993" s="54"/>
      <c r="P993" s="2"/>
      <c r="Q993" s="2"/>
      <c r="R993" s="2"/>
      <c r="S993" s="368"/>
      <c r="T993" s="2"/>
      <c r="U993" s="2"/>
    </row>
    <row r="994" spans="1:21" ht="12.95" customHeight="1">
      <c r="A994" s="2"/>
      <c r="B994" s="2"/>
      <c r="C994" s="2"/>
      <c r="D994" s="54"/>
      <c r="E994" s="54"/>
      <c r="F994" s="54"/>
      <c r="G994" s="54"/>
      <c r="H994" s="54"/>
      <c r="I994" s="54"/>
      <c r="J994" s="54"/>
      <c r="K994" s="54"/>
      <c r="L994" s="54"/>
      <c r="M994" s="2"/>
      <c r="N994" s="54"/>
      <c r="P994" s="2"/>
      <c r="Q994" s="2"/>
      <c r="R994" s="2"/>
      <c r="S994" s="368"/>
      <c r="T994" s="2"/>
      <c r="U994" s="2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5C68-4D06-8849-8296-E5A4FFC24977}">
  <sheetPr codeName="Sheet18" filterMode="1">
    <tabColor theme="7" tint="0.39997558519241921"/>
  </sheetPr>
  <dimension ref="A1:F2069"/>
  <sheetViews>
    <sheetView workbookViewId="0">
      <selection activeCell="D442" sqref="D442"/>
    </sheetView>
  </sheetViews>
  <sheetFormatPr defaultColWidth="24.42578125" defaultRowHeight="15"/>
  <cols>
    <col min="1" max="1" width="24.42578125" style="424"/>
    <col min="2" max="2" width="43" style="425" customWidth="1"/>
    <col min="3" max="3" width="24.42578125" style="424"/>
    <col min="4" max="5" width="39.42578125" style="424" bestFit="1" customWidth="1"/>
    <col min="6" max="16384" width="24.42578125" style="424"/>
  </cols>
  <sheetData>
    <row r="1" spans="1:4">
      <c r="A1" s="424" t="s">
        <v>47</v>
      </c>
      <c r="B1" s="425" t="s">
        <v>48</v>
      </c>
    </row>
    <row r="2" spans="1:4" hidden="1">
      <c r="A2" s="426">
        <v>10000</v>
      </c>
      <c r="B2" s="354" t="s">
        <v>518</v>
      </c>
      <c r="C2" s="424" t="s">
        <v>49</v>
      </c>
      <c r="D2" s="424" t="s">
        <v>519</v>
      </c>
    </row>
    <row r="3" spans="1:4" hidden="1">
      <c r="A3" s="426">
        <v>10001</v>
      </c>
      <c r="B3" s="354" t="s">
        <v>520</v>
      </c>
      <c r="C3" s="424" t="s">
        <v>49</v>
      </c>
      <c r="D3" s="424" t="s">
        <v>519</v>
      </c>
    </row>
    <row r="4" spans="1:4" hidden="1">
      <c r="A4" s="426">
        <v>10002</v>
      </c>
      <c r="B4" s="354" t="s">
        <v>521</v>
      </c>
      <c r="C4" s="424" t="s">
        <v>49</v>
      </c>
      <c r="D4" s="424" t="s">
        <v>519</v>
      </c>
    </row>
    <row r="5" spans="1:4" hidden="1">
      <c r="A5" s="426">
        <v>10003</v>
      </c>
      <c r="B5" s="354" t="s">
        <v>522</v>
      </c>
      <c r="C5" s="424" t="s">
        <v>49</v>
      </c>
      <c r="D5" s="424" t="s">
        <v>519</v>
      </c>
    </row>
    <row r="6" spans="1:4" hidden="1">
      <c r="A6" s="426">
        <v>10004</v>
      </c>
      <c r="B6" s="354" t="s">
        <v>523</v>
      </c>
      <c r="C6" s="424" t="s">
        <v>49</v>
      </c>
      <c r="D6" s="424" t="s">
        <v>519</v>
      </c>
    </row>
    <row r="7" spans="1:4" hidden="1">
      <c r="A7" s="426">
        <v>10200</v>
      </c>
      <c r="B7" s="354" t="s">
        <v>524</v>
      </c>
      <c r="C7" s="424" t="s">
        <v>49</v>
      </c>
      <c r="D7" s="424" t="s">
        <v>519</v>
      </c>
    </row>
    <row r="8" spans="1:4" hidden="1">
      <c r="A8" s="426">
        <v>11004</v>
      </c>
      <c r="B8" s="354" t="s">
        <v>52</v>
      </c>
      <c r="C8" s="424" t="s">
        <v>49</v>
      </c>
      <c r="D8" s="424" t="s">
        <v>51</v>
      </c>
    </row>
    <row r="9" spans="1:4" hidden="1">
      <c r="A9" s="426">
        <v>11100</v>
      </c>
      <c r="B9" s="354" t="s">
        <v>51</v>
      </c>
      <c r="C9" s="424" t="s">
        <v>49</v>
      </c>
      <c r="D9" s="424" t="s">
        <v>51</v>
      </c>
    </row>
    <row r="10" spans="1:4" hidden="1">
      <c r="A10" s="426">
        <v>12000</v>
      </c>
      <c r="B10" s="354" t="s">
        <v>184</v>
      </c>
      <c r="C10" s="424" t="s">
        <v>49</v>
      </c>
      <c r="D10" s="424" t="s">
        <v>110</v>
      </c>
    </row>
    <row r="11" spans="1:4" hidden="1">
      <c r="A11" s="426">
        <v>13000</v>
      </c>
      <c r="B11" s="354" t="s">
        <v>525</v>
      </c>
      <c r="C11" s="424" t="s">
        <v>49</v>
      </c>
      <c r="D11" s="424" t="s">
        <v>53</v>
      </c>
    </row>
    <row r="12" spans="1:4" hidden="1">
      <c r="A12" s="426">
        <v>13002</v>
      </c>
      <c r="B12" s="354" t="s">
        <v>526</v>
      </c>
      <c r="C12" s="424" t="s">
        <v>49</v>
      </c>
      <c r="D12" s="424" t="s">
        <v>53</v>
      </c>
    </row>
    <row r="13" spans="1:4" hidden="1">
      <c r="A13" s="426">
        <v>13003</v>
      </c>
      <c r="B13" s="354" t="s">
        <v>527</v>
      </c>
      <c r="C13" s="424" t="s">
        <v>49</v>
      </c>
      <c r="D13" s="424" t="s">
        <v>53</v>
      </c>
    </row>
    <row r="14" spans="1:4" hidden="1">
      <c r="A14" s="426">
        <v>13004</v>
      </c>
      <c r="B14" s="354" t="s">
        <v>528</v>
      </c>
      <c r="C14" s="424" t="s">
        <v>49</v>
      </c>
      <c r="D14" s="424" t="s">
        <v>55</v>
      </c>
    </row>
    <row r="15" spans="1:4" hidden="1">
      <c r="A15" s="426">
        <v>13101</v>
      </c>
      <c r="B15" s="354" t="s">
        <v>529</v>
      </c>
      <c r="C15" s="424" t="s">
        <v>49</v>
      </c>
      <c r="D15" s="424" t="s">
        <v>53</v>
      </c>
    </row>
    <row r="16" spans="1:4" hidden="1">
      <c r="A16" s="426">
        <v>13102</v>
      </c>
      <c r="B16" s="354" t="s">
        <v>530</v>
      </c>
      <c r="C16" s="424" t="s">
        <v>49</v>
      </c>
      <c r="D16" s="424" t="s">
        <v>59</v>
      </c>
    </row>
    <row r="17" spans="1:4" hidden="1">
      <c r="A17" s="426">
        <v>13103</v>
      </c>
      <c r="B17" s="354" t="s">
        <v>531</v>
      </c>
      <c r="C17" s="424" t="s">
        <v>49</v>
      </c>
      <c r="D17" s="424" t="s">
        <v>1711</v>
      </c>
    </row>
    <row r="18" spans="1:4" hidden="1">
      <c r="A18" s="426">
        <v>14000</v>
      </c>
      <c r="B18" s="354" t="s">
        <v>532</v>
      </c>
      <c r="C18" s="424" t="s">
        <v>49</v>
      </c>
      <c r="D18" s="424" t="s">
        <v>532</v>
      </c>
    </row>
    <row r="19" spans="1:4" hidden="1">
      <c r="A19" s="426">
        <v>14001</v>
      </c>
      <c r="B19" s="354" t="s">
        <v>533</v>
      </c>
      <c r="C19" s="424" t="s">
        <v>49</v>
      </c>
      <c r="D19" s="424" t="s">
        <v>491</v>
      </c>
    </row>
    <row r="20" spans="1:4" hidden="1">
      <c r="A20" s="426">
        <v>14002</v>
      </c>
      <c r="B20" s="354" t="s">
        <v>534</v>
      </c>
      <c r="C20" s="424" t="s">
        <v>49</v>
      </c>
      <c r="D20" s="424" t="s">
        <v>59</v>
      </c>
    </row>
    <row r="21" spans="1:4" hidden="1">
      <c r="A21" s="426">
        <v>25000</v>
      </c>
      <c r="B21" s="354" t="s">
        <v>535</v>
      </c>
      <c r="C21" s="424" t="s">
        <v>49</v>
      </c>
      <c r="D21" s="424" t="s">
        <v>137</v>
      </c>
    </row>
    <row r="22" spans="1:4" hidden="1">
      <c r="A22" s="426">
        <v>27000</v>
      </c>
      <c r="B22" s="354" t="s">
        <v>437</v>
      </c>
      <c r="C22" s="424" t="s">
        <v>49</v>
      </c>
      <c r="D22" s="424" t="s">
        <v>57</v>
      </c>
    </row>
    <row r="23" spans="1:4" hidden="1">
      <c r="A23" s="426">
        <v>27001</v>
      </c>
      <c r="B23" s="354" t="s">
        <v>536</v>
      </c>
      <c r="C23" s="424" t="s">
        <v>49</v>
      </c>
      <c r="D23" s="424" t="s">
        <v>57</v>
      </c>
    </row>
    <row r="24" spans="1:4" hidden="1">
      <c r="A24" s="426">
        <v>27002</v>
      </c>
      <c r="B24" s="354" t="s">
        <v>537</v>
      </c>
      <c r="C24" s="424" t="s">
        <v>49</v>
      </c>
      <c r="D24" s="424" t="s">
        <v>57</v>
      </c>
    </row>
    <row r="25" spans="1:4" hidden="1">
      <c r="A25" s="426">
        <v>27003</v>
      </c>
      <c r="B25" s="354" t="s">
        <v>538</v>
      </c>
      <c r="C25" s="424" t="s">
        <v>49</v>
      </c>
      <c r="D25" s="424" t="s">
        <v>57</v>
      </c>
    </row>
    <row r="26" spans="1:4" hidden="1">
      <c r="A26" s="426">
        <v>27004</v>
      </c>
      <c r="B26" s="354" t="s">
        <v>539</v>
      </c>
      <c r="C26" s="424" t="s">
        <v>49</v>
      </c>
      <c r="D26" s="424" t="s">
        <v>57</v>
      </c>
    </row>
    <row r="27" spans="1:4" hidden="1">
      <c r="A27" s="426">
        <v>27100</v>
      </c>
      <c r="B27" s="354" t="s">
        <v>540</v>
      </c>
      <c r="C27" s="424" t="s">
        <v>49</v>
      </c>
      <c r="D27" s="424" t="s">
        <v>57</v>
      </c>
    </row>
    <row r="28" spans="1:4" hidden="1">
      <c r="A28" s="426">
        <v>27101</v>
      </c>
      <c r="B28" s="354" t="s">
        <v>541</v>
      </c>
      <c r="C28" s="424" t="s">
        <v>49</v>
      </c>
      <c r="D28" s="424" t="s">
        <v>57</v>
      </c>
    </row>
    <row r="29" spans="1:4" hidden="1">
      <c r="A29" s="426">
        <v>27102</v>
      </c>
      <c r="B29" s="354" t="s">
        <v>542</v>
      </c>
      <c r="C29" s="424" t="s">
        <v>49</v>
      </c>
      <c r="D29" s="424" t="s">
        <v>57</v>
      </c>
    </row>
    <row r="30" spans="1:4" hidden="1">
      <c r="A30" s="426">
        <v>27103</v>
      </c>
      <c r="B30" s="354" t="s">
        <v>543</v>
      </c>
      <c r="C30" s="424" t="s">
        <v>49</v>
      </c>
      <c r="D30" s="424" t="s">
        <v>57</v>
      </c>
    </row>
    <row r="31" spans="1:4" hidden="1">
      <c r="A31" s="426">
        <v>27104</v>
      </c>
      <c r="B31" s="354" t="s">
        <v>544</v>
      </c>
      <c r="C31" s="424" t="s">
        <v>49</v>
      </c>
      <c r="D31" s="424" t="s">
        <v>57</v>
      </c>
    </row>
    <row r="32" spans="1:4" hidden="1">
      <c r="A32" s="426">
        <v>30001</v>
      </c>
      <c r="B32" s="354" t="s">
        <v>545</v>
      </c>
      <c r="C32" s="424" t="s">
        <v>49</v>
      </c>
      <c r="D32" s="424" t="s">
        <v>1658</v>
      </c>
    </row>
    <row r="33" spans="1:4" hidden="1">
      <c r="A33" s="426">
        <v>31000</v>
      </c>
      <c r="B33" s="354" t="s">
        <v>546</v>
      </c>
      <c r="C33" s="424" t="s">
        <v>49</v>
      </c>
      <c r="D33" s="424" t="s">
        <v>1658</v>
      </c>
    </row>
    <row r="34" spans="1:4" hidden="1">
      <c r="A34" s="426">
        <v>31001</v>
      </c>
      <c r="B34" s="354" t="s">
        <v>547</v>
      </c>
      <c r="C34" s="424" t="s">
        <v>49</v>
      </c>
      <c r="D34" s="424" t="s">
        <v>1658</v>
      </c>
    </row>
    <row r="35" spans="1:4" hidden="1">
      <c r="A35" s="426">
        <v>31002</v>
      </c>
      <c r="B35" s="354" t="s">
        <v>548</v>
      </c>
      <c r="C35" s="424" t="s">
        <v>49</v>
      </c>
      <c r="D35" s="424" t="s">
        <v>1658</v>
      </c>
    </row>
    <row r="36" spans="1:4" hidden="1">
      <c r="A36" s="426">
        <v>31003</v>
      </c>
      <c r="B36" s="354" t="s">
        <v>549</v>
      </c>
      <c r="C36" s="424" t="s">
        <v>49</v>
      </c>
      <c r="D36" s="424" t="s">
        <v>1658</v>
      </c>
    </row>
    <row r="37" spans="1:4" hidden="1">
      <c r="A37" s="426">
        <v>31004</v>
      </c>
      <c r="B37" s="354" t="s">
        <v>550</v>
      </c>
      <c r="C37" s="424" t="s">
        <v>49</v>
      </c>
      <c r="D37" s="424" t="s">
        <v>1658</v>
      </c>
    </row>
    <row r="38" spans="1:4" hidden="1">
      <c r="A38" s="426">
        <v>31006</v>
      </c>
      <c r="B38" s="354" t="s">
        <v>551</v>
      </c>
      <c r="C38" s="424" t="s">
        <v>49</v>
      </c>
      <c r="D38" s="424" t="s">
        <v>1658</v>
      </c>
    </row>
    <row r="39" spans="1:4" hidden="1">
      <c r="A39" s="426">
        <v>32000</v>
      </c>
      <c r="B39" s="354" t="s">
        <v>552</v>
      </c>
      <c r="C39" s="424" t="s">
        <v>49</v>
      </c>
      <c r="D39" s="424" t="s">
        <v>170</v>
      </c>
    </row>
    <row r="40" spans="1:4" hidden="1">
      <c r="A40" s="426">
        <v>33000</v>
      </c>
      <c r="B40" s="354" t="s">
        <v>553</v>
      </c>
      <c r="C40" s="424" t="s">
        <v>49</v>
      </c>
      <c r="D40" s="427" t="s">
        <v>180</v>
      </c>
    </row>
    <row r="41" spans="1:4" hidden="1">
      <c r="A41" s="426">
        <v>33001</v>
      </c>
      <c r="B41" s="354" t="s">
        <v>554</v>
      </c>
      <c r="C41" s="424" t="s">
        <v>49</v>
      </c>
      <c r="D41" s="427" t="s">
        <v>180</v>
      </c>
    </row>
    <row r="42" spans="1:4" hidden="1">
      <c r="A42" s="426">
        <v>340006</v>
      </c>
      <c r="B42" s="354" t="s">
        <v>60</v>
      </c>
      <c r="C42" s="424" t="s">
        <v>49</v>
      </c>
      <c r="D42" s="424" t="s">
        <v>59</v>
      </c>
    </row>
    <row r="43" spans="1:4" hidden="1">
      <c r="A43" s="426">
        <v>340009</v>
      </c>
      <c r="B43" s="354" t="s">
        <v>61</v>
      </c>
      <c r="C43" s="424" t="s">
        <v>49</v>
      </c>
      <c r="D43" s="424" t="s">
        <v>59</v>
      </c>
    </row>
    <row r="44" spans="1:4" hidden="1">
      <c r="A44" s="426">
        <v>340020</v>
      </c>
      <c r="B44" s="354" t="s">
        <v>267</v>
      </c>
      <c r="C44" s="424" t="s">
        <v>49</v>
      </c>
      <c r="D44" s="424" t="s">
        <v>59</v>
      </c>
    </row>
    <row r="45" spans="1:4" hidden="1">
      <c r="A45" s="426">
        <v>340021</v>
      </c>
      <c r="B45" s="354" t="s">
        <v>62</v>
      </c>
      <c r="C45" s="424" t="s">
        <v>49</v>
      </c>
      <c r="D45" s="424" t="s">
        <v>59</v>
      </c>
    </row>
    <row r="46" spans="1:4" hidden="1">
      <c r="A46" s="426">
        <v>340023</v>
      </c>
      <c r="B46" s="354" t="s">
        <v>63</v>
      </c>
      <c r="C46" s="424" t="s">
        <v>49</v>
      </c>
      <c r="D46" s="424" t="s">
        <v>59</v>
      </c>
    </row>
    <row r="47" spans="1:4" hidden="1">
      <c r="A47" s="426">
        <v>340036</v>
      </c>
      <c r="B47" s="354" t="s">
        <v>187</v>
      </c>
      <c r="C47" s="424" t="s">
        <v>49</v>
      </c>
      <c r="D47" s="424" t="s">
        <v>59</v>
      </c>
    </row>
    <row r="48" spans="1:4" hidden="1">
      <c r="A48" s="426">
        <v>340073</v>
      </c>
      <c r="B48" s="354" t="s">
        <v>70</v>
      </c>
      <c r="C48" s="424" t="s">
        <v>49</v>
      </c>
      <c r="D48" s="424" t="s">
        <v>59</v>
      </c>
    </row>
    <row r="49" spans="1:4" hidden="1">
      <c r="A49" s="426">
        <v>340074</v>
      </c>
      <c r="B49" s="354" t="s">
        <v>71</v>
      </c>
      <c r="C49" s="424" t="s">
        <v>49</v>
      </c>
      <c r="D49" s="424" t="s">
        <v>59</v>
      </c>
    </row>
    <row r="50" spans="1:4" hidden="1">
      <c r="A50" s="426">
        <v>340095</v>
      </c>
      <c r="B50" s="354" t="s">
        <v>73</v>
      </c>
      <c r="C50" s="424" t="s">
        <v>49</v>
      </c>
      <c r="D50" s="424" t="s">
        <v>491</v>
      </c>
    </row>
    <row r="51" spans="1:4" hidden="1">
      <c r="A51" s="426">
        <v>340110</v>
      </c>
      <c r="B51" s="354" t="s">
        <v>78</v>
      </c>
      <c r="C51" s="424" t="s">
        <v>49</v>
      </c>
      <c r="D51" s="424" t="s">
        <v>59</v>
      </c>
    </row>
    <row r="52" spans="1:4" hidden="1">
      <c r="A52" s="426">
        <v>340130</v>
      </c>
      <c r="B52" s="354" t="s">
        <v>82</v>
      </c>
      <c r="C52" s="424" t="s">
        <v>49</v>
      </c>
      <c r="D52" s="424" t="s">
        <v>59</v>
      </c>
    </row>
    <row r="53" spans="1:4" hidden="1">
      <c r="A53" s="426">
        <v>340149</v>
      </c>
      <c r="B53" s="354" t="s">
        <v>86</v>
      </c>
      <c r="C53" s="424" t="s">
        <v>49</v>
      </c>
      <c r="D53" s="424" t="s">
        <v>59</v>
      </c>
    </row>
    <row r="54" spans="1:4" hidden="1">
      <c r="A54" s="426">
        <v>340155</v>
      </c>
      <c r="B54" s="354" t="s">
        <v>88</v>
      </c>
      <c r="C54" s="424" t="s">
        <v>49</v>
      </c>
      <c r="D54" s="424" t="s">
        <v>59</v>
      </c>
    </row>
    <row r="55" spans="1:4" hidden="1">
      <c r="A55" s="426">
        <v>340174</v>
      </c>
      <c r="B55" s="354" t="s">
        <v>92</v>
      </c>
      <c r="C55" s="424" t="s">
        <v>49</v>
      </c>
      <c r="D55" s="424" t="s">
        <v>59</v>
      </c>
    </row>
    <row r="56" spans="1:4" hidden="1">
      <c r="A56" s="426">
        <v>340192</v>
      </c>
      <c r="B56" s="354" t="s">
        <v>198</v>
      </c>
      <c r="C56" s="424" t="s">
        <v>49</v>
      </c>
      <c r="D56" s="424" t="s">
        <v>59</v>
      </c>
    </row>
    <row r="57" spans="1:4" hidden="1">
      <c r="A57" s="426">
        <v>340232</v>
      </c>
      <c r="B57" s="354" t="s">
        <v>271</v>
      </c>
      <c r="C57" s="424" t="s">
        <v>49</v>
      </c>
      <c r="D57" s="424" t="s">
        <v>59</v>
      </c>
    </row>
    <row r="58" spans="1:4" hidden="1">
      <c r="A58" s="426">
        <v>340238</v>
      </c>
      <c r="B58" s="354" t="s">
        <v>555</v>
      </c>
      <c r="C58" s="424" t="s">
        <v>49</v>
      </c>
      <c r="D58" s="424" t="s">
        <v>59</v>
      </c>
    </row>
    <row r="59" spans="1:4" hidden="1">
      <c r="A59" s="426">
        <v>340250</v>
      </c>
      <c r="B59" s="354" t="s">
        <v>200</v>
      </c>
      <c r="C59" s="424" t="s">
        <v>49</v>
      </c>
      <c r="D59" s="424" t="s">
        <v>59</v>
      </c>
    </row>
    <row r="60" spans="1:4" hidden="1">
      <c r="A60" s="426">
        <v>340263</v>
      </c>
      <c r="B60" s="354" t="s">
        <v>262</v>
      </c>
      <c r="C60" s="424" t="s">
        <v>49</v>
      </c>
      <c r="D60" s="424" t="s">
        <v>59</v>
      </c>
    </row>
    <row r="61" spans="1:4" hidden="1">
      <c r="A61" s="426">
        <v>340270</v>
      </c>
      <c r="B61" s="354" t="s">
        <v>556</v>
      </c>
      <c r="C61" s="424" t="s">
        <v>49</v>
      </c>
      <c r="D61" s="424" t="s">
        <v>59</v>
      </c>
    </row>
    <row r="62" spans="1:4" hidden="1">
      <c r="A62" s="426">
        <v>340301</v>
      </c>
      <c r="B62" s="354" t="s">
        <v>557</v>
      </c>
      <c r="C62" s="424" t="s">
        <v>49</v>
      </c>
      <c r="D62" s="424" t="s">
        <v>59</v>
      </c>
    </row>
    <row r="63" spans="1:4" hidden="1">
      <c r="A63" s="426">
        <v>340307</v>
      </c>
      <c r="B63" s="354" t="s">
        <v>558</v>
      </c>
      <c r="C63" s="424" t="s">
        <v>49</v>
      </c>
      <c r="D63" s="424" t="s">
        <v>59</v>
      </c>
    </row>
    <row r="64" spans="1:4" hidden="1">
      <c r="A64" s="426">
        <v>340310</v>
      </c>
      <c r="B64" s="354" t="s">
        <v>559</v>
      </c>
      <c r="C64" s="424" t="s">
        <v>49</v>
      </c>
      <c r="D64" s="424" t="s">
        <v>59</v>
      </c>
    </row>
    <row r="65" spans="1:4" hidden="1">
      <c r="A65" s="426">
        <v>340312</v>
      </c>
      <c r="B65" s="354" t="s">
        <v>560</v>
      </c>
      <c r="C65" s="424" t="s">
        <v>49</v>
      </c>
      <c r="D65" s="424" t="s">
        <v>59</v>
      </c>
    </row>
    <row r="66" spans="1:4" hidden="1">
      <c r="A66" s="426">
        <v>340313</v>
      </c>
      <c r="B66" s="354" t="s">
        <v>561</v>
      </c>
      <c r="C66" s="424" t="s">
        <v>49</v>
      </c>
      <c r="D66" s="424" t="s">
        <v>59</v>
      </c>
    </row>
    <row r="67" spans="1:4" hidden="1">
      <c r="A67" s="426">
        <v>340314</v>
      </c>
      <c r="B67" s="354" t="s">
        <v>562</v>
      </c>
      <c r="C67" s="424" t="s">
        <v>49</v>
      </c>
      <c r="D67" s="424" t="s">
        <v>59</v>
      </c>
    </row>
    <row r="68" spans="1:4" hidden="1">
      <c r="A68" s="426">
        <v>340320</v>
      </c>
      <c r="B68" s="354" t="s">
        <v>563</v>
      </c>
      <c r="C68" s="424" t="s">
        <v>49</v>
      </c>
      <c r="D68" s="424" t="s">
        <v>59</v>
      </c>
    </row>
    <row r="69" spans="1:4" hidden="1">
      <c r="A69" s="426">
        <v>340326</v>
      </c>
      <c r="B69" s="354" t="s">
        <v>564</v>
      </c>
      <c r="C69" s="424" t="s">
        <v>49</v>
      </c>
      <c r="D69" s="424" t="s">
        <v>59</v>
      </c>
    </row>
    <row r="70" spans="1:4" hidden="1">
      <c r="A70" s="426">
        <v>340327</v>
      </c>
      <c r="B70" s="354" t="s">
        <v>565</v>
      </c>
      <c r="C70" s="424" t="s">
        <v>49</v>
      </c>
      <c r="D70" s="424" t="s">
        <v>59</v>
      </c>
    </row>
    <row r="71" spans="1:4" hidden="1">
      <c r="A71" s="426">
        <v>340329</v>
      </c>
      <c r="B71" s="354" t="s">
        <v>566</v>
      </c>
      <c r="C71" s="424" t="s">
        <v>49</v>
      </c>
      <c r="D71" s="424" t="s">
        <v>59</v>
      </c>
    </row>
    <row r="72" spans="1:4" hidden="1">
      <c r="A72" s="426">
        <v>341011</v>
      </c>
      <c r="B72" s="354" t="s">
        <v>270</v>
      </c>
      <c r="C72" s="424" t="s">
        <v>49</v>
      </c>
      <c r="D72" s="424" t="s">
        <v>59</v>
      </c>
    </row>
    <row r="73" spans="1:4" hidden="1">
      <c r="A73" s="426">
        <v>341031</v>
      </c>
      <c r="B73" s="354" t="s">
        <v>101</v>
      </c>
      <c r="C73" s="424" t="s">
        <v>49</v>
      </c>
      <c r="D73" s="424" t="s">
        <v>59</v>
      </c>
    </row>
    <row r="74" spans="1:4" hidden="1">
      <c r="A74" s="426">
        <v>341061</v>
      </c>
      <c r="B74" s="354" t="s">
        <v>212</v>
      </c>
      <c r="C74" s="424" t="s">
        <v>49</v>
      </c>
      <c r="D74" s="424" t="s">
        <v>59</v>
      </c>
    </row>
    <row r="75" spans="1:4" hidden="1">
      <c r="A75" s="426">
        <v>341112</v>
      </c>
      <c r="B75" s="354" t="s">
        <v>255</v>
      </c>
      <c r="C75" s="424" t="s">
        <v>49</v>
      </c>
      <c r="D75" s="424" t="s">
        <v>59</v>
      </c>
    </row>
    <row r="76" spans="1:4" hidden="1">
      <c r="A76" s="426">
        <v>341127</v>
      </c>
      <c r="B76" s="354" t="s">
        <v>178</v>
      </c>
      <c r="C76" s="424" t="s">
        <v>49</v>
      </c>
      <c r="D76" s="424" t="s">
        <v>59</v>
      </c>
    </row>
    <row r="77" spans="1:4" hidden="1">
      <c r="A77" s="426">
        <v>341132</v>
      </c>
      <c r="B77" s="354" t="s">
        <v>219</v>
      </c>
      <c r="C77" s="424" t="s">
        <v>49</v>
      </c>
      <c r="D77" s="424" t="s">
        <v>59</v>
      </c>
    </row>
    <row r="78" spans="1:4" hidden="1">
      <c r="A78" s="426">
        <v>341157</v>
      </c>
      <c r="B78" s="354" t="s">
        <v>226</v>
      </c>
      <c r="C78" s="424" t="s">
        <v>49</v>
      </c>
      <c r="D78" s="424" t="s">
        <v>59</v>
      </c>
    </row>
    <row r="79" spans="1:4" hidden="1">
      <c r="A79" s="426">
        <v>341163</v>
      </c>
      <c r="B79" s="354" t="s">
        <v>567</v>
      </c>
      <c r="C79" s="424" t="s">
        <v>49</v>
      </c>
      <c r="D79" s="424" t="s">
        <v>59</v>
      </c>
    </row>
    <row r="80" spans="1:4" hidden="1">
      <c r="A80" s="426">
        <v>341175</v>
      </c>
      <c r="B80" s="354" t="s">
        <v>568</v>
      </c>
      <c r="C80" s="424" t="s">
        <v>49</v>
      </c>
      <c r="D80" s="424" t="s">
        <v>59</v>
      </c>
    </row>
    <row r="81" spans="1:4" hidden="1">
      <c r="A81" s="426">
        <v>341190</v>
      </c>
      <c r="B81" s="354" t="s">
        <v>569</v>
      </c>
      <c r="C81" s="424" t="s">
        <v>49</v>
      </c>
      <c r="D81" s="424" t="s">
        <v>59</v>
      </c>
    </row>
    <row r="82" spans="1:4" hidden="1">
      <c r="A82" s="426">
        <v>35000</v>
      </c>
      <c r="B82" s="354" t="s">
        <v>570</v>
      </c>
      <c r="C82" s="424" t="s">
        <v>49</v>
      </c>
      <c r="D82" s="424" t="s">
        <v>110</v>
      </c>
    </row>
    <row r="83" spans="1:4" hidden="1">
      <c r="A83" s="426">
        <v>35002</v>
      </c>
      <c r="B83" s="354" t="s">
        <v>571</v>
      </c>
      <c r="C83" s="424" t="s">
        <v>49</v>
      </c>
      <c r="D83" s="424" t="s">
        <v>110</v>
      </c>
    </row>
    <row r="84" spans="1:4" hidden="1">
      <c r="A84" s="426">
        <v>36000</v>
      </c>
      <c r="B84" s="354" t="s">
        <v>572</v>
      </c>
      <c r="C84" s="424" t="s">
        <v>49</v>
      </c>
      <c r="D84" s="424" t="s">
        <v>59</v>
      </c>
    </row>
    <row r="85" spans="1:4" hidden="1">
      <c r="A85" s="426">
        <v>36001</v>
      </c>
      <c r="B85" s="354" t="s">
        <v>573</v>
      </c>
      <c r="C85" s="424" t="s">
        <v>49</v>
      </c>
      <c r="D85" s="424" t="s">
        <v>59</v>
      </c>
    </row>
    <row r="86" spans="1:4" hidden="1">
      <c r="A86" s="426">
        <v>36002</v>
      </c>
      <c r="B86" s="354" t="s">
        <v>574</v>
      </c>
      <c r="C86" s="424" t="s">
        <v>49</v>
      </c>
      <c r="D86" s="424" t="s">
        <v>59</v>
      </c>
    </row>
    <row r="87" spans="1:4" hidden="1">
      <c r="A87" s="426">
        <v>36003</v>
      </c>
      <c r="B87" s="354" t="s">
        <v>575</v>
      </c>
      <c r="C87" s="424" t="s">
        <v>49</v>
      </c>
      <c r="D87" s="424" t="s">
        <v>59</v>
      </c>
    </row>
    <row r="88" spans="1:4" hidden="1">
      <c r="A88" s="426">
        <v>36004</v>
      </c>
      <c r="B88" s="354" t="s">
        <v>576</v>
      </c>
      <c r="C88" s="424" t="s">
        <v>49</v>
      </c>
      <c r="D88" s="424" t="s">
        <v>59</v>
      </c>
    </row>
    <row r="89" spans="1:4" hidden="1">
      <c r="A89" s="426">
        <v>36005</v>
      </c>
      <c r="B89" s="354" t="s">
        <v>577</v>
      </c>
      <c r="C89" s="424" t="s">
        <v>49</v>
      </c>
      <c r="D89" s="424" t="s">
        <v>59</v>
      </c>
    </row>
    <row r="90" spans="1:4" hidden="1">
      <c r="A90" s="426">
        <v>36101</v>
      </c>
      <c r="B90" s="354" t="s">
        <v>578</v>
      </c>
      <c r="C90" s="424" t="s">
        <v>49</v>
      </c>
      <c r="D90" s="424" t="s">
        <v>1711</v>
      </c>
    </row>
    <row r="91" spans="1:4" hidden="1">
      <c r="A91" s="426">
        <v>36102</v>
      </c>
      <c r="B91" s="354" t="s">
        <v>579</v>
      </c>
      <c r="C91" s="424" t="s">
        <v>49</v>
      </c>
      <c r="D91" s="424" t="s">
        <v>1658</v>
      </c>
    </row>
    <row r="92" spans="1:4" hidden="1">
      <c r="A92" s="426">
        <v>36103</v>
      </c>
      <c r="B92" s="354" t="s">
        <v>580</v>
      </c>
      <c r="C92" s="424" t="s">
        <v>49</v>
      </c>
      <c r="D92" s="424" t="s">
        <v>109</v>
      </c>
    </row>
    <row r="93" spans="1:4" hidden="1">
      <c r="A93" s="426">
        <v>37100</v>
      </c>
      <c r="B93" s="354" t="s">
        <v>581</v>
      </c>
      <c r="C93" s="424" t="s">
        <v>49</v>
      </c>
      <c r="D93" s="424" t="s">
        <v>491</v>
      </c>
    </row>
    <row r="94" spans="1:4" hidden="1">
      <c r="A94" s="426">
        <v>37101</v>
      </c>
      <c r="B94" s="354" t="s">
        <v>582</v>
      </c>
      <c r="C94" s="424" t="s">
        <v>49</v>
      </c>
      <c r="D94" s="424" t="s">
        <v>491</v>
      </c>
    </row>
    <row r="95" spans="1:4" hidden="1">
      <c r="A95" s="426">
        <v>37200</v>
      </c>
      <c r="B95" s="354" t="s">
        <v>583</v>
      </c>
      <c r="C95" s="424" t="s">
        <v>49</v>
      </c>
      <c r="D95" s="424" t="s">
        <v>491</v>
      </c>
    </row>
    <row r="96" spans="1:4" hidden="1">
      <c r="A96" s="426">
        <v>38100</v>
      </c>
      <c r="B96" s="354" t="s">
        <v>584</v>
      </c>
      <c r="C96" s="424" t="s">
        <v>49</v>
      </c>
      <c r="D96" s="424" t="s">
        <v>1711</v>
      </c>
    </row>
    <row r="97" spans="1:4" hidden="1">
      <c r="A97" s="426">
        <v>38200</v>
      </c>
      <c r="B97" s="354" t="s">
        <v>585</v>
      </c>
      <c r="C97" s="424" t="s">
        <v>49</v>
      </c>
      <c r="D97" s="424" t="s">
        <v>1711</v>
      </c>
    </row>
    <row r="98" spans="1:4" hidden="1">
      <c r="A98" s="426">
        <v>38201</v>
      </c>
      <c r="B98" s="354" t="s">
        <v>586</v>
      </c>
      <c r="C98" s="424" t="s">
        <v>49</v>
      </c>
      <c r="D98" s="424" t="s">
        <v>1711</v>
      </c>
    </row>
    <row r="99" spans="1:4" hidden="1">
      <c r="A99" s="426">
        <v>38301</v>
      </c>
      <c r="B99" s="354" t="s">
        <v>587</v>
      </c>
      <c r="C99" s="424" t="s">
        <v>49</v>
      </c>
      <c r="D99" s="424" t="s">
        <v>1711</v>
      </c>
    </row>
    <row r="100" spans="1:4" hidden="1">
      <c r="A100" s="426">
        <v>38400</v>
      </c>
      <c r="B100" s="354" t="s">
        <v>588</v>
      </c>
      <c r="C100" s="424" t="s">
        <v>49</v>
      </c>
      <c r="D100" s="424" t="s">
        <v>1711</v>
      </c>
    </row>
    <row r="101" spans="1:4" hidden="1">
      <c r="A101" s="426">
        <v>38500</v>
      </c>
      <c r="B101" s="354" t="s">
        <v>589</v>
      </c>
      <c r="C101" s="424" t="s">
        <v>49</v>
      </c>
      <c r="D101" s="424" t="s">
        <v>1711</v>
      </c>
    </row>
    <row r="102" spans="1:4" hidden="1">
      <c r="A102" s="426">
        <v>38600</v>
      </c>
      <c r="B102" s="354" t="s">
        <v>590</v>
      </c>
      <c r="C102" s="424" t="s">
        <v>49</v>
      </c>
      <c r="D102" s="424" t="s">
        <v>1711</v>
      </c>
    </row>
    <row r="103" spans="1:4" hidden="1">
      <c r="A103" s="426">
        <v>39000</v>
      </c>
      <c r="B103" s="354" t="s">
        <v>591</v>
      </c>
      <c r="C103" s="424" t="s">
        <v>49</v>
      </c>
      <c r="D103" s="424" t="s">
        <v>54</v>
      </c>
    </row>
    <row r="104" spans="1:4" hidden="1">
      <c r="A104" s="426">
        <v>40000</v>
      </c>
      <c r="B104" s="354" t="s">
        <v>592</v>
      </c>
      <c r="C104" s="424" t="s">
        <v>49</v>
      </c>
      <c r="D104" s="424" t="s">
        <v>106</v>
      </c>
    </row>
    <row r="105" spans="1:4" hidden="1">
      <c r="A105" s="426">
        <v>40001</v>
      </c>
      <c r="B105" s="354" t="s">
        <v>593</v>
      </c>
      <c r="C105" s="424" t="s">
        <v>49</v>
      </c>
      <c r="D105" s="424" t="s">
        <v>106</v>
      </c>
    </row>
    <row r="106" spans="1:4" hidden="1">
      <c r="A106" s="426">
        <v>40002</v>
      </c>
      <c r="B106" s="354" t="s">
        <v>594</v>
      </c>
      <c r="C106" s="424" t="s">
        <v>49</v>
      </c>
      <c r="D106" s="424" t="s">
        <v>106</v>
      </c>
    </row>
    <row r="107" spans="1:4" hidden="1">
      <c r="A107" s="426">
        <v>50000</v>
      </c>
      <c r="B107" s="354" t="s">
        <v>423</v>
      </c>
      <c r="C107" s="424" t="s">
        <v>49</v>
      </c>
      <c r="D107" s="424" t="s">
        <v>111</v>
      </c>
    </row>
    <row r="108" spans="1:4" hidden="1">
      <c r="A108" s="426">
        <v>50001</v>
      </c>
      <c r="B108" s="354" t="s">
        <v>139</v>
      </c>
      <c r="C108" s="424" t="s">
        <v>49</v>
      </c>
      <c r="D108" s="424" t="s">
        <v>139</v>
      </c>
    </row>
    <row r="109" spans="1:4" hidden="1">
      <c r="A109" s="426">
        <v>50002</v>
      </c>
      <c r="B109" s="354" t="s">
        <v>141</v>
      </c>
      <c r="C109" s="424" t="s">
        <v>49</v>
      </c>
      <c r="D109" s="424" t="s">
        <v>141</v>
      </c>
    </row>
    <row r="110" spans="1:4" hidden="1">
      <c r="A110" s="426">
        <v>50003</v>
      </c>
      <c r="B110" s="354" t="s">
        <v>136</v>
      </c>
      <c r="C110" s="424" t="s">
        <v>49</v>
      </c>
      <c r="D110" s="424" t="s">
        <v>111</v>
      </c>
    </row>
    <row r="111" spans="1:4" hidden="1">
      <c r="A111" s="426">
        <v>51000</v>
      </c>
      <c r="B111" s="354" t="s">
        <v>112</v>
      </c>
      <c r="C111" s="424" t="s">
        <v>49</v>
      </c>
      <c r="D111" s="424" t="s">
        <v>113</v>
      </c>
    </row>
    <row r="112" spans="1:4" hidden="1">
      <c r="A112" s="426">
        <v>51001</v>
      </c>
      <c r="B112" s="354" t="s">
        <v>114</v>
      </c>
      <c r="C112" s="424" t="s">
        <v>49</v>
      </c>
      <c r="D112" s="424" t="s">
        <v>113</v>
      </c>
    </row>
    <row r="113" spans="1:4" hidden="1">
      <c r="A113" s="426">
        <v>51002</v>
      </c>
      <c r="B113" s="354" t="s">
        <v>115</v>
      </c>
      <c r="C113" s="424" t="s">
        <v>49</v>
      </c>
      <c r="D113" s="424" t="s">
        <v>113</v>
      </c>
    </row>
    <row r="114" spans="1:4" hidden="1">
      <c r="A114" s="426">
        <v>51003</v>
      </c>
      <c r="B114" s="354" t="s">
        <v>116</v>
      </c>
      <c r="C114" s="424" t="s">
        <v>49</v>
      </c>
      <c r="D114" s="424" t="s">
        <v>113</v>
      </c>
    </row>
    <row r="115" spans="1:4" hidden="1">
      <c r="A115" s="426">
        <v>51004</v>
      </c>
      <c r="B115" s="354" t="s">
        <v>117</v>
      </c>
      <c r="C115" s="424" t="s">
        <v>49</v>
      </c>
      <c r="D115" s="424" t="s">
        <v>113</v>
      </c>
    </row>
    <row r="116" spans="1:4" hidden="1">
      <c r="A116" s="426">
        <v>51005</v>
      </c>
      <c r="B116" s="354" t="s">
        <v>118</v>
      </c>
      <c r="C116" s="424" t="s">
        <v>49</v>
      </c>
      <c r="D116" s="424" t="s">
        <v>113</v>
      </c>
    </row>
    <row r="117" spans="1:4" hidden="1">
      <c r="A117" s="426">
        <v>51006</v>
      </c>
      <c r="B117" s="354" t="s">
        <v>119</v>
      </c>
      <c r="C117" s="424" t="s">
        <v>49</v>
      </c>
      <c r="D117" s="424" t="s">
        <v>113</v>
      </c>
    </row>
    <row r="118" spans="1:4" hidden="1">
      <c r="A118" s="426">
        <v>51007</v>
      </c>
      <c r="B118" s="354" t="s">
        <v>120</v>
      </c>
      <c r="C118" s="424" t="s">
        <v>49</v>
      </c>
      <c r="D118" s="424" t="s">
        <v>113</v>
      </c>
    </row>
    <row r="119" spans="1:4" hidden="1">
      <c r="A119" s="426">
        <v>51008</v>
      </c>
      <c r="B119" s="354" t="s">
        <v>121</v>
      </c>
      <c r="C119" s="424" t="s">
        <v>49</v>
      </c>
      <c r="D119" s="424" t="s">
        <v>113</v>
      </c>
    </row>
    <row r="120" spans="1:4" hidden="1">
      <c r="A120" s="426">
        <v>51009</v>
      </c>
      <c r="B120" s="354" t="s">
        <v>122</v>
      </c>
      <c r="C120" s="424" t="s">
        <v>49</v>
      </c>
      <c r="D120" s="424" t="s">
        <v>113</v>
      </c>
    </row>
    <row r="121" spans="1:4" hidden="1">
      <c r="A121" s="426">
        <v>51010</v>
      </c>
      <c r="B121" s="354" t="s">
        <v>123</v>
      </c>
      <c r="C121" s="424" t="s">
        <v>49</v>
      </c>
      <c r="D121" s="424" t="s">
        <v>113</v>
      </c>
    </row>
    <row r="122" spans="1:4" hidden="1">
      <c r="A122" s="426">
        <v>51011</v>
      </c>
      <c r="B122" s="354" t="s">
        <v>124</v>
      </c>
      <c r="C122" s="424" t="s">
        <v>49</v>
      </c>
      <c r="D122" s="424" t="s">
        <v>113</v>
      </c>
    </row>
    <row r="123" spans="1:4" hidden="1">
      <c r="A123" s="426">
        <v>51012</v>
      </c>
      <c r="B123" s="354" t="s">
        <v>125</v>
      </c>
      <c r="C123" s="424" t="s">
        <v>49</v>
      </c>
      <c r="D123" s="424" t="s">
        <v>113</v>
      </c>
    </row>
    <row r="124" spans="1:4" hidden="1">
      <c r="A124" s="426">
        <v>51013</v>
      </c>
      <c r="B124" s="354" t="s">
        <v>126</v>
      </c>
      <c r="C124" s="424" t="s">
        <v>49</v>
      </c>
      <c r="D124" s="424" t="s">
        <v>113</v>
      </c>
    </row>
    <row r="125" spans="1:4" hidden="1">
      <c r="A125" s="426">
        <v>51014</v>
      </c>
      <c r="B125" s="354" t="s">
        <v>127</v>
      </c>
      <c r="C125" s="424" t="s">
        <v>49</v>
      </c>
      <c r="D125" s="424" t="s">
        <v>113</v>
      </c>
    </row>
    <row r="126" spans="1:4" hidden="1">
      <c r="A126" s="426">
        <v>51015</v>
      </c>
      <c r="B126" s="354" t="s">
        <v>128</v>
      </c>
      <c r="C126" s="424" t="s">
        <v>49</v>
      </c>
      <c r="D126" s="424" t="s">
        <v>113</v>
      </c>
    </row>
    <row r="127" spans="1:4" hidden="1">
      <c r="A127" s="426">
        <v>51016</v>
      </c>
      <c r="B127" s="354" t="s">
        <v>129</v>
      </c>
      <c r="C127" s="424" t="s">
        <v>49</v>
      </c>
      <c r="D127" s="424" t="s">
        <v>113</v>
      </c>
    </row>
    <row r="128" spans="1:4" hidden="1">
      <c r="A128" s="426">
        <v>51017</v>
      </c>
      <c r="B128" s="354" t="s">
        <v>130</v>
      </c>
      <c r="C128" s="424" t="s">
        <v>49</v>
      </c>
      <c r="D128" s="424" t="s">
        <v>113</v>
      </c>
    </row>
    <row r="129" spans="1:5" hidden="1">
      <c r="A129" s="426">
        <v>51018</v>
      </c>
      <c r="B129" s="354" t="s">
        <v>131</v>
      </c>
      <c r="C129" s="424" t="s">
        <v>49</v>
      </c>
      <c r="D129" s="424" t="s">
        <v>113</v>
      </c>
    </row>
    <row r="130" spans="1:5" hidden="1">
      <c r="A130" s="426">
        <v>51019</v>
      </c>
      <c r="B130" s="354" t="s">
        <v>132</v>
      </c>
      <c r="C130" s="424" t="s">
        <v>49</v>
      </c>
      <c r="D130" s="424" t="s">
        <v>113</v>
      </c>
    </row>
    <row r="131" spans="1:5" hidden="1">
      <c r="A131" s="426">
        <v>51020</v>
      </c>
      <c r="B131" s="354" t="s">
        <v>133</v>
      </c>
      <c r="C131" s="424" t="s">
        <v>49</v>
      </c>
      <c r="D131" s="424" t="s">
        <v>113</v>
      </c>
    </row>
    <row r="132" spans="1:5" hidden="1">
      <c r="A132" s="426">
        <v>51021</v>
      </c>
      <c r="B132" s="354" t="s">
        <v>134</v>
      </c>
      <c r="C132" s="424" t="s">
        <v>49</v>
      </c>
      <c r="D132" s="424" t="s">
        <v>113</v>
      </c>
    </row>
    <row r="133" spans="1:5" hidden="1">
      <c r="A133" s="426">
        <v>51022</v>
      </c>
      <c r="B133" s="354" t="s">
        <v>135</v>
      </c>
      <c r="C133" s="424" t="s">
        <v>49</v>
      </c>
      <c r="D133" s="424" t="s">
        <v>113</v>
      </c>
    </row>
    <row r="134" spans="1:5" hidden="1">
      <c r="A134" s="426">
        <v>51100</v>
      </c>
      <c r="B134" s="354" t="s">
        <v>140</v>
      </c>
      <c r="C134" s="424" t="s">
        <v>49</v>
      </c>
      <c r="D134" s="424" t="s">
        <v>113</v>
      </c>
    </row>
    <row r="135" spans="1:5" hidden="1">
      <c r="A135" s="426">
        <v>51101</v>
      </c>
      <c r="B135" s="354" t="s">
        <v>138</v>
      </c>
      <c r="C135" s="424" t="s">
        <v>49</v>
      </c>
      <c r="D135" s="424" t="s">
        <v>113</v>
      </c>
    </row>
    <row r="136" spans="1:5" hidden="1">
      <c r="A136" s="426">
        <v>51200</v>
      </c>
      <c r="B136" s="354" t="s">
        <v>595</v>
      </c>
      <c r="C136" s="424" t="s">
        <v>49</v>
      </c>
      <c r="D136" s="424" t="s">
        <v>113</v>
      </c>
    </row>
    <row r="137" spans="1:5" hidden="1">
      <c r="A137" s="426">
        <v>53000</v>
      </c>
      <c r="B137" s="354" t="s">
        <v>596</v>
      </c>
      <c r="C137" s="424" t="s">
        <v>49</v>
      </c>
      <c r="D137" s="424" t="s">
        <v>53</v>
      </c>
      <c r="E137" s="424">
        <v>0</v>
      </c>
    </row>
    <row r="138" spans="1:5" hidden="1">
      <c r="A138" s="426">
        <v>54000</v>
      </c>
      <c r="B138" s="354" t="s">
        <v>142</v>
      </c>
      <c r="C138" s="424" t="s">
        <v>49</v>
      </c>
      <c r="D138" s="424" t="s">
        <v>142</v>
      </c>
      <c r="E138" s="424">
        <v>0</v>
      </c>
    </row>
    <row r="139" spans="1:5" hidden="1">
      <c r="A139" s="426">
        <v>60202000</v>
      </c>
      <c r="B139" s="354" t="s">
        <v>597</v>
      </c>
      <c r="C139" s="424" t="s">
        <v>144</v>
      </c>
      <c r="D139" s="424" t="s">
        <v>145</v>
      </c>
      <c r="E139" s="424" t="s">
        <v>145</v>
      </c>
    </row>
    <row r="140" spans="1:5" hidden="1">
      <c r="A140" s="426">
        <v>60202007</v>
      </c>
      <c r="B140" s="354" t="s">
        <v>598</v>
      </c>
      <c r="C140" s="424" t="s">
        <v>144</v>
      </c>
      <c r="D140" s="424" t="s">
        <v>145</v>
      </c>
      <c r="E140" s="424" t="s">
        <v>145</v>
      </c>
    </row>
    <row r="141" spans="1:5" hidden="1">
      <c r="A141" s="426">
        <v>60202009</v>
      </c>
      <c r="B141" s="354" t="s">
        <v>599</v>
      </c>
      <c r="C141" s="424" t="s">
        <v>144</v>
      </c>
      <c r="D141" s="424" t="s">
        <v>145</v>
      </c>
      <c r="E141" s="424" t="s">
        <v>145</v>
      </c>
    </row>
    <row r="142" spans="1:5" hidden="1">
      <c r="A142" s="426">
        <v>60202016</v>
      </c>
      <c r="B142" s="354" t="s">
        <v>600</v>
      </c>
      <c r="C142" s="424" t="s">
        <v>144</v>
      </c>
      <c r="D142" s="424" t="s">
        <v>145</v>
      </c>
      <c r="E142" s="424" t="s">
        <v>145</v>
      </c>
    </row>
    <row r="143" spans="1:5" hidden="1">
      <c r="A143" s="426">
        <v>60202023</v>
      </c>
      <c r="B143" s="354" t="s">
        <v>601</v>
      </c>
      <c r="C143" s="424" t="s">
        <v>144</v>
      </c>
      <c r="D143" s="424" t="s">
        <v>145</v>
      </c>
      <c r="E143" s="424" t="s">
        <v>145</v>
      </c>
    </row>
    <row r="144" spans="1:5" hidden="1">
      <c r="A144" s="426">
        <v>60202101</v>
      </c>
      <c r="B144" s="354" t="s">
        <v>602</v>
      </c>
      <c r="C144" s="424" t="s">
        <v>144</v>
      </c>
      <c r="D144" s="424" t="s">
        <v>145</v>
      </c>
      <c r="E144" s="424" t="s">
        <v>145</v>
      </c>
    </row>
    <row r="145" spans="1:6" hidden="1">
      <c r="A145" s="426">
        <v>60202094</v>
      </c>
      <c r="B145" s="354" t="s">
        <v>603</v>
      </c>
      <c r="C145" s="424" t="s">
        <v>144</v>
      </c>
      <c r="D145" s="424" t="s">
        <v>145</v>
      </c>
      <c r="E145" s="424" t="s">
        <v>146</v>
      </c>
    </row>
    <row r="146" spans="1:6" hidden="1">
      <c r="A146" s="426">
        <v>60202095</v>
      </c>
      <c r="B146" s="354" t="s">
        <v>604</v>
      </c>
      <c r="C146" s="424" t="s">
        <v>144</v>
      </c>
      <c r="D146" s="424" t="s">
        <v>145</v>
      </c>
      <c r="E146" s="424" t="s">
        <v>146</v>
      </c>
    </row>
    <row r="147" spans="1:6" hidden="1">
      <c r="A147" s="426">
        <v>60202097</v>
      </c>
      <c r="B147" s="354" t="s">
        <v>605</v>
      </c>
      <c r="C147" s="424" t="s">
        <v>144</v>
      </c>
      <c r="D147" s="424" t="s">
        <v>145</v>
      </c>
      <c r="E147" s="424" t="s">
        <v>470</v>
      </c>
    </row>
    <row r="148" spans="1:6" hidden="1">
      <c r="A148" s="426">
        <v>60202098</v>
      </c>
      <c r="B148" s="354" t="s">
        <v>606</v>
      </c>
      <c r="C148" s="424" t="s">
        <v>144</v>
      </c>
      <c r="D148" s="424" t="s">
        <v>145</v>
      </c>
      <c r="E148" s="424" t="s">
        <v>145</v>
      </c>
    </row>
    <row r="149" spans="1:6" hidden="1">
      <c r="A149" s="426">
        <v>60202099</v>
      </c>
      <c r="B149" s="354" t="s">
        <v>607</v>
      </c>
      <c r="C149" s="424" t="s">
        <v>144</v>
      </c>
      <c r="D149" s="424" t="s">
        <v>145</v>
      </c>
      <c r="E149" s="424" t="s">
        <v>145</v>
      </c>
    </row>
    <row r="150" spans="1:6" hidden="1">
      <c r="A150" s="426">
        <v>60202100</v>
      </c>
      <c r="B150" s="354" t="s">
        <v>608</v>
      </c>
      <c r="C150" s="424" t="s">
        <v>144</v>
      </c>
      <c r="D150" s="424" t="s">
        <v>145</v>
      </c>
      <c r="E150" s="424" t="s">
        <v>609</v>
      </c>
    </row>
    <row r="151" spans="1:6" hidden="1">
      <c r="A151" s="426">
        <v>60203000</v>
      </c>
      <c r="B151" s="354" t="s">
        <v>610</v>
      </c>
      <c r="C151" s="424" t="s">
        <v>144</v>
      </c>
      <c r="D151" s="424" t="s">
        <v>145</v>
      </c>
      <c r="E151" s="424" t="s">
        <v>145</v>
      </c>
    </row>
    <row r="152" spans="1:6" hidden="1">
      <c r="A152" s="426">
        <v>60203007</v>
      </c>
      <c r="B152" s="354" t="s">
        <v>611</v>
      </c>
      <c r="C152" s="424" t="s">
        <v>144</v>
      </c>
      <c r="D152" s="424" t="s">
        <v>145</v>
      </c>
      <c r="E152" s="424" t="s">
        <v>145</v>
      </c>
    </row>
    <row r="153" spans="1:6" hidden="1">
      <c r="A153" s="426">
        <v>60203009</v>
      </c>
      <c r="B153" s="354" t="s">
        <v>612</v>
      </c>
      <c r="C153" s="424" t="s">
        <v>144</v>
      </c>
      <c r="D153" s="424" t="s">
        <v>145</v>
      </c>
      <c r="E153" s="424" t="s">
        <v>145</v>
      </c>
    </row>
    <row r="154" spans="1:6" hidden="1">
      <c r="A154" s="426">
        <v>60203016</v>
      </c>
      <c r="B154" s="354" t="s">
        <v>613</v>
      </c>
      <c r="C154" s="424" t="s">
        <v>144</v>
      </c>
      <c r="D154" s="424" t="s">
        <v>145</v>
      </c>
      <c r="E154" s="424" t="s">
        <v>145</v>
      </c>
    </row>
    <row r="155" spans="1:6" hidden="1">
      <c r="A155" s="426">
        <v>60203094</v>
      </c>
      <c r="B155" s="354" t="s">
        <v>614</v>
      </c>
      <c r="C155" s="424" t="s">
        <v>144</v>
      </c>
      <c r="D155" s="424" t="s">
        <v>145</v>
      </c>
      <c r="E155" s="424" t="s">
        <v>146</v>
      </c>
      <c r="F155" s="424" t="s">
        <v>615</v>
      </c>
    </row>
    <row r="156" spans="1:6" hidden="1">
      <c r="A156" s="426">
        <v>70201200</v>
      </c>
      <c r="B156" s="354" t="s">
        <v>616</v>
      </c>
      <c r="C156" s="424" t="s">
        <v>144</v>
      </c>
      <c r="D156" s="424" t="s">
        <v>182</v>
      </c>
      <c r="E156" s="424" t="s">
        <v>182</v>
      </c>
    </row>
    <row r="157" spans="1:6" hidden="1">
      <c r="A157" s="426">
        <v>80010100</v>
      </c>
      <c r="B157" s="354" t="s">
        <v>617</v>
      </c>
      <c r="C157" s="424" t="s">
        <v>144</v>
      </c>
      <c r="D157" s="424" t="s">
        <v>618</v>
      </c>
      <c r="E157" s="424" t="s">
        <v>148</v>
      </c>
    </row>
    <row r="158" spans="1:6" hidden="1">
      <c r="A158" s="426">
        <v>80010101</v>
      </c>
      <c r="B158" s="354" t="s">
        <v>619</v>
      </c>
      <c r="C158" s="424" t="s">
        <v>144</v>
      </c>
      <c r="D158" s="424" t="s">
        <v>618</v>
      </c>
      <c r="E158" s="424" t="s">
        <v>148</v>
      </c>
    </row>
    <row r="159" spans="1:6" hidden="1">
      <c r="A159" s="426">
        <v>80010102</v>
      </c>
      <c r="B159" s="354" t="s">
        <v>620</v>
      </c>
      <c r="C159" s="424" t="s">
        <v>144</v>
      </c>
      <c r="D159" s="424" t="s">
        <v>618</v>
      </c>
      <c r="E159" s="424" t="s">
        <v>172</v>
      </c>
    </row>
    <row r="160" spans="1:6" hidden="1">
      <c r="A160" s="426">
        <v>80010104</v>
      </c>
      <c r="B160" s="354" t="s">
        <v>621</v>
      </c>
      <c r="C160" s="424" t="s">
        <v>144</v>
      </c>
      <c r="D160" s="424" t="s">
        <v>618</v>
      </c>
      <c r="E160" s="424" t="s">
        <v>148</v>
      </c>
    </row>
    <row r="161" spans="1:5" hidden="1">
      <c r="A161" s="426">
        <v>80010105</v>
      </c>
      <c r="B161" s="354" t="s">
        <v>622</v>
      </c>
      <c r="C161" s="424" t="s">
        <v>144</v>
      </c>
      <c r="D161" s="424" t="s">
        <v>618</v>
      </c>
      <c r="E161" s="424" t="s">
        <v>148</v>
      </c>
    </row>
    <row r="162" spans="1:5" hidden="1">
      <c r="A162" s="426">
        <v>80010107</v>
      </c>
      <c r="B162" s="354" t="s">
        <v>623</v>
      </c>
      <c r="C162" s="424" t="s">
        <v>144</v>
      </c>
      <c r="D162" s="424" t="s">
        <v>618</v>
      </c>
      <c r="E162" s="424" t="s">
        <v>148</v>
      </c>
    </row>
    <row r="163" spans="1:5" hidden="1">
      <c r="A163" s="426">
        <v>80010108</v>
      </c>
      <c r="B163" s="354" t="s">
        <v>624</v>
      </c>
      <c r="C163" s="424" t="s">
        <v>144</v>
      </c>
      <c r="D163" s="424" t="s">
        <v>618</v>
      </c>
      <c r="E163" s="424" t="s">
        <v>148</v>
      </c>
    </row>
    <row r="164" spans="1:5" hidden="1">
      <c r="A164" s="426">
        <v>80010109</v>
      </c>
      <c r="B164" s="354" t="s">
        <v>625</v>
      </c>
      <c r="C164" s="424" t="s">
        <v>144</v>
      </c>
      <c r="D164" s="424" t="s">
        <v>618</v>
      </c>
      <c r="E164" s="424" t="s">
        <v>148</v>
      </c>
    </row>
    <row r="165" spans="1:5" hidden="1">
      <c r="A165" s="426">
        <v>80010110</v>
      </c>
      <c r="B165" s="354" t="s">
        <v>626</v>
      </c>
      <c r="C165" s="424" t="s">
        <v>144</v>
      </c>
      <c r="D165" s="424" t="s">
        <v>618</v>
      </c>
      <c r="E165" s="424" t="s">
        <v>148</v>
      </c>
    </row>
    <row r="166" spans="1:5" hidden="1">
      <c r="A166" s="426">
        <v>80010111</v>
      </c>
      <c r="B166" s="354" t="s">
        <v>627</v>
      </c>
      <c r="C166" s="424" t="s">
        <v>144</v>
      </c>
      <c r="D166" s="424" t="s">
        <v>618</v>
      </c>
      <c r="E166" s="424" t="s">
        <v>148</v>
      </c>
    </row>
    <row r="167" spans="1:5" hidden="1">
      <c r="A167" s="426">
        <v>80010112</v>
      </c>
      <c r="B167" s="354" t="s">
        <v>628</v>
      </c>
      <c r="C167" s="424" t="s">
        <v>144</v>
      </c>
      <c r="D167" s="424" t="s">
        <v>618</v>
      </c>
      <c r="E167" s="424" t="s">
        <v>148</v>
      </c>
    </row>
    <row r="168" spans="1:5" hidden="1">
      <c r="A168" s="426">
        <v>80010114</v>
      </c>
      <c r="B168" s="354" t="s">
        <v>629</v>
      </c>
      <c r="C168" s="424" t="s">
        <v>144</v>
      </c>
      <c r="D168" s="424" t="s">
        <v>618</v>
      </c>
      <c r="E168" s="424" t="s">
        <v>148</v>
      </c>
    </row>
    <row r="169" spans="1:5" hidden="1">
      <c r="A169" s="426">
        <v>80010115</v>
      </c>
      <c r="B169" s="354" t="s">
        <v>630</v>
      </c>
      <c r="C169" s="424" t="s">
        <v>144</v>
      </c>
      <c r="D169" s="424" t="s">
        <v>618</v>
      </c>
      <c r="E169" s="424" t="s">
        <v>148</v>
      </c>
    </row>
    <row r="170" spans="1:5" hidden="1">
      <c r="A170" s="426">
        <v>80010116</v>
      </c>
      <c r="B170" s="354" t="s">
        <v>631</v>
      </c>
      <c r="C170" s="424" t="s">
        <v>144</v>
      </c>
      <c r="D170" s="424" t="s">
        <v>618</v>
      </c>
      <c r="E170" s="424" t="s">
        <v>148</v>
      </c>
    </row>
    <row r="171" spans="1:5" hidden="1">
      <c r="A171" s="426">
        <v>80010117</v>
      </c>
      <c r="B171" s="354" t="s">
        <v>631</v>
      </c>
      <c r="C171" s="424" t="s">
        <v>144</v>
      </c>
      <c r="D171" s="424" t="s">
        <v>618</v>
      </c>
      <c r="E171" s="424" t="s">
        <v>148</v>
      </c>
    </row>
    <row r="172" spans="1:5" hidden="1">
      <c r="A172" s="426">
        <v>80010118</v>
      </c>
      <c r="B172" s="354" t="s">
        <v>632</v>
      </c>
      <c r="C172" s="424" t="s">
        <v>144</v>
      </c>
      <c r="D172" s="424" t="s">
        <v>618</v>
      </c>
      <c r="E172" s="424" t="s">
        <v>148</v>
      </c>
    </row>
    <row r="173" spans="1:5" hidden="1">
      <c r="A173" s="426">
        <v>80010119</v>
      </c>
      <c r="B173" s="354" t="s">
        <v>633</v>
      </c>
      <c r="C173" s="424" t="s">
        <v>144</v>
      </c>
      <c r="D173" s="424" t="s">
        <v>618</v>
      </c>
      <c r="E173" s="424" t="s">
        <v>148</v>
      </c>
    </row>
    <row r="174" spans="1:5" hidden="1">
      <c r="A174" s="426">
        <v>80010200</v>
      </c>
      <c r="B174" s="354" t="s">
        <v>634</v>
      </c>
      <c r="C174" s="424" t="s">
        <v>144</v>
      </c>
      <c r="D174" s="424" t="s">
        <v>618</v>
      </c>
      <c r="E174" s="424" t="s">
        <v>635</v>
      </c>
    </row>
    <row r="175" spans="1:5" hidden="1">
      <c r="A175" s="426">
        <v>80200207</v>
      </c>
      <c r="B175" s="354" t="s">
        <v>636</v>
      </c>
      <c r="C175" s="424" t="s">
        <v>144</v>
      </c>
      <c r="D175" s="424" t="s">
        <v>618</v>
      </c>
      <c r="E175" s="424" t="s">
        <v>635</v>
      </c>
    </row>
    <row r="176" spans="1:5" hidden="1">
      <c r="A176" s="426">
        <v>80010300</v>
      </c>
      <c r="B176" s="354" t="s">
        <v>637</v>
      </c>
      <c r="C176" s="424" t="s">
        <v>144</v>
      </c>
      <c r="D176" s="424" t="s">
        <v>618</v>
      </c>
      <c r="E176" s="424" t="s">
        <v>153</v>
      </c>
    </row>
    <row r="177" spans="1:5" hidden="1">
      <c r="A177" s="426">
        <v>80200401</v>
      </c>
      <c r="B177" s="354" t="s">
        <v>638</v>
      </c>
      <c r="C177" s="424" t="s">
        <v>144</v>
      </c>
      <c r="D177" s="424" t="s">
        <v>618</v>
      </c>
      <c r="E177" s="424" t="s">
        <v>157</v>
      </c>
    </row>
    <row r="178" spans="1:5" hidden="1">
      <c r="A178" s="426">
        <v>80200402</v>
      </c>
      <c r="B178" s="354" t="s">
        <v>639</v>
      </c>
      <c r="C178" s="424" t="s">
        <v>144</v>
      </c>
      <c r="D178" s="424" t="s">
        <v>618</v>
      </c>
      <c r="E178" s="424" t="s">
        <v>157</v>
      </c>
    </row>
    <row r="179" spans="1:5" hidden="1">
      <c r="A179" s="426">
        <v>80200406</v>
      </c>
      <c r="B179" s="354" t="s">
        <v>640</v>
      </c>
      <c r="C179" s="424" t="s">
        <v>144</v>
      </c>
      <c r="D179" s="424" t="s">
        <v>618</v>
      </c>
      <c r="E179" s="424" t="s">
        <v>157</v>
      </c>
    </row>
    <row r="180" spans="1:5" hidden="1">
      <c r="A180" s="426">
        <v>80200500</v>
      </c>
      <c r="B180" s="354" t="s">
        <v>641</v>
      </c>
      <c r="C180" s="424" t="s">
        <v>144</v>
      </c>
      <c r="D180" s="424" t="s">
        <v>618</v>
      </c>
      <c r="E180" s="424" t="s">
        <v>385</v>
      </c>
    </row>
    <row r="181" spans="1:5" hidden="1">
      <c r="A181" s="426">
        <v>80200602</v>
      </c>
      <c r="B181" s="354" t="s">
        <v>642</v>
      </c>
      <c r="C181" s="424" t="s">
        <v>144</v>
      </c>
      <c r="D181" s="424" t="s">
        <v>618</v>
      </c>
      <c r="E181" s="424" t="s">
        <v>643</v>
      </c>
    </row>
    <row r="182" spans="1:5" hidden="1">
      <c r="A182" s="426">
        <v>80200603</v>
      </c>
      <c r="B182" s="354" t="s">
        <v>644</v>
      </c>
      <c r="C182" s="424" t="s">
        <v>144</v>
      </c>
      <c r="D182" s="424" t="s">
        <v>618</v>
      </c>
      <c r="E182" s="424" t="s">
        <v>645</v>
      </c>
    </row>
    <row r="183" spans="1:5" hidden="1">
      <c r="A183" s="426">
        <v>80200604</v>
      </c>
      <c r="B183" s="354" t="s">
        <v>646</v>
      </c>
      <c r="C183" s="424" t="s">
        <v>144</v>
      </c>
      <c r="D183" s="424" t="s">
        <v>618</v>
      </c>
      <c r="E183" s="424" t="s">
        <v>647</v>
      </c>
    </row>
    <row r="184" spans="1:5" hidden="1">
      <c r="A184" s="426">
        <v>80200605</v>
      </c>
      <c r="B184" s="354" t="s">
        <v>648</v>
      </c>
      <c r="C184" s="424" t="s">
        <v>144</v>
      </c>
      <c r="D184" s="424" t="s">
        <v>618</v>
      </c>
      <c r="E184" s="424" t="s">
        <v>161</v>
      </c>
    </row>
    <row r="185" spans="1:5" hidden="1">
      <c r="A185" s="426">
        <v>80200606</v>
      </c>
      <c r="B185" s="354" t="s">
        <v>649</v>
      </c>
      <c r="C185" s="424" t="s">
        <v>144</v>
      </c>
      <c r="D185" s="424" t="s">
        <v>618</v>
      </c>
      <c r="E185" s="424" t="s">
        <v>650</v>
      </c>
    </row>
    <row r="186" spans="1:5" hidden="1">
      <c r="A186" s="426">
        <v>80010700</v>
      </c>
      <c r="B186" s="354" t="s">
        <v>651</v>
      </c>
      <c r="C186" s="424" t="s">
        <v>144</v>
      </c>
      <c r="D186" s="424" t="s">
        <v>618</v>
      </c>
      <c r="E186" s="424" t="s">
        <v>652</v>
      </c>
    </row>
    <row r="187" spans="1:5" hidden="1">
      <c r="A187" s="426">
        <v>80200802</v>
      </c>
      <c r="B187" s="354" t="s">
        <v>653</v>
      </c>
      <c r="C187" s="424" t="s">
        <v>144</v>
      </c>
      <c r="D187" s="424" t="s">
        <v>618</v>
      </c>
      <c r="E187" s="424" t="s">
        <v>159</v>
      </c>
    </row>
    <row r="188" spans="1:5" hidden="1">
      <c r="A188" s="426">
        <v>80200208</v>
      </c>
      <c r="B188" s="354" t="s">
        <v>654</v>
      </c>
      <c r="C188" s="424" t="s">
        <v>144</v>
      </c>
      <c r="D188" s="424" t="s">
        <v>618</v>
      </c>
      <c r="E188" s="424" t="s">
        <v>183</v>
      </c>
    </row>
    <row r="189" spans="1:5" hidden="1">
      <c r="A189" s="426">
        <v>81020100</v>
      </c>
      <c r="B189" s="354" t="s">
        <v>655</v>
      </c>
      <c r="C189" s="424" t="s">
        <v>144</v>
      </c>
      <c r="D189" s="424" t="s">
        <v>151</v>
      </c>
      <c r="E189" s="424" t="s">
        <v>148</v>
      </c>
    </row>
    <row r="190" spans="1:5" hidden="1">
      <c r="A190" s="426">
        <v>81020102</v>
      </c>
      <c r="B190" s="354" t="s">
        <v>656</v>
      </c>
      <c r="C190" s="424" t="s">
        <v>144</v>
      </c>
      <c r="D190" s="424" t="s">
        <v>151</v>
      </c>
      <c r="E190" s="424" t="s">
        <v>172</v>
      </c>
    </row>
    <row r="191" spans="1:5" hidden="1">
      <c r="A191" s="426">
        <v>81020104</v>
      </c>
      <c r="B191" s="354" t="s">
        <v>657</v>
      </c>
      <c r="C191" s="424" t="s">
        <v>144</v>
      </c>
      <c r="D191" s="424" t="s">
        <v>151</v>
      </c>
      <c r="E191" s="424" t="s">
        <v>148</v>
      </c>
    </row>
    <row r="192" spans="1:5" hidden="1">
      <c r="A192" s="426">
        <v>81020107</v>
      </c>
      <c r="B192" s="354" t="s">
        <v>658</v>
      </c>
      <c r="C192" s="424" t="s">
        <v>144</v>
      </c>
      <c r="D192" s="424" t="s">
        <v>151</v>
      </c>
      <c r="E192" s="424" t="s">
        <v>148</v>
      </c>
    </row>
    <row r="193" spans="1:5" hidden="1">
      <c r="A193" s="426">
        <v>81020108</v>
      </c>
      <c r="B193" s="354" t="s">
        <v>659</v>
      </c>
      <c r="C193" s="424" t="s">
        <v>144</v>
      </c>
      <c r="D193" s="424" t="s">
        <v>151</v>
      </c>
      <c r="E193" s="424" t="s">
        <v>148</v>
      </c>
    </row>
    <row r="194" spans="1:5" hidden="1">
      <c r="A194" s="426">
        <v>81020109</v>
      </c>
      <c r="B194" s="354" t="s">
        <v>660</v>
      </c>
      <c r="C194" s="424" t="s">
        <v>144</v>
      </c>
      <c r="D194" s="424" t="s">
        <v>151</v>
      </c>
      <c r="E194" s="424" t="s">
        <v>148</v>
      </c>
    </row>
    <row r="195" spans="1:5" hidden="1">
      <c r="A195" s="426">
        <v>81020110</v>
      </c>
      <c r="B195" s="354" t="s">
        <v>661</v>
      </c>
      <c r="C195" s="424" t="s">
        <v>144</v>
      </c>
      <c r="D195" s="424" t="s">
        <v>151</v>
      </c>
      <c r="E195" s="424" t="s">
        <v>148</v>
      </c>
    </row>
    <row r="196" spans="1:5" hidden="1">
      <c r="A196" s="426">
        <v>81020111</v>
      </c>
      <c r="B196" s="354" t="s">
        <v>662</v>
      </c>
      <c r="C196" s="424" t="s">
        <v>144</v>
      </c>
      <c r="D196" s="424" t="s">
        <v>151</v>
      </c>
      <c r="E196" s="424" t="s">
        <v>148</v>
      </c>
    </row>
    <row r="197" spans="1:5" hidden="1">
      <c r="A197" s="426">
        <v>81020112</v>
      </c>
      <c r="B197" s="354" t="s">
        <v>663</v>
      </c>
      <c r="C197" s="424" t="s">
        <v>144</v>
      </c>
      <c r="D197" s="424" t="s">
        <v>151</v>
      </c>
      <c r="E197" s="424" t="s">
        <v>148</v>
      </c>
    </row>
    <row r="198" spans="1:5" hidden="1">
      <c r="A198" s="426">
        <v>81020114</v>
      </c>
      <c r="B198" s="354" t="s">
        <v>664</v>
      </c>
      <c r="C198" s="424" t="s">
        <v>144</v>
      </c>
      <c r="D198" s="424" t="s">
        <v>151</v>
      </c>
      <c r="E198" s="424" t="s">
        <v>148</v>
      </c>
    </row>
    <row r="199" spans="1:5" hidden="1">
      <c r="A199" s="426">
        <v>81020115</v>
      </c>
      <c r="B199" s="354" t="s">
        <v>665</v>
      </c>
      <c r="C199" s="424" t="s">
        <v>144</v>
      </c>
      <c r="D199" s="424" t="s">
        <v>151</v>
      </c>
      <c r="E199" s="424" t="s">
        <v>148</v>
      </c>
    </row>
    <row r="200" spans="1:5" hidden="1">
      <c r="A200" s="426">
        <v>81020116</v>
      </c>
      <c r="B200" s="354" t="s">
        <v>666</v>
      </c>
      <c r="C200" s="424" t="s">
        <v>144</v>
      </c>
      <c r="D200" s="424" t="s">
        <v>151</v>
      </c>
      <c r="E200" s="424" t="s">
        <v>148</v>
      </c>
    </row>
    <row r="201" spans="1:5" hidden="1">
      <c r="A201" s="426">
        <v>81020117</v>
      </c>
      <c r="B201" s="354" t="s">
        <v>667</v>
      </c>
      <c r="C201" s="424" t="s">
        <v>144</v>
      </c>
      <c r="D201" s="424" t="s">
        <v>151</v>
      </c>
      <c r="E201" s="424" t="s">
        <v>148</v>
      </c>
    </row>
    <row r="202" spans="1:5" hidden="1">
      <c r="A202" s="426">
        <v>81020118</v>
      </c>
      <c r="B202" s="354" t="s">
        <v>668</v>
      </c>
      <c r="C202" s="424" t="s">
        <v>144</v>
      </c>
      <c r="D202" s="424" t="s">
        <v>151</v>
      </c>
      <c r="E202" s="424" t="s">
        <v>148</v>
      </c>
    </row>
    <row r="203" spans="1:5" hidden="1">
      <c r="A203" s="426">
        <v>81020119</v>
      </c>
      <c r="B203" s="354" t="s">
        <v>669</v>
      </c>
      <c r="C203" s="424" t="s">
        <v>144</v>
      </c>
      <c r="D203" s="424" t="s">
        <v>151</v>
      </c>
      <c r="E203" s="424" t="s">
        <v>148</v>
      </c>
    </row>
    <row r="204" spans="1:5" hidden="1">
      <c r="A204" s="426">
        <v>81030100</v>
      </c>
      <c r="B204" s="354" t="s">
        <v>670</v>
      </c>
      <c r="C204" s="424" t="s">
        <v>144</v>
      </c>
      <c r="D204" s="424" t="s">
        <v>151</v>
      </c>
      <c r="E204" s="424" t="s">
        <v>148</v>
      </c>
    </row>
    <row r="205" spans="1:5" hidden="1">
      <c r="A205" s="426">
        <v>81030101</v>
      </c>
      <c r="B205" s="354" t="s">
        <v>671</v>
      </c>
      <c r="C205" s="424" t="s">
        <v>144</v>
      </c>
      <c r="D205" s="424" t="s">
        <v>151</v>
      </c>
      <c r="E205" s="424" t="s">
        <v>148</v>
      </c>
    </row>
    <row r="206" spans="1:5" hidden="1">
      <c r="A206" s="426">
        <v>81030102</v>
      </c>
      <c r="B206" s="354" t="s">
        <v>672</v>
      </c>
      <c r="C206" s="424" t="s">
        <v>144</v>
      </c>
      <c r="D206" s="424" t="s">
        <v>151</v>
      </c>
      <c r="E206" s="424" t="s">
        <v>172</v>
      </c>
    </row>
    <row r="207" spans="1:5" hidden="1">
      <c r="A207" s="426">
        <v>81030104</v>
      </c>
      <c r="B207" s="354" t="s">
        <v>673</v>
      </c>
      <c r="C207" s="424" t="s">
        <v>144</v>
      </c>
      <c r="D207" s="424" t="s">
        <v>151</v>
      </c>
      <c r="E207" s="424" t="s">
        <v>148</v>
      </c>
    </row>
    <row r="208" spans="1:5" hidden="1">
      <c r="A208" s="426">
        <v>81030107</v>
      </c>
      <c r="B208" s="354" t="s">
        <v>674</v>
      </c>
      <c r="C208" s="424" t="s">
        <v>144</v>
      </c>
      <c r="D208" s="424" t="s">
        <v>151</v>
      </c>
      <c r="E208" s="424" t="s">
        <v>148</v>
      </c>
    </row>
    <row r="209" spans="1:5" hidden="1">
      <c r="A209" s="426">
        <v>81030108</v>
      </c>
      <c r="B209" s="354" t="s">
        <v>675</v>
      </c>
      <c r="C209" s="424" t="s">
        <v>144</v>
      </c>
      <c r="D209" s="424" t="s">
        <v>151</v>
      </c>
      <c r="E209" s="424" t="s">
        <v>148</v>
      </c>
    </row>
    <row r="210" spans="1:5" hidden="1">
      <c r="A210" s="426">
        <v>81030109</v>
      </c>
      <c r="B210" s="354" t="s">
        <v>676</v>
      </c>
      <c r="C210" s="424" t="s">
        <v>144</v>
      </c>
      <c r="D210" s="424" t="s">
        <v>151</v>
      </c>
      <c r="E210" s="424" t="s">
        <v>148</v>
      </c>
    </row>
    <row r="211" spans="1:5" hidden="1">
      <c r="A211" s="426">
        <v>81030110</v>
      </c>
      <c r="B211" s="354" t="s">
        <v>677</v>
      </c>
      <c r="C211" s="424" t="s">
        <v>144</v>
      </c>
      <c r="D211" s="424" t="s">
        <v>151</v>
      </c>
      <c r="E211" s="424" t="s">
        <v>148</v>
      </c>
    </row>
    <row r="212" spans="1:5" hidden="1">
      <c r="A212" s="426">
        <v>81030111</v>
      </c>
      <c r="B212" s="354" t="s">
        <v>678</v>
      </c>
      <c r="C212" s="424" t="s">
        <v>144</v>
      </c>
      <c r="D212" s="424" t="s">
        <v>151</v>
      </c>
      <c r="E212" s="424" t="s">
        <v>148</v>
      </c>
    </row>
    <row r="213" spans="1:5" hidden="1">
      <c r="A213" s="426">
        <v>81030112</v>
      </c>
      <c r="B213" s="354" t="s">
        <v>679</v>
      </c>
      <c r="C213" s="424" t="s">
        <v>144</v>
      </c>
      <c r="D213" s="424" t="s">
        <v>151</v>
      </c>
      <c r="E213" s="424" t="s">
        <v>148</v>
      </c>
    </row>
    <row r="214" spans="1:5" hidden="1">
      <c r="A214" s="426">
        <v>81030114</v>
      </c>
      <c r="B214" s="354" t="s">
        <v>680</v>
      </c>
      <c r="C214" s="424" t="s">
        <v>144</v>
      </c>
      <c r="D214" s="424" t="s">
        <v>151</v>
      </c>
      <c r="E214" s="424" t="s">
        <v>148</v>
      </c>
    </row>
    <row r="215" spans="1:5" hidden="1">
      <c r="A215" s="426">
        <v>81030115</v>
      </c>
      <c r="B215" s="354" t="s">
        <v>681</v>
      </c>
      <c r="C215" s="424" t="s">
        <v>144</v>
      </c>
      <c r="D215" s="424" t="s">
        <v>151</v>
      </c>
      <c r="E215" s="424" t="s">
        <v>148</v>
      </c>
    </row>
    <row r="216" spans="1:5" hidden="1">
      <c r="A216" s="426">
        <v>81030118</v>
      </c>
      <c r="B216" s="354" t="s">
        <v>682</v>
      </c>
      <c r="C216" s="424" t="s">
        <v>144</v>
      </c>
      <c r="D216" s="424" t="s">
        <v>151</v>
      </c>
      <c r="E216" s="424" t="s">
        <v>148</v>
      </c>
    </row>
    <row r="217" spans="1:5" hidden="1">
      <c r="A217" s="426">
        <v>81030119</v>
      </c>
      <c r="B217" s="354" t="s">
        <v>683</v>
      </c>
      <c r="C217" s="424" t="s">
        <v>144</v>
      </c>
      <c r="D217" s="424" t="s">
        <v>151</v>
      </c>
      <c r="E217" s="424" t="s">
        <v>148</v>
      </c>
    </row>
    <row r="218" spans="1:5" hidden="1">
      <c r="A218" s="426">
        <v>81040100</v>
      </c>
      <c r="B218" s="354" t="s">
        <v>684</v>
      </c>
      <c r="C218" s="424" t="s">
        <v>144</v>
      </c>
      <c r="D218" s="424" t="s">
        <v>151</v>
      </c>
      <c r="E218" s="424" t="s">
        <v>148</v>
      </c>
    </row>
    <row r="219" spans="1:5" hidden="1">
      <c r="A219" s="426">
        <v>81040102</v>
      </c>
      <c r="B219" s="354" t="s">
        <v>685</v>
      </c>
      <c r="C219" s="424" t="s">
        <v>144</v>
      </c>
      <c r="D219" s="424" t="s">
        <v>151</v>
      </c>
      <c r="E219" s="424" t="s">
        <v>172</v>
      </c>
    </row>
    <row r="220" spans="1:5" hidden="1">
      <c r="A220" s="426">
        <v>81040104</v>
      </c>
      <c r="B220" s="354" t="s">
        <v>686</v>
      </c>
      <c r="C220" s="424" t="s">
        <v>144</v>
      </c>
      <c r="D220" s="424" t="s">
        <v>151</v>
      </c>
      <c r="E220" s="424" t="s">
        <v>148</v>
      </c>
    </row>
    <row r="221" spans="1:5" hidden="1">
      <c r="A221" s="426">
        <v>81040107</v>
      </c>
      <c r="B221" s="354" t="s">
        <v>687</v>
      </c>
      <c r="C221" s="424" t="s">
        <v>144</v>
      </c>
      <c r="D221" s="424" t="s">
        <v>151</v>
      </c>
      <c r="E221" s="424" t="s">
        <v>148</v>
      </c>
    </row>
    <row r="222" spans="1:5" hidden="1">
      <c r="A222" s="426">
        <v>81040108</v>
      </c>
      <c r="B222" s="354" t="s">
        <v>688</v>
      </c>
      <c r="C222" s="424" t="s">
        <v>144</v>
      </c>
      <c r="D222" s="424" t="s">
        <v>151</v>
      </c>
      <c r="E222" s="424" t="s">
        <v>148</v>
      </c>
    </row>
    <row r="223" spans="1:5" hidden="1">
      <c r="A223" s="426">
        <v>81040109</v>
      </c>
      <c r="B223" s="354" t="s">
        <v>689</v>
      </c>
      <c r="C223" s="424" t="s">
        <v>144</v>
      </c>
      <c r="D223" s="424" t="s">
        <v>151</v>
      </c>
      <c r="E223" s="424" t="s">
        <v>148</v>
      </c>
    </row>
    <row r="224" spans="1:5" hidden="1">
      <c r="A224" s="426">
        <v>81040110</v>
      </c>
      <c r="B224" s="354" t="s">
        <v>690</v>
      </c>
      <c r="C224" s="424" t="s">
        <v>144</v>
      </c>
      <c r="D224" s="424" t="s">
        <v>151</v>
      </c>
      <c r="E224" s="424" t="s">
        <v>148</v>
      </c>
    </row>
    <row r="225" spans="1:5" hidden="1">
      <c r="A225" s="426">
        <v>81040111</v>
      </c>
      <c r="B225" s="354" t="s">
        <v>691</v>
      </c>
      <c r="C225" s="424" t="s">
        <v>144</v>
      </c>
      <c r="D225" s="424" t="s">
        <v>151</v>
      </c>
      <c r="E225" s="424" t="s">
        <v>148</v>
      </c>
    </row>
    <row r="226" spans="1:5" hidden="1">
      <c r="A226" s="426">
        <v>81040112</v>
      </c>
      <c r="B226" s="354" t="s">
        <v>692</v>
      </c>
      <c r="C226" s="424" t="s">
        <v>144</v>
      </c>
      <c r="D226" s="424" t="s">
        <v>151</v>
      </c>
      <c r="E226" s="424" t="s">
        <v>148</v>
      </c>
    </row>
    <row r="227" spans="1:5" hidden="1">
      <c r="A227" s="426">
        <v>81040114</v>
      </c>
      <c r="B227" s="354" t="s">
        <v>693</v>
      </c>
      <c r="C227" s="424" t="s">
        <v>144</v>
      </c>
      <c r="D227" s="424" t="s">
        <v>151</v>
      </c>
      <c r="E227" s="424" t="s">
        <v>148</v>
      </c>
    </row>
    <row r="228" spans="1:5" hidden="1">
      <c r="A228" s="426">
        <v>81040115</v>
      </c>
      <c r="B228" s="354" t="s">
        <v>694</v>
      </c>
      <c r="C228" s="424" t="s">
        <v>144</v>
      </c>
      <c r="D228" s="424" t="s">
        <v>151</v>
      </c>
      <c r="E228" s="424" t="s">
        <v>148</v>
      </c>
    </row>
    <row r="229" spans="1:5" hidden="1">
      <c r="A229" s="426">
        <v>81040116</v>
      </c>
      <c r="B229" s="354" t="s">
        <v>695</v>
      </c>
      <c r="C229" s="424" t="s">
        <v>144</v>
      </c>
      <c r="D229" s="424" t="s">
        <v>151</v>
      </c>
      <c r="E229" s="424" t="s">
        <v>148</v>
      </c>
    </row>
    <row r="230" spans="1:5" hidden="1">
      <c r="A230" s="426">
        <v>81040117</v>
      </c>
      <c r="B230" s="354" t="s">
        <v>696</v>
      </c>
      <c r="C230" s="424" t="s">
        <v>144</v>
      </c>
      <c r="D230" s="424" t="s">
        <v>151</v>
      </c>
      <c r="E230" s="424" t="s">
        <v>148</v>
      </c>
    </row>
    <row r="231" spans="1:5" hidden="1">
      <c r="A231" s="426">
        <v>81040118</v>
      </c>
      <c r="B231" s="354" t="s">
        <v>697</v>
      </c>
      <c r="C231" s="424" t="s">
        <v>144</v>
      </c>
      <c r="D231" s="424" t="s">
        <v>151</v>
      </c>
      <c r="E231" s="424" t="s">
        <v>148</v>
      </c>
    </row>
    <row r="232" spans="1:5" hidden="1">
      <c r="A232" s="426">
        <v>81040119</v>
      </c>
      <c r="B232" s="354" t="s">
        <v>698</v>
      </c>
      <c r="C232" s="424" t="s">
        <v>144</v>
      </c>
      <c r="D232" s="424" t="s">
        <v>151</v>
      </c>
      <c r="E232" s="424" t="s">
        <v>148</v>
      </c>
    </row>
    <row r="233" spans="1:5" hidden="1">
      <c r="A233" s="426">
        <v>81050100</v>
      </c>
      <c r="B233" s="354" t="s">
        <v>699</v>
      </c>
      <c r="C233" s="424" t="s">
        <v>144</v>
      </c>
      <c r="D233" s="424" t="s">
        <v>151</v>
      </c>
      <c r="E233" s="424" t="s">
        <v>148</v>
      </c>
    </row>
    <row r="234" spans="1:5" hidden="1">
      <c r="A234" s="426">
        <v>81050102</v>
      </c>
      <c r="B234" s="354" t="s">
        <v>700</v>
      </c>
      <c r="C234" s="424" t="s">
        <v>144</v>
      </c>
      <c r="D234" s="424" t="s">
        <v>151</v>
      </c>
      <c r="E234" s="424" t="s">
        <v>172</v>
      </c>
    </row>
    <row r="235" spans="1:5" hidden="1">
      <c r="A235" s="426">
        <v>81050104</v>
      </c>
      <c r="B235" s="354" t="s">
        <v>701</v>
      </c>
      <c r="C235" s="424" t="s">
        <v>144</v>
      </c>
      <c r="D235" s="424" t="s">
        <v>151</v>
      </c>
      <c r="E235" s="424" t="s">
        <v>148</v>
      </c>
    </row>
    <row r="236" spans="1:5" hidden="1">
      <c r="A236" s="426">
        <v>81050107</v>
      </c>
      <c r="B236" s="354" t="s">
        <v>702</v>
      </c>
      <c r="C236" s="424" t="s">
        <v>144</v>
      </c>
      <c r="D236" s="424" t="s">
        <v>151</v>
      </c>
      <c r="E236" s="424" t="s">
        <v>148</v>
      </c>
    </row>
    <row r="237" spans="1:5" hidden="1">
      <c r="A237" s="426">
        <v>81050108</v>
      </c>
      <c r="B237" s="354" t="s">
        <v>703</v>
      </c>
      <c r="C237" s="424" t="s">
        <v>144</v>
      </c>
      <c r="D237" s="424" t="s">
        <v>151</v>
      </c>
      <c r="E237" s="424" t="s">
        <v>148</v>
      </c>
    </row>
    <row r="238" spans="1:5" hidden="1">
      <c r="A238" s="426">
        <v>81050109</v>
      </c>
      <c r="B238" s="354" t="s">
        <v>704</v>
      </c>
      <c r="C238" s="424" t="s">
        <v>144</v>
      </c>
      <c r="D238" s="424" t="s">
        <v>151</v>
      </c>
      <c r="E238" s="424" t="s">
        <v>148</v>
      </c>
    </row>
    <row r="239" spans="1:5" hidden="1">
      <c r="A239" s="426">
        <v>81050110</v>
      </c>
      <c r="B239" s="354" t="s">
        <v>705</v>
      </c>
      <c r="C239" s="424" t="s">
        <v>144</v>
      </c>
      <c r="D239" s="424" t="s">
        <v>151</v>
      </c>
      <c r="E239" s="424" t="s">
        <v>148</v>
      </c>
    </row>
    <row r="240" spans="1:5" hidden="1">
      <c r="A240" s="426">
        <v>81050111</v>
      </c>
      <c r="B240" s="354" t="s">
        <v>706</v>
      </c>
      <c r="C240" s="424" t="s">
        <v>144</v>
      </c>
      <c r="D240" s="424" t="s">
        <v>151</v>
      </c>
      <c r="E240" s="424" t="s">
        <v>148</v>
      </c>
    </row>
    <row r="241" spans="1:5" hidden="1">
      <c r="A241" s="426">
        <v>81050112</v>
      </c>
      <c r="B241" s="354" t="s">
        <v>707</v>
      </c>
      <c r="C241" s="424" t="s">
        <v>144</v>
      </c>
      <c r="D241" s="424" t="s">
        <v>151</v>
      </c>
      <c r="E241" s="424" t="s">
        <v>148</v>
      </c>
    </row>
    <row r="242" spans="1:5" hidden="1">
      <c r="A242" s="426">
        <v>81050114</v>
      </c>
      <c r="B242" s="354" t="s">
        <v>708</v>
      </c>
      <c r="C242" s="424" t="s">
        <v>144</v>
      </c>
      <c r="D242" s="424" t="s">
        <v>151</v>
      </c>
      <c r="E242" s="424" t="s">
        <v>148</v>
      </c>
    </row>
    <row r="243" spans="1:5" hidden="1">
      <c r="A243" s="426">
        <v>81050115</v>
      </c>
      <c r="B243" s="354" t="s">
        <v>709</v>
      </c>
      <c r="C243" s="424" t="s">
        <v>144</v>
      </c>
      <c r="D243" s="424" t="s">
        <v>151</v>
      </c>
      <c r="E243" s="424" t="s">
        <v>148</v>
      </c>
    </row>
    <row r="244" spans="1:5" hidden="1">
      <c r="A244" s="426">
        <v>81050116</v>
      </c>
      <c r="B244" s="354" t="s">
        <v>710</v>
      </c>
      <c r="C244" s="424" t="s">
        <v>144</v>
      </c>
      <c r="D244" s="424" t="s">
        <v>151</v>
      </c>
      <c r="E244" s="424" t="s">
        <v>148</v>
      </c>
    </row>
    <row r="245" spans="1:5" hidden="1">
      <c r="A245" s="426">
        <v>81050117</v>
      </c>
      <c r="B245" s="354" t="s">
        <v>710</v>
      </c>
      <c r="C245" s="424" t="s">
        <v>144</v>
      </c>
      <c r="D245" s="424" t="s">
        <v>151</v>
      </c>
      <c r="E245" s="424" t="s">
        <v>148</v>
      </c>
    </row>
    <row r="246" spans="1:5" hidden="1">
      <c r="A246" s="426">
        <v>81050118</v>
      </c>
      <c r="B246" s="354" t="s">
        <v>711</v>
      </c>
      <c r="C246" s="424" t="s">
        <v>144</v>
      </c>
      <c r="D246" s="424" t="s">
        <v>151</v>
      </c>
      <c r="E246" s="424" t="s">
        <v>148</v>
      </c>
    </row>
    <row r="247" spans="1:5" hidden="1">
      <c r="A247" s="426">
        <v>81050119</v>
      </c>
      <c r="B247" s="354" t="s">
        <v>712</v>
      </c>
      <c r="C247" s="424" t="s">
        <v>144</v>
      </c>
      <c r="D247" s="424" t="s">
        <v>151</v>
      </c>
      <c r="E247" s="424" t="s">
        <v>148</v>
      </c>
    </row>
    <row r="248" spans="1:5" hidden="1">
      <c r="A248" s="426">
        <v>81060100</v>
      </c>
      <c r="B248" s="354" t="s">
        <v>713</v>
      </c>
      <c r="C248" s="424" t="s">
        <v>144</v>
      </c>
      <c r="D248" s="424" t="s">
        <v>151</v>
      </c>
      <c r="E248" s="424" t="s">
        <v>148</v>
      </c>
    </row>
    <row r="249" spans="1:5" hidden="1">
      <c r="A249" s="426">
        <v>81060101</v>
      </c>
      <c r="B249" s="354" t="s">
        <v>714</v>
      </c>
      <c r="C249" s="424" t="s">
        <v>144</v>
      </c>
      <c r="D249" s="424" t="s">
        <v>151</v>
      </c>
      <c r="E249" s="424" t="s">
        <v>148</v>
      </c>
    </row>
    <row r="250" spans="1:5" hidden="1">
      <c r="A250" s="426">
        <v>81060102</v>
      </c>
      <c r="B250" s="354" t="s">
        <v>715</v>
      </c>
      <c r="C250" s="424" t="s">
        <v>144</v>
      </c>
      <c r="D250" s="424" t="s">
        <v>151</v>
      </c>
      <c r="E250" s="424" t="s">
        <v>172</v>
      </c>
    </row>
    <row r="251" spans="1:5" hidden="1">
      <c r="A251" s="426">
        <v>81060104</v>
      </c>
      <c r="B251" s="354" t="s">
        <v>716</v>
      </c>
      <c r="C251" s="424" t="s">
        <v>144</v>
      </c>
      <c r="D251" s="424" t="s">
        <v>151</v>
      </c>
      <c r="E251" s="424" t="s">
        <v>148</v>
      </c>
    </row>
    <row r="252" spans="1:5" hidden="1">
      <c r="A252" s="426">
        <v>81060107</v>
      </c>
      <c r="B252" s="354" t="s">
        <v>717</v>
      </c>
      <c r="C252" s="424" t="s">
        <v>144</v>
      </c>
      <c r="D252" s="424" t="s">
        <v>151</v>
      </c>
      <c r="E252" s="424" t="s">
        <v>148</v>
      </c>
    </row>
    <row r="253" spans="1:5" hidden="1">
      <c r="A253" s="426">
        <v>81060108</v>
      </c>
      <c r="B253" s="354" t="s">
        <v>718</v>
      </c>
      <c r="C253" s="424" t="s">
        <v>144</v>
      </c>
      <c r="D253" s="424" t="s">
        <v>151</v>
      </c>
      <c r="E253" s="424" t="s">
        <v>148</v>
      </c>
    </row>
    <row r="254" spans="1:5" hidden="1">
      <c r="A254" s="426">
        <v>81060109</v>
      </c>
      <c r="B254" s="354" t="s">
        <v>719</v>
      </c>
      <c r="C254" s="424" t="s">
        <v>144</v>
      </c>
      <c r="D254" s="424" t="s">
        <v>151</v>
      </c>
      <c r="E254" s="424" t="s">
        <v>148</v>
      </c>
    </row>
    <row r="255" spans="1:5" hidden="1">
      <c r="A255" s="426">
        <v>81060110</v>
      </c>
      <c r="B255" s="354" t="s">
        <v>720</v>
      </c>
      <c r="C255" s="424" t="s">
        <v>144</v>
      </c>
      <c r="D255" s="424" t="s">
        <v>151</v>
      </c>
      <c r="E255" s="424" t="s">
        <v>148</v>
      </c>
    </row>
    <row r="256" spans="1:5" hidden="1">
      <c r="A256" s="426">
        <v>81060111</v>
      </c>
      <c r="B256" s="354" t="s">
        <v>721</v>
      </c>
      <c r="C256" s="424" t="s">
        <v>144</v>
      </c>
      <c r="D256" s="424" t="s">
        <v>151</v>
      </c>
      <c r="E256" s="424" t="s">
        <v>148</v>
      </c>
    </row>
    <row r="257" spans="1:5" hidden="1">
      <c r="A257" s="426">
        <v>81060112</v>
      </c>
      <c r="B257" s="354" t="s">
        <v>722</v>
      </c>
      <c r="C257" s="424" t="s">
        <v>144</v>
      </c>
      <c r="D257" s="424" t="s">
        <v>151</v>
      </c>
      <c r="E257" s="424" t="s">
        <v>148</v>
      </c>
    </row>
    <row r="258" spans="1:5" hidden="1">
      <c r="A258" s="426">
        <v>81060113</v>
      </c>
      <c r="B258" s="354" t="s">
        <v>723</v>
      </c>
      <c r="C258" s="424" t="s">
        <v>144</v>
      </c>
      <c r="D258" s="424" t="s">
        <v>151</v>
      </c>
      <c r="E258" s="424" t="s">
        <v>148</v>
      </c>
    </row>
    <row r="259" spans="1:5" hidden="1">
      <c r="A259" s="426">
        <v>81060114</v>
      </c>
      <c r="B259" s="354" t="s">
        <v>724</v>
      </c>
      <c r="C259" s="424" t="s">
        <v>144</v>
      </c>
      <c r="D259" s="424" t="s">
        <v>151</v>
      </c>
      <c r="E259" s="424" t="s">
        <v>148</v>
      </c>
    </row>
    <row r="260" spans="1:5" hidden="1">
      <c r="A260" s="426">
        <v>81060115</v>
      </c>
      <c r="B260" s="354" t="s">
        <v>725</v>
      </c>
      <c r="C260" s="424" t="s">
        <v>144</v>
      </c>
      <c r="D260" s="424" t="s">
        <v>151</v>
      </c>
      <c r="E260" s="424" t="s">
        <v>148</v>
      </c>
    </row>
    <row r="261" spans="1:5" hidden="1">
      <c r="A261" s="426">
        <v>81060116</v>
      </c>
      <c r="B261" s="354" t="s">
        <v>726</v>
      </c>
      <c r="C261" s="424" t="s">
        <v>144</v>
      </c>
      <c r="D261" s="424" t="s">
        <v>151</v>
      </c>
      <c r="E261" s="424" t="s">
        <v>148</v>
      </c>
    </row>
    <row r="262" spans="1:5" hidden="1">
      <c r="A262" s="426">
        <v>81060117</v>
      </c>
      <c r="B262" s="354" t="s">
        <v>727</v>
      </c>
      <c r="C262" s="424" t="s">
        <v>144</v>
      </c>
      <c r="D262" s="424" t="s">
        <v>151</v>
      </c>
      <c r="E262" s="424" t="s">
        <v>148</v>
      </c>
    </row>
    <row r="263" spans="1:5" hidden="1">
      <c r="A263" s="426">
        <v>81060118</v>
      </c>
      <c r="B263" s="354" t="s">
        <v>728</v>
      </c>
      <c r="C263" s="424" t="s">
        <v>144</v>
      </c>
      <c r="D263" s="424" t="s">
        <v>151</v>
      </c>
      <c r="E263" s="424" t="s">
        <v>148</v>
      </c>
    </row>
    <row r="264" spans="1:5" hidden="1">
      <c r="A264" s="426">
        <v>81060119</v>
      </c>
      <c r="B264" s="354" t="s">
        <v>729</v>
      </c>
      <c r="C264" s="424" t="s">
        <v>144</v>
      </c>
      <c r="D264" s="424" t="s">
        <v>151</v>
      </c>
      <c r="E264" s="424" t="s">
        <v>148</v>
      </c>
    </row>
    <row r="265" spans="1:5" hidden="1">
      <c r="A265" s="426">
        <v>81090105</v>
      </c>
      <c r="B265" s="354" t="s">
        <v>730</v>
      </c>
      <c r="C265" s="424" t="s">
        <v>144</v>
      </c>
      <c r="D265" s="424" t="s">
        <v>151</v>
      </c>
      <c r="E265" s="424" t="s">
        <v>148</v>
      </c>
    </row>
    <row r="266" spans="1:5" hidden="1">
      <c r="A266" s="426">
        <v>81030200</v>
      </c>
      <c r="B266" s="354" t="s">
        <v>731</v>
      </c>
      <c r="C266" s="424" t="s">
        <v>144</v>
      </c>
      <c r="D266" s="424" t="s">
        <v>151</v>
      </c>
      <c r="E266" s="424" t="s">
        <v>635</v>
      </c>
    </row>
    <row r="267" spans="1:5" hidden="1">
      <c r="A267" s="426">
        <v>81040200</v>
      </c>
      <c r="B267" s="354" t="s">
        <v>732</v>
      </c>
      <c r="C267" s="424" t="s">
        <v>144</v>
      </c>
      <c r="D267" s="424" t="s">
        <v>151</v>
      </c>
      <c r="E267" s="424" t="s">
        <v>635</v>
      </c>
    </row>
    <row r="268" spans="1:5" hidden="1">
      <c r="A268" s="426">
        <v>81060200</v>
      </c>
      <c r="B268" s="354" t="s">
        <v>733</v>
      </c>
      <c r="C268" s="424" t="s">
        <v>144</v>
      </c>
      <c r="D268" s="424" t="s">
        <v>151</v>
      </c>
      <c r="E268" s="424" t="s">
        <v>635</v>
      </c>
    </row>
    <row r="269" spans="1:5" hidden="1">
      <c r="A269" s="426">
        <v>81070200</v>
      </c>
      <c r="B269" s="354" t="s">
        <v>734</v>
      </c>
      <c r="C269" s="424" t="s">
        <v>144</v>
      </c>
      <c r="D269" s="424" t="s">
        <v>151</v>
      </c>
      <c r="E269" s="424" t="s">
        <v>635</v>
      </c>
    </row>
    <row r="270" spans="1:5" hidden="1">
      <c r="A270" s="426">
        <v>81080200</v>
      </c>
      <c r="B270" s="354" t="s">
        <v>735</v>
      </c>
      <c r="C270" s="424" t="s">
        <v>144</v>
      </c>
      <c r="D270" s="424" t="s">
        <v>151</v>
      </c>
      <c r="E270" s="424" t="s">
        <v>635</v>
      </c>
    </row>
    <row r="271" spans="1:5" hidden="1">
      <c r="A271" s="426">
        <v>81090200</v>
      </c>
      <c r="B271" s="354" t="s">
        <v>736</v>
      </c>
      <c r="C271" s="424" t="s">
        <v>144</v>
      </c>
      <c r="D271" s="424" t="s">
        <v>151</v>
      </c>
      <c r="E271" s="424" t="s">
        <v>635</v>
      </c>
    </row>
    <row r="272" spans="1:5" hidden="1">
      <c r="A272" s="426">
        <v>81200207</v>
      </c>
      <c r="B272" s="354" t="s">
        <v>737</v>
      </c>
      <c r="C272" s="424" t="s">
        <v>144</v>
      </c>
      <c r="D272" s="424" t="s">
        <v>151</v>
      </c>
      <c r="E272" s="424" t="s">
        <v>738</v>
      </c>
    </row>
    <row r="273" spans="1:5" hidden="1">
      <c r="A273" s="426">
        <v>81020300</v>
      </c>
      <c r="B273" s="354" t="s">
        <v>739</v>
      </c>
      <c r="C273" s="424" t="s">
        <v>144</v>
      </c>
      <c r="D273" s="424" t="s">
        <v>151</v>
      </c>
      <c r="E273" s="424" t="s">
        <v>153</v>
      </c>
    </row>
    <row r="274" spans="1:5" hidden="1">
      <c r="A274" s="426">
        <v>81040300</v>
      </c>
      <c r="B274" s="354" t="s">
        <v>740</v>
      </c>
      <c r="C274" s="424" t="s">
        <v>144</v>
      </c>
      <c r="D274" s="424" t="s">
        <v>151</v>
      </c>
      <c r="E274" s="424" t="s">
        <v>153</v>
      </c>
    </row>
    <row r="275" spans="1:5" hidden="1">
      <c r="A275" s="426">
        <v>81060300</v>
      </c>
      <c r="B275" s="354" t="s">
        <v>741</v>
      </c>
      <c r="C275" s="424" t="s">
        <v>144</v>
      </c>
      <c r="D275" s="424" t="s">
        <v>151</v>
      </c>
      <c r="E275" s="424" t="s">
        <v>153</v>
      </c>
    </row>
    <row r="276" spans="1:5" hidden="1">
      <c r="A276" s="426">
        <v>81070300</v>
      </c>
      <c r="B276" s="354" t="s">
        <v>742</v>
      </c>
      <c r="C276" s="424" t="s">
        <v>144</v>
      </c>
      <c r="D276" s="424" t="s">
        <v>151</v>
      </c>
      <c r="E276" s="424" t="s">
        <v>153</v>
      </c>
    </row>
    <row r="277" spans="1:5" hidden="1">
      <c r="A277" s="426">
        <v>81090300</v>
      </c>
      <c r="B277" s="354" t="s">
        <v>743</v>
      </c>
      <c r="C277" s="424" t="s">
        <v>144</v>
      </c>
      <c r="D277" s="424" t="s">
        <v>151</v>
      </c>
      <c r="E277" s="424" t="s">
        <v>153</v>
      </c>
    </row>
    <row r="278" spans="1:5" hidden="1">
      <c r="A278" s="426">
        <v>81200401</v>
      </c>
      <c r="B278" s="354" t="s">
        <v>744</v>
      </c>
      <c r="C278" s="424" t="s">
        <v>144</v>
      </c>
      <c r="D278" s="424" t="s">
        <v>151</v>
      </c>
      <c r="E278" s="424" t="s">
        <v>157</v>
      </c>
    </row>
    <row r="279" spans="1:5" hidden="1">
      <c r="A279" s="426">
        <v>81200402</v>
      </c>
      <c r="B279" s="354" t="s">
        <v>745</v>
      </c>
      <c r="C279" s="424" t="s">
        <v>144</v>
      </c>
      <c r="D279" s="424" t="s">
        <v>151</v>
      </c>
      <c r="E279" s="424" t="s">
        <v>157</v>
      </c>
    </row>
    <row r="280" spans="1:5" hidden="1">
      <c r="A280" s="426">
        <v>81200406</v>
      </c>
      <c r="B280" s="354" t="s">
        <v>746</v>
      </c>
      <c r="C280" s="424" t="s">
        <v>144</v>
      </c>
      <c r="D280" s="424" t="s">
        <v>151</v>
      </c>
      <c r="E280" s="424" t="s">
        <v>157</v>
      </c>
    </row>
    <row r="281" spans="1:5" hidden="1">
      <c r="A281" s="426">
        <v>81200500</v>
      </c>
      <c r="B281" s="354" t="s">
        <v>747</v>
      </c>
      <c r="C281" s="424" t="s">
        <v>144</v>
      </c>
      <c r="D281" s="424" t="s">
        <v>151</v>
      </c>
      <c r="E281" s="424" t="s">
        <v>385</v>
      </c>
    </row>
    <row r="282" spans="1:5" hidden="1">
      <c r="A282" s="426">
        <v>81200602</v>
      </c>
      <c r="B282" s="354" t="s">
        <v>748</v>
      </c>
      <c r="C282" s="424" t="s">
        <v>144</v>
      </c>
      <c r="D282" s="424" t="s">
        <v>151</v>
      </c>
      <c r="E282" s="424" t="s">
        <v>643</v>
      </c>
    </row>
    <row r="283" spans="1:5" hidden="1">
      <c r="A283" s="426">
        <v>81200603</v>
      </c>
      <c r="B283" s="354" t="s">
        <v>749</v>
      </c>
      <c r="C283" s="424" t="s">
        <v>144</v>
      </c>
      <c r="D283" s="424" t="s">
        <v>151</v>
      </c>
      <c r="E283" s="424" t="s">
        <v>645</v>
      </c>
    </row>
    <row r="284" spans="1:5" hidden="1">
      <c r="A284" s="426">
        <v>81200604</v>
      </c>
      <c r="B284" s="354" t="s">
        <v>750</v>
      </c>
      <c r="C284" s="424" t="s">
        <v>144</v>
      </c>
      <c r="D284" s="424" t="s">
        <v>151</v>
      </c>
      <c r="E284" s="424" t="s">
        <v>647</v>
      </c>
    </row>
    <row r="285" spans="1:5" hidden="1">
      <c r="A285" s="426">
        <v>81200605</v>
      </c>
      <c r="B285" s="354" t="s">
        <v>751</v>
      </c>
      <c r="C285" s="424" t="s">
        <v>144</v>
      </c>
      <c r="D285" s="424" t="s">
        <v>151</v>
      </c>
      <c r="E285" s="424" t="s">
        <v>161</v>
      </c>
    </row>
    <row r="286" spans="1:5" hidden="1">
      <c r="A286" s="426">
        <v>81200606</v>
      </c>
      <c r="B286" s="354" t="s">
        <v>752</v>
      </c>
      <c r="C286" s="424" t="s">
        <v>144</v>
      </c>
      <c r="D286" s="424" t="s">
        <v>151</v>
      </c>
      <c r="E286" s="424" t="s">
        <v>650</v>
      </c>
    </row>
    <row r="287" spans="1:5" hidden="1">
      <c r="A287" s="426">
        <v>81090701</v>
      </c>
      <c r="B287" s="354" t="s">
        <v>753</v>
      </c>
      <c r="C287" s="424" t="s">
        <v>144</v>
      </c>
      <c r="D287" s="424" t="s">
        <v>151</v>
      </c>
      <c r="E287" s="424" t="s">
        <v>652</v>
      </c>
    </row>
    <row r="288" spans="1:5" hidden="1">
      <c r="A288" s="426">
        <v>81200802</v>
      </c>
      <c r="B288" s="354" t="s">
        <v>754</v>
      </c>
      <c r="C288" s="424" t="s">
        <v>144</v>
      </c>
      <c r="D288" s="424" t="s">
        <v>151</v>
      </c>
      <c r="E288" s="424" t="s">
        <v>159</v>
      </c>
    </row>
    <row r="289" spans="1:5" hidden="1">
      <c r="A289" s="426">
        <v>82100100</v>
      </c>
      <c r="B289" s="354" t="s">
        <v>755</v>
      </c>
      <c r="C289" s="424" t="s">
        <v>144</v>
      </c>
      <c r="D289" s="424" t="s">
        <v>149</v>
      </c>
      <c r="E289" s="424" t="s">
        <v>148</v>
      </c>
    </row>
    <row r="290" spans="1:5" hidden="1">
      <c r="A290" s="426">
        <v>82100102</v>
      </c>
      <c r="B290" s="354" t="s">
        <v>756</v>
      </c>
      <c r="C290" s="424" t="s">
        <v>144</v>
      </c>
      <c r="D290" s="424" t="s">
        <v>149</v>
      </c>
      <c r="E290" s="424" t="s">
        <v>172</v>
      </c>
    </row>
    <row r="291" spans="1:5" hidden="1">
      <c r="A291" s="426">
        <v>82100104</v>
      </c>
      <c r="B291" s="354" t="s">
        <v>757</v>
      </c>
      <c r="C291" s="424" t="s">
        <v>144</v>
      </c>
      <c r="D291" s="424" t="s">
        <v>149</v>
      </c>
      <c r="E291" s="424" t="s">
        <v>148</v>
      </c>
    </row>
    <row r="292" spans="1:5" hidden="1">
      <c r="A292" s="426">
        <v>82100107</v>
      </c>
      <c r="B292" s="354" t="s">
        <v>758</v>
      </c>
      <c r="C292" s="424" t="s">
        <v>144</v>
      </c>
      <c r="D292" s="424" t="s">
        <v>149</v>
      </c>
      <c r="E292" s="424" t="s">
        <v>148</v>
      </c>
    </row>
    <row r="293" spans="1:5" hidden="1">
      <c r="A293" s="426">
        <v>82100108</v>
      </c>
      <c r="B293" s="354" t="s">
        <v>759</v>
      </c>
      <c r="C293" s="424" t="s">
        <v>144</v>
      </c>
      <c r="D293" s="424" t="s">
        <v>149</v>
      </c>
      <c r="E293" s="424" t="s">
        <v>148</v>
      </c>
    </row>
    <row r="294" spans="1:5" hidden="1">
      <c r="A294" s="426">
        <v>82100109</v>
      </c>
      <c r="B294" s="354" t="s">
        <v>760</v>
      </c>
      <c r="C294" s="424" t="s">
        <v>144</v>
      </c>
      <c r="D294" s="424" t="s">
        <v>149</v>
      </c>
      <c r="E294" s="424" t="s">
        <v>148</v>
      </c>
    </row>
    <row r="295" spans="1:5" hidden="1">
      <c r="A295" s="426">
        <v>82100110</v>
      </c>
      <c r="B295" s="354" t="s">
        <v>761</v>
      </c>
      <c r="C295" s="424" t="s">
        <v>144</v>
      </c>
      <c r="D295" s="424" t="s">
        <v>149</v>
      </c>
      <c r="E295" s="424" t="s">
        <v>148</v>
      </c>
    </row>
    <row r="296" spans="1:5" hidden="1">
      <c r="A296" s="426">
        <v>82100111</v>
      </c>
      <c r="B296" s="354" t="s">
        <v>762</v>
      </c>
      <c r="C296" s="424" t="s">
        <v>144</v>
      </c>
      <c r="D296" s="424" t="s">
        <v>149</v>
      </c>
      <c r="E296" s="424" t="s">
        <v>148</v>
      </c>
    </row>
    <row r="297" spans="1:5" hidden="1">
      <c r="A297" s="426">
        <v>82100112</v>
      </c>
      <c r="B297" s="354" t="s">
        <v>763</v>
      </c>
      <c r="C297" s="424" t="s">
        <v>144</v>
      </c>
      <c r="D297" s="424" t="s">
        <v>149</v>
      </c>
      <c r="E297" s="424" t="s">
        <v>148</v>
      </c>
    </row>
    <row r="298" spans="1:5" hidden="1">
      <c r="A298" s="426">
        <v>82100118</v>
      </c>
      <c r="B298" s="354" t="s">
        <v>764</v>
      </c>
      <c r="C298" s="424" t="s">
        <v>144</v>
      </c>
      <c r="D298" s="424" t="s">
        <v>149</v>
      </c>
      <c r="E298" s="424" t="s">
        <v>148</v>
      </c>
    </row>
    <row r="299" spans="1:5" hidden="1">
      <c r="A299" s="426">
        <v>82100119</v>
      </c>
      <c r="B299" s="354" t="s">
        <v>765</v>
      </c>
      <c r="C299" s="424" t="s">
        <v>144</v>
      </c>
      <c r="D299" s="424" t="s">
        <v>149</v>
      </c>
      <c r="E299" s="424" t="s">
        <v>148</v>
      </c>
    </row>
    <row r="300" spans="1:5" hidden="1">
      <c r="A300" s="426">
        <v>82110100</v>
      </c>
      <c r="B300" s="354" t="s">
        <v>766</v>
      </c>
      <c r="C300" s="424" t="s">
        <v>144</v>
      </c>
      <c r="D300" s="424" t="s">
        <v>149</v>
      </c>
      <c r="E300" s="424" t="s">
        <v>148</v>
      </c>
    </row>
    <row r="301" spans="1:5" hidden="1">
      <c r="A301" s="426">
        <v>82110102</v>
      </c>
      <c r="B301" s="354" t="s">
        <v>767</v>
      </c>
      <c r="C301" s="424" t="s">
        <v>144</v>
      </c>
      <c r="D301" s="424" t="s">
        <v>149</v>
      </c>
      <c r="E301" s="424" t="s">
        <v>172</v>
      </c>
    </row>
    <row r="302" spans="1:5" hidden="1">
      <c r="A302" s="426">
        <v>82110103</v>
      </c>
      <c r="B302" s="354" t="s">
        <v>768</v>
      </c>
      <c r="C302" s="424" t="s">
        <v>144</v>
      </c>
      <c r="D302" s="424" t="s">
        <v>149</v>
      </c>
      <c r="E302" s="424" t="s">
        <v>148</v>
      </c>
    </row>
    <row r="303" spans="1:5" hidden="1">
      <c r="A303" s="426">
        <v>82110104</v>
      </c>
      <c r="B303" s="354" t="s">
        <v>769</v>
      </c>
      <c r="C303" s="424" t="s">
        <v>144</v>
      </c>
      <c r="D303" s="424" t="s">
        <v>149</v>
      </c>
      <c r="E303" s="424" t="s">
        <v>148</v>
      </c>
    </row>
    <row r="304" spans="1:5" hidden="1">
      <c r="A304" s="426">
        <v>82110107</v>
      </c>
      <c r="B304" s="354" t="s">
        <v>770</v>
      </c>
      <c r="C304" s="424" t="s">
        <v>144</v>
      </c>
      <c r="D304" s="424" t="s">
        <v>149</v>
      </c>
      <c r="E304" s="424" t="s">
        <v>148</v>
      </c>
    </row>
    <row r="305" spans="1:5" hidden="1">
      <c r="A305" s="426">
        <v>82110108</v>
      </c>
      <c r="B305" s="354" t="s">
        <v>771</v>
      </c>
      <c r="C305" s="424" t="s">
        <v>144</v>
      </c>
      <c r="D305" s="424" t="s">
        <v>149</v>
      </c>
      <c r="E305" s="424" t="s">
        <v>148</v>
      </c>
    </row>
    <row r="306" spans="1:5" hidden="1">
      <c r="A306" s="426">
        <v>82110109</v>
      </c>
      <c r="B306" s="354" t="s">
        <v>772</v>
      </c>
      <c r="C306" s="424" t="s">
        <v>144</v>
      </c>
      <c r="D306" s="424" t="s">
        <v>149</v>
      </c>
      <c r="E306" s="424" t="s">
        <v>148</v>
      </c>
    </row>
    <row r="307" spans="1:5" hidden="1">
      <c r="A307" s="426">
        <v>82110110</v>
      </c>
      <c r="B307" s="354" t="s">
        <v>773</v>
      </c>
      <c r="C307" s="424" t="s">
        <v>144</v>
      </c>
      <c r="D307" s="424" t="s">
        <v>149</v>
      </c>
      <c r="E307" s="424" t="s">
        <v>148</v>
      </c>
    </row>
    <row r="308" spans="1:5" hidden="1">
      <c r="A308" s="426">
        <v>82110111</v>
      </c>
      <c r="B308" s="354" t="s">
        <v>774</v>
      </c>
      <c r="C308" s="424" t="s">
        <v>144</v>
      </c>
      <c r="D308" s="424" t="s">
        <v>149</v>
      </c>
      <c r="E308" s="424" t="s">
        <v>148</v>
      </c>
    </row>
    <row r="309" spans="1:5" hidden="1">
      <c r="A309" s="426">
        <v>82110112</v>
      </c>
      <c r="B309" s="354" t="s">
        <v>775</v>
      </c>
      <c r="C309" s="424" t="s">
        <v>144</v>
      </c>
      <c r="D309" s="424" t="s">
        <v>149</v>
      </c>
      <c r="E309" s="424" t="s">
        <v>148</v>
      </c>
    </row>
    <row r="310" spans="1:5" hidden="1">
      <c r="A310" s="426">
        <v>82110114</v>
      </c>
      <c r="B310" s="354" t="s">
        <v>776</v>
      </c>
      <c r="C310" s="424" t="s">
        <v>144</v>
      </c>
      <c r="D310" s="424" t="s">
        <v>149</v>
      </c>
      <c r="E310" s="424" t="s">
        <v>148</v>
      </c>
    </row>
    <row r="311" spans="1:5" hidden="1">
      <c r="A311" s="426">
        <v>82110115</v>
      </c>
      <c r="B311" s="354" t="s">
        <v>777</v>
      </c>
      <c r="C311" s="424" t="s">
        <v>144</v>
      </c>
      <c r="D311" s="424" t="s">
        <v>149</v>
      </c>
      <c r="E311" s="424" t="s">
        <v>148</v>
      </c>
    </row>
    <row r="312" spans="1:5" hidden="1">
      <c r="A312" s="426">
        <v>82110118</v>
      </c>
      <c r="B312" s="354" t="s">
        <v>778</v>
      </c>
      <c r="C312" s="424" t="s">
        <v>144</v>
      </c>
      <c r="D312" s="424" t="s">
        <v>149</v>
      </c>
      <c r="E312" s="424" t="s">
        <v>148</v>
      </c>
    </row>
    <row r="313" spans="1:5" hidden="1">
      <c r="A313" s="426">
        <v>82110119</v>
      </c>
      <c r="B313" s="354" t="s">
        <v>779</v>
      </c>
      <c r="C313" s="424" t="s">
        <v>144</v>
      </c>
      <c r="D313" s="424" t="s">
        <v>149</v>
      </c>
      <c r="E313" s="424" t="s">
        <v>148</v>
      </c>
    </row>
    <row r="314" spans="1:5" hidden="1">
      <c r="A314" s="426">
        <v>82110200</v>
      </c>
      <c r="B314" s="354" t="s">
        <v>780</v>
      </c>
      <c r="C314" s="424" t="s">
        <v>144</v>
      </c>
      <c r="D314" s="424" t="s">
        <v>149</v>
      </c>
      <c r="E314" s="424" t="s">
        <v>635</v>
      </c>
    </row>
    <row r="315" spans="1:5" hidden="1">
      <c r="A315" s="426">
        <v>82200207</v>
      </c>
      <c r="B315" s="354" t="s">
        <v>781</v>
      </c>
      <c r="C315" s="424" t="s">
        <v>144</v>
      </c>
      <c r="D315" s="424" t="s">
        <v>149</v>
      </c>
      <c r="E315" s="424" t="s">
        <v>738</v>
      </c>
    </row>
    <row r="316" spans="1:5" hidden="1">
      <c r="A316" s="426">
        <v>82110300</v>
      </c>
      <c r="B316" s="354" t="s">
        <v>782</v>
      </c>
      <c r="C316" s="424" t="s">
        <v>144</v>
      </c>
      <c r="D316" s="424" t="s">
        <v>149</v>
      </c>
      <c r="E316" s="424" t="s">
        <v>153</v>
      </c>
    </row>
    <row r="317" spans="1:5" hidden="1">
      <c r="A317" s="426">
        <v>82200401</v>
      </c>
      <c r="B317" s="354" t="s">
        <v>783</v>
      </c>
      <c r="C317" s="424" t="s">
        <v>144</v>
      </c>
      <c r="D317" s="424" t="s">
        <v>149</v>
      </c>
      <c r="E317" s="424" t="s">
        <v>157</v>
      </c>
    </row>
    <row r="318" spans="1:5" hidden="1">
      <c r="A318" s="426">
        <v>82200402</v>
      </c>
      <c r="B318" s="354" t="s">
        <v>784</v>
      </c>
      <c r="C318" s="424" t="s">
        <v>144</v>
      </c>
      <c r="D318" s="424" t="s">
        <v>149</v>
      </c>
      <c r="E318" s="424" t="s">
        <v>157</v>
      </c>
    </row>
    <row r="319" spans="1:5" hidden="1">
      <c r="A319" s="426">
        <v>82200406</v>
      </c>
      <c r="B319" s="354" t="s">
        <v>785</v>
      </c>
      <c r="C319" s="424" t="s">
        <v>144</v>
      </c>
      <c r="D319" s="424" t="s">
        <v>149</v>
      </c>
      <c r="E319" s="424" t="s">
        <v>157</v>
      </c>
    </row>
    <row r="320" spans="1:5" hidden="1">
      <c r="A320" s="426">
        <v>82200500</v>
      </c>
      <c r="B320" s="354" t="s">
        <v>786</v>
      </c>
      <c r="C320" s="424" t="s">
        <v>144</v>
      </c>
      <c r="D320" s="424" t="s">
        <v>149</v>
      </c>
      <c r="E320" s="424" t="s">
        <v>385</v>
      </c>
    </row>
    <row r="321" spans="1:5" hidden="1">
      <c r="A321" s="426">
        <v>82200602</v>
      </c>
      <c r="B321" s="354" t="s">
        <v>787</v>
      </c>
      <c r="C321" s="424" t="s">
        <v>144</v>
      </c>
      <c r="D321" s="424" t="s">
        <v>149</v>
      </c>
      <c r="E321" s="424" t="s">
        <v>643</v>
      </c>
    </row>
    <row r="322" spans="1:5" hidden="1">
      <c r="A322" s="426">
        <v>82200603</v>
      </c>
      <c r="B322" s="354" t="s">
        <v>788</v>
      </c>
      <c r="C322" s="424" t="s">
        <v>144</v>
      </c>
      <c r="D322" s="424" t="s">
        <v>149</v>
      </c>
      <c r="E322" s="424" t="s">
        <v>645</v>
      </c>
    </row>
    <row r="323" spans="1:5" hidden="1">
      <c r="A323" s="426">
        <v>82200604</v>
      </c>
      <c r="B323" s="354" t="s">
        <v>789</v>
      </c>
      <c r="C323" s="424" t="s">
        <v>144</v>
      </c>
      <c r="D323" s="424" t="s">
        <v>149</v>
      </c>
      <c r="E323" s="424" t="s">
        <v>647</v>
      </c>
    </row>
    <row r="324" spans="1:5" hidden="1">
      <c r="A324" s="426">
        <v>82200605</v>
      </c>
      <c r="B324" s="354" t="s">
        <v>790</v>
      </c>
      <c r="C324" s="424" t="s">
        <v>144</v>
      </c>
      <c r="D324" s="424" t="s">
        <v>149</v>
      </c>
      <c r="E324" s="424" t="s">
        <v>161</v>
      </c>
    </row>
    <row r="325" spans="1:5" hidden="1">
      <c r="A325" s="426">
        <v>82200606</v>
      </c>
      <c r="B325" s="354" t="s">
        <v>791</v>
      </c>
      <c r="C325" s="424" t="s">
        <v>144</v>
      </c>
      <c r="D325" s="424" t="s">
        <v>149</v>
      </c>
      <c r="E325" s="424" t="s">
        <v>650</v>
      </c>
    </row>
    <row r="326" spans="1:5" hidden="1">
      <c r="A326" s="426">
        <v>82200802</v>
      </c>
      <c r="B326" s="354" t="s">
        <v>792</v>
      </c>
      <c r="C326" s="424" t="s">
        <v>144</v>
      </c>
      <c r="D326" s="424" t="s">
        <v>149</v>
      </c>
      <c r="E326" s="424" t="s">
        <v>159</v>
      </c>
    </row>
    <row r="327" spans="1:5" hidden="1">
      <c r="A327" s="426">
        <v>82110900</v>
      </c>
      <c r="B327" s="354" t="s">
        <v>793</v>
      </c>
      <c r="C327" s="424" t="s">
        <v>144</v>
      </c>
      <c r="D327" s="424" t="s">
        <v>149</v>
      </c>
      <c r="E327" s="424" t="s">
        <v>156</v>
      </c>
    </row>
    <row r="328" spans="1:5" hidden="1">
      <c r="A328" s="426">
        <v>82110903</v>
      </c>
      <c r="B328" s="354" t="s">
        <v>794</v>
      </c>
      <c r="C328" s="424" t="s">
        <v>144</v>
      </c>
      <c r="D328" s="424" t="s">
        <v>149</v>
      </c>
      <c r="E328" s="424" t="s">
        <v>181</v>
      </c>
    </row>
    <row r="329" spans="1:5" hidden="1">
      <c r="A329" s="426">
        <v>82110904</v>
      </c>
      <c r="B329" s="354" t="s">
        <v>795</v>
      </c>
      <c r="C329" s="424" t="s">
        <v>144</v>
      </c>
      <c r="D329" s="424" t="s">
        <v>149</v>
      </c>
      <c r="E329" s="424" t="s">
        <v>181</v>
      </c>
    </row>
    <row r="330" spans="1:5" hidden="1">
      <c r="A330" s="426">
        <v>82110905</v>
      </c>
      <c r="B330" s="354" t="s">
        <v>796</v>
      </c>
      <c r="C330" s="424" t="s">
        <v>144</v>
      </c>
      <c r="D330" s="424" t="s">
        <v>149</v>
      </c>
      <c r="E330" s="424" t="s">
        <v>181</v>
      </c>
    </row>
    <row r="331" spans="1:5" hidden="1">
      <c r="A331" s="426">
        <v>82110906</v>
      </c>
      <c r="B331" s="354" t="s">
        <v>797</v>
      </c>
      <c r="C331" s="424" t="s">
        <v>144</v>
      </c>
      <c r="D331" s="424" t="s">
        <v>149</v>
      </c>
      <c r="E331" s="424" t="s">
        <v>153</v>
      </c>
    </row>
    <row r="332" spans="1:5" hidden="1">
      <c r="A332" s="426">
        <v>82110909</v>
      </c>
      <c r="B332" s="354" t="s">
        <v>798</v>
      </c>
      <c r="C332" s="424" t="s">
        <v>144</v>
      </c>
      <c r="D332" s="424" t="s">
        <v>149</v>
      </c>
      <c r="E332" s="424" t="s">
        <v>229</v>
      </c>
    </row>
    <row r="333" spans="1:5" hidden="1">
      <c r="A333" s="426">
        <v>82110907</v>
      </c>
      <c r="B333" s="354" t="s">
        <v>799</v>
      </c>
      <c r="C333" s="424" t="s">
        <v>144</v>
      </c>
      <c r="D333" s="424" t="s">
        <v>149</v>
      </c>
      <c r="E333" s="424" t="s">
        <v>183</v>
      </c>
    </row>
    <row r="334" spans="1:5" hidden="1">
      <c r="A334" s="426">
        <v>82110908</v>
      </c>
      <c r="B334" s="354" t="s">
        <v>800</v>
      </c>
      <c r="C334" s="424" t="s">
        <v>144</v>
      </c>
      <c r="D334" s="424" t="s">
        <v>149</v>
      </c>
      <c r="E334" s="424" t="s">
        <v>183</v>
      </c>
    </row>
    <row r="335" spans="1:5" hidden="1">
      <c r="A335" s="426">
        <v>83120100</v>
      </c>
      <c r="B335" s="354" t="s">
        <v>801</v>
      </c>
      <c r="C335" s="424" t="s">
        <v>144</v>
      </c>
      <c r="D335" s="424" t="s">
        <v>152</v>
      </c>
      <c r="E335" s="424" t="s">
        <v>148</v>
      </c>
    </row>
    <row r="336" spans="1:5" hidden="1">
      <c r="A336" s="426">
        <v>83120102</v>
      </c>
      <c r="B336" s="354" t="s">
        <v>802</v>
      </c>
      <c r="C336" s="424" t="s">
        <v>144</v>
      </c>
      <c r="D336" s="424" t="s">
        <v>152</v>
      </c>
      <c r="E336" s="424" t="s">
        <v>172</v>
      </c>
    </row>
    <row r="337" spans="1:5" hidden="1">
      <c r="A337" s="426">
        <v>83120104</v>
      </c>
      <c r="B337" s="354" t="s">
        <v>803</v>
      </c>
      <c r="C337" s="424" t="s">
        <v>144</v>
      </c>
      <c r="D337" s="424" t="s">
        <v>152</v>
      </c>
      <c r="E337" s="424" t="s">
        <v>148</v>
      </c>
    </row>
    <row r="338" spans="1:5" hidden="1">
      <c r="A338" s="426">
        <v>83120107</v>
      </c>
      <c r="B338" s="354" t="s">
        <v>804</v>
      </c>
      <c r="C338" s="424" t="s">
        <v>144</v>
      </c>
      <c r="D338" s="424" t="s">
        <v>152</v>
      </c>
      <c r="E338" s="424" t="s">
        <v>148</v>
      </c>
    </row>
    <row r="339" spans="1:5" hidden="1">
      <c r="A339" s="426">
        <v>83120108</v>
      </c>
      <c r="B339" s="354" t="s">
        <v>805</v>
      </c>
      <c r="C339" s="424" t="s">
        <v>144</v>
      </c>
      <c r="D339" s="424" t="s">
        <v>152</v>
      </c>
      <c r="E339" s="424" t="s">
        <v>148</v>
      </c>
    </row>
    <row r="340" spans="1:5" hidden="1">
      <c r="A340" s="426">
        <v>83120109</v>
      </c>
      <c r="B340" s="354" t="s">
        <v>806</v>
      </c>
      <c r="C340" s="424" t="s">
        <v>144</v>
      </c>
      <c r="D340" s="424" t="s">
        <v>152</v>
      </c>
      <c r="E340" s="424" t="s">
        <v>148</v>
      </c>
    </row>
    <row r="341" spans="1:5" hidden="1">
      <c r="A341" s="426">
        <v>83120110</v>
      </c>
      <c r="B341" s="354" t="s">
        <v>807</v>
      </c>
      <c r="C341" s="424" t="s">
        <v>144</v>
      </c>
      <c r="D341" s="424" t="s">
        <v>152</v>
      </c>
      <c r="E341" s="424" t="s">
        <v>148</v>
      </c>
    </row>
    <row r="342" spans="1:5" hidden="1">
      <c r="A342" s="426">
        <v>83120111</v>
      </c>
      <c r="B342" s="354" t="s">
        <v>808</v>
      </c>
      <c r="C342" s="424" t="s">
        <v>144</v>
      </c>
      <c r="D342" s="424" t="s">
        <v>152</v>
      </c>
      <c r="E342" s="424" t="s">
        <v>148</v>
      </c>
    </row>
    <row r="343" spans="1:5" hidden="1">
      <c r="A343" s="426">
        <v>83120112</v>
      </c>
      <c r="B343" s="354" t="s">
        <v>809</v>
      </c>
      <c r="C343" s="424" t="s">
        <v>144</v>
      </c>
      <c r="D343" s="424" t="s">
        <v>152</v>
      </c>
      <c r="E343" s="424" t="s">
        <v>148</v>
      </c>
    </row>
    <row r="344" spans="1:5" hidden="1">
      <c r="A344" s="426">
        <v>83120114</v>
      </c>
      <c r="B344" s="354" t="s">
        <v>810</v>
      </c>
      <c r="C344" s="424" t="s">
        <v>144</v>
      </c>
      <c r="D344" s="424" t="s">
        <v>152</v>
      </c>
      <c r="E344" s="424" t="s">
        <v>148</v>
      </c>
    </row>
    <row r="345" spans="1:5" hidden="1">
      <c r="A345" s="426">
        <v>83120115</v>
      </c>
      <c r="B345" s="354" t="s">
        <v>811</v>
      </c>
      <c r="C345" s="424" t="s">
        <v>144</v>
      </c>
      <c r="D345" s="424" t="s">
        <v>152</v>
      </c>
      <c r="E345" s="424" t="s">
        <v>148</v>
      </c>
    </row>
    <row r="346" spans="1:5" hidden="1">
      <c r="A346" s="426">
        <v>83120118</v>
      </c>
      <c r="B346" s="354" t="s">
        <v>812</v>
      </c>
      <c r="C346" s="424" t="s">
        <v>144</v>
      </c>
      <c r="D346" s="424" t="s">
        <v>152</v>
      </c>
      <c r="E346" s="424" t="s">
        <v>148</v>
      </c>
    </row>
    <row r="347" spans="1:5" hidden="1">
      <c r="A347" s="426">
        <v>83120119</v>
      </c>
      <c r="B347" s="354" t="s">
        <v>813</v>
      </c>
      <c r="C347" s="424" t="s">
        <v>144</v>
      </c>
      <c r="D347" s="424" t="s">
        <v>152</v>
      </c>
      <c r="E347" s="424" t="s">
        <v>148</v>
      </c>
    </row>
    <row r="348" spans="1:5" hidden="1">
      <c r="A348" s="426">
        <v>83130100</v>
      </c>
      <c r="B348" s="354" t="s">
        <v>814</v>
      </c>
      <c r="C348" s="424" t="s">
        <v>144</v>
      </c>
      <c r="D348" s="424" t="s">
        <v>152</v>
      </c>
      <c r="E348" s="424" t="s">
        <v>148</v>
      </c>
    </row>
    <row r="349" spans="1:5" hidden="1">
      <c r="A349" s="426">
        <v>83130102</v>
      </c>
      <c r="B349" s="354" t="s">
        <v>815</v>
      </c>
      <c r="C349" s="424" t="s">
        <v>144</v>
      </c>
      <c r="D349" s="424" t="s">
        <v>152</v>
      </c>
      <c r="E349" s="424" t="s">
        <v>172</v>
      </c>
    </row>
    <row r="350" spans="1:5" hidden="1">
      <c r="A350" s="426">
        <v>83130104</v>
      </c>
      <c r="B350" s="354" t="s">
        <v>816</v>
      </c>
      <c r="C350" s="424" t="s">
        <v>144</v>
      </c>
      <c r="D350" s="424" t="s">
        <v>152</v>
      </c>
      <c r="E350" s="424" t="s">
        <v>148</v>
      </c>
    </row>
    <row r="351" spans="1:5" hidden="1">
      <c r="A351" s="426">
        <v>83130107</v>
      </c>
      <c r="B351" s="354" t="s">
        <v>817</v>
      </c>
      <c r="C351" s="424" t="s">
        <v>144</v>
      </c>
      <c r="D351" s="424" t="s">
        <v>152</v>
      </c>
      <c r="E351" s="424" t="s">
        <v>148</v>
      </c>
    </row>
    <row r="352" spans="1:5" hidden="1">
      <c r="A352" s="426">
        <v>83130108</v>
      </c>
      <c r="B352" s="354" t="s">
        <v>818</v>
      </c>
      <c r="C352" s="424" t="s">
        <v>144</v>
      </c>
      <c r="D352" s="424" t="s">
        <v>152</v>
      </c>
      <c r="E352" s="424" t="s">
        <v>148</v>
      </c>
    </row>
    <row r="353" spans="1:5" hidden="1">
      <c r="A353" s="426">
        <v>83130109</v>
      </c>
      <c r="B353" s="354" t="s">
        <v>819</v>
      </c>
      <c r="C353" s="424" t="s">
        <v>144</v>
      </c>
      <c r="D353" s="424" t="s">
        <v>152</v>
      </c>
      <c r="E353" s="424" t="s">
        <v>148</v>
      </c>
    </row>
    <row r="354" spans="1:5" hidden="1">
      <c r="A354" s="426">
        <v>83130110</v>
      </c>
      <c r="B354" s="354" t="s">
        <v>820</v>
      </c>
      <c r="C354" s="424" t="s">
        <v>144</v>
      </c>
      <c r="D354" s="424" t="s">
        <v>152</v>
      </c>
      <c r="E354" s="424" t="s">
        <v>148</v>
      </c>
    </row>
    <row r="355" spans="1:5" hidden="1">
      <c r="A355" s="426">
        <v>83130111</v>
      </c>
      <c r="B355" s="354" t="s">
        <v>821</v>
      </c>
      <c r="C355" s="424" t="s">
        <v>144</v>
      </c>
      <c r="D355" s="424" t="s">
        <v>152</v>
      </c>
      <c r="E355" s="424" t="s">
        <v>148</v>
      </c>
    </row>
    <row r="356" spans="1:5" hidden="1">
      <c r="A356" s="426">
        <v>83130112</v>
      </c>
      <c r="B356" s="354" t="s">
        <v>822</v>
      </c>
      <c r="C356" s="424" t="s">
        <v>144</v>
      </c>
      <c r="D356" s="424" t="s">
        <v>152</v>
      </c>
      <c r="E356" s="424" t="s">
        <v>148</v>
      </c>
    </row>
    <row r="357" spans="1:5" hidden="1">
      <c r="A357" s="426">
        <v>83130114</v>
      </c>
      <c r="B357" s="354" t="s">
        <v>823</v>
      </c>
      <c r="C357" s="424" t="s">
        <v>144</v>
      </c>
      <c r="D357" s="424" t="s">
        <v>152</v>
      </c>
      <c r="E357" s="424" t="s">
        <v>148</v>
      </c>
    </row>
    <row r="358" spans="1:5" hidden="1">
      <c r="A358" s="426">
        <v>83130115</v>
      </c>
      <c r="B358" s="354" t="s">
        <v>824</v>
      </c>
      <c r="C358" s="424" t="s">
        <v>144</v>
      </c>
      <c r="D358" s="424" t="s">
        <v>152</v>
      </c>
      <c r="E358" s="424" t="s">
        <v>148</v>
      </c>
    </row>
    <row r="359" spans="1:5" hidden="1">
      <c r="A359" s="426">
        <v>83130116</v>
      </c>
      <c r="B359" s="354" t="s">
        <v>825</v>
      </c>
      <c r="C359" s="424" t="s">
        <v>144</v>
      </c>
      <c r="D359" s="424" t="s">
        <v>152</v>
      </c>
      <c r="E359" s="424" t="s">
        <v>148</v>
      </c>
    </row>
    <row r="360" spans="1:5" hidden="1">
      <c r="A360" s="426">
        <v>83130117</v>
      </c>
      <c r="B360" s="354" t="s">
        <v>826</v>
      </c>
      <c r="C360" s="424" t="s">
        <v>144</v>
      </c>
      <c r="D360" s="424" t="s">
        <v>152</v>
      </c>
      <c r="E360" s="424" t="s">
        <v>148</v>
      </c>
    </row>
    <row r="361" spans="1:5" hidden="1">
      <c r="A361" s="426">
        <v>83130118</v>
      </c>
      <c r="B361" s="354" t="s">
        <v>827</v>
      </c>
      <c r="C361" s="424" t="s">
        <v>144</v>
      </c>
      <c r="D361" s="424" t="s">
        <v>152</v>
      </c>
      <c r="E361" s="424" t="s">
        <v>148</v>
      </c>
    </row>
    <row r="362" spans="1:5" hidden="1">
      <c r="A362" s="426">
        <v>83130119</v>
      </c>
      <c r="B362" s="354" t="s">
        <v>828</v>
      </c>
      <c r="C362" s="424" t="s">
        <v>144</v>
      </c>
      <c r="D362" s="424" t="s">
        <v>152</v>
      </c>
      <c r="E362" s="424" t="s">
        <v>148</v>
      </c>
    </row>
    <row r="363" spans="1:5" hidden="1">
      <c r="A363" s="426">
        <v>83130123</v>
      </c>
      <c r="B363" s="354" t="s">
        <v>829</v>
      </c>
      <c r="C363" s="424" t="s">
        <v>144</v>
      </c>
      <c r="D363" s="424" t="s">
        <v>152</v>
      </c>
      <c r="E363" s="424" t="s">
        <v>148</v>
      </c>
    </row>
    <row r="364" spans="1:5" hidden="1">
      <c r="A364" s="426">
        <v>83130124</v>
      </c>
      <c r="B364" s="354" t="s">
        <v>830</v>
      </c>
      <c r="C364" s="424" t="s">
        <v>144</v>
      </c>
      <c r="D364" s="424" t="s">
        <v>152</v>
      </c>
      <c r="E364" s="424" t="s">
        <v>148</v>
      </c>
    </row>
    <row r="365" spans="1:5" hidden="1">
      <c r="A365" s="426">
        <v>83140100</v>
      </c>
      <c r="B365" s="354" t="s">
        <v>831</v>
      </c>
      <c r="C365" s="424" t="s">
        <v>144</v>
      </c>
      <c r="D365" s="424" t="s">
        <v>152</v>
      </c>
      <c r="E365" s="424" t="s">
        <v>148</v>
      </c>
    </row>
    <row r="366" spans="1:5" hidden="1">
      <c r="A366" s="426">
        <v>83140101</v>
      </c>
      <c r="B366" s="354" t="s">
        <v>832</v>
      </c>
      <c r="C366" s="424" t="s">
        <v>144</v>
      </c>
      <c r="D366" s="424" t="s">
        <v>152</v>
      </c>
      <c r="E366" s="424" t="s">
        <v>148</v>
      </c>
    </row>
    <row r="367" spans="1:5" hidden="1">
      <c r="A367" s="426">
        <v>83140105</v>
      </c>
      <c r="B367" s="354" t="s">
        <v>833</v>
      </c>
      <c r="C367" s="424" t="s">
        <v>144</v>
      </c>
      <c r="D367" s="424" t="s">
        <v>152</v>
      </c>
      <c r="E367" s="424" t="s">
        <v>148</v>
      </c>
    </row>
    <row r="368" spans="1:5" hidden="1">
      <c r="A368" s="426">
        <v>83140107</v>
      </c>
      <c r="B368" s="354" t="s">
        <v>834</v>
      </c>
      <c r="C368" s="424" t="s">
        <v>144</v>
      </c>
      <c r="D368" s="424" t="s">
        <v>152</v>
      </c>
      <c r="E368" s="424" t="s">
        <v>148</v>
      </c>
    </row>
    <row r="369" spans="1:5" hidden="1">
      <c r="A369" s="426">
        <v>83140108</v>
      </c>
      <c r="B369" s="354" t="s">
        <v>835</v>
      </c>
      <c r="C369" s="424" t="s">
        <v>144</v>
      </c>
      <c r="D369" s="424" t="s">
        <v>152</v>
      </c>
      <c r="E369" s="424" t="s">
        <v>148</v>
      </c>
    </row>
    <row r="370" spans="1:5" hidden="1">
      <c r="A370" s="426">
        <v>83140111</v>
      </c>
      <c r="B370" s="354" t="s">
        <v>836</v>
      </c>
      <c r="C370" s="424" t="s">
        <v>144</v>
      </c>
      <c r="D370" s="424" t="s">
        <v>152</v>
      </c>
      <c r="E370" s="424" t="s">
        <v>148</v>
      </c>
    </row>
    <row r="371" spans="1:5" hidden="1">
      <c r="A371" s="426">
        <v>83120200</v>
      </c>
      <c r="B371" s="354" t="s">
        <v>837</v>
      </c>
      <c r="C371" s="424" t="s">
        <v>144</v>
      </c>
      <c r="D371" s="424" t="s">
        <v>152</v>
      </c>
      <c r="E371" s="424" t="s">
        <v>635</v>
      </c>
    </row>
    <row r="372" spans="1:5" hidden="1">
      <c r="A372" s="426">
        <v>83120203</v>
      </c>
      <c r="B372" s="354" t="s">
        <v>838</v>
      </c>
      <c r="C372" s="424" t="s">
        <v>144</v>
      </c>
      <c r="D372" s="424" t="s">
        <v>152</v>
      </c>
      <c r="E372" s="424" t="s">
        <v>635</v>
      </c>
    </row>
    <row r="373" spans="1:5" hidden="1">
      <c r="A373" s="426">
        <v>83120204</v>
      </c>
      <c r="B373" s="354" t="s">
        <v>839</v>
      </c>
      <c r="C373" s="424" t="s">
        <v>144</v>
      </c>
      <c r="D373" s="424" t="s">
        <v>152</v>
      </c>
      <c r="E373" s="424" t="s">
        <v>635</v>
      </c>
    </row>
    <row r="374" spans="1:5" hidden="1">
      <c r="A374" s="426">
        <v>83130200</v>
      </c>
      <c r="B374" s="354" t="s">
        <v>840</v>
      </c>
      <c r="C374" s="424" t="s">
        <v>144</v>
      </c>
      <c r="D374" s="424" t="s">
        <v>152</v>
      </c>
      <c r="E374" s="424" t="s">
        <v>635</v>
      </c>
    </row>
    <row r="375" spans="1:5" hidden="1">
      <c r="A375" s="426">
        <v>83140200</v>
      </c>
      <c r="B375" s="354" t="s">
        <v>841</v>
      </c>
      <c r="C375" s="424" t="s">
        <v>144</v>
      </c>
      <c r="D375" s="424" t="s">
        <v>152</v>
      </c>
      <c r="E375" s="424" t="s">
        <v>635</v>
      </c>
    </row>
    <row r="376" spans="1:5" hidden="1">
      <c r="A376" s="426">
        <v>83150206</v>
      </c>
      <c r="B376" s="354" t="s">
        <v>842</v>
      </c>
      <c r="C376" s="424" t="s">
        <v>144</v>
      </c>
      <c r="D376" s="424" t="s">
        <v>152</v>
      </c>
      <c r="E376" s="424" t="s">
        <v>843</v>
      </c>
    </row>
    <row r="377" spans="1:5" hidden="1">
      <c r="A377" s="426">
        <v>83120300</v>
      </c>
      <c r="B377" s="354" t="s">
        <v>844</v>
      </c>
      <c r="C377" s="424" t="s">
        <v>144</v>
      </c>
      <c r="D377" s="424" t="s">
        <v>152</v>
      </c>
      <c r="E377" s="424" t="s">
        <v>153</v>
      </c>
    </row>
    <row r="378" spans="1:5" hidden="1">
      <c r="A378" s="426">
        <v>83130300</v>
      </c>
      <c r="B378" s="354" t="s">
        <v>845</v>
      </c>
      <c r="C378" s="424" t="s">
        <v>144</v>
      </c>
      <c r="D378" s="424" t="s">
        <v>152</v>
      </c>
      <c r="E378" s="424" t="s">
        <v>153</v>
      </c>
    </row>
    <row r="379" spans="1:5" hidden="1">
      <c r="A379" s="426">
        <v>83200401</v>
      </c>
      <c r="B379" s="354" t="s">
        <v>846</v>
      </c>
      <c r="C379" s="424" t="s">
        <v>144</v>
      </c>
      <c r="D379" s="424" t="s">
        <v>152</v>
      </c>
      <c r="E379" s="424" t="s">
        <v>157</v>
      </c>
    </row>
    <row r="380" spans="1:5" hidden="1">
      <c r="A380" s="426">
        <v>83200402</v>
      </c>
      <c r="B380" s="354" t="s">
        <v>847</v>
      </c>
      <c r="C380" s="424" t="s">
        <v>144</v>
      </c>
      <c r="D380" s="424" t="s">
        <v>152</v>
      </c>
      <c r="E380" s="424" t="s">
        <v>157</v>
      </c>
    </row>
    <row r="381" spans="1:5" hidden="1">
      <c r="A381" s="426">
        <v>83200406</v>
      </c>
      <c r="B381" s="354" t="s">
        <v>848</v>
      </c>
      <c r="C381" s="424" t="s">
        <v>144</v>
      </c>
      <c r="D381" s="424" t="s">
        <v>152</v>
      </c>
      <c r="E381" s="424" t="s">
        <v>157</v>
      </c>
    </row>
    <row r="382" spans="1:5" hidden="1">
      <c r="A382" s="426">
        <v>83200408</v>
      </c>
      <c r="B382" s="354" t="s">
        <v>849</v>
      </c>
      <c r="C382" s="424" t="s">
        <v>144</v>
      </c>
      <c r="D382" s="424" t="s">
        <v>152</v>
      </c>
      <c r="E382" s="424" t="s">
        <v>850</v>
      </c>
    </row>
    <row r="383" spans="1:5" hidden="1">
      <c r="A383" s="426">
        <v>83200500</v>
      </c>
      <c r="B383" s="354" t="s">
        <v>851</v>
      </c>
      <c r="C383" s="424" t="s">
        <v>144</v>
      </c>
      <c r="D383" s="424" t="s">
        <v>152</v>
      </c>
      <c r="E383" s="424" t="s">
        <v>385</v>
      </c>
    </row>
    <row r="384" spans="1:5" hidden="1">
      <c r="A384" s="426">
        <v>83200602</v>
      </c>
      <c r="B384" s="354" t="s">
        <v>852</v>
      </c>
      <c r="C384" s="424" t="s">
        <v>144</v>
      </c>
      <c r="D384" s="424" t="s">
        <v>152</v>
      </c>
      <c r="E384" s="424" t="s">
        <v>853</v>
      </c>
    </row>
    <row r="385" spans="1:5" hidden="1">
      <c r="A385" s="426">
        <v>83200603</v>
      </c>
      <c r="B385" s="354" t="s">
        <v>854</v>
      </c>
      <c r="C385" s="424" t="s">
        <v>144</v>
      </c>
      <c r="D385" s="424" t="s">
        <v>152</v>
      </c>
      <c r="E385" s="424" t="s">
        <v>645</v>
      </c>
    </row>
    <row r="386" spans="1:5" hidden="1">
      <c r="A386" s="426">
        <v>83200604</v>
      </c>
      <c r="B386" s="354" t="s">
        <v>855</v>
      </c>
      <c r="C386" s="424" t="s">
        <v>144</v>
      </c>
      <c r="D386" s="424" t="s">
        <v>152</v>
      </c>
      <c r="E386" s="424" t="s">
        <v>647</v>
      </c>
    </row>
    <row r="387" spans="1:5" hidden="1">
      <c r="A387" s="426">
        <v>83200605</v>
      </c>
      <c r="B387" s="354" t="s">
        <v>856</v>
      </c>
      <c r="C387" s="424" t="s">
        <v>144</v>
      </c>
      <c r="D387" s="424" t="s">
        <v>152</v>
      </c>
      <c r="E387" s="424" t="s">
        <v>161</v>
      </c>
    </row>
    <row r="388" spans="1:5" hidden="1">
      <c r="A388" s="426">
        <v>83200606</v>
      </c>
      <c r="B388" s="354" t="s">
        <v>857</v>
      </c>
      <c r="C388" s="424" t="s">
        <v>144</v>
      </c>
      <c r="D388" s="424" t="s">
        <v>152</v>
      </c>
      <c r="E388" s="424" t="s">
        <v>650</v>
      </c>
    </row>
    <row r="389" spans="1:5" hidden="1">
      <c r="A389" s="426">
        <v>83200802</v>
      </c>
      <c r="B389" s="354" t="s">
        <v>858</v>
      </c>
      <c r="C389" s="424" t="s">
        <v>144</v>
      </c>
      <c r="D389" s="424" t="s">
        <v>152</v>
      </c>
      <c r="E389" s="424" t="s">
        <v>159</v>
      </c>
    </row>
    <row r="390" spans="1:5" hidden="1">
      <c r="A390" s="426">
        <v>83200208</v>
      </c>
      <c r="B390" s="354" t="s">
        <v>859</v>
      </c>
      <c r="C390" s="424" t="s">
        <v>144</v>
      </c>
      <c r="D390" s="424" t="s">
        <v>152</v>
      </c>
      <c r="E390" s="424" t="s">
        <v>183</v>
      </c>
    </row>
    <row r="391" spans="1:5" hidden="1">
      <c r="A391" s="426">
        <v>84200401</v>
      </c>
      <c r="B391" s="354" t="s">
        <v>860</v>
      </c>
      <c r="C391" s="424" t="s">
        <v>144</v>
      </c>
      <c r="D391" s="424" t="s">
        <v>152</v>
      </c>
      <c r="E391" s="424" t="s">
        <v>861</v>
      </c>
    </row>
    <row r="392" spans="1:5" hidden="1">
      <c r="A392" s="426">
        <v>84200402</v>
      </c>
      <c r="B392" s="354" t="s">
        <v>862</v>
      </c>
      <c r="C392" s="424" t="s">
        <v>144</v>
      </c>
      <c r="D392" s="424" t="s">
        <v>152</v>
      </c>
      <c r="E392" s="424" t="s">
        <v>861</v>
      </c>
    </row>
    <row r="393" spans="1:5" hidden="1">
      <c r="A393" s="426">
        <v>84200406</v>
      </c>
      <c r="B393" s="354" t="s">
        <v>863</v>
      </c>
      <c r="C393" s="424" t="s">
        <v>144</v>
      </c>
      <c r="D393" s="424" t="s">
        <v>152</v>
      </c>
      <c r="E393" s="424" t="s">
        <v>861</v>
      </c>
    </row>
    <row r="394" spans="1:5" hidden="1">
      <c r="A394" s="426">
        <v>84200501</v>
      </c>
      <c r="B394" s="354" t="s">
        <v>864</v>
      </c>
      <c r="C394" s="424" t="s">
        <v>144</v>
      </c>
      <c r="D394" s="424" t="s">
        <v>152</v>
      </c>
      <c r="E394" s="424" t="s">
        <v>861</v>
      </c>
    </row>
    <row r="395" spans="1:5" hidden="1">
      <c r="A395" s="426">
        <v>84200502</v>
      </c>
      <c r="B395" s="354" t="s">
        <v>865</v>
      </c>
      <c r="C395" s="424" t="s">
        <v>144</v>
      </c>
      <c r="D395" s="424" t="s">
        <v>152</v>
      </c>
      <c r="E395" s="424" t="s">
        <v>861</v>
      </c>
    </row>
    <row r="396" spans="1:5" hidden="1">
      <c r="A396" s="426">
        <v>84200503</v>
      </c>
      <c r="B396" s="354" t="s">
        <v>866</v>
      </c>
      <c r="C396" s="424" t="s">
        <v>144</v>
      </c>
      <c r="D396" s="424" t="s">
        <v>152</v>
      </c>
      <c r="E396" s="424" t="s">
        <v>861</v>
      </c>
    </row>
    <row r="397" spans="1:5" hidden="1">
      <c r="A397" s="426">
        <v>84200504</v>
      </c>
      <c r="B397" s="354" t="s">
        <v>867</v>
      </c>
      <c r="C397" s="424" t="s">
        <v>144</v>
      </c>
      <c r="D397" s="424" t="s">
        <v>152</v>
      </c>
      <c r="E397" s="424" t="s">
        <v>861</v>
      </c>
    </row>
    <row r="398" spans="1:5" hidden="1">
      <c r="A398" s="426">
        <v>84200505</v>
      </c>
      <c r="B398" s="354" t="s">
        <v>868</v>
      </c>
      <c r="C398" s="424" t="s">
        <v>144</v>
      </c>
      <c r="D398" s="424" t="s">
        <v>152</v>
      </c>
      <c r="E398" s="424" t="s">
        <v>861</v>
      </c>
    </row>
    <row r="399" spans="1:5" hidden="1">
      <c r="A399" s="426">
        <v>84200602</v>
      </c>
      <c r="B399" s="354" t="s">
        <v>869</v>
      </c>
      <c r="C399" s="424" t="s">
        <v>144</v>
      </c>
      <c r="D399" s="424" t="s">
        <v>152</v>
      </c>
      <c r="E399" s="424" t="s">
        <v>861</v>
      </c>
    </row>
    <row r="400" spans="1:5" hidden="1">
      <c r="A400" s="426">
        <v>84200603</v>
      </c>
      <c r="B400" s="354" t="s">
        <v>870</v>
      </c>
      <c r="C400" s="424" t="s">
        <v>144</v>
      </c>
      <c r="D400" s="424" t="s">
        <v>152</v>
      </c>
      <c r="E400" s="424" t="s">
        <v>861</v>
      </c>
    </row>
    <row r="401" spans="1:5" hidden="1">
      <c r="A401" s="426">
        <v>84200604</v>
      </c>
      <c r="B401" s="354" t="s">
        <v>871</v>
      </c>
      <c r="C401" s="424" t="s">
        <v>144</v>
      </c>
      <c r="D401" s="424" t="s">
        <v>152</v>
      </c>
      <c r="E401" s="424" t="s">
        <v>861</v>
      </c>
    </row>
    <row r="402" spans="1:5" hidden="1">
      <c r="A402" s="426">
        <v>84200605</v>
      </c>
      <c r="B402" s="354" t="s">
        <v>872</v>
      </c>
      <c r="C402" s="424" t="s">
        <v>144</v>
      </c>
      <c r="D402" s="424" t="s">
        <v>152</v>
      </c>
      <c r="E402" s="424" t="s">
        <v>861</v>
      </c>
    </row>
    <row r="403" spans="1:5" hidden="1">
      <c r="A403" s="426">
        <v>84200606</v>
      </c>
      <c r="B403" s="354" t="s">
        <v>873</v>
      </c>
      <c r="C403" s="424" t="s">
        <v>144</v>
      </c>
      <c r="D403" s="424" t="s">
        <v>152</v>
      </c>
      <c r="E403" s="424" t="s">
        <v>861</v>
      </c>
    </row>
    <row r="404" spans="1:5" hidden="1">
      <c r="A404" s="426">
        <v>84200802</v>
      </c>
      <c r="B404" s="354" t="s">
        <v>874</v>
      </c>
      <c r="C404" s="424" t="s">
        <v>144</v>
      </c>
      <c r="D404" s="424" t="s">
        <v>152</v>
      </c>
      <c r="E404" s="424" t="s">
        <v>861</v>
      </c>
    </row>
    <row r="405" spans="1:5" hidden="1">
      <c r="A405" s="426">
        <v>85200401</v>
      </c>
      <c r="B405" s="354" t="s">
        <v>860</v>
      </c>
      <c r="C405" s="424" t="s">
        <v>144</v>
      </c>
      <c r="D405" s="424" t="s">
        <v>152</v>
      </c>
      <c r="E405" s="424" t="s">
        <v>861</v>
      </c>
    </row>
    <row r="406" spans="1:5" hidden="1">
      <c r="A406" s="426">
        <v>85200402</v>
      </c>
      <c r="B406" s="354" t="s">
        <v>862</v>
      </c>
      <c r="C406" s="424" t="s">
        <v>144</v>
      </c>
      <c r="D406" s="424" t="s">
        <v>152</v>
      </c>
      <c r="E406" s="424" t="s">
        <v>861</v>
      </c>
    </row>
    <row r="407" spans="1:5" hidden="1">
      <c r="A407" s="426">
        <v>85200406</v>
      </c>
      <c r="B407" s="354" t="s">
        <v>863</v>
      </c>
      <c r="C407" s="424" t="s">
        <v>144</v>
      </c>
      <c r="D407" s="424" t="s">
        <v>152</v>
      </c>
      <c r="E407" s="424" t="s">
        <v>861</v>
      </c>
    </row>
    <row r="408" spans="1:5" hidden="1">
      <c r="A408" s="426">
        <v>85200501</v>
      </c>
      <c r="B408" s="354" t="s">
        <v>864</v>
      </c>
      <c r="C408" s="424" t="s">
        <v>144</v>
      </c>
      <c r="D408" s="424" t="s">
        <v>152</v>
      </c>
      <c r="E408" s="424" t="s">
        <v>861</v>
      </c>
    </row>
    <row r="409" spans="1:5" hidden="1">
      <c r="A409" s="426">
        <v>85200502</v>
      </c>
      <c r="B409" s="354" t="s">
        <v>865</v>
      </c>
      <c r="C409" s="424" t="s">
        <v>144</v>
      </c>
      <c r="D409" s="424" t="s">
        <v>152</v>
      </c>
      <c r="E409" s="424" t="s">
        <v>861</v>
      </c>
    </row>
    <row r="410" spans="1:5" hidden="1">
      <c r="A410" s="426">
        <v>85200503</v>
      </c>
      <c r="B410" s="354" t="s">
        <v>866</v>
      </c>
      <c r="C410" s="424" t="s">
        <v>144</v>
      </c>
      <c r="D410" s="424" t="s">
        <v>152</v>
      </c>
      <c r="E410" s="424" t="s">
        <v>861</v>
      </c>
    </row>
    <row r="411" spans="1:5" hidden="1">
      <c r="A411" s="426">
        <v>85200504</v>
      </c>
      <c r="B411" s="354" t="s">
        <v>867</v>
      </c>
      <c r="C411" s="424" t="s">
        <v>144</v>
      </c>
      <c r="D411" s="424" t="s">
        <v>152</v>
      </c>
      <c r="E411" s="424" t="s">
        <v>861</v>
      </c>
    </row>
    <row r="412" spans="1:5" hidden="1">
      <c r="A412" s="426">
        <v>85200505</v>
      </c>
      <c r="B412" s="354" t="s">
        <v>868</v>
      </c>
      <c r="C412" s="424" t="s">
        <v>144</v>
      </c>
      <c r="D412" s="424" t="s">
        <v>152</v>
      </c>
      <c r="E412" s="424" t="s">
        <v>861</v>
      </c>
    </row>
    <row r="413" spans="1:5" hidden="1">
      <c r="A413" s="426">
        <v>85200602</v>
      </c>
      <c r="B413" s="354" t="s">
        <v>869</v>
      </c>
      <c r="C413" s="424" t="s">
        <v>144</v>
      </c>
      <c r="D413" s="424" t="s">
        <v>152</v>
      </c>
      <c r="E413" s="424" t="s">
        <v>861</v>
      </c>
    </row>
    <row r="414" spans="1:5" hidden="1">
      <c r="A414" s="426">
        <v>85200603</v>
      </c>
      <c r="B414" s="354" t="s">
        <v>870</v>
      </c>
      <c r="C414" s="424" t="s">
        <v>144</v>
      </c>
      <c r="D414" s="424" t="s">
        <v>152</v>
      </c>
      <c r="E414" s="424" t="s">
        <v>861</v>
      </c>
    </row>
    <row r="415" spans="1:5" hidden="1">
      <c r="A415" s="426">
        <v>85200604</v>
      </c>
      <c r="B415" s="354" t="s">
        <v>871</v>
      </c>
      <c r="C415" s="424" t="s">
        <v>144</v>
      </c>
      <c r="D415" s="424" t="s">
        <v>152</v>
      </c>
      <c r="E415" s="424" t="s">
        <v>861</v>
      </c>
    </row>
    <row r="416" spans="1:5" hidden="1">
      <c r="A416" s="426">
        <v>85200605</v>
      </c>
      <c r="B416" s="354" t="s">
        <v>872</v>
      </c>
      <c r="C416" s="424" t="s">
        <v>144</v>
      </c>
      <c r="D416" s="424" t="s">
        <v>152</v>
      </c>
      <c r="E416" s="424" t="s">
        <v>861</v>
      </c>
    </row>
    <row r="417" spans="1:5" hidden="1">
      <c r="A417" s="426">
        <v>85200606</v>
      </c>
      <c r="B417" s="354" t="s">
        <v>873</v>
      </c>
      <c r="C417" s="424" t="s">
        <v>144</v>
      </c>
      <c r="D417" s="424" t="s">
        <v>152</v>
      </c>
      <c r="E417" s="424" t="s">
        <v>861</v>
      </c>
    </row>
    <row r="418" spans="1:5" hidden="1">
      <c r="A418" s="426">
        <v>85200802</v>
      </c>
      <c r="B418" s="354" t="s">
        <v>874</v>
      </c>
      <c r="C418" s="424" t="s">
        <v>144</v>
      </c>
      <c r="D418" s="424" t="s">
        <v>152</v>
      </c>
      <c r="E418" s="424" t="s">
        <v>861</v>
      </c>
    </row>
    <row r="419" spans="1:5" hidden="1">
      <c r="A419" s="426">
        <v>90201100</v>
      </c>
      <c r="B419" s="354" t="s">
        <v>875</v>
      </c>
      <c r="C419" s="424" t="s">
        <v>144</v>
      </c>
      <c r="D419" s="424" t="s">
        <v>163</v>
      </c>
      <c r="E419" s="424" t="s">
        <v>876</v>
      </c>
    </row>
    <row r="420" spans="1:5" hidden="1">
      <c r="A420" s="426">
        <v>90201101</v>
      </c>
      <c r="B420" s="354" t="s">
        <v>877</v>
      </c>
      <c r="C420" s="424" t="s">
        <v>144</v>
      </c>
      <c r="D420" s="424" t="s">
        <v>163</v>
      </c>
      <c r="E420" s="424" t="s">
        <v>164</v>
      </c>
    </row>
    <row r="421" spans="1:5" hidden="1">
      <c r="A421" s="426">
        <v>90201102</v>
      </c>
      <c r="B421" s="354" t="s">
        <v>878</v>
      </c>
      <c r="C421" s="424" t="s">
        <v>144</v>
      </c>
      <c r="D421" s="424" t="s">
        <v>163</v>
      </c>
      <c r="E421" s="424" t="s">
        <v>164</v>
      </c>
    </row>
    <row r="422" spans="1:5" hidden="1">
      <c r="A422" s="426">
        <v>90201103</v>
      </c>
      <c r="B422" s="354" t="s">
        <v>879</v>
      </c>
      <c r="C422" s="424" t="s">
        <v>144</v>
      </c>
      <c r="D422" s="424" t="s">
        <v>163</v>
      </c>
      <c r="E422" s="424" t="s">
        <v>164</v>
      </c>
    </row>
    <row r="423" spans="1:5" hidden="1">
      <c r="A423" s="426">
        <v>90201104</v>
      </c>
      <c r="B423" s="354" t="s">
        <v>880</v>
      </c>
      <c r="C423" s="424" t="s">
        <v>144</v>
      </c>
      <c r="D423" s="424" t="s">
        <v>163</v>
      </c>
      <c r="E423" s="424" t="s">
        <v>166</v>
      </c>
    </row>
    <row r="424" spans="1:5" hidden="1">
      <c r="A424" s="426">
        <v>90201106</v>
      </c>
      <c r="B424" s="354" t="s">
        <v>881</v>
      </c>
      <c r="C424" s="424" t="s">
        <v>144</v>
      </c>
      <c r="D424" s="424" t="s">
        <v>163</v>
      </c>
      <c r="E424" s="424" t="s">
        <v>166</v>
      </c>
    </row>
    <row r="425" spans="1:5" hidden="1">
      <c r="A425" s="426">
        <v>90019</v>
      </c>
      <c r="B425" s="354" t="s">
        <v>56</v>
      </c>
      <c r="C425" s="424" t="s">
        <v>49</v>
      </c>
      <c r="D425" s="424" t="s">
        <v>59</v>
      </c>
    </row>
    <row r="426" spans="1:5" hidden="1">
      <c r="A426" s="426">
        <v>10100</v>
      </c>
      <c r="B426" s="354" t="s">
        <v>281</v>
      </c>
      <c r="C426" s="424" t="s">
        <v>49</v>
      </c>
      <c r="D426" s="424" t="s">
        <v>289</v>
      </c>
    </row>
    <row r="427" spans="1:5" hidden="1">
      <c r="A427" s="426">
        <v>10101</v>
      </c>
      <c r="B427" s="354" t="s">
        <v>289</v>
      </c>
      <c r="C427" s="424" t="s">
        <v>49</v>
      </c>
      <c r="D427" s="424" t="s">
        <v>289</v>
      </c>
    </row>
    <row r="428" spans="1:5" hidden="1">
      <c r="A428" s="426">
        <v>340000</v>
      </c>
      <c r="B428" s="354" t="s">
        <v>231</v>
      </c>
      <c r="C428" s="424" t="s">
        <v>49</v>
      </c>
      <c r="D428" s="424" t="s">
        <v>59</v>
      </c>
    </row>
    <row r="429" spans="1:5" hidden="1">
      <c r="A429" s="426">
        <v>340026</v>
      </c>
      <c r="B429" s="354" t="s">
        <v>268</v>
      </c>
      <c r="C429" s="424" t="s">
        <v>49</v>
      </c>
      <c r="D429" s="424" t="s">
        <v>59</v>
      </c>
    </row>
    <row r="430" spans="1:5" hidden="1">
      <c r="A430" s="426">
        <v>340051</v>
      </c>
      <c r="B430" s="354" t="s">
        <v>66</v>
      </c>
      <c r="C430" s="424" t="s">
        <v>49</v>
      </c>
      <c r="D430" s="424" t="s">
        <v>59</v>
      </c>
    </row>
    <row r="431" spans="1:5" hidden="1">
      <c r="A431" s="426">
        <v>340056</v>
      </c>
      <c r="B431" s="354" t="s">
        <v>67</v>
      </c>
      <c r="C431" s="424" t="s">
        <v>49</v>
      </c>
      <c r="D431" s="424" t="s">
        <v>59</v>
      </c>
    </row>
    <row r="432" spans="1:5" hidden="1">
      <c r="A432" s="426">
        <v>340058</v>
      </c>
      <c r="B432" s="354" t="s">
        <v>195</v>
      </c>
      <c r="C432" s="424" t="s">
        <v>49</v>
      </c>
      <c r="D432" s="424" t="s">
        <v>59</v>
      </c>
    </row>
    <row r="433" spans="1:4" hidden="1">
      <c r="A433" s="426">
        <v>340071</v>
      </c>
      <c r="B433" s="354" t="s">
        <v>259</v>
      </c>
      <c r="C433" s="424" t="s">
        <v>49</v>
      </c>
      <c r="D433" s="424" t="s">
        <v>59</v>
      </c>
    </row>
    <row r="434" spans="1:4" hidden="1">
      <c r="A434" s="426">
        <v>340084</v>
      </c>
      <c r="B434" s="354" t="s">
        <v>72</v>
      </c>
      <c r="C434" s="424" t="s">
        <v>49</v>
      </c>
      <c r="D434" s="424" t="s">
        <v>59</v>
      </c>
    </row>
    <row r="435" spans="1:4" hidden="1">
      <c r="A435" s="426">
        <v>340105</v>
      </c>
      <c r="B435" s="354" t="s">
        <v>196</v>
      </c>
      <c r="C435" s="424" t="s">
        <v>49</v>
      </c>
      <c r="D435" s="424" t="s">
        <v>59</v>
      </c>
    </row>
    <row r="436" spans="1:4" hidden="1">
      <c r="A436" s="426">
        <v>340117</v>
      </c>
      <c r="B436" s="354" t="s">
        <v>80</v>
      </c>
      <c r="C436" s="424" t="s">
        <v>49</v>
      </c>
      <c r="D436" s="424" t="s">
        <v>59</v>
      </c>
    </row>
    <row r="437" spans="1:4" hidden="1">
      <c r="A437" s="426">
        <v>340147</v>
      </c>
      <c r="B437" s="354" t="s">
        <v>85</v>
      </c>
      <c r="C437" s="424" t="s">
        <v>49</v>
      </c>
      <c r="D437" s="424" t="s">
        <v>59</v>
      </c>
    </row>
    <row r="438" spans="1:4" hidden="1">
      <c r="A438" s="426">
        <v>340151</v>
      </c>
      <c r="B438" s="354" t="s">
        <v>87</v>
      </c>
      <c r="C438" s="424" t="s">
        <v>49</v>
      </c>
      <c r="D438" s="424" t="s">
        <v>59</v>
      </c>
    </row>
    <row r="439" spans="1:4" hidden="1">
      <c r="A439" s="426">
        <v>340185</v>
      </c>
      <c r="B439" s="354" t="s">
        <v>197</v>
      </c>
      <c r="C439" s="424" t="s">
        <v>49</v>
      </c>
      <c r="D439" s="424" t="s">
        <v>59</v>
      </c>
    </row>
    <row r="440" spans="1:4" hidden="1">
      <c r="A440" s="426">
        <v>340198</v>
      </c>
      <c r="B440" s="354" t="s">
        <v>96</v>
      </c>
      <c r="C440" s="424" t="s">
        <v>49</v>
      </c>
      <c r="D440" s="424" t="s">
        <v>59</v>
      </c>
    </row>
    <row r="441" spans="1:4" hidden="1">
      <c r="A441" s="426">
        <v>340208</v>
      </c>
      <c r="B441" s="354" t="s">
        <v>176</v>
      </c>
      <c r="C441" s="424" t="s">
        <v>49</v>
      </c>
      <c r="D441" s="424" t="s">
        <v>59</v>
      </c>
    </row>
    <row r="442" spans="1:4">
      <c r="A442" s="426">
        <v>340209</v>
      </c>
      <c r="B442" s="354" t="s">
        <v>188</v>
      </c>
      <c r="C442" s="424" t="s">
        <v>49</v>
      </c>
      <c r="D442" s="424" t="s">
        <v>491</v>
      </c>
    </row>
    <row r="443" spans="1:4" hidden="1">
      <c r="A443" s="426">
        <v>340225</v>
      </c>
      <c r="B443" s="354" t="s">
        <v>233</v>
      </c>
      <c r="C443" s="424" t="s">
        <v>49</v>
      </c>
      <c r="D443" s="424" t="s">
        <v>59</v>
      </c>
    </row>
    <row r="444" spans="1:4" hidden="1">
      <c r="A444" s="426">
        <v>340239</v>
      </c>
      <c r="B444" s="354" t="s">
        <v>199</v>
      </c>
      <c r="C444" s="424" t="s">
        <v>49</v>
      </c>
      <c r="D444" s="424" t="s">
        <v>59</v>
      </c>
    </row>
    <row r="445" spans="1:4" hidden="1">
      <c r="A445" s="426">
        <v>340268</v>
      </c>
      <c r="B445" s="354" t="s">
        <v>263</v>
      </c>
      <c r="C445" s="424" t="s">
        <v>49</v>
      </c>
      <c r="D445" s="424" t="s">
        <v>59</v>
      </c>
    </row>
    <row r="446" spans="1:4" hidden="1">
      <c r="A446" s="426">
        <v>340279</v>
      </c>
      <c r="B446" s="354" t="s">
        <v>882</v>
      </c>
      <c r="C446" s="424" t="s">
        <v>49</v>
      </c>
      <c r="D446" s="424" t="s">
        <v>59</v>
      </c>
    </row>
    <row r="447" spans="1:4" hidden="1">
      <c r="A447" s="426">
        <v>340284</v>
      </c>
      <c r="B447" s="354" t="s">
        <v>883</v>
      </c>
      <c r="C447" s="424" t="s">
        <v>49</v>
      </c>
      <c r="D447" s="424" t="s">
        <v>59</v>
      </c>
    </row>
    <row r="448" spans="1:4" hidden="1">
      <c r="A448" s="426">
        <v>340285</v>
      </c>
      <c r="B448" s="354" t="s">
        <v>884</v>
      </c>
      <c r="C448" s="424" t="s">
        <v>49</v>
      </c>
      <c r="D448" s="424" t="s">
        <v>59</v>
      </c>
    </row>
    <row r="449" spans="1:4" hidden="1">
      <c r="A449" s="426">
        <v>340287</v>
      </c>
      <c r="B449" s="354" t="s">
        <v>885</v>
      </c>
      <c r="C449" s="424" t="s">
        <v>49</v>
      </c>
      <c r="D449" s="424" t="s">
        <v>59</v>
      </c>
    </row>
    <row r="450" spans="1:4" hidden="1">
      <c r="A450" s="426">
        <v>340288</v>
      </c>
      <c r="B450" s="354" t="s">
        <v>886</v>
      </c>
      <c r="C450" s="424" t="s">
        <v>49</v>
      </c>
      <c r="D450" s="424" t="s">
        <v>59</v>
      </c>
    </row>
    <row r="451" spans="1:4" hidden="1">
      <c r="A451" s="426">
        <v>340293</v>
      </c>
      <c r="B451" s="354" t="s">
        <v>887</v>
      </c>
      <c r="C451" s="424" t="s">
        <v>49</v>
      </c>
      <c r="D451" s="424" t="s">
        <v>59</v>
      </c>
    </row>
    <row r="452" spans="1:4" hidden="1">
      <c r="A452" s="426">
        <v>341003</v>
      </c>
      <c r="B452" s="354" t="s">
        <v>205</v>
      </c>
      <c r="C452" s="424" t="s">
        <v>49</v>
      </c>
      <c r="D452" s="424" t="s">
        <v>59</v>
      </c>
    </row>
    <row r="453" spans="1:4" hidden="1">
      <c r="A453" s="426">
        <v>341005</v>
      </c>
      <c r="B453" s="354" t="s">
        <v>154</v>
      </c>
      <c r="C453" s="424" t="s">
        <v>49</v>
      </c>
      <c r="D453" s="424" t="s">
        <v>59</v>
      </c>
    </row>
    <row r="454" spans="1:4" hidden="1">
      <c r="A454" s="426">
        <v>341019</v>
      </c>
      <c r="B454" s="354" t="s">
        <v>282</v>
      </c>
      <c r="C454" s="424" t="s">
        <v>49</v>
      </c>
      <c r="D454" s="424" t="s">
        <v>59</v>
      </c>
    </row>
    <row r="455" spans="1:4" hidden="1">
      <c r="A455" s="426">
        <v>341020</v>
      </c>
      <c r="B455" s="354" t="s">
        <v>206</v>
      </c>
      <c r="C455" s="424" t="s">
        <v>49</v>
      </c>
      <c r="D455" s="424" t="s">
        <v>59</v>
      </c>
    </row>
    <row r="456" spans="1:4" hidden="1">
      <c r="A456" s="426">
        <v>341022</v>
      </c>
      <c r="B456" s="354" t="s">
        <v>207</v>
      </c>
      <c r="C456" s="424" t="s">
        <v>49</v>
      </c>
      <c r="D456" s="424" t="s">
        <v>59</v>
      </c>
    </row>
    <row r="457" spans="1:4" hidden="1">
      <c r="A457" s="426">
        <v>341025</v>
      </c>
      <c r="B457" s="354" t="s">
        <v>208</v>
      </c>
      <c r="C457" s="424" t="s">
        <v>49</v>
      </c>
      <c r="D457" s="424" t="s">
        <v>59</v>
      </c>
    </row>
    <row r="458" spans="1:4" hidden="1">
      <c r="A458" s="426">
        <v>341054</v>
      </c>
      <c r="B458" s="354" t="s">
        <v>257</v>
      </c>
      <c r="C458" s="424" t="s">
        <v>49</v>
      </c>
      <c r="D458" s="424" t="s">
        <v>59</v>
      </c>
    </row>
    <row r="459" spans="1:4" hidden="1">
      <c r="A459" s="426">
        <v>341086</v>
      </c>
      <c r="B459" s="354" t="s">
        <v>239</v>
      </c>
      <c r="C459" s="424" t="s">
        <v>49</v>
      </c>
      <c r="D459" s="424" t="s">
        <v>59</v>
      </c>
    </row>
    <row r="460" spans="1:4" hidden="1">
      <c r="A460" s="426">
        <v>341088</v>
      </c>
      <c r="B460" s="354" t="s">
        <v>215</v>
      </c>
      <c r="C460" s="424" t="s">
        <v>49</v>
      </c>
      <c r="D460" s="424" t="s">
        <v>59</v>
      </c>
    </row>
    <row r="461" spans="1:4" hidden="1">
      <c r="A461" s="426">
        <v>341119</v>
      </c>
      <c r="B461" s="354" t="s">
        <v>217</v>
      </c>
      <c r="C461" s="424" t="s">
        <v>49</v>
      </c>
      <c r="D461" s="424" t="s">
        <v>59</v>
      </c>
    </row>
    <row r="462" spans="1:4" hidden="1">
      <c r="A462" s="426">
        <v>341130</v>
      </c>
      <c r="B462" s="354" t="s">
        <v>179</v>
      </c>
      <c r="C462" s="424" t="s">
        <v>49</v>
      </c>
      <c r="D462" s="424" t="s">
        <v>59</v>
      </c>
    </row>
    <row r="463" spans="1:4" hidden="1">
      <c r="A463" s="426">
        <v>341138</v>
      </c>
      <c r="B463" s="354" t="s">
        <v>221</v>
      </c>
      <c r="C463" s="424" t="s">
        <v>49</v>
      </c>
      <c r="D463" s="424" t="s">
        <v>59</v>
      </c>
    </row>
    <row r="464" spans="1:4" hidden="1">
      <c r="A464" s="426">
        <v>341143</v>
      </c>
      <c r="B464" s="354" t="s">
        <v>193</v>
      </c>
      <c r="C464" s="424" t="s">
        <v>49</v>
      </c>
      <c r="D464" s="424" t="s">
        <v>59</v>
      </c>
    </row>
    <row r="465" spans="1:4" hidden="1">
      <c r="A465" s="426">
        <v>341146</v>
      </c>
      <c r="B465" s="354" t="s">
        <v>222</v>
      </c>
      <c r="C465" s="424" t="s">
        <v>49</v>
      </c>
      <c r="D465" s="424" t="s">
        <v>59</v>
      </c>
    </row>
    <row r="466" spans="1:4" hidden="1">
      <c r="A466" s="426">
        <v>341161</v>
      </c>
      <c r="B466" s="354" t="s">
        <v>228</v>
      </c>
      <c r="C466" s="424" t="s">
        <v>49</v>
      </c>
      <c r="D466" s="424" t="s">
        <v>59</v>
      </c>
    </row>
    <row r="467" spans="1:4" hidden="1">
      <c r="A467" s="426">
        <v>341180</v>
      </c>
      <c r="B467" s="354" t="s">
        <v>888</v>
      </c>
      <c r="C467" s="424" t="s">
        <v>49</v>
      </c>
      <c r="D467" s="424" t="s">
        <v>59</v>
      </c>
    </row>
    <row r="468" spans="1:4" hidden="1">
      <c r="A468" s="426">
        <v>340003</v>
      </c>
      <c r="B468" s="354" t="s">
        <v>58</v>
      </c>
      <c r="C468" s="424" t="s">
        <v>49</v>
      </c>
      <c r="D468" s="424" t="s">
        <v>59</v>
      </c>
    </row>
    <row r="469" spans="1:4" hidden="1">
      <c r="A469" s="426">
        <v>340090</v>
      </c>
      <c r="B469" s="354" t="s">
        <v>889</v>
      </c>
      <c r="C469" s="424" t="s">
        <v>49</v>
      </c>
      <c r="D469" s="424" t="s">
        <v>59</v>
      </c>
    </row>
    <row r="470" spans="1:4" hidden="1">
      <c r="A470" s="426">
        <v>340097</v>
      </c>
      <c r="B470" s="354" t="s">
        <v>74</v>
      </c>
      <c r="C470" s="424" t="s">
        <v>49</v>
      </c>
      <c r="D470" s="424" t="s">
        <v>59</v>
      </c>
    </row>
    <row r="471" spans="1:4" hidden="1">
      <c r="A471" s="426">
        <v>340119</v>
      </c>
      <c r="B471" s="354" t="s">
        <v>81</v>
      </c>
      <c r="C471" s="424" t="s">
        <v>49</v>
      </c>
      <c r="D471" s="424" t="s">
        <v>59</v>
      </c>
    </row>
    <row r="472" spans="1:4" hidden="1">
      <c r="A472" s="426">
        <v>340156</v>
      </c>
      <c r="B472" s="354" t="s">
        <v>89</v>
      </c>
      <c r="C472" s="424" t="s">
        <v>49</v>
      </c>
      <c r="D472" s="424" t="s">
        <v>59</v>
      </c>
    </row>
    <row r="473" spans="1:4" hidden="1">
      <c r="A473" s="426">
        <v>340171</v>
      </c>
      <c r="B473" s="354" t="s">
        <v>247</v>
      </c>
      <c r="C473" s="424" t="s">
        <v>49</v>
      </c>
      <c r="D473" s="424" t="s">
        <v>59</v>
      </c>
    </row>
    <row r="474" spans="1:4" hidden="1">
      <c r="A474" s="426">
        <v>340221</v>
      </c>
      <c r="B474" s="354" t="s">
        <v>189</v>
      </c>
      <c r="C474" s="424" t="s">
        <v>49</v>
      </c>
      <c r="D474" s="424" t="s">
        <v>59</v>
      </c>
    </row>
    <row r="475" spans="1:4" hidden="1">
      <c r="A475" s="426">
        <v>340224</v>
      </c>
      <c r="B475" s="354" t="s">
        <v>890</v>
      </c>
      <c r="C475" s="424" t="s">
        <v>49</v>
      </c>
      <c r="D475" s="424" t="s">
        <v>59</v>
      </c>
    </row>
    <row r="476" spans="1:4" hidden="1">
      <c r="A476" s="426">
        <v>340226</v>
      </c>
      <c r="B476" s="354" t="s">
        <v>891</v>
      </c>
      <c r="C476" s="424" t="s">
        <v>49</v>
      </c>
      <c r="D476" s="424" t="s">
        <v>59</v>
      </c>
    </row>
    <row r="477" spans="1:4" hidden="1">
      <c r="A477" s="426">
        <v>340245</v>
      </c>
      <c r="B477" s="354" t="s">
        <v>892</v>
      </c>
      <c r="C477" s="424" t="s">
        <v>49</v>
      </c>
      <c r="D477" s="424" t="s">
        <v>59</v>
      </c>
    </row>
    <row r="478" spans="1:4" hidden="1">
      <c r="A478" s="426">
        <v>340252</v>
      </c>
      <c r="B478" s="354" t="s">
        <v>202</v>
      </c>
      <c r="C478" s="424" t="s">
        <v>49</v>
      </c>
      <c r="D478" s="424" t="s">
        <v>59</v>
      </c>
    </row>
    <row r="479" spans="1:4" hidden="1">
      <c r="A479" s="426">
        <v>340286</v>
      </c>
      <c r="B479" s="354" t="s">
        <v>893</v>
      </c>
      <c r="C479" s="424" t="s">
        <v>49</v>
      </c>
      <c r="D479" s="424" t="s">
        <v>59</v>
      </c>
    </row>
    <row r="480" spans="1:4" hidden="1">
      <c r="A480" s="426">
        <v>340305</v>
      </c>
      <c r="B480" s="354" t="s">
        <v>894</v>
      </c>
      <c r="C480" s="424" t="s">
        <v>49</v>
      </c>
      <c r="D480" s="424" t="s">
        <v>59</v>
      </c>
    </row>
    <row r="481" spans="1:4" hidden="1">
      <c r="A481" s="426">
        <v>340306</v>
      </c>
      <c r="B481" s="354" t="s">
        <v>895</v>
      </c>
      <c r="C481" s="424" t="s">
        <v>49</v>
      </c>
      <c r="D481" s="424" t="s">
        <v>59</v>
      </c>
    </row>
    <row r="482" spans="1:4" hidden="1">
      <c r="A482" s="426">
        <v>340308</v>
      </c>
      <c r="B482" s="354" t="s">
        <v>896</v>
      </c>
      <c r="C482" s="424" t="s">
        <v>49</v>
      </c>
      <c r="D482" s="424" t="s">
        <v>59</v>
      </c>
    </row>
    <row r="483" spans="1:4" hidden="1">
      <c r="A483" s="426">
        <v>340309</v>
      </c>
      <c r="B483" s="354" t="s">
        <v>897</v>
      </c>
      <c r="C483" s="424" t="s">
        <v>49</v>
      </c>
      <c r="D483" s="424" t="s">
        <v>59</v>
      </c>
    </row>
    <row r="484" spans="1:4" hidden="1">
      <c r="A484" s="426">
        <v>341004</v>
      </c>
      <c r="B484" s="354" t="s">
        <v>898</v>
      </c>
      <c r="C484" s="424" t="s">
        <v>49</v>
      </c>
      <c r="D484" s="424" t="s">
        <v>59</v>
      </c>
    </row>
    <row r="485" spans="1:4" hidden="1">
      <c r="A485" s="426">
        <v>341007</v>
      </c>
      <c r="B485" s="354" t="s">
        <v>269</v>
      </c>
      <c r="C485" s="424" t="s">
        <v>49</v>
      </c>
      <c r="D485" s="424" t="s">
        <v>59</v>
      </c>
    </row>
    <row r="486" spans="1:4" hidden="1">
      <c r="A486" s="426">
        <v>341010</v>
      </c>
      <c r="B486" s="354" t="s">
        <v>234</v>
      </c>
      <c r="C486" s="424" t="s">
        <v>49</v>
      </c>
      <c r="D486" s="424" t="s">
        <v>59</v>
      </c>
    </row>
    <row r="487" spans="1:4" hidden="1">
      <c r="A487" s="426">
        <v>341016</v>
      </c>
      <c r="B487" s="354" t="s">
        <v>155</v>
      </c>
      <c r="C487" s="424" t="s">
        <v>49</v>
      </c>
      <c r="D487" s="424" t="s">
        <v>59</v>
      </c>
    </row>
    <row r="488" spans="1:4" hidden="1">
      <c r="A488" s="426">
        <v>341028</v>
      </c>
      <c r="B488" s="354" t="s">
        <v>209</v>
      </c>
      <c r="C488" s="424" t="s">
        <v>49</v>
      </c>
      <c r="D488" s="424" t="s">
        <v>59</v>
      </c>
    </row>
    <row r="489" spans="1:4" hidden="1">
      <c r="A489" s="426">
        <v>341050</v>
      </c>
      <c r="B489" s="354" t="s">
        <v>210</v>
      </c>
      <c r="C489" s="424" t="s">
        <v>49</v>
      </c>
      <c r="D489" s="424" t="s">
        <v>59</v>
      </c>
    </row>
    <row r="490" spans="1:4" hidden="1">
      <c r="A490" s="426">
        <v>341053</v>
      </c>
      <c r="B490" s="354" t="s">
        <v>211</v>
      </c>
      <c r="C490" s="424" t="s">
        <v>49</v>
      </c>
      <c r="D490" s="424" t="s">
        <v>59</v>
      </c>
    </row>
    <row r="491" spans="1:4" hidden="1">
      <c r="A491" s="426">
        <v>341067</v>
      </c>
      <c r="B491" s="354" t="s">
        <v>105</v>
      </c>
      <c r="C491" s="424" t="s">
        <v>49</v>
      </c>
      <c r="D491" s="424" t="s">
        <v>59</v>
      </c>
    </row>
    <row r="492" spans="1:4" hidden="1">
      <c r="A492" s="426">
        <v>341087</v>
      </c>
      <c r="B492" s="354" t="s">
        <v>214</v>
      </c>
      <c r="C492" s="424" t="s">
        <v>49</v>
      </c>
      <c r="D492" s="424" t="s">
        <v>59</v>
      </c>
    </row>
    <row r="493" spans="1:4" hidden="1">
      <c r="A493" s="426">
        <v>341096</v>
      </c>
      <c r="B493" s="354" t="s">
        <v>244</v>
      </c>
      <c r="C493" s="424" t="s">
        <v>49</v>
      </c>
      <c r="D493" s="424" t="s">
        <v>59</v>
      </c>
    </row>
    <row r="494" spans="1:4" hidden="1">
      <c r="A494" s="426">
        <v>341101</v>
      </c>
      <c r="B494" s="354" t="s">
        <v>249</v>
      </c>
      <c r="C494" s="424" t="s">
        <v>49</v>
      </c>
      <c r="D494" s="424" t="s">
        <v>59</v>
      </c>
    </row>
    <row r="495" spans="1:4" hidden="1">
      <c r="A495" s="426">
        <v>341120</v>
      </c>
      <c r="B495" s="354" t="s">
        <v>899</v>
      </c>
      <c r="C495" s="424" t="s">
        <v>49</v>
      </c>
      <c r="D495" s="424" t="s">
        <v>59</v>
      </c>
    </row>
    <row r="496" spans="1:4" hidden="1">
      <c r="A496" s="426">
        <v>341133</v>
      </c>
      <c r="B496" s="354" t="s">
        <v>258</v>
      </c>
      <c r="C496" s="424" t="s">
        <v>49</v>
      </c>
      <c r="D496" s="424" t="s">
        <v>59</v>
      </c>
    </row>
    <row r="497" spans="1:5" hidden="1">
      <c r="A497" s="426">
        <v>341152</v>
      </c>
      <c r="B497" s="354" t="s">
        <v>223</v>
      </c>
      <c r="C497" s="424" t="s">
        <v>49</v>
      </c>
      <c r="D497" s="424" t="s">
        <v>59</v>
      </c>
    </row>
    <row r="498" spans="1:5" hidden="1">
      <c r="A498" s="426">
        <v>341155</v>
      </c>
      <c r="B498" s="354" t="s">
        <v>225</v>
      </c>
      <c r="C498" s="424" t="s">
        <v>49</v>
      </c>
      <c r="D498" s="424" t="s">
        <v>59</v>
      </c>
    </row>
    <row r="499" spans="1:5" hidden="1">
      <c r="A499" s="426">
        <v>341158</v>
      </c>
      <c r="B499" s="354" t="s">
        <v>227</v>
      </c>
      <c r="C499" s="424" t="s">
        <v>49</v>
      </c>
      <c r="D499" s="424" t="s">
        <v>59</v>
      </c>
    </row>
    <row r="500" spans="1:5" hidden="1">
      <c r="A500" s="426">
        <v>341165</v>
      </c>
      <c r="B500" s="354" t="s">
        <v>900</v>
      </c>
      <c r="C500" s="424" t="s">
        <v>49</v>
      </c>
      <c r="D500" s="424" t="s">
        <v>59</v>
      </c>
    </row>
    <row r="501" spans="1:5" hidden="1">
      <c r="A501" s="426">
        <v>341177</v>
      </c>
      <c r="B501" s="354" t="s">
        <v>901</v>
      </c>
      <c r="C501" s="424" t="s">
        <v>49</v>
      </c>
      <c r="D501" s="424" t="s">
        <v>59</v>
      </c>
    </row>
    <row r="502" spans="1:5" hidden="1">
      <c r="A502" s="426">
        <v>341183</v>
      </c>
      <c r="B502" s="354" t="s">
        <v>902</v>
      </c>
      <c r="C502" s="424" t="s">
        <v>49</v>
      </c>
      <c r="D502" s="424" t="s">
        <v>59</v>
      </c>
    </row>
    <row r="503" spans="1:5" hidden="1">
      <c r="A503" s="426">
        <v>38000</v>
      </c>
      <c r="B503" s="354" t="s">
        <v>903</v>
      </c>
      <c r="C503" s="424" t="s">
        <v>49</v>
      </c>
      <c r="D503" s="424" t="s">
        <v>1711</v>
      </c>
    </row>
    <row r="504" spans="1:5" hidden="1">
      <c r="A504" s="426">
        <v>10005</v>
      </c>
      <c r="B504" s="354" t="s">
        <v>904</v>
      </c>
      <c r="C504" s="424" t="s">
        <v>49</v>
      </c>
      <c r="D504" s="424" t="s">
        <v>519</v>
      </c>
    </row>
    <row r="505" spans="1:5" hidden="1">
      <c r="A505" s="426">
        <v>80010113</v>
      </c>
      <c r="B505" s="354" t="s">
        <v>905</v>
      </c>
      <c r="C505" s="424" t="s">
        <v>144</v>
      </c>
      <c r="D505" s="424" t="s">
        <v>618</v>
      </c>
      <c r="E505" s="424" t="s">
        <v>148</v>
      </c>
    </row>
    <row r="506" spans="1:5" hidden="1">
      <c r="A506" s="426">
        <v>81020200</v>
      </c>
      <c r="B506" s="354" t="s">
        <v>906</v>
      </c>
      <c r="C506" s="424" t="s">
        <v>144</v>
      </c>
      <c r="D506" s="424" t="s">
        <v>151</v>
      </c>
      <c r="E506" s="424" t="s">
        <v>635</v>
      </c>
    </row>
    <row r="507" spans="1:5" hidden="1">
      <c r="A507" s="426">
        <v>81200408</v>
      </c>
      <c r="B507" s="354" t="s">
        <v>907</v>
      </c>
      <c r="C507" s="424" t="s">
        <v>144</v>
      </c>
      <c r="D507" s="424" t="s">
        <v>151</v>
      </c>
      <c r="E507" s="424" t="s">
        <v>157</v>
      </c>
    </row>
    <row r="508" spans="1:5" hidden="1">
      <c r="A508" s="426">
        <v>81200601</v>
      </c>
      <c r="B508" s="354" t="s">
        <v>908</v>
      </c>
      <c r="C508" s="424" t="s">
        <v>144</v>
      </c>
      <c r="D508" s="424" t="s">
        <v>151</v>
      </c>
      <c r="E508" s="354" t="s">
        <v>160</v>
      </c>
    </row>
    <row r="509" spans="1:5" hidden="1">
      <c r="A509" s="426">
        <v>83120201</v>
      </c>
      <c r="B509" s="354" t="s">
        <v>909</v>
      </c>
      <c r="C509" s="424" t="s">
        <v>144</v>
      </c>
      <c r="D509" s="424" t="s">
        <v>152</v>
      </c>
      <c r="E509" s="424" t="s">
        <v>635</v>
      </c>
    </row>
    <row r="510" spans="1:5" hidden="1">
      <c r="A510" s="426">
        <v>83200209</v>
      </c>
      <c r="B510" s="354" t="s">
        <v>910</v>
      </c>
      <c r="C510" s="424" t="s">
        <v>144</v>
      </c>
      <c r="D510" s="424" t="s">
        <v>152</v>
      </c>
      <c r="E510" s="424" t="s">
        <v>157</v>
      </c>
    </row>
    <row r="511" spans="1:5" hidden="1">
      <c r="A511" s="426">
        <v>83200601</v>
      </c>
      <c r="B511" s="354" t="s">
        <v>911</v>
      </c>
      <c r="C511" s="424" t="s">
        <v>144</v>
      </c>
      <c r="D511" s="424" t="s">
        <v>152</v>
      </c>
      <c r="E511" s="354" t="s">
        <v>160</v>
      </c>
    </row>
    <row r="512" spans="1:5" hidden="1">
      <c r="A512" s="426">
        <v>83140801</v>
      </c>
      <c r="B512" s="354" t="s">
        <v>912</v>
      </c>
      <c r="C512" s="424" t="s">
        <v>144</v>
      </c>
      <c r="D512" s="424" t="s">
        <v>152</v>
      </c>
      <c r="E512" s="424" t="s">
        <v>159</v>
      </c>
    </row>
    <row r="513" spans="1:5" hidden="1">
      <c r="A513" s="426">
        <v>84200404</v>
      </c>
      <c r="B513" s="354" t="s">
        <v>913</v>
      </c>
      <c r="C513" s="424" t="s">
        <v>144</v>
      </c>
      <c r="D513" s="424" t="s">
        <v>152</v>
      </c>
      <c r="E513" s="424" t="s">
        <v>861</v>
      </c>
    </row>
    <row r="514" spans="1:5" hidden="1">
      <c r="A514" s="426">
        <v>84200407</v>
      </c>
      <c r="B514" s="354" t="s">
        <v>914</v>
      </c>
      <c r="C514" s="424" t="s">
        <v>144</v>
      </c>
      <c r="D514" s="424" t="s">
        <v>152</v>
      </c>
      <c r="E514" s="424" t="s">
        <v>861</v>
      </c>
    </row>
    <row r="515" spans="1:5" hidden="1">
      <c r="A515" s="426">
        <v>84200408</v>
      </c>
      <c r="B515" s="354" t="s">
        <v>915</v>
      </c>
      <c r="C515" s="424" t="s">
        <v>144</v>
      </c>
      <c r="D515" s="424" t="s">
        <v>152</v>
      </c>
      <c r="E515" s="424" t="s">
        <v>861</v>
      </c>
    </row>
    <row r="516" spans="1:5" hidden="1">
      <c r="A516" s="426">
        <v>84200409</v>
      </c>
      <c r="B516" s="354" t="s">
        <v>916</v>
      </c>
      <c r="C516" s="424" t="s">
        <v>144</v>
      </c>
      <c r="D516" s="424" t="s">
        <v>152</v>
      </c>
      <c r="E516" s="424" t="s">
        <v>861</v>
      </c>
    </row>
    <row r="517" spans="1:5" hidden="1">
      <c r="A517" s="426">
        <v>13001</v>
      </c>
      <c r="B517" s="354" t="s">
        <v>917</v>
      </c>
      <c r="C517" s="424" t="s">
        <v>49</v>
      </c>
      <c r="D517" s="424" t="s">
        <v>55</v>
      </c>
    </row>
    <row r="518" spans="1:5" hidden="1">
      <c r="A518" s="426">
        <v>340202</v>
      </c>
      <c r="B518" s="354" t="s">
        <v>97</v>
      </c>
      <c r="C518" s="424" t="s">
        <v>49</v>
      </c>
      <c r="D518" s="424" t="s">
        <v>59</v>
      </c>
    </row>
    <row r="519" spans="1:5" hidden="1">
      <c r="A519" s="426">
        <v>340289</v>
      </c>
      <c r="B519" s="354" t="s">
        <v>918</v>
      </c>
      <c r="C519" s="424" t="s">
        <v>49</v>
      </c>
      <c r="D519" s="424" t="s">
        <v>59</v>
      </c>
    </row>
    <row r="520" spans="1:5" hidden="1">
      <c r="A520" s="426">
        <v>340316</v>
      </c>
      <c r="B520" s="354" t="s">
        <v>919</v>
      </c>
      <c r="C520" s="424" t="s">
        <v>49</v>
      </c>
      <c r="D520" s="424" t="s">
        <v>59</v>
      </c>
    </row>
    <row r="521" spans="1:5" hidden="1">
      <c r="A521" s="426">
        <v>340328</v>
      </c>
      <c r="B521" s="354" t="s">
        <v>920</v>
      </c>
      <c r="C521" s="424" t="s">
        <v>49</v>
      </c>
      <c r="D521" s="424" t="s">
        <v>59</v>
      </c>
    </row>
    <row r="522" spans="1:5" hidden="1">
      <c r="A522" s="426">
        <v>340330</v>
      </c>
      <c r="B522" s="354" t="s">
        <v>921</v>
      </c>
      <c r="C522" s="424" t="s">
        <v>49</v>
      </c>
      <c r="D522" s="424" t="s">
        <v>59</v>
      </c>
    </row>
    <row r="523" spans="1:5" hidden="1">
      <c r="A523" s="426">
        <v>340342</v>
      </c>
      <c r="B523" s="354" t="s">
        <v>922</v>
      </c>
      <c r="C523" s="424" t="s">
        <v>49</v>
      </c>
      <c r="D523" s="424" t="s">
        <v>59</v>
      </c>
    </row>
    <row r="524" spans="1:5" hidden="1">
      <c r="A524" s="426">
        <v>340343</v>
      </c>
      <c r="B524" s="354" t="s">
        <v>923</v>
      </c>
      <c r="C524" s="424" t="s">
        <v>49</v>
      </c>
      <c r="D524" s="424" t="s">
        <v>59</v>
      </c>
    </row>
    <row r="525" spans="1:5" hidden="1">
      <c r="A525" s="426">
        <v>341017</v>
      </c>
      <c r="B525" s="354" t="s">
        <v>237</v>
      </c>
      <c r="C525" s="424" t="s">
        <v>49</v>
      </c>
      <c r="D525" s="424" t="s">
        <v>59</v>
      </c>
    </row>
    <row r="526" spans="1:5" hidden="1">
      <c r="A526" s="426">
        <v>341060</v>
      </c>
      <c r="B526" s="354" t="s">
        <v>103</v>
      </c>
      <c r="C526" s="424" t="s">
        <v>49</v>
      </c>
      <c r="D526" s="424" t="s">
        <v>59</v>
      </c>
    </row>
    <row r="527" spans="1:5" hidden="1">
      <c r="A527" s="426">
        <v>341077</v>
      </c>
      <c r="B527" s="354" t="s">
        <v>238</v>
      </c>
      <c r="C527" s="424" t="s">
        <v>49</v>
      </c>
      <c r="D527" s="424" t="s">
        <v>59</v>
      </c>
    </row>
    <row r="528" spans="1:5" hidden="1">
      <c r="A528" s="426">
        <v>341110</v>
      </c>
      <c r="B528" s="354" t="s">
        <v>250</v>
      </c>
      <c r="C528" s="424" t="s">
        <v>49</v>
      </c>
      <c r="D528" s="424" t="s">
        <v>59</v>
      </c>
    </row>
    <row r="529" spans="1:6" hidden="1">
      <c r="A529" s="426">
        <v>341117</v>
      </c>
      <c r="B529" s="354" t="s">
        <v>254</v>
      </c>
      <c r="C529" s="424" t="s">
        <v>49</v>
      </c>
      <c r="D529" s="424" t="s">
        <v>59</v>
      </c>
    </row>
    <row r="530" spans="1:6" hidden="1">
      <c r="A530" s="426">
        <v>341118</v>
      </c>
      <c r="B530" s="354" t="s">
        <v>251</v>
      </c>
      <c r="C530" s="424" t="s">
        <v>49</v>
      </c>
      <c r="D530" s="424" t="s">
        <v>59</v>
      </c>
    </row>
    <row r="531" spans="1:6" hidden="1">
      <c r="A531" s="426">
        <v>341122</v>
      </c>
      <c r="B531" s="354" t="s">
        <v>99</v>
      </c>
      <c r="C531" s="424" t="s">
        <v>49</v>
      </c>
      <c r="D531" s="424" t="s">
        <v>59</v>
      </c>
    </row>
    <row r="532" spans="1:6" hidden="1">
      <c r="A532" s="426">
        <v>341178</v>
      </c>
      <c r="B532" s="354" t="s">
        <v>924</v>
      </c>
      <c r="C532" s="424" t="s">
        <v>49</v>
      </c>
      <c r="D532" s="424" t="s">
        <v>59</v>
      </c>
    </row>
    <row r="533" spans="1:6" hidden="1">
      <c r="A533" s="426">
        <v>341179</v>
      </c>
      <c r="B533" s="354" t="s">
        <v>925</v>
      </c>
      <c r="C533" s="424" t="s">
        <v>49</v>
      </c>
      <c r="D533" s="424" t="s">
        <v>59</v>
      </c>
    </row>
    <row r="534" spans="1:6" hidden="1">
      <c r="A534" s="426">
        <v>341198</v>
      </c>
      <c r="B534" s="354" t="s">
        <v>926</v>
      </c>
      <c r="C534" s="424" t="s">
        <v>49</v>
      </c>
      <c r="D534" s="424" t="s">
        <v>59</v>
      </c>
    </row>
    <row r="535" spans="1:6" hidden="1">
      <c r="A535" s="426">
        <v>341199</v>
      </c>
      <c r="B535" s="354" t="s">
        <v>927</v>
      </c>
      <c r="C535" s="424" t="s">
        <v>49</v>
      </c>
      <c r="D535" s="424" t="s">
        <v>59</v>
      </c>
    </row>
    <row r="536" spans="1:6" hidden="1">
      <c r="A536" s="426">
        <v>38300</v>
      </c>
      <c r="B536" s="354" t="s">
        <v>928</v>
      </c>
      <c r="C536" s="424" t="s">
        <v>49</v>
      </c>
      <c r="D536" s="424" t="s">
        <v>59</v>
      </c>
    </row>
    <row r="537" spans="1:6" hidden="1">
      <c r="A537" s="426">
        <v>22222</v>
      </c>
      <c r="B537" s="354" t="s">
        <v>165</v>
      </c>
    </row>
    <row r="538" spans="1:6" hidden="1">
      <c r="A538" s="426">
        <v>80010120</v>
      </c>
      <c r="B538" s="354" t="s">
        <v>929</v>
      </c>
      <c r="C538" s="424" t="s">
        <v>144</v>
      </c>
      <c r="D538" s="424" t="s">
        <v>618</v>
      </c>
      <c r="E538" s="424" t="s">
        <v>930</v>
      </c>
    </row>
    <row r="539" spans="1:6" hidden="1">
      <c r="A539" s="426">
        <v>80010121</v>
      </c>
      <c r="B539" s="354" t="s">
        <v>931</v>
      </c>
      <c r="C539" s="424" t="s">
        <v>144</v>
      </c>
      <c r="D539" s="424" t="s">
        <v>618</v>
      </c>
      <c r="E539" s="424" t="s">
        <v>930</v>
      </c>
    </row>
    <row r="540" spans="1:6" hidden="1">
      <c r="A540" s="426">
        <v>81020120</v>
      </c>
      <c r="B540" s="354" t="s">
        <v>932</v>
      </c>
      <c r="C540" s="424" t="s">
        <v>144</v>
      </c>
      <c r="D540" s="424" t="s">
        <v>151</v>
      </c>
      <c r="E540" s="424" t="s">
        <v>930</v>
      </c>
    </row>
    <row r="541" spans="1:6" hidden="1">
      <c r="A541" s="426">
        <v>81020121</v>
      </c>
      <c r="B541" s="354" t="s">
        <v>933</v>
      </c>
      <c r="C541" s="424" t="s">
        <v>144</v>
      </c>
      <c r="D541" s="424" t="s">
        <v>151</v>
      </c>
      <c r="E541" s="424" t="s">
        <v>930</v>
      </c>
      <c r="F541" s="428"/>
    </row>
    <row r="542" spans="1:6" hidden="1">
      <c r="A542" s="426">
        <v>81030120</v>
      </c>
      <c r="B542" s="354" t="s">
        <v>934</v>
      </c>
      <c r="C542" s="424" t="s">
        <v>144</v>
      </c>
      <c r="D542" s="424" t="s">
        <v>151</v>
      </c>
      <c r="E542" s="424" t="s">
        <v>930</v>
      </c>
    </row>
    <row r="543" spans="1:6" hidden="1">
      <c r="A543" s="426">
        <v>81030121</v>
      </c>
      <c r="B543" s="354" t="s">
        <v>935</v>
      </c>
      <c r="C543" s="424" t="s">
        <v>144</v>
      </c>
      <c r="D543" s="424" t="s">
        <v>151</v>
      </c>
      <c r="E543" s="424" t="s">
        <v>930</v>
      </c>
    </row>
    <row r="544" spans="1:6" hidden="1">
      <c r="A544" s="426">
        <v>81040120</v>
      </c>
      <c r="B544" s="354" t="s">
        <v>936</v>
      </c>
      <c r="C544" s="424" t="s">
        <v>144</v>
      </c>
      <c r="D544" s="424" t="s">
        <v>151</v>
      </c>
      <c r="E544" s="424" t="s">
        <v>930</v>
      </c>
    </row>
    <row r="545" spans="1:6" hidden="1">
      <c r="A545" s="426">
        <v>81040121</v>
      </c>
      <c r="B545" s="354" t="s">
        <v>937</v>
      </c>
      <c r="C545" s="424" t="s">
        <v>144</v>
      </c>
      <c r="D545" s="424" t="s">
        <v>151</v>
      </c>
      <c r="E545" s="424" t="s">
        <v>930</v>
      </c>
    </row>
    <row r="546" spans="1:6" hidden="1">
      <c r="A546" s="426">
        <v>81050120</v>
      </c>
      <c r="B546" s="354" t="s">
        <v>938</v>
      </c>
      <c r="C546" s="424" t="s">
        <v>144</v>
      </c>
      <c r="D546" s="424" t="s">
        <v>151</v>
      </c>
      <c r="E546" s="424" t="s">
        <v>930</v>
      </c>
    </row>
    <row r="547" spans="1:6" hidden="1">
      <c r="A547" s="426">
        <v>81050121</v>
      </c>
      <c r="B547" s="354" t="s">
        <v>939</v>
      </c>
      <c r="C547" s="424" t="s">
        <v>144</v>
      </c>
      <c r="D547" s="424" t="s">
        <v>151</v>
      </c>
      <c r="E547" s="424" t="s">
        <v>930</v>
      </c>
    </row>
    <row r="548" spans="1:6" hidden="1">
      <c r="A548" s="426">
        <v>81060120</v>
      </c>
      <c r="B548" s="354" t="s">
        <v>940</v>
      </c>
      <c r="C548" s="424" t="s">
        <v>144</v>
      </c>
      <c r="D548" s="424" t="s">
        <v>151</v>
      </c>
      <c r="E548" s="424" t="s">
        <v>930</v>
      </c>
    </row>
    <row r="549" spans="1:6" hidden="1">
      <c r="A549" s="426">
        <v>81060121</v>
      </c>
      <c r="B549" s="354" t="s">
        <v>941</v>
      </c>
      <c r="C549" s="424" t="s">
        <v>144</v>
      </c>
      <c r="D549" s="424" t="s">
        <v>151</v>
      </c>
      <c r="E549" s="424" t="s">
        <v>930</v>
      </c>
    </row>
    <row r="550" spans="1:6" ht="15.75" hidden="1">
      <c r="A550" s="426">
        <v>81080100</v>
      </c>
      <c r="B550" s="354" t="s">
        <v>942</v>
      </c>
      <c r="C550" s="424" t="s">
        <v>144</v>
      </c>
      <c r="D550" s="424" t="s">
        <v>151</v>
      </c>
      <c r="E550" s="424" t="s">
        <v>930</v>
      </c>
      <c r="F550" s="429"/>
    </row>
    <row r="551" spans="1:6" hidden="1">
      <c r="A551" s="426">
        <v>81080104</v>
      </c>
      <c r="B551" s="354" t="s">
        <v>943</v>
      </c>
      <c r="C551" s="424" t="s">
        <v>144</v>
      </c>
      <c r="D551" s="424" t="s">
        <v>151</v>
      </c>
      <c r="E551" s="424" t="s">
        <v>930</v>
      </c>
    </row>
    <row r="552" spans="1:6" hidden="1">
      <c r="A552" s="426">
        <v>81080107</v>
      </c>
      <c r="B552" s="354" t="s">
        <v>944</v>
      </c>
      <c r="C552" s="424" t="s">
        <v>144</v>
      </c>
      <c r="D552" s="424" t="s">
        <v>151</v>
      </c>
      <c r="E552" s="424" t="s">
        <v>930</v>
      </c>
    </row>
    <row r="553" spans="1:6" hidden="1">
      <c r="A553" s="426">
        <v>81080108</v>
      </c>
      <c r="B553" s="354" t="s">
        <v>945</v>
      </c>
      <c r="C553" s="424" t="s">
        <v>144</v>
      </c>
      <c r="D553" s="424" t="s">
        <v>151</v>
      </c>
      <c r="E553" s="424" t="s">
        <v>930</v>
      </c>
    </row>
    <row r="554" spans="1:6" hidden="1">
      <c r="A554" s="426">
        <v>81080111</v>
      </c>
      <c r="B554" s="354" t="s">
        <v>946</v>
      </c>
      <c r="C554" s="424" t="s">
        <v>144</v>
      </c>
      <c r="D554" s="424" t="s">
        <v>151</v>
      </c>
      <c r="E554" s="424" t="s">
        <v>930</v>
      </c>
    </row>
    <row r="555" spans="1:6" hidden="1">
      <c r="A555" s="426">
        <v>82100120</v>
      </c>
      <c r="B555" s="354" t="s">
        <v>947</v>
      </c>
      <c r="C555" s="424" t="s">
        <v>144</v>
      </c>
      <c r="D555" s="424" t="s">
        <v>149</v>
      </c>
      <c r="E555" s="424" t="s">
        <v>930</v>
      </c>
    </row>
    <row r="556" spans="1:6" hidden="1">
      <c r="A556" s="426">
        <v>82100121</v>
      </c>
      <c r="B556" s="354" t="s">
        <v>948</v>
      </c>
      <c r="C556" s="424" t="s">
        <v>144</v>
      </c>
      <c r="D556" s="424" t="s">
        <v>149</v>
      </c>
      <c r="E556" s="424" t="s">
        <v>930</v>
      </c>
    </row>
    <row r="557" spans="1:6" hidden="1">
      <c r="A557" s="426">
        <v>82110120</v>
      </c>
      <c r="B557" s="354" t="s">
        <v>949</v>
      </c>
      <c r="C557" s="424" t="s">
        <v>144</v>
      </c>
      <c r="D557" s="424" t="s">
        <v>149</v>
      </c>
      <c r="E557" s="424" t="s">
        <v>930</v>
      </c>
    </row>
    <row r="558" spans="1:6" hidden="1">
      <c r="A558" s="426">
        <v>82110121</v>
      </c>
      <c r="B558" s="354" t="s">
        <v>950</v>
      </c>
      <c r="C558" s="424" t="s">
        <v>144</v>
      </c>
      <c r="D558" s="424" t="s">
        <v>149</v>
      </c>
      <c r="E558" s="424" t="s">
        <v>930</v>
      </c>
    </row>
    <row r="559" spans="1:6" hidden="1">
      <c r="A559" s="426">
        <v>82200407</v>
      </c>
      <c r="B559" s="354" t="s">
        <v>951</v>
      </c>
      <c r="C559" s="424" t="s">
        <v>144</v>
      </c>
      <c r="D559" s="424" t="s">
        <v>149</v>
      </c>
      <c r="E559" s="424" t="s">
        <v>157</v>
      </c>
    </row>
    <row r="560" spans="1:6" hidden="1">
      <c r="A560" s="426">
        <v>83120120</v>
      </c>
      <c r="B560" s="354" t="s">
        <v>952</v>
      </c>
      <c r="C560" s="424" t="s">
        <v>144</v>
      </c>
      <c r="D560" s="424" t="s">
        <v>152</v>
      </c>
      <c r="E560" s="424" t="s">
        <v>930</v>
      </c>
    </row>
    <row r="561" spans="1:5" hidden="1">
      <c r="A561" s="426">
        <v>83120121</v>
      </c>
      <c r="B561" s="354" t="s">
        <v>953</v>
      </c>
      <c r="C561" s="424" t="s">
        <v>144</v>
      </c>
      <c r="D561" s="424" t="s">
        <v>152</v>
      </c>
      <c r="E561" s="424" t="s">
        <v>930</v>
      </c>
    </row>
    <row r="562" spans="1:5" hidden="1">
      <c r="A562" s="426">
        <v>83130120</v>
      </c>
      <c r="B562" s="354" t="s">
        <v>954</v>
      </c>
      <c r="C562" s="424" t="s">
        <v>144</v>
      </c>
      <c r="D562" s="424" t="s">
        <v>152</v>
      </c>
      <c r="E562" s="424" t="s">
        <v>930</v>
      </c>
    </row>
    <row r="563" spans="1:5" hidden="1">
      <c r="A563" s="426">
        <v>83130121</v>
      </c>
      <c r="B563" s="354" t="s">
        <v>955</v>
      </c>
      <c r="C563" s="424" t="s">
        <v>144</v>
      </c>
      <c r="D563" s="424" t="s">
        <v>152</v>
      </c>
      <c r="E563" s="424" t="s">
        <v>930</v>
      </c>
    </row>
    <row r="564" spans="1:5" hidden="1">
      <c r="A564" s="426">
        <v>83140104</v>
      </c>
      <c r="B564" s="354" t="s">
        <v>956</v>
      </c>
      <c r="C564" s="424" t="s">
        <v>144</v>
      </c>
      <c r="D564" s="424" t="s">
        <v>152</v>
      </c>
      <c r="E564" s="424" t="s">
        <v>930</v>
      </c>
    </row>
    <row r="565" spans="1:5" hidden="1">
      <c r="A565" s="426">
        <v>83140120</v>
      </c>
      <c r="B565" s="354" t="s">
        <v>957</v>
      </c>
      <c r="C565" s="424" t="s">
        <v>144</v>
      </c>
      <c r="D565" s="424" t="s">
        <v>152</v>
      </c>
      <c r="E565" s="424" t="s">
        <v>930</v>
      </c>
    </row>
    <row r="566" spans="1:5" hidden="1">
      <c r="A566" s="426">
        <v>83140121</v>
      </c>
      <c r="B566" s="354" t="s">
        <v>958</v>
      </c>
      <c r="C566" s="424" t="s">
        <v>144</v>
      </c>
      <c r="D566" s="424" t="s">
        <v>152</v>
      </c>
      <c r="E566" s="424" t="s">
        <v>930</v>
      </c>
    </row>
    <row r="567" spans="1:5" hidden="1">
      <c r="A567" s="426">
        <v>83200407</v>
      </c>
      <c r="B567" s="354" t="s">
        <v>959</v>
      </c>
      <c r="C567" s="424" t="s">
        <v>144</v>
      </c>
      <c r="D567" s="424" t="s">
        <v>152</v>
      </c>
      <c r="E567" s="424" t="s">
        <v>157</v>
      </c>
    </row>
    <row r="568" spans="1:5" hidden="1">
      <c r="A568" s="426">
        <v>83200409</v>
      </c>
      <c r="B568" s="354" t="s">
        <v>960</v>
      </c>
      <c r="C568" s="424" t="s">
        <v>144</v>
      </c>
      <c r="D568" s="424" t="s">
        <v>152</v>
      </c>
      <c r="E568" s="424" t="s">
        <v>157</v>
      </c>
    </row>
    <row r="569" spans="1:5" hidden="1">
      <c r="A569" s="426">
        <v>90201105</v>
      </c>
      <c r="B569" s="354" t="s">
        <v>961</v>
      </c>
      <c r="C569" s="424" t="s">
        <v>144</v>
      </c>
      <c r="D569" s="424" t="s">
        <v>163</v>
      </c>
      <c r="E569" s="424" t="s">
        <v>164</v>
      </c>
    </row>
    <row r="570" spans="1:5" hidden="1">
      <c r="A570" s="426">
        <v>340002</v>
      </c>
      <c r="B570" s="430" t="s">
        <v>962</v>
      </c>
      <c r="C570" s="424" t="s">
        <v>49</v>
      </c>
      <c r="D570" s="424" t="s">
        <v>59</v>
      </c>
    </row>
    <row r="571" spans="1:5" hidden="1">
      <c r="A571" s="426">
        <v>80200404</v>
      </c>
      <c r="B571" s="354" t="s">
        <v>963</v>
      </c>
      <c r="C571" s="424" t="s">
        <v>144</v>
      </c>
      <c r="D571" s="424" t="s">
        <v>618</v>
      </c>
      <c r="E571" s="424" t="s">
        <v>157</v>
      </c>
    </row>
    <row r="572" spans="1:5" hidden="1">
      <c r="A572" s="426">
        <v>80200407</v>
      </c>
      <c r="B572" s="354" t="s">
        <v>964</v>
      </c>
      <c r="C572" s="424" t="s">
        <v>144</v>
      </c>
      <c r="D572" s="424" t="s">
        <v>618</v>
      </c>
      <c r="E572" s="424" t="s">
        <v>157</v>
      </c>
    </row>
    <row r="573" spans="1:5" hidden="1">
      <c r="A573" s="426">
        <v>80200408</v>
      </c>
      <c r="B573" s="354" t="s">
        <v>965</v>
      </c>
      <c r="C573" s="424" t="s">
        <v>144</v>
      </c>
      <c r="D573" s="424" t="s">
        <v>618</v>
      </c>
      <c r="E573" s="424" t="s">
        <v>157</v>
      </c>
    </row>
    <row r="574" spans="1:5" hidden="1">
      <c r="A574" s="426">
        <v>80200409</v>
      </c>
      <c r="B574" s="354" t="s">
        <v>966</v>
      </c>
      <c r="C574" s="424" t="s">
        <v>144</v>
      </c>
      <c r="D574" s="424" t="s">
        <v>618</v>
      </c>
      <c r="E574" s="424" t="s">
        <v>157</v>
      </c>
    </row>
    <row r="575" spans="1:5" hidden="1">
      <c r="A575" s="426">
        <v>81200404</v>
      </c>
      <c r="B575" s="354" t="s">
        <v>967</v>
      </c>
      <c r="C575" s="424" t="s">
        <v>144</v>
      </c>
      <c r="D575" s="424" t="s">
        <v>151</v>
      </c>
      <c r="E575" s="424" t="s">
        <v>157</v>
      </c>
    </row>
    <row r="576" spans="1:5" hidden="1">
      <c r="A576" s="426">
        <v>81200407</v>
      </c>
      <c r="B576" s="354" t="s">
        <v>968</v>
      </c>
      <c r="C576" s="424" t="s">
        <v>144</v>
      </c>
      <c r="D576" s="424" t="s">
        <v>151</v>
      </c>
      <c r="E576" s="424" t="s">
        <v>157</v>
      </c>
    </row>
    <row r="577" spans="1:6" hidden="1">
      <c r="A577" s="426">
        <v>81200409</v>
      </c>
      <c r="B577" s="354" t="s">
        <v>969</v>
      </c>
      <c r="C577" s="424" t="s">
        <v>144</v>
      </c>
      <c r="D577" s="424" t="s">
        <v>151</v>
      </c>
      <c r="E577" s="424" t="s">
        <v>157</v>
      </c>
    </row>
    <row r="578" spans="1:6" hidden="1">
      <c r="A578" s="426">
        <v>82200404</v>
      </c>
      <c r="B578" s="354" t="s">
        <v>970</v>
      </c>
      <c r="C578" s="424" t="s">
        <v>144</v>
      </c>
      <c r="D578" s="424" t="s">
        <v>149</v>
      </c>
      <c r="E578" s="424" t="s">
        <v>157</v>
      </c>
    </row>
    <row r="579" spans="1:6" hidden="1">
      <c r="A579" s="426">
        <v>82200408</v>
      </c>
      <c r="B579" s="354" t="s">
        <v>971</v>
      </c>
      <c r="C579" s="424" t="s">
        <v>144</v>
      </c>
      <c r="D579" s="424" t="s">
        <v>149</v>
      </c>
      <c r="E579" s="424" t="s">
        <v>157</v>
      </c>
    </row>
    <row r="580" spans="1:6" hidden="1">
      <c r="A580" s="426">
        <v>82200409</v>
      </c>
      <c r="B580" s="354" t="s">
        <v>972</v>
      </c>
      <c r="C580" s="424" t="s">
        <v>144</v>
      </c>
      <c r="D580" s="424" t="s">
        <v>149</v>
      </c>
      <c r="E580" s="424" t="s">
        <v>157</v>
      </c>
    </row>
    <row r="581" spans="1:6" hidden="1">
      <c r="A581" s="426">
        <v>83200404</v>
      </c>
      <c r="B581" s="354" t="s">
        <v>973</v>
      </c>
      <c r="C581" s="424" t="s">
        <v>144</v>
      </c>
      <c r="D581" s="424" t="s">
        <v>152</v>
      </c>
      <c r="E581" s="424" t="s">
        <v>157</v>
      </c>
    </row>
    <row r="582" spans="1:6" hidden="1">
      <c r="A582" s="426">
        <v>85200404</v>
      </c>
      <c r="B582" s="354" t="s">
        <v>913</v>
      </c>
      <c r="C582" s="424" t="s">
        <v>144</v>
      </c>
      <c r="D582" s="424" t="s">
        <v>152</v>
      </c>
      <c r="E582" s="424" t="s">
        <v>861</v>
      </c>
    </row>
    <row r="583" spans="1:6" hidden="1">
      <c r="A583" s="426">
        <v>85200407</v>
      </c>
      <c r="B583" s="354" t="s">
        <v>914</v>
      </c>
      <c r="C583" s="424" t="s">
        <v>144</v>
      </c>
      <c r="D583" s="424" t="s">
        <v>152</v>
      </c>
      <c r="E583" s="424" t="s">
        <v>861</v>
      </c>
    </row>
    <row r="584" spans="1:6" hidden="1">
      <c r="A584" s="426">
        <v>85200408</v>
      </c>
      <c r="B584" s="354" t="s">
        <v>915</v>
      </c>
      <c r="C584" s="424" t="s">
        <v>144</v>
      </c>
      <c r="D584" s="424" t="s">
        <v>152</v>
      </c>
      <c r="E584" s="424" t="s">
        <v>861</v>
      </c>
    </row>
    <row r="585" spans="1:6" hidden="1">
      <c r="A585" s="426">
        <v>85200409</v>
      </c>
      <c r="B585" s="354" t="s">
        <v>916</v>
      </c>
      <c r="C585" s="424" t="s">
        <v>144</v>
      </c>
      <c r="D585" s="424" t="s">
        <v>152</v>
      </c>
      <c r="E585" s="424" t="s">
        <v>861</v>
      </c>
    </row>
    <row r="586" spans="1:6" hidden="1">
      <c r="A586" s="426">
        <v>81030300</v>
      </c>
      <c r="B586" s="354" t="s">
        <v>974</v>
      </c>
      <c r="C586" s="424" t="s">
        <v>144</v>
      </c>
      <c r="D586" s="424" t="s">
        <v>151</v>
      </c>
      <c r="E586" s="424" t="s">
        <v>153</v>
      </c>
    </row>
    <row r="587" spans="1:6" hidden="1">
      <c r="A587" s="350">
        <v>340033</v>
      </c>
      <c r="B587" s="354" t="s">
        <v>186</v>
      </c>
      <c r="C587" s="424" t="s">
        <v>49</v>
      </c>
      <c r="D587" s="424" t="s">
        <v>59</v>
      </c>
    </row>
    <row r="588" spans="1:6" hidden="1">
      <c r="A588" s="350">
        <v>340046</v>
      </c>
      <c r="B588" s="354" t="s">
        <v>65</v>
      </c>
      <c r="C588" s="424" t="s">
        <v>49</v>
      </c>
      <c r="D588" s="424" t="s">
        <v>59</v>
      </c>
      <c r="F588" s="431"/>
    </row>
    <row r="589" spans="1:6" hidden="1">
      <c r="A589" s="350">
        <v>340070</v>
      </c>
      <c r="B589" s="354" t="s">
        <v>69</v>
      </c>
      <c r="C589" s="424" t="s">
        <v>49</v>
      </c>
      <c r="D589" s="424" t="s">
        <v>59</v>
      </c>
    </row>
    <row r="590" spans="1:6" hidden="1">
      <c r="A590" s="350">
        <v>340139</v>
      </c>
      <c r="B590" s="354" t="s">
        <v>83</v>
      </c>
      <c r="C590" s="424" t="s">
        <v>49</v>
      </c>
      <c r="D590" s="424" t="s">
        <v>59</v>
      </c>
    </row>
    <row r="591" spans="1:6" hidden="1">
      <c r="A591" s="350">
        <v>340206</v>
      </c>
      <c r="B591" s="354" t="s">
        <v>252</v>
      </c>
      <c r="C591" s="424" t="s">
        <v>49</v>
      </c>
      <c r="D591" s="424" t="s">
        <v>59</v>
      </c>
    </row>
    <row r="592" spans="1:6" hidden="1">
      <c r="A592" s="350">
        <v>340246</v>
      </c>
      <c r="B592" s="354" t="s">
        <v>975</v>
      </c>
      <c r="C592" s="424" t="s">
        <v>49</v>
      </c>
      <c r="D592" s="424" t="s">
        <v>59</v>
      </c>
    </row>
    <row r="593" spans="1:4" hidden="1">
      <c r="A593" s="350">
        <v>340251</v>
      </c>
      <c r="B593" s="354" t="s">
        <v>201</v>
      </c>
      <c r="C593" s="424" t="s">
        <v>49</v>
      </c>
      <c r="D593" s="424" t="s">
        <v>59</v>
      </c>
    </row>
    <row r="594" spans="1:4" hidden="1">
      <c r="A594" s="350">
        <v>340296</v>
      </c>
      <c r="B594" s="354" t="s">
        <v>976</v>
      </c>
      <c r="C594" s="424" t="s">
        <v>49</v>
      </c>
      <c r="D594" s="424" t="s">
        <v>59</v>
      </c>
    </row>
    <row r="595" spans="1:4" hidden="1">
      <c r="A595" s="350">
        <v>340332</v>
      </c>
      <c r="B595" s="354" t="s">
        <v>977</v>
      </c>
      <c r="C595" s="424" t="s">
        <v>49</v>
      </c>
      <c r="D595" s="424" t="s">
        <v>59</v>
      </c>
    </row>
    <row r="596" spans="1:4" hidden="1">
      <c r="A596" s="350">
        <v>340333</v>
      </c>
      <c r="B596" s="354" t="s">
        <v>978</v>
      </c>
      <c r="C596" s="424" t="s">
        <v>49</v>
      </c>
      <c r="D596" s="424" t="s">
        <v>59</v>
      </c>
    </row>
    <row r="597" spans="1:4" hidden="1">
      <c r="A597" s="350">
        <v>340334</v>
      </c>
      <c r="B597" s="354" t="s">
        <v>979</v>
      </c>
      <c r="C597" s="424" t="s">
        <v>49</v>
      </c>
      <c r="D597" s="424" t="s">
        <v>59</v>
      </c>
    </row>
    <row r="598" spans="1:4" hidden="1">
      <c r="A598" s="350">
        <v>340337</v>
      </c>
      <c r="B598" s="354" t="s">
        <v>980</v>
      </c>
      <c r="C598" s="424" t="s">
        <v>49</v>
      </c>
      <c r="D598" s="424" t="s">
        <v>59</v>
      </c>
    </row>
    <row r="599" spans="1:4" hidden="1">
      <c r="A599" s="350">
        <v>340344</v>
      </c>
      <c r="B599" s="354" t="s">
        <v>981</v>
      </c>
      <c r="C599" s="424" t="s">
        <v>49</v>
      </c>
      <c r="D599" s="424" t="s">
        <v>59</v>
      </c>
    </row>
    <row r="600" spans="1:4" hidden="1">
      <c r="A600" s="350">
        <v>340345</v>
      </c>
      <c r="B600" s="354" t="s">
        <v>982</v>
      </c>
      <c r="C600" s="424" t="s">
        <v>49</v>
      </c>
      <c r="D600" s="424" t="s">
        <v>59</v>
      </c>
    </row>
    <row r="601" spans="1:4" hidden="1">
      <c r="A601" s="350">
        <v>340346</v>
      </c>
      <c r="B601" s="354" t="s">
        <v>983</v>
      </c>
      <c r="C601" s="424" t="s">
        <v>49</v>
      </c>
      <c r="D601" s="424" t="s">
        <v>59</v>
      </c>
    </row>
    <row r="602" spans="1:4" hidden="1">
      <c r="A602" s="350">
        <v>340347</v>
      </c>
      <c r="B602" s="354" t="s">
        <v>984</v>
      </c>
      <c r="C602" s="424" t="s">
        <v>49</v>
      </c>
      <c r="D602" s="424" t="s">
        <v>59</v>
      </c>
    </row>
    <row r="603" spans="1:4" hidden="1">
      <c r="A603" s="350">
        <v>340349</v>
      </c>
      <c r="B603" s="354" t="s">
        <v>985</v>
      </c>
      <c r="C603" s="424" t="s">
        <v>49</v>
      </c>
      <c r="D603" s="424" t="s">
        <v>59</v>
      </c>
    </row>
    <row r="604" spans="1:4" hidden="1">
      <c r="A604" s="350">
        <v>341024</v>
      </c>
      <c r="B604" s="354" t="s">
        <v>986</v>
      </c>
      <c r="C604" s="424" t="s">
        <v>49</v>
      </c>
      <c r="D604" s="424" t="s">
        <v>59</v>
      </c>
    </row>
    <row r="605" spans="1:4" hidden="1">
      <c r="A605" s="350">
        <v>341144</v>
      </c>
      <c r="B605" s="354" t="s">
        <v>264</v>
      </c>
      <c r="C605" s="424" t="s">
        <v>49</v>
      </c>
      <c r="D605" s="424" t="s">
        <v>59</v>
      </c>
    </row>
    <row r="606" spans="1:4" hidden="1">
      <c r="A606" s="350">
        <v>341153</v>
      </c>
      <c r="B606" s="354" t="s">
        <v>224</v>
      </c>
      <c r="C606" s="424" t="s">
        <v>49</v>
      </c>
      <c r="D606" s="424" t="s">
        <v>59</v>
      </c>
    </row>
    <row r="607" spans="1:4" hidden="1">
      <c r="A607" s="350">
        <v>341185</v>
      </c>
      <c r="B607" s="354" t="s">
        <v>987</v>
      </c>
      <c r="C607" s="424" t="s">
        <v>49</v>
      </c>
      <c r="D607" s="424" t="s">
        <v>59</v>
      </c>
    </row>
    <row r="608" spans="1:4" hidden="1">
      <c r="A608" s="350">
        <v>341197</v>
      </c>
      <c r="B608" s="354" t="s">
        <v>988</v>
      </c>
      <c r="C608" s="424" t="s">
        <v>49</v>
      </c>
      <c r="D608" s="424" t="s">
        <v>59</v>
      </c>
    </row>
    <row r="609" spans="1:5" hidden="1">
      <c r="A609" s="426">
        <v>90201107</v>
      </c>
      <c r="B609" s="354" t="s">
        <v>989</v>
      </c>
      <c r="C609" s="424" t="s">
        <v>144</v>
      </c>
      <c r="D609" s="424" t="s">
        <v>145</v>
      </c>
      <c r="E609" s="424" t="s">
        <v>145</v>
      </c>
    </row>
    <row r="610" spans="1:5" hidden="1">
      <c r="A610" s="426">
        <v>23033</v>
      </c>
      <c r="B610" s="354" t="s">
        <v>167</v>
      </c>
      <c r="C610" s="424" t="s">
        <v>144</v>
      </c>
      <c r="D610" s="424" t="s">
        <v>151</v>
      </c>
      <c r="E610" s="424" t="s">
        <v>153</v>
      </c>
    </row>
    <row r="611" spans="1:5" hidden="1">
      <c r="A611" s="426">
        <v>14003</v>
      </c>
      <c r="B611" s="354" t="s">
        <v>990</v>
      </c>
      <c r="C611" s="424" t="s">
        <v>49</v>
      </c>
      <c r="D611" s="424" t="s">
        <v>59</v>
      </c>
    </row>
    <row r="612" spans="1:5" hidden="1">
      <c r="A612" s="426">
        <v>35003</v>
      </c>
      <c r="B612" s="354" t="s">
        <v>991</v>
      </c>
      <c r="C612" s="424" t="s">
        <v>49</v>
      </c>
      <c r="D612" s="427" t="s">
        <v>992</v>
      </c>
    </row>
    <row r="613" spans="1:5" hidden="1">
      <c r="A613" s="426">
        <v>60202102</v>
      </c>
      <c r="B613" s="354" t="s">
        <v>993</v>
      </c>
      <c r="C613" s="424" t="s">
        <v>144</v>
      </c>
      <c r="D613" s="424" t="s">
        <v>145</v>
      </c>
      <c r="E613" s="424" t="s">
        <v>994</v>
      </c>
    </row>
    <row r="614" spans="1:5" hidden="1">
      <c r="A614" s="426">
        <v>81020113</v>
      </c>
      <c r="B614" s="354" t="s">
        <v>995</v>
      </c>
      <c r="C614" s="424" t="s">
        <v>144</v>
      </c>
      <c r="D614" s="424" t="s">
        <v>151</v>
      </c>
      <c r="E614" s="424" t="s">
        <v>930</v>
      </c>
    </row>
    <row r="615" spans="1:5" hidden="1">
      <c r="A615" s="426">
        <v>81080800</v>
      </c>
      <c r="B615" s="354" t="s">
        <v>996</v>
      </c>
      <c r="C615" s="424" t="s">
        <v>144</v>
      </c>
      <c r="D615" s="424" t="s">
        <v>151</v>
      </c>
      <c r="E615" s="424" t="s">
        <v>159</v>
      </c>
    </row>
    <row r="616" spans="1:5" hidden="1">
      <c r="A616" s="426">
        <v>81091000</v>
      </c>
      <c r="B616" s="354" t="s">
        <v>997</v>
      </c>
      <c r="C616" s="424" t="s">
        <v>144</v>
      </c>
      <c r="D616" s="424" t="s">
        <v>151</v>
      </c>
      <c r="E616" s="424" t="s">
        <v>998</v>
      </c>
    </row>
    <row r="617" spans="1:5" hidden="1">
      <c r="A617" s="426">
        <v>82111000</v>
      </c>
      <c r="B617" s="354" t="s">
        <v>999</v>
      </c>
      <c r="C617" s="424" t="s">
        <v>144</v>
      </c>
      <c r="D617" s="424" t="s">
        <v>149</v>
      </c>
      <c r="E617" s="424" t="s">
        <v>998</v>
      </c>
    </row>
    <row r="618" spans="1:5" hidden="1">
      <c r="A618" s="426">
        <v>82111001</v>
      </c>
      <c r="B618" s="354" t="s">
        <v>1000</v>
      </c>
      <c r="C618" s="424" t="s">
        <v>144</v>
      </c>
      <c r="D618" s="424" t="s">
        <v>149</v>
      </c>
      <c r="E618" s="424" t="s">
        <v>998</v>
      </c>
    </row>
    <row r="619" spans="1:5" hidden="1">
      <c r="A619" s="426">
        <v>82111002</v>
      </c>
      <c r="B619" s="354" t="s">
        <v>1001</v>
      </c>
      <c r="C619" s="424" t="s">
        <v>144</v>
      </c>
      <c r="D619" s="424" t="s">
        <v>149</v>
      </c>
      <c r="E619" s="424" t="s">
        <v>998</v>
      </c>
    </row>
    <row r="620" spans="1:5" hidden="1">
      <c r="A620" s="426">
        <v>83120113</v>
      </c>
      <c r="B620" s="354" t="s">
        <v>1002</v>
      </c>
      <c r="C620" s="424" t="s">
        <v>144</v>
      </c>
      <c r="D620" s="424" t="s">
        <v>152</v>
      </c>
      <c r="E620" s="424" t="s">
        <v>930</v>
      </c>
    </row>
    <row r="621" spans="1:5" hidden="1">
      <c r="A621" s="426">
        <v>83200207</v>
      </c>
      <c r="B621" s="354" t="s">
        <v>1003</v>
      </c>
      <c r="C621" s="424" t="s">
        <v>144</v>
      </c>
      <c r="D621" s="424" t="s">
        <v>152</v>
      </c>
      <c r="E621" s="424" t="s">
        <v>738</v>
      </c>
    </row>
    <row r="622" spans="1:5" hidden="1">
      <c r="A622" s="426">
        <v>341200</v>
      </c>
      <c r="B622" s="354" t="s">
        <v>1004</v>
      </c>
      <c r="C622" s="424" t="s">
        <v>49</v>
      </c>
      <c r="D622" s="424" t="s">
        <v>59</v>
      </c>
    </row>
    <row r="623" spans="1:5" hidden="1">
      <c r="A623" s="426">
        <v>60202103</v>
      </c>
      <c r="B623" s="354" t="s">
        <v>1005</v>
      </c>
      <c r="C623" s="424" t="s">
        <v>144</v>
      </c>
      <c r="D623" s="424" t="s">
        <v>145</v>
      </c>
      <c r="E623" s="424" t="s">
        <v>994</v>
      </c>
    </row>
    <row r="624" spans="1:5" hidden="1">
      <c r="A624" s="426">
        <v>81080109</v>
      </c>
      <c r="B624" s="354" t="s">
        <v>1006</v>
      </c>
      <c r="C624" s="424" t="s">
        <v>144</v>
      </c>
      <c r="D624" s="424" t="s">
        <v>151</v>
      </c>
      <c r="E624" s="424" t="s">
        <v>930</v>
      </c>
    </row>
    <row r="625" spans="1:5" hidden="1">
      <c r="A625" s="426">
        <v>81080110</v>
      </c>
      <c r="B625" s="354" t="s">
        <v>1007</v>
      </c>
      <c r="C625" s="424" t="s">
        <v>144</v>
      </c>
      <c r="D625" s="424" t="s">
        <v>151</v>
      </c>
      <c r="E625" s="424" t="s">
        <v>930</v>
      </c>
    </row>
    <row r="626" spans="1:5" hidden="1">
      <c r="A626" s="426">
        <v>81080112</v>
      </c>
      <c r="B626" s="354" t="s">
        <v>1008</v>
      </c>
      <c r="C626" s="424" t="s">
        <v>144</v>
      </c>
      <c r="D626" s="424" t="s">
        <v>151</v>
      </c>
      <c r="E626" s="424" t="s">
        <v>930</v>
      </c>
    </row>
    <row r="627" spans="1:5" hidden="1">
      <c r="A627" s="426">
        <v>81080114</v>
      </c>
      <c r="B627" s="354" t="s">
        <v>1009</v>
      </c>
      <c r="C627" s="424" t="s">
        <v>144</v>
      </c>
      <c r="D627" s="424" t="s">
        <v>151</v>
      </c>
      <c r="E627" s="424" t="s">
        <v>930</v>
      </c>
    </row>
    <row r="628" spans="1:5" hidden="1">
      <c r="A628" s="426">
        <v>81080115</v>
      </c>
      <c r="B628" s="354" t="s">
        <v>1010</v>
      </c>
      <c r="C628" s="424" t="s">
        <v>144</v>
      </c>
      <c r="D628" s="424" t="s">
        <v>151</v>
      </c>
      <c r="E628" s="424" t="s">
        <v>930</v>
      </c>
    </row>
    <row r="629" spans="1:5" hidden="1">
      <c r="A629" s="426">
        <v>81080118</v>
      </c>
      <c r="B629" s="354" t="s">
        <v>1011</v>
      </c>
      <c r="C629" s="424" t="s">
        <v>144</v>
      </c>
      <c r="D629" s="424" t="s">
        <v>151</v>
      </c>
      <c r="E629" s="424" t="s">
        <v>930</v>
      </c>
    </row>
    <row r="630" spans="1:5" hidden="1">
      <c r="A630" s="426">
        <v>81080119</v>
      </c>
      <c r="B630" s="354" t="s">
        <v>1012</v>
      </c>
      <c r="C630" s="424" t="s">
        <v>144</v>
      </c>
      <c r="D630" s="424" t="s">
        <v>151</v>
      </c>
      <c r="E630" s="424" t="s">
        <v>930</v>
      </c>
    </row>
    <row r="631" spans="1:5" hidden="1">
      <c r="A631" s="426">
        <v>340018</v>
      </c>
      <c r="B631" s="354" t="s">
        <v>266</v>
      </c>
      <c r="C631" s="424" t="s">
        <v>49</v>
      </c>
      <c r="D631" s="424" t="s">
        <v>59</v>
      </c>
    </row>
    <row r="632" spans="1:5" hidden="1">
      <c r="A632" s="426">
        <v>340047</v>
      </c>
      <c r="B632" s="354" t="s">
        <v>236</v>
      </c>
      <c r="C632" s="424" t="s">
        <v>49</v>
      </c>
      <c r="D632" s="424" t="s">
        <v>59</v>
      </c>
    </row>
    <row r="633" spans="1:5" hidden="1">
      <c r="A633" s="426">
        <v>340048</v>
      </c>
      <c r="B633" s="354" t="s">
        <v>194</v>
      </c>
      <c r="C633" s="424" t="s">
        <v>49</v>
      </c>
      <c r="D633" s="424" t="s">
        <v>59</v>
      </c>
    </row>
    <row r="634" spans="1:5" hidden="1">
      <c r="A634" s="426">
        <v>340060</v>
      </c>
      <c r="B634" s="354" t="s">
        <v>68</v>
      </c>
      <c r="C634" s="424" t="s">
        <v>49</v>
      </c>
      <c r="D634" s="424" t="s">
        <v>59</v>
      </c>
    </row>
    <row r="635" spans="1:5" hidden="1">
      <c r="A635" s="426">
        <v>340142</v>
      </c>
      <c r="B635" s="354" t="s">
        <v>84</v>
      </c>
      <c r="C635" s="424" t="s">
        <v>49</v>
      </c>
      <c r="D635" s="424" t="s">
        <v>59</v>
      </c>
    </row>
    <row r="636" spans="1:5" hidden="1">
      <c r="A636" s="426">
        <v>340159</v>
      </c>
      <c r="B636" s="354" t="s">
        <v>90</v>
      </c>
      <c r="C636" s="424" t="s">
        <v>49</v>
      </c>
      <c r="D636" s="424" t="s">
        <v>59</v>
      </c>
    </row>
    <row r="637" spans="1:5" hidden="1">
      <c r="A637" s="426">
        <v>340189</v>
      </c>
      <c r="B637" s="354" t="s">
        <v>94</v>
      </c>
      <c r="C637" s="424" t="s">
        <v>49</v>
      </c>
      <c r="D637" s="424" t="s">
        <v>59</v>
      </c>
    </row>
    <row r="638" spans="1:5" hidden="1">
      <c r="A638" s="426">
        <v>340193</v>
      </c>
      <c r="B638" s="354" t="s">
        <v>95</v>
      </c>
      <c r="C638" s="424" t="s">
        <v>49</v>
      </c>
      <c r="D638" s="424" t="s">
        <v>59</v>
      </c>
    </row>
    <row r="639" spans="1:5" hidden="1">
      <c r="A639" s="426">
        <v>340207</v>
      </c>
      <c r="B639" s="354" t="s">
        <v>175</v>
      </c>
      <c r="C639" s="424" t="s">
        <v>49</v>
      </c>
      <c r="D639" s="424" t="s">
        <v>59</v>
      </c>
    </row>
    <row r="640" spans="1:5" hidden="1">
      <c r="A640" s="426">
        <v>340235</v>
      </c>
      <c r="B640" s="354" t="s">
        <v>1013</v>
      </c>
      <c r="C640" s="424" t="s">
        <v>49</v>
      </c>
      <c r="D640" s="424" t="s">
        <v>59</v>
      </c>
    </row>
    <row r="641" spans="1:4" hidden="1">
      <c r="A641" s="426">
        <v>340335</v>
      </c>
      <c r="B641" s="354" t="s">
        <v>1014</v>
      </c>
      <c r="C641" s="424" t="s">
        <v>49</v>
      </c>
      <c r="D641" s="424" t="s">
        <v>59</v>
      </c>
    </row>
    <row r="642" spans="1:4" hidden="1">
      <c r="A642" s="426">
        <v>340350</v>
      </c>
      <c r="B642" s="354" t="s">
        <v>1015</v>
      </c>
      <c r="C642" s="424" t="s">
        <v>49</v>
      </c>
      <c r="D642" s="424" t="s">
        <v>59</v>
      </c>
    </row>
    <row r="643" spans="1:4" hidden="1">
      <c r="A643" s="426">
        <v>340351</v>
      </c>
      <c r="B643" s="354" t="s">
        <v>1016</v>
      </c>
      <c r="C643" s="424" t="s">
        <v>49</v>
      </c>
      <c r="D643" s="424" t="s">
        <v>59</v>
      </c>
    </row>
    <row r="644" spans="1:4" hidden="1">
      <c r="A644" s="426">
        <v>340352</v>
      </c>
      <c r="B644" s="354" t="s">
        <v>1017</v>
      </c>
      <c r="C644" s="424" t="s">
        <v>49</v>
      </c>
      <c r="D644" s="424" t="s">
        <v>59</v>
      </c>
    </row>
    <row r="645" spans="1:4" hidden="1">
      <c r="A645" s="426">
        <v>340353</v>
      </c>
      <c r="B645" s="354" t="s">
        <v>1018</v>
      </c>
      <c r="C645" s="424" t="s">
        <v>49</v>
      </c>
      <c r="D645" s="424" t="s">
        <v>59</v>
      </c>
    </row>
    <row r="646" spans="1:4" hidden="1">
      <c r="A646" s="426">
        <v>340355</v>
      </c>
      <c r="B646" s="354" t="s">
        <v>1019</v>
      </c>
      <c r="C646" s="424" t="s">
        <v>49</v>
      </c>
      <c r="D646" s="424" t="s">
        <v>59</v>
      </c>
    </row>
    <row r="647" spans="1:4" hidden="1">
      <c r="A647" s="426">
        <v>340356</v>
      </c>
      <c r="B647" s="354" t="s">
        <v>1020</v>
      </c>
      <c r="C647" s="424" t="s">
        <v>49</v>
      </c>
      <c r="D647" s="424" t="s">
        <v>59</v>
      </c>
    </row>
    <row r="648" spans="1:4" hidden="1">
      <c r="A648" s="426">
        <v>341000</v>
      </c>
      <c r="B648" s="354" t="s">
        <v>190</v>
      </c>
      <c r="C648" s="424" t="s">
        <v>49</v>
      </c>
      <c r="D648" s="424" t="s">
        <v>59</v>
      </c>
    </row>
    <row r="649" spans="1:4" hidden="1">
      <c r="A649" s="426">
        <v>341001</v>
      </c>
      <c r="B649" s="354" t="s">
        <v>191</v>
      </c>
      <c r="C649" s="424" t="s">
        <v>49</v>
      </c>
      <c r="D649" s="424" t="s">
        <v>59</v>
      </c>
    </row>
    <row r="650" spans="1:4" hidden="1">
      <c r="A650" s="426">
        <v>341014</v>
      </c>
      <c r="B650" s="354" t="s">
        <v>241</v>
      </c>
      <c r="C650" s="424" t="s">
        <v>49</v>
      </c>
      <c r="D650" s="424" t="s">
        <v>59</v>
      </c>
    </row>
    <row r="651" spans="1:4" hidden="1">
      <c r="A651" s="426">
        <v>341029</v>
      </c>
      <c r="B651" s="354" t="s">
        <v>1021</v>
      </c>
      <c r="C651" s="424" t="s">
        <v>49</v>
      </c>
      <c r="D651" s="424" t="s">
        <v>59</v>
      </c>
    </row>
    <row r="652" spans="1:4" hidden="1">
      <c r="A652" s="426">
        <v>341032</v>
      </c>
      <c r="B652" s="354" t="s">
        <v>1022</v>
      </c>
      <c r="C652" s="424" t="s">
        <v>49</v>
      </c>
      <c r="D652" s="424" t="s">
        <v>59</v>
      </c>
    </row>
    <row r="653" spans="1:4" hidden="1">
      <c r="A653" s="426">
        <v>341072</v>
      </c>
      <c r="B653" s="354" t="s">
        <v>213</v>
      </c>
      <c r="C653" s="424" t="s">
        <v>49</v>
      </c>
      <c r="D653" s="424" t="s">
        <v>59</v>
      </c>
    </row>
    <row r="654" spans="1:4" hidden="1">
      <c r="A654" s="426">
        <v>341092</v>
      </c>
      <c r="B654" s="354" t="s">
        <v>216</v>
      </c>
      <c r="C654" s="424" t="s">
        <v>49</v>
      </c>
      <c r="D654" s="424" t="s">
        <v>59</v>
      </c>
    </row>
    <row r="655" spans="1:4" hidden="1">
      <c r="A655" s="426">
        <v>341100</v>
      </c>
      <c r="B655" s="354" t="s">
        <v>1023</v>
      </c>
      <c r="C655" s="424" t="s">
        <v>49</v>
      </c>
      <c r="D655" s="424" t="s">
        <v>59</v>
      </c>
    </row>
    <row r="656" spans="1:4" hidden="1">
      <c r="A656" s="426">
        <v>341114</v>
      </c>
      <c r="B656" s="354" t="s">
        <v>253</v>
      </c>
      <c r="C656" s="424" t="s">
        <v>49</v>
      </c>
      <c r="D656" s="424" t="s">
        <v>59</v>
      </c>
    </row>
    <row r="657" spans="1:5" hidden="1">
      <c r="A657" s="426">
        <v>341121</v>
      </c>
      <c r="B657" s="354" t="s">
        <v>98</v>
      </c>
      <c r="C657" s="424" t="s">
        <v>49</v>
      </c>
      <c r="D657" s="424" t="s">
        <v>59</v>
      </c>
    </row>
    <row r="658" spans="1:5" hidden="1">
      <c r="A658" s="426">
        <v>341174</v>
      </c>
      <c r="B658" s="354" t="s">
        <v>1024</v>
      </c>
      <c r="C658" s="424" t="s">
        <v>49</v>
      </c>
      <c r="D658" s="424" t="s">
        <v>59</v>
      </c>
    </row>
    <row r="659" spans="1:5" hidden="1">
      <c r="A659" s="426">
        <v>341181</v>
      </c>
      <c r="B659" s="354" t="s">
        <v>1025</v>
      </c>
      <c r="C659" s="424" t="s">
        <v>49</v>
      </c>
      <c r="D659" s="424" t="s">
        <v>59</v>
      </c>
    </row>
    <row r="660" spans="1:5" hidden="1">
      <c r="A660" s="426">
        <v>341184</v>
      </c>
      <c r="B660" s="354" t="s">
        <v>1026</v>
      </c>
      <c r="C660" s="424" t="s">
        <v>49</v>
      </c>
      <c r="D660" s="424" t="s">
        <v>59</v>
      </c>
    </row>
    <row r="661" spans="1:5" hidden="1">
      <c r="A661" s="426">
        <v>341194</v>
      </c>
      <c r="B661" s="354" t="s">
        <v>1027</v>
      </c>
      <c r="C661" s="424" t="s">
        <v>49</v>
      </c>
      <c r="D661" s="424" t="s">
        <v>59</v>
      </c>
    </row>
    <row r="662" spans="1:5" hidden="1">
      <c r="A662" s="426">
        <v>341195</v>
      </c>
      <c r="B662" s="354" t="s">
        <v>1028</v>
      </c>
      <c r="C662" s="424" t="s">
        <v>49</v>
      </c>
      <c r="D662" s="424" t="s">
        <v>59</v>
      </c>
    </row>
    <row r="663" spans="1:5" hidden="1">
      <c r="A663" s="426">
        <v>90201108</v>
      </c>
      <c r="B663" s="354" t="s">
        <v>1029</v>
      </c>
      <c r="C663" s="424" t="s">
        <v>144</v>
      </c>
      <c r="D663" s="424" t="s">
        <v>163</v>
      </c>
      <c r="E663" s="424" t="s">
        <v>166</v>
      </c>
    </row>
    <row r="664" spans="1:5" hidden="1">
      <c r="A664" s="426">
        <v>340164</v>
      </c>
      <c r="B664" s="354" t="s">
        <v>1030</v>
      </c>
      <c r="C664" s="424" t="s">
        <v>49</v>
      </c>
      <c r="D664" s="424" t="s">
        <v>59</v>
      </c>
    </row>
    <row r="665" spans="1:5" hidden="1">
      <c r="A665" s="426">
        <v>340081</v>
      </c>
      <c r="B665" s="354" t="s">
        <v>260</v>
      </c>
      <c r="C665" s="424" t="s">
        <v>49</v>
      </c>
      <c r="D665" s="424" t="s">
        <v>59</v>
      </c>
    </row>
    <row r="666" spans="1:5" hidden="1">
      <c r="A666" s="426">
        <v>340363</v>
      </c>
      <c r="B666" s="354" t="s">
        <v>1004</v>
      </c>
      <c r="C666" s="424" t="s">
        <v>49</v>
      </c>
      <c r="D666" s="424" t="s">
        <v>59</v>
      </c>
    </row>
    <row r="667" spans="1:5" hidden="1">
      <c r="A667" s="426">
        <v>341012</v>
      </c>
      <c r="B667" s="354" t="s">
        <v>1031</v>
      </c>
      <c r="C667" s="424" t="s">
        <v>49</v>
      </c>
      <c r="D667" s="424" t="s">
        <v>59</v>
      </c>
    </row>
    <row r="668" spans="1:5" hidden="1">
      <c r="A668" s="426">
        <v>38602</v>
      </c>
      <c r="B668" s="354" t="s">
        <v>1032</v>
      </c>
      <c r="C668" s="424" t="s">
        <v>49</v>
      </c>
      <c r="D668" s="424" t="s">
        <v>1711</v>
      </c>
    </row>
    <row r="669" spans="1:5" hidden="1">
      <c r="A669" s="426">
        <v>340104</v>
      </c>
      <c r="B669" s="354" t="s">
        <v>1033</v>
      </c>
      <c r="C669" s="424" t="s">
        <v>49</v>
      </c>
      <c r="D669" s="424" t="s">
        <v>59</v>
      </c>
    </row>
    <row r="670" spans="1:5" hidden="1">
      <c r="A670" s="426">
        <v>340108</v>
      </c>
      <c r="B670" s="354" t="s">
        <v>76</v>
      </c>
      <c r="C670" s="424" t="s">
        <v>49</v>
      </c>
      <c r="D670" s="424" t="s">
        <v>59</v>
      </c>
    </row>
    <row r="671" spans="1:5" hidden="1">
      <c r="A671" s="426">
        <v>340116</v>
      </c>
      <c r="B671" s="354" t="s">
        <v>79</v>
      </c>
      <c r="C671" s="424" t="s">
        <v>49</v>
      </c>
      <c r="D671" s="424" t="s">
        <v>59</v>
      </c>
    </row>
    <row r="672" spans="1:5" hidden="1">
      <c r="A672" s="426">
        <v>340230</v>
      </c>
      <c r="B672" s="354" t="s">
        <v>192</v>
      </c>
      <c r="C672" s="424" t="s">
        <v>49</v>
      </c>
      <c r="D672" s="424" t="s">
        <v>59</v>
      </c>
    </row>
    <row r="673" spans="1:4" hidden="1">
      <c r="A673" s="426">
        <v>340354</v>
      </c>
      <c r="B673" s="354" t="s">
        <v>1034</v>
      </c>
      <c r="C673" s="424" t="s">
        <v>49</v>
      </c>
      <c r="D673" s="424" t="s">
        <v>59</v>
      </c>
    </row>
    <row r="674" spans="1:4" hidden="1">
      <c r="A674" s="426">
        <v>340357</v>
      </c>
      <c r="B674" s="354" t="s">
        <v>1035</v>
      </c>
      <c r="C674" s="424" t="s">
        <v>49</v>
      </c>
      <c r="D674" s="424" t="s">
        <v>59</v>
      </c>
    </row>
    <row r="675" spans="1:4" hidden="1">
      <c r="A675" s="426">
        <v>340358</v>
      </c>
      <c r="B675" s="354" t="s">
        <v>1036</v>
      </c>
      <c r="C675" s="424" t="s">
        <v>49</v>
      </c>
      <c r="D675" s="424" t="s">
        <v>59</v>
      </c>
    </row>
    <row r="676" spans="1:4" hidden="1">
      <c r="A676" s="426">
        <v>340359</v>
      </c>
      <c r="B676" s="354" t="s">
        <v>1037</v>
      </c>
      <c r="C676" s="424" t="s">
        <v>49</v>
      </c>
      <c r="D676" s="424" t="s">
        <v>59</v>
      </c>
    </row>
    <row r="677" spans="1:4" hidden="1">
      <c r="A677" s="426">
        <v>340364</v>
      </c>
      <c r="B677" s="354" t="s">
        <v>1038</v>
      </c>
      <c r="C677" s="424" t="s">
        <v>49</v>
      </c>
      <c r="D677" s="424" t="s">
        <v>59</v>
      </c>
    </row>
    <row r="678" spans="1:4" hidden="1">
      <c r="A678" s="426">
        <v>340365</v>
      </c>
      <c r="B678" s="354" t="s">
        <v>1039</v>
      </c>
      <c r="C678" s="424" t="s">
        <v>49</v>
      </c>
      <c r="D678" s="424" t="s">
        <v>59</v>
      </c>
    </row>
    <row r="679" spans="1:4" hidden="1">
      <c r="A679" s="426">
        <v>340368</v>
      </c>
      <c r="B679" s="354" t="s">
        <v>1040</v>
      </c>
      <c r="C679" s="424" t="s">
        <v>49</v>
      </c>
      <c r="D679" s="424" t="s">
        <v>59</v>
      </c>
    </row>
    <row r="680" spans="1:4" hidden="1">
      <c r="A680" s="426">
        <v>340369</v>
      </c>
      <c r="B680" s="354" t="s">
        <v>1041</v>
      </c>
      <c r="C680" s="424" t="s">
        <v>49</v>
      </c>
      <c r="D680" s="424" t="s">
        <v>59</v>
      </c>
    </row>
    <row r="681" spans="1:4" hidden="1">
      <c r="A681" s="426">
        <v>340373</v>
      </c>
      <c r="B681" s="354" t="s">
        <v>1042</v>
      </c>
      <c r="C681" s="424" t="s">
        <v>49</v>
      </c>
      <c r="D681" s="424" t="s">
        <v>59</v>
      </c>
    </row>
    <row r="682" spans="1:4" hidden="1">
      <c r="A682" s="426">
        <v>340376</v>
      </c>
      <c r="B682" s="354" t="s">
        <v>1043</v>
      </c>
      <c r="C682" s="424" t="s">
        <v>49</v>
      </c>
      <c r="D682" s="424" t="s">
        <v>59</v>
      </c>
    </row>
    <row r="683" spans="1:4" hidden="1">
      <c r="A683" s="426">
        <v>341021</v>
      </c>
      <c r="B683" s="354" t="s">
        <v>1044</v>
      </c>
      <c r="C683" s="424" t="s">
        <v>49</v>
      </c>
      <c r="D683" s="424" t="s">
        <v>59</v>
      </c>
    </row>
    <row r="684" spans="1:4" hidden="1">
      <c r="A684" s="426">
        <v>341039</v>
      </c>
      <c r="B684" s="354" t="s">
        <v>243</v>
      </c>
      <c r="C684" s="424" t="s">
        <v>49</v>
      </c>
      <c r="D684" s="424" t="s">
        <v>59</v>
      </c>
    </row>
    <row r="685" spans="1:4" hidden="1">
      <c r="A685" s="426">
        <v>341058</v>
      </c>
      <c r="B685" s="354" t="s">
        <v>272</v>
      </c>
      <c r="C685" s="424" t="s">
        <v>49</v>
      </c>
      <c r="D685" s="424" t="s">
        <v>59</v>
      </c>
    </row>
    <row r="686" spans="1:4" hidden="1">
      <c r="A686" s="426">
        <v>341066</v>
      </c>
      <c r="B686" s="354" t="s">
        <v>104</v>
      </c>
      <c r="C686" s="424" t="s">
        <v>49</v>
      </c>
      <c r="D686" s="424" t="s">
        <v>59</v>
      </c>
    </row>
    <row r="687" spans="1:4" hidden="1">
      <c r="A687" s="426">
        <v>341082</v>
      </c>
      <c r="B687" s="354" t="s">
        <v>1045</v>
      </c>
      <c r="C687" s="424" t="s">
        <v>49</v>
      </c>
      <c r="D687" s="424" t="s">
        <v>59</v>
      </c>
    </row>
    <row r="688" spans="1:4" hidden="1">
      <c r="A688" s="426">
        <v>341102</v>
      </c>
      <c r="B688" s="354" t="s">
        <v>246</v>
      </c>
      <c r="C688" s="424" t="s">
        <v>49</v>
      </c>
      <c r="D688" s="424" t="s">
        <v>59</v>
      </c>
    </row>
    <row r="689" spans="1:5" hidden="1">
      <c r="A689" s="426">
        <v>341188</v>
      </c>
      <c r="B689" s="354" t="s">
        <v>1046</v>
      </c>
      <c r="C689" s="424" t="s">
        <v>49</v>
      </c>
      <c r="D689" s="424" t="s">
        <v>59</v>
      </c>
    </row>
    <row r="690" spans="1:5" hidden="1">
      <c r="A690" s="426">
        <v>341201</v>
      </c>
      <c r="B690" s="354" t="s">
        <v>1047</v>
      </c>
      <c r="C690" s="424" t="s">
        <v>49</v>
      </c>
      <c r="D690" s="424" t="s">
        <v>59</v>
      </c>
    </row>
    <row r="691" spans="1:5" hidden="1">
      <c r="A691" s="426">
        <v>341202</v>
      </c>
      <c r="B691" s="354" t="s">
        <v>1048</v>
      </c>
      <c r="C691" s="424" t="s">
        <v>49</v>
      </c>
      <c r="D691" s="424" t="s">
        <v>59</v>
      </c>
    </row>
    <row r="692" spans="1:5" hidden="1">
      <c r="A692" s="426">
        <v>341203</v>
      </c>
      <c r="B692" s="354" t="s">
        <v>1049</v>
      </c>
      <c r="C692" s="424" t="s">
        <v>49</v>
      </c>
      <c r="D692" s="424" t="s">
        <v>59</v>
      </c>
    </row>
    <row r="693" spans="1:5" hidden="1">
      <c r="A693" s="426">
        <v>80200601</v>
      </c>
      <c r="B693" s="354" t="s">
        <v>1050</v>
      </c>
      <c r="C693" s="424" t="s">
        <v>144</v>
      </c>
      <c r="D693" s="424" t="s">
        <v>618</v>
      </c>
      <c r="E693" s="354" t="s">
        <v>160</v>
      </c>
    </row>
    <row r="694" spans="1:5" hidden="1">
      <c r="A694" s="426">
        <v>81080201</v>
      </c>
      <c r="B694" s="354" t="s">
        <v>1051</v>
      </c>
      <c r="C694" s="424" t="s">
        <v>144</v>
      </c>
      <c r="D694" s="424" t="s">
        <v>151</v>
      </c>
      <c r="E694" s="424" t="s">
        <v>635</v>
      </c>
    </row>
    <row r="695" spans="1:5" hidden="1">
      <c r="A695" s="426">
        <v>81080300</v>
      </c>
      <c r="B695" s="354" t="s">
        <v>1052</v>
      </c>
      <c r="C695" s="424" t="s">
        <v>144</v>
      </c>
      <c r="D695" s="424" t="s">
        <v>151</v>
      </c>
      <c r="E695" s="424" t="s">
        <v>153</v>
      </c>
    </row>
    <row r="696" spans="1:5" hidden="1">
      <c r="A696" s="426">
        <v>82200601</v>
      </c>
      <c r="B696" s="354" t="s">
        <v>1053</v>
      </c>
      <c r="C696" s="424" t="s">
        <v>144</v>
      </c>
      <c r="D696" s="424" t="s">
        <v>149</v>
      </c>
      <c r="E696" s="354" t="s">
        <v>160</v>
      </c>
    </row>
    <row r="697" spans="1:5" hidden="1">
      <c r="A697" s="426">
        <v>82110902</v>
      </c>
      <c r="B697" s="354" t="s">
        <v>1054</v>
      </c>
      <c r="C697" s="424" t="s">
        <v>144</v>
      </c>
      <c r="D697" s="424" t="s">
        <v>149</v>
      </c>
      <c r="E697" s="424" t="s">
        <v>181</v>
      </c>
    </row>
    <row r="698" spans="1:5" hidden="1">
      <c r="A698" s="426">
        <v>83120205</v>
      </c>
      <c r="B698" s="354" t="s">
        <v>1055</v>
      </c>
      <c r="C698" s="424" t="s">
        <v>144</v>
      </c>
      <c r="D698" s="424" t="s">
        <v>152</v>
      </c>
      <c r="E698" s="424" t="s">
        <v>635</v>
      </c>
    </row>
    <row r="699" spans="1:5" hidden="1">
      <c r="A699" s="426">
        <v>83120206</v>
      </c>
      <c r="B699" s="354" t="s">
        <v>1056</v>
      </c>
      <c r="C699" s="424" t="s">
        <v>144</v>
      </c>
      <c r="D699" s="424" t="s">
        <v>152</v>
      </c>
      <c r="E699" s="424" t="s">
        <v>635</v>
      </c>
    </row>
    <row r="700" spans="1:5" hidden="1">
      <c r="A700" s="426">
        <v>83120208</v>
      </c>
      <c r="B700" s="354" t="s">
        <v>1057</v>
      </c>
      <c r="C700" s="424" t="s">
        <v>144</v>
      </c>
      <c r="D700" s="424" t="s">
        <v>152</v>
      </c>
      <c r="E700" s="424" t="s">
        <v>635</v>
      </c>
    </row>
    <row r="701" spans="1:5" hidden="1">
      <c r="A701" s="426">
        <v>83120209</v>
      </c>
      <c r="B701" s="354" t="s">
        <v>1058</v>
      </c>
      <c r="C701" s="424" t="s">
        <v>144</v>
      </c>
      <c r="D701" s="424" t="s">
        <v>152</v>
      </c>
      <c r="E701" s="424" t="s">
        <v>635</v>
      </c>
    </row>
    <row r="702" spans="1:5" hidden="1">
      <c r="A702" s="426">
        <v>83120210</v>
      </c>
      <c r="B702" s="354" t="s">
        <v>1059</v>
      </c>
      <c r="C702" s="424" t="s">
        <v>144</v>
      </c>
      <c r="D702" s="424" t="s">
        <v>152</v>
      </c>
      <c r="E702" s="424" t="s">
        <v>635</v>
      </c>
    </row>
    <row r="703" spans="1:5" hidden="1">
      <c r="A703" s="426">
        <v>83120211</v>
      </c>
      <c r="B703" s="354" t="s">
        <v>1060</v>
      </c>
      <c r="C703" s="424" t="s">
        <v>144</v>
      </c>
      <c r="D703" s="424" t="s">
        <v>152</v>
      </c>
      <c r="E703" s="424" t="s">
        <v>635</v>
      </c>
    </row>
    <row r="704" spans="1:5" hidden="1">
      <c r="A704" s="426">
        <v>83120213</v>
      </c>
      <c r="B704" s="354" t="s">
        <v>1061</v>
      </c>
      <c r="C704" s="424" t="s">
        <v>144</v>
      </c>
      <c r="D704" s="424" t="s">
        <v>152</v>
      </c>
      <c r="E704" s="424" t="s">
        <v>635</v>
      </c>
    </row>
    <row r="705" spans="1:5" hidden="1">
      <c r="A705" s="426">
        <v>83120214</v>
      </c>
      <c r="B705" s="354" t="s">
        <v>1062</v>
      </c>
      <c r="C705" s="424" t="s">
        <v>144</v>
      </c>
      <c r="D705" s="424" t="s">
        <v>152</v>
      </c>
      <c r="E705" s="424" t="s">
        <v>635</v>
      </c>
    </row>
    <row r="706" spans="1:5" hidden="1">
      <c r="A706" s="426">
        <v>83120215</v>
      </c>
      <c r="B706" s="354" t="s">
        <v>1063</v>
      </c>
      <c r="C706" s="424" t="s">
        <v>144</v>
      </c>
      <c r="D706" s="424" t="s">
        <v>152</v>
      </c>
      <c r="E706" s="424" t="s">
        <v>843</v>
      </c>
    </row>
    <row r="707" spans="1:5" hidden="1">
      <c r="A707" s="426">
        <v>83150205</v>
      </c>
      <c r="B707" s="354" t="s">
        <v>1064</v>
      </c>
      <c r="C707" s="424" t="s">
        <v>144</v>
      </c>
      <c r="D707" s="424" t="s">
        <v>152</v>
      </c>
      <c r="E707" s="424" t="s">
        <v>843</v>
      </c>
    </row>
    <row r="708" spans="1:5" hidden="1">
      <c r="A708" s="426">
        <v>84200403</v>
      </c>
      <c r="B708" s="354" t="s">
        <v>1065</v>
      </c>
      <c r="C708" s="424" t="s">
        <v>144</v>
      </c>
      <c r="D708" s="424" t="s">
        <v>152</v>
      </c>
      <c r="E708" s="424" t="s">
        <v>861</v>
      </c>
    </row>
    <row r="709" spans="1:5" hidden="1">
      <c r="A709" s="426">
        <v>11010</v>
      </c>
      <c r="B709" s="354" t="s">
        <v>1066</v>
      </c>
      <c r="C709" s="424" t="s">
        <v>49</v>
      </c>
      <c r="D709" s="424" t="s">
        <v>51</v>
      </c>
    </row>
    <row r="710" spans="1:5" hidden="1">
      <c r="A710" s="426">
        <v>341129</v>
      </c>
      <c r="B710" s="354" t="s">
        <v>256</v>
      </c>
      <c r="C710" s="424" t="s">
        <v>49</v>
      </c>
      <c r="D710" s="424" t="s">
        <v>59</v>
      </c>
    </row>
    <row r="711" spans="1:5" hidden="1">
      <c r="A711" s="426">
        <v>60202104</v>
      </c>
      <c r="B711" s="354" t="s">
        <v>993</v>
      </c>
      <c r="C711" s="424" t="s">
        <v>144</v>
      </c>
      <c r="D711" s="424" t="s">
        <v>145</v>
      </c>
      <c r="E711" s="424" t="s">
        <v>994</v>
      </c>
    </row>
    <row r="712" spans="1:5" hidden="1">
      <c r="A712" s="426">
        <v>80200403</v>
      </c>
      <c r="B712" s="354" t="s">
        <v>1067</v>
      </c>
      <c r="C712" s="424" t="s">
        <v>144</v>
      </c>
      <c r="D712" s="424" t="s">
        <v>618</v>
      </c>
      <c r="E712" s="424" t="s">
        <v>157</v>
      </c>
    </row>
    <row r="713" spans="1:5" hidden="1">
      <c r="A713" s="426">
        <v>81200403</v>
      </c>
      <c r="B713" s="354" t="s">
        <v>1068</v>
      </c>
      <c r="C713" s="424" t="s">
        <v>144</v>
      </c>
      <c r="D713" s="424" t="s">
        <v>151</v>
      </c>
      <c r="E713" s="424" t="s">
        <v>157</v>
      </c>
    </row>
    <row r="714" spans="1:5" hidden="1">
      <c r="A714" s="426">
        <v>82200403</v>
      </c>
      <c r="B714" s="354" t="s">
        <v>1069</v>
      </c>
      <c r="C714" s="424" t="s">
        <v>144</v>
      </c>
      <c r="D714" s="424" t="s">
        <v>149</v>
      </c>
      <c r="E714" s="424" t="s">
        <v>157</v>
      </c>
    </row>
    <row r="715" spans="1:5" hidden="1">
      <c r="A715" s="426">
        <v>83200403</v>
      </c>
      <c r="B715" s="354" t="s">
        <v>1070</v>
      </c>
      <c r="C715" s="424" t="s">
        <v>144</v>
      </c>
      <c r="D715" s="424" t="s">
        <v>152</v>
      </c>
      <c r="E715" s="424" t="s">
        <v>157</v>
      </c>
    </row>
    <row r="716" spans="1:5" hidden="1">
      <c r="A716" s="426">
        <v>85200403</v>
      </c>
      <c r="B716" s="354" t="s">
        <v>1065</v>
      </c>
      <c r="C716" s="424" t="s">
        <v>144</v>
      </c>
      <c r="D716" s="424" t="s">
        <v>152</v>
      </c>
      <c r="E716" s="424" t="s">
        <v>861</v>
      </c>
    </row>
    <row r="717" spans="1:5" hidden="1">
      <c r="A717" s="426">
        <v>83150207</v>
      </c>
      <c r="B717" s="354" t="s">
        <v>1071</v>
      </c>
      <c r="C717" s="424" t="s">
        <v>144</v>
      </c>
      <c r="D717" s="424" t="s">
        <v>152</v>
      </c>
      <c r="E717" s="424" t="s">
        <v>843</v>
      </c>
    </row>
    <row r="718" spans="1:5" hidden="1">
      <c r="A718" s="426">
        <v>10201</v>
      </c>
      <c r="B718" s="354" t="s">
        <v>1072</v>
      </c>
      <c r="C718" s="424" t="s">
        <v>49</v>
      </c>
      <c r="D718" s="424" t="s">
        <v>491</v>
      </c>
    </row>
    <row r="719" spans="1:5" hidden="1">
      <c r="A719" s="426">
        <v>340068</v>
      </c>
      <c r="B719" s="354" t="s">
        <v>232</v>
      </c>
      <c r="C719" s="424" t="s">
        <v>49</v>
      </c>
      <c r="D719" s="424" t="s">
        <v>59</v>
      </c>
    </row>
    <row r="720" spans="1:5" hidden="1">
      <c r="A720" s="426">
        <v>340170</v>
      </c>
      <c r="B720" s="354" t="s">
        <v>1073</v>
      </c>
      <c r="C720" s="424" t="s">
        <v>49</v>
      </c>
      <c r="D720" s="424" t="s">
        <v>59</v>
      </c>
    </row>
    <row r="721" spans="1:5" hidden="1">
      <c r="A721" s="426">
        <v>340259</v>
      </c>
      <c r="B721" s="354" t="s">
        <v>204</v>
      </c>
      <c r="C721" s="424" t="s">
        <v>49</v>
      </c>
      <c r="D721" s="424" t="s">
        <v>59</v>
      </c>
    </row>
    <row r="722" spans="1:5" hidden="1">
      <c r="A722" s="426">
        <v>340325</v>
      </c>
      <c r="B722" s="354" t="s">
        <v>1074</v>
      </c>
      <c r="C722" s="424" t="s">
        <v>49</v>
      </c>
      <c r="D722" s="424" t="s">
        <v>59</v>
      </c>
    </row>
    <row r="723" spans="1:5" hidden="1">
      <c r="A723" s="426">
        <v>340366</v>
      </c>
      <c r="B723" s="354" t="s">
        <v>1075</v>
      </c>
      <c r="C723" s="424" t="s">
        <v>49</v>
      </c>
      <c r="D723" s="424" t="s">
        <v>59</v>
      </c>
    </row>
    <row r="724" spans="1:5" hidden="1">
      <c r="A724" s="426">
        <v>340370</v>
      </c>
      <c r="B724" s="354" t="s">
        <v>1076</v>
      </c>
      <c r="C724" s="424" t="s">
        <v>49</v>
      </c>
      <c r="D724" s="424" t="s">
        <v>59</v>
      </c>
    </row>
    <row r="725" spans="1:5" hidden="1">
      <c r="A725" s="426">
        <v>340374</v>
      </c>
      <c r="B725" s="354" t="s">
        <v>1077</v>
      </c>
      <c r="C725" s="424" t="s">
        <v>49</v>
      </c>
      <c r="D725" s="424" t="s">
        <v>59</v>
      </c>
    </row>
    <row r="726" spans="1:5" hidden="1">
      <c r="A726" s="426">
        <v>340379</v>
      </c>
      <c r="B726" s="354" t="s">
        <v>1078</v>
      </c>
      <c r="C726" s="424" t="s">
        <v>49</v>
      </c>
      <c r="D726" s="424" t="s">
        <v>59</v>
      </c>
    </row>
    <row r="727" spans="1:5" hidden="1">
      <c r="A727" s="426">
        <v>341168</v>
      </c>
      <c r="B727" s="354" t="s">
        <v>265</v>
      </c>
      <c r="C727" s="424" t="s">
        <v>49</v>
      </c>
      <c r="D727" s="424" t="s">
        <v>59</v>
      </c>
    </row>
    <row r="728" spans="1:5" hidden="1">
      <c r="A728" s="426">
        <v>341206</v>
      </c>
      <c r="B728" s="354" t="s">
        <v>1079</v>
      </c>
      <c r="C728" s="424" t="s">
        <v>49</v>
      </c>
      <c r="D728" s="424" t="s">
        <v>59</v>
      </c>
    </row>
    <row r="729" spans="1:5" hidden="1">
      <c r="A729" s="426">
        <v>83140118</v>
      </c>
      <c r="B729" s="354" t="s">
        <v>1080</v>
      </c>
      <c r="C729" s="424" t="s">
        <v>144</v>
      </c>
      <c r="D729" s="424" t="s">
        <v>152</v>
      </c>
      <c r="E729" s="424" t="s">
        <v>930</v>
      </c>
    </row>
    <row r="730" spans="1:5" hidden="1">
      <c r="A730" s="426">
        <v>83140119</v>
      </c>
      <c r="B730" s="354" t="s">
        <v>1081</v>
      </c>
      <c r="C730" s="424" t="s">
        <v>144</v>
      </c>
      <c r="D730" s="424" t="s">
        <v>152</v>
      </c>
      <c r="E730" s="424" t="s">
        <v>930</v>
      </c>
    </row>
    <row r="731" spans="1:5" hidden="1">
      <c r="A731" s="426">
        <v>81030103</v>
      </c>
      <c r="B731" s="354" t="s">
        <v>1082</v>
      </c>
      <c r="C731" s="424" t="s">
        <v>144</v>
      </c>
      <c r="D731" s="424" t="s">
        <v>151</v>
      </c>
      <c r="E731" s="424" t="s">
        <v>930</v>
      </c>
    </row>
    <row r="732" spans="1:5" hidden="1">
      <c r="A732" s="426">
        <v>81060103</v>
      </c>
      <c r="B732" s="354" t="s">
        <v>1083</v>
      </c>
      <c r="C732" s="424" t="s">
        <v>144</v>
      </c>
      <c r="D732" s="424" t="s">
        <v>151</v>
      </c>
      <c r="E732" s="424" t="s">
        <v>930</v>
      </c>
    </row>
    <row r="733" spans="1:5" hidden="1">
      <c r="A733" s="426">
        <v>340011</v>
      </c>
      <c r="B733" s="354" t="s">
        <v>1084</v>
      </c>
      <c r="C733" s="424" t="s">
        <v>49</v>
      </c>
      <c r="D733" s="424" t="s">
        <v>59</v>
      </c>
    </row>
    <row r="734" spans="1:5" hidden="1">
      <c r="A734" s="426">
        <v>340029</v>
      </c>
      <c r="B734" s="354" t="s">
        <v>185</v>
      </c>
      <c r="C734" s="424" t="s">
        <v>49</v>
      </c>
      <c r="D734" s="424" t="s">
        <v>59</v>
      </c>
    </row>
    <row r="735" spans="1:5" hidden="1">
      <c r="A735" s="426">
        <v>340303</v>
      </c>
      <c r="B735" s="354" t="s">
        <v>1085</v>
      </c>
      <c r="C735" s="424" t="s">
        <v>49</v>
      </c>
      <c r="D735" s="424" t="s">
        <v>59</v>
      </c>
    </row>
    <row r="736" spans="1:5" hidden="1">
      <c r="A736" s="426">
        <v>340311</v>
      </c>
      <c r="B736" s="354" t="s">
        <v>1086</v>
      </c>
      <c r="C736" s="424" t="s">
        <v>49</v>
      </c>
      <c r="D736" s="424" t="s">
        <v>59</v>
      </c>
    </row>
    <row r="737" spans="1:4" hidden="1">
      <c r="A737" s="426">
        <v>340348</v>
      </c>
      <c r="B737" s="354" t="s">
        <v>1087</v>
      </c>
      <c r="C737" s="424" t="s">
        <v>49</v>
      </c>
      <c r="D737" s="424" t="s">
        <v>59</v>
      </c>
    </row>
    <row r="738" spans="1:4" hidden="1">
      <c r="A738" s="426">
        <v>340361</v>
      </c>
      <c r="B738" s="354" t="s">
        <v>1088</v>
      </c>
      <c r="C738" s="424" t="s">
        <v>49</v>
      </c>
      <c r="D738" s="424" t="s">
        <v>59</v>
      </c>
    </row>
    <row r="739" spans="1:4" hidden="1">
      <c r="A739" s="426">
        <v>340375</v>
      </c>
      <c r="B739" s="354" t="s">
        <v>1089</v>
      </c>
      <c r="C739" s="424" t="s">
        <v>49</v>
      </c>
      <c r="D739" s="424" t="s">
        <v>59</v>
      </c>
    </row>
    <row r="740" spans="1:4" hidden="1">
      <c r="A740" s="426">
        <v>340377</v>
      </c>
      <c r="B740" s="354" t="s">
        <v>1066</v>
      </c>
      <c r="C740" s="424" t="s">
        <v>49</v>
      </c>
      <c r="D740" s="424" t="s">
        <v>59</v>
      </c>
    </row>
    <row r="741" spans="1:4" hidden="1">
      <c r="A741" s="426">
        <v>340378</v>
      </c>
      <c r="B741" s="354" t="s">
        <v>1090</v>
      </c>
      <c r="C741" s="424" t="s">
        <v>49</v>
      </c>
      <c r="D741" s="424" t="s">
        <v>59</v>
      </c>
    </row>
    <row r="742" spans="1:4" hidden="1">
      <c r="A742" s="426">
        <v>340381</v>
      </c>
      <c r="B742" s="354" t="s">
        <v>1091</v>
      </c>
      <c r="C742" s="424" t="s">
        <v>49</v>
      </c>
      <c r="D742" s="424" t="s">
        <v>59</v>
      </c>
    </row>
    <row r="743" spans="1:4" hidden="1">
      <c r="A743" s="426">
        <v>340383</v>
      </c>
      <c r="B743" s="354" t="s">
        <v>1092</v>
      </c>
      <c r="C743" s="424" t="s">
        <v>49</v>
      </c>
      <c r="D743" s="424" t="s">
        <v>59</v>
      </c>
    </row>
    <row r="744" spans="1:4" hidden="1">
      <c r="A744" s="426">
        <v>340384</v>
      </c>
      <c r="B744" s="354" t="s">
        <v>1093</v>
      </c>
      <c r="C744" s="424" t="s">
        <v>49</v>
      </c>
      <c r="D744" s="424" t="s">
        <v>59</v>
      </c>
    </row>
    <row r="745" spans="1:4" hidden="1">
      <c r="A745" s="426">
        <v>340387</v>
      </c>
      <c r="B745" s="354" t="s">
        <v>1094</v>
      </c>
      <c r="C745" s="424" t="s">
        <v>49</v>
      </c>
      <c r="D745" s="424" t="s">
        <v>59</v>
      </c>
    </row>
    <row r="746" spans="1:4" hidden="1">
      <c r="A746" s="426">
        <v>340389</v>
      </c>
      <c r="B746" s="354" t="s">
        <v>1095</v>
      </c>
      <c r="C746" s="424" t="s">
        <v>49</v>
      </c>
      <c r="D746" s="424" t="s">
        <v>59</v>
      </c>
    </row>
    <row r="747" spans="1:4" hidden="1">
      <c r="A747" s="426">
        <v>340390</v>
      </c>
      <c r="B747" s="354" t="s">
        <v>1096</v>
      </c>
      <c r="C747" s="424" t="s">
        <v>49</v>
      </c>
      <c r="D747" s="424" t="s">
        <v>59</v>
      </c>
    </row>
    <row r="748" spans="1:4" hidden="1">
      <c r="A748" s="426">
        <v>340392</v>
      </c>
      <c r="B748" s="354" t="s">
        <v>1097</v>
      </c>
      <c r="C748" s="424" t="s">
        <v>49</v>
      </c>
      <c r="D748" s="424" t="s">
        <v>59</v>
      </c>
    </row>
    <row r="749" spans="1:4" hidden="1">
      <c r="A749" s="426">
        <v>340395</v>
      </c>
      <c r="B749" s="354" t="s">
        <v>1098</v>
      </c>
      <c r="C749" s="424" t="s">
        <v>49</v>
      </c>
      <c r="D749" s="424" t="s">
        <v>59</v>
      </c>
    </row>
    <row r="750" spans="1:4" hidden="1">
      <c r="A750" s="426">
        <v>340396</v>
      </c>
      <c r="B750" s="354" t="s">
        <v>1099</v>
      </c>
      <c r="C750" s="424" t="s">
        <v>49</v>
      </c>
      <c r="D750" s="424" t="s">
        <v>59</v>
      </c>
    </row>
    <row r="751" spans="1:4" hidden="1">
      <c r="A751" s="426">
        <v>341093</v>
      </c>
      <c r="B751" s="354" t="s">
        <v>240</v>
      </c>
      <c r="C751" s="424" t="s">
        <v>49</v>
      </c>
      <c r="D751" s="424" t="s">
        <v>59</v>
      </c>
    </row>
    <row r="752" spans="1:4" hidden="1">
      <c r="A752" s="426">
        <v>341103</v>
      </c>
      <c r="B752" s="354" t="s">
        <v>1100</v>
      </c>
      <c r="C752" s="424" t="s">
        <v>49</v>
      </c>
      <c r="D752" s="424" t="s">
        <v>59</v>
      </c>
    </row>
    <row r="753" spans="1:5" hidden="1">
      <c r="A753" s="426">
        <v>341145</v>
      </c>
      <c r="B753" s="354" t="s">
        <v>1101</v>
      </c>
      <c r="C753" s="424" t="s">
        <v>49</v>
      </c>
      <c r="D753" s="424" t="s">
        <v>59</v>
      </c>
    </row>
    <row r="754" spans="1:5" hidden="1">
      <c r="A754" s="426">
        <v>341207</v>
      </c>
      <c r="B754" s="354" t="s">
        <v>1102</v>
      </c>
      <c r="C754" s="424" t="s">
        <v>49</v>
      </c>
      <c r="D754" s="424" t="s">
        <v>59</v>
      </c>
    </row>
    <row r="755" spans="1:5" hidden="1">
      <c r="A755" s="426">
        <v>341208</v>
      </c>
      <c r="B755" s="354" t="s">
        <v>1103</v>
      </c>
      <c r="C755" s="424" t="s">
        <v>49</v>
      </c>
      <c r="D755" s="424" t="s">
        <v>59</v>
      </c>
    </row>
    <row r="756" spans="1:5" hidden="1">
      <c r="A756" s="426">
        <v>341209</v>
      </c>
      <c r="B756" s="354" t="s">
        <v>1104</v>
      </c>
      <c r="C756" s="424" t="s">
        <v>49</v>
      </c>
      <c r="D756" s="424" t="s">
        <v>59</v>
      </c>
    </row>
    <row r="757" spans="1:5" hidden="1">
      <c r="A757" s="426">
        <v>341210</v>
      </c>
      <c r="B757" s="354" t="s">
        <v>1105</v>
      </c>
      <c r="C757" s="424" t="s">
        <v>49</v>
      </c>
      <c r="D757" s="424" t="s">
        <v>59</v>
      </c>
    </row>
    <row r="758" spans="1:5" hidden="1">
      <c r="A758" s="426">
        <v>341213</v>
      </c>
      <c r="B758" s="354" t="s">
        <v>1106</v>
      </c>
      <c r="C758" s="424" t="s">
        <v>49</v>
      </c>
      <c r="D758" s="424" t="s">
        <v>59</v>
      </c>
    </row>
    <row r="759" spans="1:5" hidden="1">
      <c r="A759" s="426">
        <v>341214</v>
      </c>
      <c r="B759" s="354" t="s">
        <v>1107</v>
      </c>
      <c r="C759" s="424" t="s">
        <v>49</v>
      </c>
      <c r="D759" s="424" t="s">
        <v>59</v>
      </c>
    </row>
    <row r="760" spans="1:5" hidden="1">
      <c r="A760" s="426">
        <v>341215</v>
      </c>
      <c r="B760" s="354" t="s">
        <v>1108</v>
      </c>
      <c r="C760" s="424" t="s">
        <v>49</v>
      </c>
      <c r="D760" s="424" t="s">
        <v>59</v>
      </c>
    </row>
    <row r="761" spans="1:5" hidden="1">
      <c r="A761" s="426">
        <v>84200410</v>
      </c>
      <c r="B761" s="354" t="s">
        <v>1109</v>
      </c>
      <c r="C761" s="424" t="s">
        <v>144</v>
      </c>
      <c r="D761" s="424" t="s">
        <v>152</v>
      </c>
      <c r="E761" s="424" t="s">
        <v>861</v>
      </c>
    </row>
    <row r="762" spans="1:5" hidden="1">
      <c r="A762" s="426">
        <v>340397</v>
      </c>
      <c r="B762" s="354" t="s">
        <v>1110</v>
      </c>
      <c r="C762" s="424" t="s">
        <v>49</v>
      </c>
      <c r="D762" s="424" t="s">
        <v>59</v>
      </c>
    </row>
    <row r="763" spans="1:5" hidden="1">
      <c r="A763" s="426">
        <v>341216</v>
      </c>
      <c r="B763" s="354" t="s">
        <v>1111</v>
      </c>
      <c r="C763" s="424" t="s">
        <v>49</v>
      </c>
      <c r="D763" s="424" t="s">
        <v>59</v>
      </c>
    </row>
    <row r="764" spans="1:5" hidden="1">
      <c r="A764" s="426">
        <v>341123</v>
      </c>
      <c r="B764" s="354" t="s">
        <v>177</v>
      </c>
      <c r="C764" s="424" t="s">
        <v>49</v>
      </c>
      <c r="D764" s="424" t="s">
        <v>59</v>
      </c>
    </row>
    <row r="765" spans="1:5" hidden="1">
      <c r="A765" s="426">
        <v>83140201</v>
      </c>
      <c r="B765" s="354" t="s">
        <v>1112</v>
      </c>
      <c r="C765" s="424" t="s">
        <v>144</v>
      </c>
      <c r="D765" s="424" t="s">
        <v>152</v>
      </c>
      <c r="E765" s="424" t="s">
        <v>1113</v>
      </c>
    </row>
    <row r="766" spans="1:5" hidden="1">
      <c r="A766" s="426">
        <v>83150107</v>
      </c>
      <c r="B766" s="354" t="s">
        <v>1114</v>
      </c>
      <c r="C766" s="424" t="s">
        <v>144</v>
      </c>
      <c r="D766" s="424" t="s">
        <v>152</v>
      </c>
      <c r="E766" s="424" t="s">
        <v>930</v>
      </c>
    </row>
    <row r="767" spans="1:5" hidden="1">
      <c r="A767" s="426">
        <v>83150111</v>
      </c>
      <c r="B767" s="354" t="s">
        <v>1115</v>
      </c>
      <c r="C767" s="424" t="s">
        <v>144</v>
      </c>
      <c r="D767" s="424" t="s">
        <v>152</v>
      </c>
      <c r="E767" s="424" t="s">
        <v>930</v>
      </c>
    </row>
    <row r="768" spans="1:5" hidden="1">
      <c r="A768" s="426">
        <v>83150100</v>
      </c>
      <c r="B768" s="354" t="s">
        <v>1116</v>
      </c>
      <c r="C768" s="424" t="s">
        <v>144</v>
      </c>
      <c r="D768" s="424" t="s">
        <v>152</v>
      </c>
      <c r="E768" s="424" t="s">
        <v>930</v>
      </c>
    </row>
    <row r="769" spans="1:5" hidden="1">
      <c r="A769" s="426">
        <v>83150108</v>
      </c>
      <c r="B769" s="354" t="s">
        <v>1117</v>
      </c>
      <c r="C769" s="424" t="s">
        <v>144</v>
      </c>
      <c r="D769" s="424" t="s">
        <v>152</v>
      </c>
      <c r="E769" s="424" t="s">
        <v>930</v>
      </c>
    </row>
    <row r="770" spans="1:5" hidden="1">
      <c r="A770" s="426">
        <v>83150109</v>
      </c>
      <c r="B770" s="354" t="s">
        <v>1118</v>
      </c>
      <c r="C770" s="424" t="s">
        <v>144</v>
      </c>
      <c r="D770" s="424" t="s">
        <v>152</v>
      </c>
      <c r="E770" s="424" t="s">
        <v>930</v>
      </c>
    </row>
    <row r="771" spans="1:5" hidden="1">
      <c r="A771" s="426">
        <v>83150110</v>
      </c>
      <c r="B771" s="354" t="s">
        <v>1119</v>
      </c>
      <c r="C771" s="424" t="s">
        <v>144</v>
      </c>
      <c r="D771" s="424" t="s">
        <v>152</v>
      </c>
      <c r="E771" s="424" t="s">
        <v>930</v>
      </c>
    </row>
    <row r="772" spans="1:5" hidden="1">
      <c r="A772" s="426">
        <v>83150112</v>
      </c>
      <c r="B772" s="354" t="s">
        <v>1120</v>
      </c>
      <c r="C772" s="424" t="s">
        <v>144</v>
      </c>
      <c r="D772" s="424" t="s">
        <v>152</v>
      </c>
      <c r="E772" s="424" t="s">
        <v>930</v>
      </c>
    </row>
    <row r="773" spans="1:5" hidden="1">
      <c r="A773" s="426">
        <v>83150114</v>
      </c>
      <c r="B773" s="354" t="s">
        <v>1121</v>
      </c>
      <c r="C773" s="424" t="s">
        <v>144</v>
      </c>
      <c r="D773" s="424" t="s">
        <v>152</v>
      </c>
      <c r="E773" s="424" t="s">
        <v>930</v>
      </c>
    </row>
    <row r="774" spans="1:5" hidden="1">
      <c r="A774" s="426">
        <v>83150115</v>
      </c>
      <c r="B774" s="354" t="s">
        <v>1122</v>
      </c>
      <c r="C774" s="424" t="s">
        <v>144</v>
      </c>
      <c r="D774" s="424" t="s">
        <v>152</v>
      </c>
      <c r="E774" s="424" t="s">
        <v>930</v>
      </c>
    </row>
    <row r="775" spans="1:5" hidden="1">
      <c r="A775" s="426">
        <v>83150118</v>
      </c>
      <c r="B775" s="354" t="s">
        <v>1123</v>
      </c>
      <c r="C775" s="424" t="s">
        <v>144</v>
      </c>
      <c r="D775" s="424" t="s">
        <v>152</v>
      </c>
      <c r="E775" s="424" t="s">
        <v>930</v>
      </c>
    </row>
    <row r="776" spans="1:5" hidden="1">
      <c r="A776" s="426">
        <v>83150119</v>
      </c>
      <c r="B776" s="354" t="s">
        <v>1124</v>
      </c>
      <c r="C776" s="424" t="s">
        <v>144</v>
      </c>
      <c r="D776" s="424" t="s">
        <v>152</v>
      </c>
      <c r="E776" s="424" t="s">
        <v>930</v>
      </c>
    </row>
    <row r="777" spans="1:5" hidden="1">
      <c r="A777" s="426">
        <v>61203001</v>
      </c>
      <c r="B777" s="354" t="s">
        <v>1125</v>
      </c>
      <c r="C777" s="424" t="s">
        <v>144</v>
      </c>
      <c r="D777" s="424" t="s">
        <v>145</v>
      </c>
      <c r="E777" s="424" t="s">
        <v>145</v>
      </c>
    </row>
    <row r="778" spans="1:5" hidden="1">
      <c r="A778" s="426">
        <v>60203023</v>
      </c>
      <c r="B778" s="354" t="s">
        <v>1126</v>
      </c>
      <c r="C778" s="424" t="s">
        <v>144</v>
      </c>
      <c r="D778" s="424" t="s">
        <v>145</v>
      </c>
      <c r="E778" s="424" t="s">
        <v>145</v>
      </c>
    </row>
    <row r="779" spans="1:5" hidden="1">
      <c r="A779" s="426">
        <v>11002</v>
      </c>
      <c r="B779" s="354" t="s">
        <v>1127</v>
      </c>
      <c r="C779" s="424" t="s">
        <v>49</v>
      </c>
      <c r="D779" s="424" t="s">
        <v>51</v>
      </c>
    </row>
    <row r="780" spans="1:5" hidden="1">
      <c r="A780" s="426">
        <v>340399</v>
      </c>
      <c r="B780" s="432" t="s">
        <v>1128</v>
      </c>
      <c r="C780" s="424" t="s">
        <v>49</v>
      </c>
      <c r="D780" s="424" t="s">
        <v>59</v>
      </c>
    </row>
    <row r="781" spans="1:5" hidden="1">
      <c r="A781" s="426">
        <v>38303</v>
      </c>
      <c r="B781" s="354" t="s">
        <v>1129</v>
      </c>
      <c r="C781" s="424" t="s">
        <v>49</v>
      </c>
      <c r="D781" s="424" t="s">
        <v>1711</v>
      </c>
    </row>
    <row r="782" spans="1:5" hidden="1">
      <c r="A782" s="426">
        <v>38350</v>
      </c>
      <c r="B782" s="354" t="s">
        <v>1130</v>
      </c>
      <c r="C782" s="424" t="s">
        <v>49</v>
      </c>
      <c r="D782" s="424" t="s">
        <v>1711</v>
      </c>
    </row>
    <row r="783" spans="1:5" hidden="1">
      <c r="A783" s="426">
        <v>60203095</v>
      </c>
      <c r="B783" s="354" t="s">
        <v>1131</v>
      </c>
      <c r="C783" s="424" t="s">
        <v>144</v>
      </c>
      <c r="D783" s="424" t="s">
        <v>145</v>
      </c>
      <c r="E783" s="424" t="s">
        <v>145</v>
      </c>
    </row>
    <row r="784" spans="1:5" hidden="1">
      <c r="A784" s="426">
        <v>80200410</v>
      </c>
      <c r="B784" s="354" t="s">
        <v>1132</v>
      </c>
      <c r="C784" s="424" t="s">
        <v>144</v>
      </c>
      <c r="D784" s="424" t="s">
        <v>618</v>
      </c>
      <c r="E784" s="424" t="s">
        <v>1133</v>
      </c>
    </row>
    <row r="785" spans="1:5" hidden="1">
      <c r="A785" s="426">
        <v>81200410</v>
      </c>
      <c r="B785" s="354" t="s">
        <v>1134</v>
      </c>
      <c r="C785" s="424" t="s">
        <v>144</v>
      </c>
      <c r="D785" s="424" t="s">
        <v>151</v>
      </c>
      <c r="E785" s="424" t="s">
        <v>1133</v>
      </c>
    </row>
    <row r="786" spans="1:5" hidden="1">
      <c r="A786" s="426">
        <v>82200410</v>
      </c>
      <c r="B786" s="354" t="s">
        <v>1135</v>
      </c>
      <c r="C786" s="424" t="s">
        <v>144</v>
      </c>
      <c r="D786" s="424" t="s">
        <v>149</v>
      </c>
      <c r="E786" s="424" t="s">
        <v>1133</v>
      </c>
    </row>
    <row r="787" spans="1:5" hidden="1">
      <c r="A787" s="426">
        <v>83200410</v>
      </c>
      <c r="B787" s="354" t="s">
        <v>1136</v>
      </c>
      <c r="C787" s="424" t="s">
        <v>144</v>
      </c>
      <c r="D787" s="424" t="s">
        <v>152</v>
      </c>
      <c r="E787" s="424" t="s">
        <v>1133</v>
      </c>
    </row>
    <row r="788" spans="1:5" hidden="1">
      <c r="A788" s="426">
        <v>85200410</v>
      </c>
      <c r="B788" s="354" t="s">
        <v>1109</v>
      </c>
      <c r="C788" s="424" t="s">
        <v>144</v>
      </c>
      <c r="D788" s="424" t="s">
        <v>152</v>
      </c>
      <c r="E788" s="424" t="s">
        <v>861</v>
      </c>
    </row>
    <row r="789" spans="1:5" hidden="1">
      <c r="A789" s="426">
        <v>340109</v>
      </c>
      <c r="B789" s="354" t="s">
        <v>77</v>
      </c>
      <c r="C789" s="424" t="s">
        <v>49</v>
      </c>
      <c r="D789" s="424" t="s">
        <v>59</v>
      </c>
    </row>
    <row r="790" spans="1:5" hidden="1">
      <c r="A790" s="426">
        <v>340282</v>
      </c>
      <c r="B790" s="354" t="s">
        <v>273</v>
      </c>
      <c r="C790" s="424" t="s">
        <v>49</v>
      </c>
      <c r="D790" s="424" t="s">
        <v>59</v>
      </c>
    </row>
    <row r="791" spans="1:5" hidden="1">
      <c r="A791" s="426">
        <v>340380</v>
      </c>
      <c r="B791" s="354" t="s">
        <v>1137</v>
      </c>
      <c r="C791" s="424" t="s">
        <v>49</v>
      </c>
      <c r="D791" s="424" t="s">
        <v>59</v>
      </c>
    </row>
    <row r="792" spans="1:5" hidden="1">
      <c r="A792" s="426">
        <v>340382</v>
      </c>
      <c r="B792" s="354" t="s">
        <v>1138</v>
      </c>
      <c r="C792" s="424" t="s">
        <v>49</v>
      </c>
      <c r="D792" s="424" t="s">
        <v>59</v>
      </c>
    </row>
    <row r="793" spans="1:5" hidden="1">
      <c r="A793" s="426">
        <v>340391</v>
      </c>
      <c r="B793" s="354" t="s">
        <v>1139</v>
      </c>
      <c r="C793" s="424" t="s">
        <v>49</v>
      </c>
      <c r="D793" s="424" t="s">
        <v>59</v>
      </c>
    </row>
    <row r="794" spans="1:5" hidden="1">
      <c r="A794" s="426">
        <v>340398</v>
      </c>
      <c r="B794" s="354" t="s">
        <v>1140</v>
      </c>
      <c r="C794" s="424" t="s">
        <v>49</v>
      </c>
      <c r="D794" s="424" t="s">
        <v>59</v>
      </c>
    </row>
    <row r="795" spans="1:5" hidden="1">
      <c r="A795" s="426">
        <v>340403</v>
      </c>
      <c r="B795" s="354" t="s">
        <v>1141</v>
      </c>
      <c r="C795" s="424" t="s">
        <v>49</v>
      </c>
      <c r="D795" s="424" t="s">
        <v>59</v>
      </c>
    </row>
    <row r="796" spans="1:5" hidden="1">
      <c r="A796" s="426">
        <v>340405</v>
      </c>
      <c r="B796" s="354" t="s">
        <v>1142</v>
      </c>
      <c r="C796" s="424" t="s">
        <v>49</v>
      </c>
      <c r="D796" s="424" t="s">
        <v>59</v>
      </c>
    </row>
    <row r="797" spans="1:5" hidden="1">
      <c r="A797" s="426">
        <v>340406</v>
      </c>
      <c r="B797" s="354" t="s">
        <v>1143</v>
      </c>
      <c r="C797" s="424" t="s">
        <v>49</v>
      </c>
      <c r="D797" s="424" t="s">
        <v>59</v>
      </c>
    </row>
    <row r="798" spans="1:5" hidden="1">
      <c r="A798" s="426">
        <v>340407</v>
      </c>
      <c r="B798" s="354" t="s">
        <v>1144</v>
      </c>
      <c r="C798" s="424" t="s">
        <v>49</v>
      </c>
      <c r="D798" s="424" t="s">
        <v>59</v>
      </c>
    </row>
    <row r="799" spans="1:5" hidden="1">
      <c r="A799" s="426">
        <v>340408</v>
      </c>
      <c r="B799" s="354" t="s">
        <v>1145</v>
      </c>
      <c r="C799" s="424" t="s">
        <v>49</v>
      </c>
      <c r="D799" s="424" t="s">
        <v>59</v>
      </c>
    </row>
    <row r="800" spans="1:5" hidden="1">
      <c r="A800" s="426">
        <v>340410</v>
      </c>
      <c r="B800" s="354" t="s">
        <v>1146</v>
      </c>
      <c r="C800" s="424" t="s">
        <v>49</v>
      </c>
      <c r="D800" s="424" t="s">
        <v>59</v>
      </c>
    </row>
    <row r="801" spans="1:5" hidden="1">
      <c r="A801" s="426">
        <v>341099</v>
      </c>
      <c r="B801" s="354" t="s">
        <v>245</v>
      </c>
      <c r="C801" s="424" t="s">
        <v>49</v>
      </c>
      <c r="D801" s="424" t="s">
        <v>59</v>
      </c>
    </row>
    <row r="802" spans="1:5" hidden="1">
      <c r="A802" s="426">
        <v>341126</v>
      </c>
      <c r="B802" s="354" t="s">
        <v>218</v>
      </c>
      <c r="C802" s="424" t="s">
        <v>49</v>
      </c>
      <c r="D802" s="424" t="s">
        <v>59</v>
      </c>
    </row>
    <row r="803" spans="1:5" hidden="1">
      <c r="A803" s="426">
        <v>341149</v>
      </c>
      <c r="B803" s="354" t="s">
        <v>1147</v>
      </c>
      <c r="C803" s="424" t="s">
        <v>49</v>
      </c>
      <c r="D803" s="424" t="s">
        <v>59</v>
      </c>
    </row>
    <row r="804" spans="1:5" hidden="1">
      <c r="A804" s="426">
        <v>341191</v>
      </c>
      <c r="B804" s="354" t="s">
        <v>1148</v>
      </c>
      <c r="C804" s="424" t="s">
        <v>49</v>
      </c>
      <c r="D804" s="424" t="s">
        <v>59</v>
      </c>
    </row>
    <row r="805" spans="1:5" hidden="1">
      <c r="A805" s="426">
        <v>341218</v>
      </c>
      <c r="B805" s="354" t="s">
        <v>1149</v>
      </c>
      <c r="C805" s="424" t="s">
        <v>49</v>
      </c>
      <c r="D805" s="424" t="s">
        <v>59</v>
      </c>
    </row>
    <row r="806" spans="1:5" hidden="1">
      <c r="A806" s="426">
        <v>82110113</v>
      </c>
      <c r="B806" s="354" t="s">
        <v>1150</v>
      </c>
      <c r="C806" s="424" t="s">
        <v>144</v>
      </c>
      <c r="D806" s="424" t="s">
        <v>149</v>
      </c>
      <c r="E806" s="424" t="s">
        <v>930</v>
      </c>
    </row>
    <row r="807" spans="1:5" hidden="1">
      <c r="A807" s="426">
        <v>341220</v>
      </c>
      <c r="B807" s="354" t="s">
        <v>1151</v>
      </c>
      <c r="C807" s="424" t="s">
        <v>49</v>
      </c>
      <c r="D807" s="424" t="s">
        <v>59</v>
      </c>
    </row>
    <row r="808" spans="1:5" hidden="1">
      <c r="A808" s="426">
        <v>341221</v>
      </c>
      <c r="B808" s="354" t="s">
        <v>1152</v>
      </c>
      <c r="C808" s="424" t="s">
        <v>49</v>
      </c>
      <c r="D808" s="424" t="s">
        <v>59</v>
      </c>
    </row>
    <row r="809" spans="1:5" hidden="1">
      <c r="A809" s="426">
        <v>341217</v>
      </c>
      <c r="B809" s="354" t="s">
        <v>1153</v>
      </c>
      <c r="C809" s="424" t="s">
        <v>49</v>
      </c>
      <c r="D809" s="424" t="s">
        <v>59</v>
      </c>
    </row>
    <row r="810" spans="1:5" hidden="1">
      <c r="A810" s="426">
        <v>38304</v>
      </c>
      <c r="B810" s="354" t="s">
        <v>1154</v>
      </c>
      <c r="C810" s="424" t="s">
        <v>49</v>
      </c>
      <c r="D810" s="424" t="s">
        <v>59</v>
      </c>
    </row>
    <row r="811" spans="1:5" hidden="1">
      <c r="A811" s="426">
        <v>81030116</v>
      </c>
      <c r="B811" s="354" t="s">
        <v>1155</v>
      </c>
      <c r="C811" s="424" t="s">
        <v>144</v>
      </c>
      <c r="D811" s="424" t="s">
        <v>151</v>
      </c>
      <c r="E811" s="424" t="s">
        <v>930</v>
      </c>
    </row>
    <row r="812" spans="1:5" hidden="1">
      <c r="A812" s="426">
        <v>81030117</v>
      </c>
      <c r="B812" s="354" t="s">
        <v>1156</v>
      </c>
      <c r="C812" s="424" t="s">
        <v>144</v>
      </c>
      <c r="D812" s="424" t="s">
        <v>151</v>
      </c>
      <c r="E812" s="424" t="s">
        <v>930</v>
      </c>
    </row>
    <row r="813" spans="1:5" hidden="1">
      <c r="A813" s="426">
        <v>83140109</v>
      </c>
      <c r="B813" s="354" t="s">
        <v>1157</v>
      </c>
      <c r="C813" s="424" t="s">
        <v>144</v>
      </c>
      <c r="D813" s="424" t="s">
        <v>152</v>
      </c>
      <c r="E813" s="424" t="s">
        <v>930</v>
      </c>
    </row>
    <row r="814" spans="1:5" hidden="1">
      <c r="A814" s="426">
        <v>83140110</v>
      </c>
      <c r="B814" s="354" t="s">
        <v>1158</v>
      </c>
      <c r="C814" s="424" t="s">
        <v>144</v>
      </c>
      <c r="D814" s="424" t="s">
        <v>152</v>
      </c>
      <c r="E814" s="424" t="s">
        <v>930</v>
      </c>
    </row>
    <row r="815" spans="1:5" hidden="1">
      <c r="A815" s="426">
        <v>83140112</v>
      </c>
      <c r="B815" s="354" t="s">
        <v>1159</v>
      </c>
      <c r="C815" s="424" t="s">
        <v>144</v>
      </c>
      <c r="D815" s="424" t="s">
        <v>152</v>
      </c>
      <c r="E815" s="424" t="s">
        <v>930</v>
      </c>
    </row>
    <row r="816" spans="1:5" hidden="1">
      <c r="A816" s="426">
        <v>341219</v>
      </c>
      <c r="B816" s="354" t="s">
        <v>1160</v>
      </c>
      <c r="C816" s="424" t="s">
        <v>49</v>
      </c>
      <c r="D816" s="424" t="s">
        <v>59</v>
      </c>
    </row>
    <row r="817" spans="1:5" hidden="1">
      <c r="A817" s="426">
        <v>32001</v>
      </c>
      <c r="B817" s="354" t="s">
        <v>1161</v>
      </c>
      <c r="C817" s="424" t="s">
        <v>49</v>
      </c>
      <c r="D817" s="424" t="s">
        <v>170</v>
      </c>
    </row>
    <row r="818" spans="1:5" hidden="1">
      <c r="A818" s="426">
        <v>90201109</v>
      </c>
      <c r="B818" s="354" t="s">
        <v>1162</v>
      </c>
      <c r="C818" s="424" t="s">
        <v>144</v>
      </c>
      <c r="D818" s="424" t="s">
        <v>163</v>
      </c>
      <c r="E818" s="424" t="s">
        <v>166</v>
      </c>
    </row>
    <row r="819" spans="1:5" hidden="1">
      <c r="A819" s="426">
        <v>340161</v>
      </c>
      <c r="B819" s="354" t="s">
        <v>91</v>
      </c>
      <c r="C819" s="424" t="s">
        <v>49</v>
      </c>
      <c r="D819" s="424" t="s">
        <v>59</v>
      </c>
    </row>
    <row r="820" spans="1:5" hidden="1">
      <c r="A820" s="426">
        <v>340409</v>
      </c>
      <c r="B820" s="354" t="s">
        <v>1163</v>
      </c>
      <c r="C820" s="424" t="s">
        <v>49</v>
      </c>
      <c r="D820" s="424" t="s">
        <v>59</v>
      </c>
    </row>
    <row r="821" spans="1:5" hidden="1">
      <c r="A821" s="426">
        <v>340411</v>
      </c>
      <c r="B821" s="354" t="s">
        <v>1164</v>
      </c>
      <c r="C821" s="424" t="s">
        <v>49</v>
      </c>
      <c r="D821" s="424" t="s">
        <v>59</v>
      </c>
    </row>
    <row r="822" spans="1:5" hidden="1">
      <c r="A822" s="426">
        <v>340414</v>
      </c>
      <c r="B822" s="354" t="s">
        <v>1165</v>
      </c>
      <c r="C822" s="424" t="s">
        <v>49</v>
      </c>
      <c r="D822" s="424" t="s">
        <v>59</v>
      </c>
    </row>
    <row r="823" spans="1:5" hidden="1">
      <c r="A823" s="426">
        <v>341026</v>
      </c>
      <c r="B823" s="354" t="s">
        <v>100</v>
      </c>
      <c r="C823" s="424" t="s">
        <v>49</v>
      </c>
      <c r="D823" s="424" t="s">
        <v>59</v>
      </c>
    </row>
    <row r="824" spans="1:5" hidden="1">
      <c r="A824" s="426">
        <v>341047</v>
      </c>
      <c r="B824" s="354" t="s">
        <v>102</v>
      </c>
      <c r="C824" s="424" t="s">
        <v>49</v>
      </c>
      <c r="D824" s="424" t="s">
        <v>59</v>
      </c>
    </row>
    <row r="825" spans="1:5" hidden="1">
      <c r="A825" s="426">
        <v>341222</v>
      </c>
      <c r="B825" s="354" t="s">
        <v>1166</v>
      </c>
      <c r="C825" s="424" t="s">
        <v>49</v>
      </c>
      <c r="D825" s="424" t="s">
        <v>59</v>
      </c>
    </row>
    <row r="826" spans="1:5" hidden="1">
      <c r="A826" s="426">
        <v>341223</v>
      </c>
      <c r="B826" s="354" t="s">
        <v>1167</v>
      </c>
      <c r="C826" s="424" t="s">
        <v>49</v>
      </c>
      <c r="D826" s="424" t="s">
        <v>59</v>
      </c>
    </row>
    <row r="827" spans="1:5" hidden="1">
      <c r="A827" s="426">
        <v>83141000</v>
      </c>
      <c r="B827" s="354" t="s">
        <v>1168</v>
      </c>
      <c r="C827" s="424" t="s">
        <v>144</v>
      </c>
      <c r="D827" s="424" t="s">
        <v>152</v>
      </c>
      <c r="E827" s="424" t="s">
        <v>998</v>
      </c>
    </row>
    <row r="828" spans="1:5" hidden="1">
      <c r="A828" s="426">
        <v>340412</v>
      </c>
      <c r="B828" s="354" t="s">
        <v>1169</v>
      </c>
      <c r="C828" s="424" t="s">
        <v>49</v>
      </c>
      <c r="D828" s="424" t="s">
        <v>59</v>
      </c>
    </row>
    <row r="829" spans="1:5" hidden="1">
      <c r="A829" s="426">
        <v>340413</v>
      </c>
      <c r="B829" s="354" t="s">
        <v>1170</v>
      </c>
      <c r="C829" s="424" t="s">
        <v>49</v>
      </c>
      <c r="D829" s="424" t="s">
        <v>59</v>
      </c>
    </row>
    <row r="830" spans="1:5" hidden="1">
      <c r="A830" s="426">
        <v>10006</v>
      </c>
      <c r="B830" s="354" t="s">
        <v>1171</v>
      </c>
      <c r="C830" s="424" t="s">
        <v>49</v>
      </c>
      <c r="D830" s="427" t="s">
        <v>1668</v>
      </c>
    </row>
    <row r="831" spans="1:5" hidden="1">
      <c r="A831" s="426">
        <v>340030</v>
      </c>
      <c r="B831" s="354" t="s">
        <v>64</v>
      </c>
      <c r="C831" s="424" t="s">
        <v>49</v>
      </c>
      <c r="D831" s="424" t="s">
        <v>59</v>
      </c>
    </row>
    <row r="832" spans="1:5" hidden="1">
      <c r="A832" s="426">
        <v>38305</v>
      </c>
      <c r="B832" s="354" t="s">
        <v>1172</v>
      </c>
      <c r="C832" s="424" t="s">
        <v>49</v>
      </c>
      <c r="D832" s="424" t="s">
        <v>1711</v>
      </c>
    </row>
    <row r="833" spans="1:5" hidden="1">
      <c r="A833" s="426">
        <v>81080120</v>
      </c>
      <c r="B833" s="354" t="s">
        <v>1173</v>
      </c>
      <c r="C833" s="424" t="s">
        <v>144</v>
      </c>
      <c r="D833" s="424" t="s">
        <v>151</v>
      </c>
      <c r="E833" s="424" t="s">
        <v>930</v>
      </c>
    </row>
    <row r="834" spans="1:5" hidden="1">
      <c r="A834" s="426">
        <v>81080121</v>
      </c>
      <c r="B834" s="354" t="s">
        <v>1174</v>
      </c>
      <c r="C834" s="424" t="s">
        <v>144</v>
      </c>
      <c r="D834" s="424" t="s">
        <v>151</v>
      </c>
      <c r="E834" s="424" t="s">
        <v>930</v>
      </c>
    </row>
    <row r="835" spans="1:5" hidden="1">
      <c r="A835" s="426">
        <v>82100114</v>
      </c>
      <c r="B835" s="354" t="s">
        <v>1175</v>
      </c>
      <c r="C835" s="424" t="s">
        <v>144</v>
      </c>
      <c r="D835" s="424" t="s">
        <v>149</v>
      </c>
      <c r="E835" s="424" t="s">
        <v>930</v>
      </c>
    </row>
    <row r="836" spans="1:5" hidden="1">
      <c r="A836" s="426">
        <v>82100115</v>
      </c>
      <c r="B836" s="354" t="s">
        <v>1176</v>
      </c>
      <c r="C836" s="424" t="s">
        <v>144</v>
      </c>
      <c r="D836" s="424" t="s">
        <v>149</v>
      </c>
      <c r="E836" s="424" t="s">
        <v>930</v>
      </c>
    </row>
    <row r="837" spans="1:5" hidden="1">
      <c r="A837" s="426">
        <v>83150120</v>
      </c>
      <c r="B837" s="354" t="s">
        <v>1177</v>
      </c>
      <c r="C837" s="424" t="s">
        <v>144</v>
      </c>
      <c r="D837" s="424" t="s">
        <v>152</v>
      </c>
      <c r="E837" s="424" t="s">
        <v>930</v>
      </c>
    </row>
    <row r="838" spans="1:5" hidden="1">
      <c r="A838" s="426">
        <v>83150121</v>
      </c>
      <c r="B838" s="354" t="s">
        <v>1178</v>
      </c>
      <c r="C838" s="424" t="s">
        <v>144</v>
      </c>
      <c r="D838" s="424" t="s">
        <v>152</v>
      </c>
      <c r="E838" s="424" t="s">
        <v>930</v>
      </c>
    </row>
    <row r="839" spans="1:5" hidden="1">
      <c r="A839" s="426">
        <v>340262</v>
      </c>
      <c r="B839" s="354" t="s">
        <v>261</v>
      </c>
      <c r="C839" s="424" t="s">
        <v>49</v>
      </c>
      <c r="D839" s="424" t="s">
        <v>532</v>
      </c>
    </row>
    <row r="840" spans="1:5" hidden="1">
      <c r="A840" s="426">
        <v>340393</v>
      </c>
      <c r="B840" s="354" t="s">
        <v>1179</v>
      </c>
      <c r="C840" s="424" t="s">
        <v>49</v>
      </c>
      <c r="D840" s="424" t="s">
        <v>59</v>
      </c>
    </row>
    <row r="841" spans="1:5" hidden="1">
      <c r="A841" s="426">
        <v>340415</v>
      </c>
      <c r="B841" s="354" t="s">
        <v>1180</v>
      </c>
      <c r="C841" s="424" t="s">
        <v>49</v>
      </c>
      <c r="D841" s="424" t="s">
        <v>59</v>
      </c>
    </row>
    <row r="842" spans="1:5" hidden="1">
      <c r="A842" s="426">
        <v>341226</v>
      </c>
      <c r="B842" s="354" t="s">
        <v>1181</v>
      </c>
      <c r="C842" s="424" t="s">
        <v>49</v>
      </c>
      <c r="D842" s="424" t="s">
        <v>59</v>
      </c>
    </row>
    <row r="843" spans="1:5" hidden="1">
      <c r="A843" s="426">
        <v>341229</v>
      </c>
      <c r="B843" s="354" t="s">
        <v>1182</v>
      </c>
      <c r="C843" s="424" t="s">
        <v>49</v>
      </c>
      <c r="D843" s="424" t="s">
        <v>59</v>
      </c>
    </row>
    <row r="844" spans="1:5" hidden="1">
      <c r="A844" s="426">
        <v>341189</v>
      </c>
      <c r="B844" s="354" t="s">
        <v>1183</v>
      </c>
      <c r="C844" s="424" t="s">
        <v>49</v>
      </c>
      <c r="D844" s="424" t="s">
        <v>59</v>
      </c>
    </row>
    <row r="845" spans="1:5" hidden="1">
      <c r="A845" s="426">
        <v>83140202</v>
      </c>
      <c r="B845" s="354" t="s">
        <v>1184</v>
      </c>
      <c r="C845" s="424" t="s">
        <v>144</v>
      </c>
      <c r="D845" s="424" t="s">
        <v>152</v>
      </c>
      <c r="E845" s="433" t="s">
        <v>850</v>
      </c>
    </row>
    <row r="846" spans="1:5" hidden="1">
      <c r="A846" s="426">
        <v>340416</v>
      </c>
      <c r="B846" s="354" t="s">
        <v>1185</v>
      </c>
      <c r="C846" s="424" t="s">
        <v>49</v>
      </c>
      <c r="D846" s="424" t="s">
        <v>59</v>
      </c>
    </row>
    <row r="847" spans="1:5" hidden="1">
      <c r="A847" s="426">
        <v>340417</v>
      </c>
      <c r="B847" s="354" t="s">
        <v>1186</v>
      </c>
      <c r="C847" s="424" t="s">
        <v>49</v>
      </c>
      <c r="D847" s="424" t="s">
        <v>59</v>
      </c>
    </row>
    <row r="848" spans="1:5" hidden="1">
      <c r="A848" s="426">
        <v>340418</v>
      </c>
      <c r="B848" s="354" t="s">
        <v>1187</v>
      </c>
      <c r="C848" s="424" t="s">
        <v>49</v>
      </c>
      <c r="D848" s="424" t="s">
        <v>59</v>
      </c>
    </row>
    <row r="849" spans="1:6" hidden="1">
      <c r="A849" s="426">
        <v>340421</v>
      </c>
      <c r="B849" s="354" t="s">
        <v>1188</v>
      </c>
      <c r="C849" s="424" t="s">
        <v>49</v>
      </c>
      <c r="D849" s="424" t="s">
        <v>59</v>
      </c>
    </row>
    <row r="850" spans="1:6" hidden="1">
      <c r="A850" s="426">
        <v>340422</v>
      </c>
      <c r="B850" s="354" t="s">
        <v>1189</v>
      </c>
      <c r="C850" s="424" t="s">
        <v>49</v>
      </c>
      <c r="D850" s="424" t="s">
        <v>59</v>
      </c>
    </row>
    <row r="851" spans="1:6" hidden="1">
      <c r="A851" s="426">
        <v>83140203</v>
      </c>
      <c r="B851" s="354" t="s">
        <v>1190</v>
      </c>
      <c r="C851" s="424" t="s">
        <v>144</v>
      </c>
      <c r="D851" s="434" t="s">
        <v>163</v>
      </c>
      <c r="E851" s="435" t="s">
        <v>1191</v>
      </c>
    </row>
    <row r="852" spans="1:6" hidden="1">
      <c r="A852" s="426">
        <v>340102</v>
      </c>
      <c r="B852" s="436" t="s">
        <v>75</v>
      </c>
      <c r="C852" s="424" t="s">
        <v>49</v>
      </c>
      <c r="D852" s="424" t="s">
        <v>59</v>
      </c>
    </row>
    <row r="853" spans="1:6" hidden="1">
      <c r="A853" s="426">
        <v>340240</v>
      </c>
      <c r="B853" s="436" t="s">
        <v>1192</v>
      </c>
      <c r="C853" s="424" t="s">
        <v>49</v>
      </c>
      <c r="D853" s="424" t="s">
        <v>59</v>
      </c>
    </row>
    <row r="854" spans="1:6" hidden="1">
      <c r="A854" s="426">
        <v>340300</v>
      </c>
      <c r="B854" s="436" t="s">
        <v>1193</v>
      </c>
      <c r="C854" s="424" t="s">
        <v>49</v>
      </c>
      <c r="D854" s="424" t="s">
        <v>59</v>
      </c>
    </row>
    <row r="855" spans="1:6" hidden="1">
      <c r="A855" s="426">
        <v>340420</v>
      </c>
      <c r="B855" s="436" t="s">
        <v>1194</v>
      </c>
      <c r="C855" s="424" t="s">
        <v>49</v>
      </c>
      <c r="D855" s="424" t="s">
        <v>59</v>
      </c>
    </row>
    <row r="856" spans="1:6" hidden="1">
      <c r="A856" s="426">
        <v>340423</v>
      </c>
      <c r="B856" s="436" t="s">
        <v>1195</v>
      </c>
      <c r="C856" s="424" t="s">
        <v>49</v>
      </c>
      <c r="D856" s="424" t="s">
        <v>59</v>
      </c>
    </row>
    <row r="857" spans="1:6" hidden="1">
      <c r="A857" s="426">
        <v>340424</v>
      </c>
      <c r="B857" s="436" t="s">
        <v>1196</v>
      </c>
      <c r="C857" s="424" t="s">
        <v>49</v>
      </c>
      <c r="D857" s="424" t="s">
        <v>59</v>
      </c>
      <c r="F857" s="354"/>
    </row>
    <row r="858" spans="1:6" hidden="1">
      <c r="A858" s="426">
        <v>340426</v>
      </c>
      <c r="B858" s="436" t="s">
        <v>1197</v>
      </c>
      <c r="C858" s="424" t="s">
        <v>49</v>
      </c>
      <c r="D858" s="424" t="s">
        <v>59</v>
      </c>
      <c r="F858" s="354"/>
    </row>
    <row r="859" spans="1:6" hidden="1">
      <c r="A859" s="426">
        <v>341055</v>
      </c>
      <c r="B859" s="436" t="s">
        <v>1198</v>
      </c>
      <c r="C859" s="424" t="s">
        <v>49</v>
      </c>
      <c r="D859" s="424" t="s">
        <v>59</v>
      </c>
      <c r="F859" s="354"/>
    </row>
    <row r="860" spans="1:6" hidden="1">
      <c r="A860" s="426">
        <v>341080</v>
      </c>
      <c r="B860" s="436" t="s">
        <v>1199</v>
      </c>
      <c r="C860" s="424" t="s">
        <v>49</v>
      </c>
      <c r="D860" s="424" t="s">
        <v>59</v>
      </c>
      <c r="F860" s="354"/>
    </row>
    <row r="861" spans="1:6" hidden="1">
      <c r="A861" s="426">
        <v>341228</v>
      </c>
      <c r="B861" s="436" t="s">
        <v>1200</v>
      </c>
      <c r="C861" s="424" t="s">
        <v>49</v>
      </c>
      <c r="D861" s="424" t="s">
        <v>59</v>
      </c>
      <c r="F861" s="354"/>
    </row>
    <row r="862" spans="1:6" hidden="1">
      <c r="A862" s="426">
        <v>341231</v>
      </c>
      <c r="B862" s="436" t="s">
        <v>1201</v>
      </c>
      <c r="C862" s="424" t="s">
        <v>49</v>
      </c>
      <c r="D862" s="424" t="s">
        <v>59</v>
      </c>
      <c r="F862" s="354"/>
    </row>
    <row r="863" spans="1:6" hidden="1">
      <c r="A863" s="426">
        <v>340386</v>
      </c>
      <c r="B863" s="432" t="s">
        <v>1202</v>
      </c>
      <c r="C863" s="424" t="s">
        <v>49</v>
      </c>
      <c r="D863" s="424" t="s">
        <v>59</v>
      </c>
      <c r="F863" s="354"/>
    </row>
    <row r="864" spans="1:6" hidden="1">
      <c r="A864" s="426">
        <v>340425</v>
      </c>
      <c r="B864" s="432" t="s">
        <v>1203</v>
      </c>
      <c r="C864" s="424" t="s">
        <v>49</v>
      </c>
      <c r="D864" s="424" t="s">
        <v>59</v>
      </c>
      <c r="F864" s="354"/>
    </row>
    <row r="865" spans="1:6" hidden="1">
      <c r="A865" s="426">
        <v>340429</v>
      </c>
      <c r="B865" s="432" t="s">
        <v>1204</v>
      </c>
      <c r="C865" s="424" t="s">
        <v>49</v>
      </c>
      <c r="D865" s="424" t="s">
        <v>59</v>
      </c>
      <c r="F865" s="354"/>
    </row>
    <row r="866" spans="1:6" hidden="1">
      <c r="A866" s="426">
        <v>340432</v>
      </c>
      <c r="B866" s="432" t="s">
        <v>1205</v>
      </c>
      <c r="C866" s="424" t="s">
        <v>49</v>
      </c>
      <c r="D866" s="424" t="s">
        <v>59</v>
      </c>
      <c r="F866" s="354"/>
    </row>
    <row r="867" spans="1:6" hidden="1">
      <c r="A867" s="426">
        <v>341230</v>
      </c>
      <c r="B867" s="354" t="s">
        <v>1206</v>
      </c>
      <c r="C867" s="424" t="s">
        <v>49</v>
      </c>
      <c r="D867" s="424" t="s">
        <v>59</v>
      </c>
      <c r="F867" s="354"/>
    </row>
    <row r="868" spans="1:6" hidden="1">
      <c r="A868" s="426">
        <v>341232</v>
      </c>
      <c r="B868" s="354" t="s">
        <v>1207</v>
      </c>
      <c r="C868" s="424" t="s">
        <v>49</v>
      </c>
      <c r="D868" s="424" t="s">
        <v>59</v>
      </c>
      <c r="F868" s="354"/>
    </row>
    <row r="869" spans="1:6" hidden="1">
      <c r="A869" s="426">
        <v>341233</v>
      </c>
      <c r="B869" s="354" t="s">
        <v>1208</v>
      </c>
      <c r="C869" s="424" t="s">
        <v>49</v>
      </c>
      <c r="D869" s="424" t="s">
        <v>59</v>
      </c>
      <c r="F869" s="354"/>
    </row>
    <row r="870" spans="1:6" hidden="1">
      <c r="A870" s="426">
        <v>341234</v>
      </c>
      <c r="B870" s="354" t="s">
        <v>1209</v>
      </c>
      <c r="C870" s="424" t="s">
        <v>49</v>
      </c>
      <c r="D870" s="424" t="s">
        <v>59</v>
      </c>
      <c r="F870" s="354"/>
    </row>
    <row r="871" spans="1:6" hidden="1">
      <c r="A871" s="426">
        <v>341235</v>
      </c>
      <c r="B871" s="354" t="s">
        <v>1210</v>
      </c>
      <c r="C871" s="424" t="s">
        <v>49</v>
      </c>
      <c r="D871" s="424" t="s">
        <v>59</v>
      </c>
      <c r="F871" s="354"/>
    </row>
    <row r="872" spans="1:6" hidden="1">
      <c r="A872" s="426">
        <v>83120116</v>
      </c>
      <c r="B872" s="354" t="s">
        <v>1211</v>
      </c>
      <c r="C872" s="424" t="s">
        <v>144</v>
      </c>
      <c r="D872" s="424" t="s">
        <v>152</v>
      </c>
      <c r="E872" s="424" t="s">
        <v>930</v>
      </c>
      <c r="F872" s="354"/>
    </row>
    <row r="873" spans="1:6" hidden="1">
      <c r="A873" s="426">
        <v>83120117</v>
      </c>
      <c r="B873" s="354" t="s">
        <v>1212</v>
      </c>
      <c r="C873" s="424" t="s">
        <v>144</v>
      </c>
      <c r="D873" s="424" t="s">
        <v>152</v>
      </c>
      <c r="E873" s="424" t="s">
        <v>930</v>
      </c>
      <c r="F873" s="354"/>
    </row>
    <row r="874" spans="1:6" hidden="1">
      <c r="A874" s="426">
        <v>340031</v>
      </c>
      <c r="B874" s="354" t="s">
        <v>1213</v>
      </c>
      <c r="C874" s="424" t="s">
        <v>49</v>
      </c>
      <c r="D874" s="424" t="s">
        <v>59</v>
      </c>
      <c r="F874" s="354"/>
    </row>
    <row r="875" spans="1:6" hidden="1">
      <c r="A875" s="426">
        <v>340430</v>
      </c>
      <c r="B875" s="354" t="s">
        <v>1214</v>
      </c>
      <c r="C875" s="424" t="s">
        <v>49</v>
      </c>
      <c r="D875" s="424" t="s">
        <v>59</v>
      </c>
      <c r="F875" s="354"/>
    </row>
    <row r="876" spans="1:6" hidden="1">
      <c r="A876" s="426">
        <v>31007</v>
      </c>
      <c r="B876" s="354" t="s">
        <v>1215</v>
      </c>
      <c r="C876" s="424" t="s">
        <v>49</v>
      </c>
      <c r="D876" s="424" t="s">
        <v>1604</v>
      </c>
      <c r="F876" s="354"/>
    </row>
    <row r="877" spans="1:6" hidden="1">
      <c r="A877" s="426">
        <v>83120207</v>
      </c>
      <c r="B877" s="354" t="s">
        <v>1216</v>
      </c>
      <c r="C877" s="424" t="s">
        <v>144</v>
      </c>
      <c r="D877" s="424" t="s">
        <v>152</v>
      </c>
      <c r="E877" s="424" t="s">
        <v>635</v>
      </c>
      <c r="F877" s="354"/>
    </row>
    <row r="878" spans="1:6" hidden="1">
      <c r="A878" s="426">
        <v>340025</v>
      </c>
      <c r="B878" s="354" t="s">
        <v>1217</v>
      </c>
      <c r="C878" s="424" t="s">
        <v>49</v>
      </c>
      <c r="D878" s="424" t="s">
        <v>59</v>
      </c>
      <c r="F878" s="354"/>
    </row>
    <row r="879" spans="1:6" hidden="1">
      <c r="A879" s="426">
        <v>340255</v>
      </c>
      <c r="B879" s="354" t="s">
        <v>203</v>
      </c>
      <c r="C879" s="424" t="s">
        <v>49</v>
      </c>
      <c r="D879" s="424" t="s">
        <v>59</v>
      </c>
      <c r="F879" s="354"/>
    </row>
    <row r="880" spans="1:6" hidden="1">
      <c r="A880" s="426">
        <v>340428</v>
      </c>
      <c r="B880" s="354" t="s">
        <v>1218</v>
      </c>
      <c r="C880" s="424" t="s">
        <v>49</v>
      </c>
      <c r="D880" s="424" t="s">
        <v>59</v>
      </c>
      <c r="F880" s="354"/>
    </row>
    <row r="881" spans="1:6" hidden="1">
      <c r="A881" s="426">
        <v>340431</v>
      </c>
      <c r="B881" s="354" t="s">
        <v>1219</v>
      </c>
      <c r="C881" s="424" t="s">
        <v>49</v>
      </c>
      <c r="D881" s="424" t="s">
        <v>59</v>
      </c>
      <c r="F881" s="354"/>
    </row>
    <row r="882" spans="1:6" hidden="1">
      <c r="A882" s="426">
        <v>340434</v>
      </c>
      <c r="B882" s="354" t="s">
        <v>1220</v>
      </c>
      <c r="C882" s="424" t="s">
        <v>49</v>
      </c>
      <c r="D882" s="424" t="s">
        <v>59</v>
      </c>
      <c r="F882" s="354"/>
    </row>
    <row r="883" spans="1:6" hidden="1">
      <c r="A883" s="426">
        <v>340435</v>
      </c>
      <c r="B883" s="354" t="s">
        <v>1221</v>
      </c>
      <c r="C883" s="424" t="s">
        <v>49</v>
      </c>
      <c r="D883" s="424" t="s">
        <v>59</v>
      </c>
      <c r="F883" s="354"/>
    </row>
    <row r="884" spans="1:6" hidden="1">
      <c r="A884" s="426">
        <v>340436</v>
      </c>
      <c r="B884" s="354" t="s">
        <v>1222</v>
      </c>
      <c r="C884" s="424" t="s">
        <v>49</v>
      </c>
      <c r="D884" s="424" t="s">
        <v>59</v>
      </c>
      <c r="F884" s="354"/>
    </row>
    <row r="885" spans="1:6" hidden="1">
      <c r="A885" s="426">
        <v>340438</v>
      </c>
      <c r="B885" s="354" t="s">
        <v>1223</v>
      </c>
      <c r="C885" s="424" t="s">
        <v>49</v>
      </c>
      <c r="D885" s="424" t="s">
        <v>59</v>
      </c>
      <c r="F885" s="354"/>
    </row>
    <row r="886" spans="1:6" hidden="1">
      <c r="A886" s="426">
        <v>340440</v>
      </c>
      <c r="B886" s="354" t="s">
        <v>1224</v>
      </c>
      <c r="C886" s="424" t="s">
        <v>49</v>
      </c>
      <c r="D886" s="424" t="s">
        <v>59</v>
      </c>
      <c r="F886" s="354"/>
    </row>
    <row r="887" spans="1:6" hidden="1">
      <c r="A887" s="426">
        <v>340444</v>
      </c>
      <c r="B887" s="354" t="s">
        <v>1225</v>
      </c>
      <c r="C887" s="424" t="s">
        <v>49</v>
      </c>
      <c r="D887" s="424" t="s">
        <v>59</v>
      </c>
      <c r="F887" s="354"/>
    </row>
    <row r="888" spans="1:6" hidden="1">
      <c r="A888" s="426">
        <v>341224</v>
      </c>
      <c r="B888" s="354" t="s">
        <v>1226</v>
      </c>
      <c r="C888" s="424" t="s">
        <v>49</v>
      </c>
      <c r="D888" s="424" t="s">
        <v>59</v>
      </c>
      <c r="F888" s="354"/>
    </row>
    <row r="889" spans="1:6" hidden="1">
      <c r="A889" s="426">
        <v>341236</v>
      </c>
      <c r="B889" s="354" t="s">
        <v>1227</v>
      </c>
      <c r="C889" s="424" t="s">
        <v>49</v>
      </c>
      <c r="D889" s="424" t="s">
        <v>59</v>
      </c>
      <c r="F889" s="354"/>
    </row>
    <row r="890" spans="1:6" hidden="1">
      <c r="A890" s="426">
        <v>10102</v>
      </c>
      <c r="B890" s="354" t="s">
        <v>1228</v>
      </c>
      <c r="C890" s="424" t="s">
        <v>49</v>
      </c>
      <c r="D890" s="424" t="s">
        <v>1669</v>
      </c>
      <c r="F890" s="354"/>
    </row>
    <row r="891" spans="1:6" hidden="1">
      <c r="A891" s="426">
        <v>340034</v>
      </c>
      <c r="B891" s="354" t="s">
        <v>235</v>
      </c>
      <c r="C891" s="424" t="s">
        <v>49</v>
      </c>
      <c r="D891" s="424" t="s">
        <v>59</v>
      </c>
      <c r="F891" s="354"/>
    </row>
    <row r="892" spans="1:6" hidden="1">
      <c r="A892" s="426">
        <v>340442</v>
      </c>
      <c r="B892" s="432" t="s">
        <v>1229</v>
      </c>
      <c r="C892" s="424" t="s">
        <v>49</v>
      </c>
      <c r="D892" s="424" t="s">
        <v>59</v>
      </c>
      <c r="F892" s="354"/>
    </row>
    <row r="893" spans="1:6" hidden="1">
      <c r="A893" s="426">
        <v>340443</v>
      </c>
      <c r="B893" s="354" t="s">
        <v>1230</v>
      </c>
      <c r="C893" s="424" t="s">
        <v>49</v>
      </c>
      <c r="D893" s="424" t="s">
        <v>59</v>
      </c>
      <c r="F893" s="354"/>
    </row>
    <row r="894" spans="1:6" hidden="1">
      <c r="A894" s="426">
        <v>340449</v>
      </c>
      <c r="B894" s="354" t="s">
        <v>1231</v>
      </c>
      <c r="C894" s="424" t="s">
        <v>49</v>
      </c>
      <c r="D894" s="424" t="s">
        <v>59</v>
      </c>
      <c r="F894" s="354"/>
    </row>
    <row r="895" spans="1:6" hidden="1">
      <c r="A895" s="426">
        <v>340451</v>
      </c>
      <c r="B895" s="354" t="s">
        <v>1232</v>
      </c>
      <c r="C895" s="424" t="s">
        <v>49</v>
      </c>
      <c r="D895" s="424" t="s">
        <v>59</v>
      </c>
      <c r="F895" s="354"/>
    </row>
    <row r="896" spans="1:6" hidden="1">
      <c r="A896" s="426">
        <v>340452</v>
      </c>
      <c r="B896" s="354" t="s">
        <v>1233</v>
      </c>
      <c r="C896" s="424" t="s">
        <v>49</v>
      </c>
      <c r="D896" s="424" t="s">
        <v>59</v>
      </c>
      <c r="F896" s="354"/>
    </row>
    <row r="897" spans="1:6" hidden="1">
      <c r="A897" s="426">
        <v>340453</v>
      </c>
      <c r="B897" s="354" t="s">
        <v>1234</v>
      </c>
      <c r="C897" s="424" t="s">
        <v>49</v>
      </c>
      <c r="D897" s="424" t="s">
        <v>59</v>
      </c>
      <c r="F897" s="354"/>
    </row>
    <row r="898" spans="1:6" hidden="1">
      <c r="A898" s="426">
        <v>340454</v>
      </c>
      <c r="B898" s="354" t="s">
        <v>1235</v>
      </c>
      <c r="C898" s="424" t="s">
        <v>49</v>
      </c>
      <c r="D898" s="424" t="s">
        <v>59</v>
      </c>
      <c r="F898" s="354"/>
    </row>
    <row r="899" spans="1:6" hidden="1">
      <c r="A899" s="426">
        <v>340455</v>
      </c>
      <c r="B899" s="354" t="s">
        <v>1236</v>
      </c>
      <c r="C899" s="424" t="s">
        <v>49</v>
      </c>
      <c r="D899" s="424" t="s">
        <v>59</v>
      </c>
      <c r="F899" s="354"/>
    </row>
    <row r="900" spans="1:6" hidden="1">
      <c r="A900" s="426">
        <v>340456</v>
      </c>
      <c r="B900" s="354" t="s">
        <v>1237</v>
      </c>
      <c r="C900" s="424" t="s">
        <v>49</v>
      </c>
      <c r="D900" s="424" t="s">
        <v>59</v>
      </c>
      <c r="F900" s="354"/>
    </row>
    <row r="901" spans="1:6" hidden="1">
      <c r="A901" s="426">
        <v>340457</v>
      </c>
      <c r="B901" s="354" t="s">
        <v>1238</v>
      </c>
      <c r="C901" s="424" t="s">
        <v>49</v>
      </c>
      <c r="D901" s="424" t="s">
        <v>59</v>
      </c>
      <c r="F901" s="354"/>
    </row>
    <row r="902" spans="1:6" hidden="1">
      <c r="A902" s="426">
        <v>340458</v>
      </c>
      <c r="B902" s="354" t="s">
        <v>1239</v>
      </c>
      <c r="C902" s="424" t="s">
        <v>49</v>
      </c>
      <c r="D902" s="424" t="s">
        <v>59</v>
      </c>
      <c r="F902" s="354"/>
    </row>
    <row r="903" spans="1:6" hidden="1">
      <c r="A903" s="426">
        <v>340459</v>
      </c>
      <c r="B903" s="354" t="s">
        <v>1240</v>
      </c>
      <c r="C903" s="424" t="s">
        <v>49</v>
      </c>
      <c r="D903" s="424" t="s">
        <v>59</v>
      </c>
      <c r="F903" s="354"/>
    </row>
    <row r="904" spans="1:6" hidden="1">
      <c r="A904" s="426">
        <v>340460</v>
      </c>
      <c r="B904" s="354" t="s">
        <v>1241</v>
      </c>
      <c r="C904" s="424" t="s">
        <v>49</v>
      </c>
      <c r="D904" s="424" t="s">
        <v>59</v>
      </c>
      <c r="F904" s="354"/>
    </row>
    <row r="905" spans="1:6" hidden="1">
      <c r="A905" s="426">
        <v>340461</v>
      </c>
      <c r="B905" s="354" t="s">
        <v>1242</v>
      </c>
      <c r="C905" s="424" t="s">
        <v>49</v>
      </c>
      <c r="D905" s="424" t="s">
        <v>59</v>
      </c>
      <c r="F905" s="354"/>
    </row>
    <row r="906" spans="1:6" hidden="1">
      <c r="A906" s="426">
        <v>340462</v>
      </c>
      <c r="B906" s="354" t="s">
        <v>1243</v>
      </c>
      <c r="C906" s="424" t="s">
        <v>49</v>
      </c>
      <c r="D906" s="424" t="s">
        <v>59</v>
      </c>
      <c r="F906" s="354"/>
    </row>
    <row r="907" spans="1:6" hidden="1">
      <c r="A907" s="426">
        <v>340463</v>
      </c>
      <c r="B907" s="354" t="s">
        <v>1244</v>
      </c>
      <c r="C907" s="424" t="s">
        <v>49</v>
      </c>
      <c r="D907" s="424" t="s">
        <v>59</v>
      </c>
      <c r="F907" s="354"/>
    </row>
    <row r="908" spans="1:6" hidden="1">
      <c r="A908" s="426">
        <v>340447</v>
      </c>
      <c r="B908" s="354" t="s">
        <v>1245</v>
      </c>
      <c r="C908" s="424" t="s">
        <v>49</v>
      </c>
      <c r="D908" s="424" t="s">
        <v>59</v>
      </c>
      <c r="F908" s="354"/>
    </row>
    <row r="909" spans="1:6" hidden="1">
      <c r="A909" s="426">
        <v>340448</v>
      </c>
      <c r="B909" s="354" t="s">
        <v>1246</v>
      </c>
      <c r="C909" s="424" t="s">
        <v>49</v>
      </c>
      <c r="D909" s="424" t="s">
        <v>59</v>
      </c>
      <c r="F909" s="354"/>
    </row>
    <row r="910" spans="1:6" hidden="1">
      <c r="A910" s="426">
        <v>340464</v>
      </c>
      <c r="B910" s="354" t="s">
        <v>1247</v>
      </c>
      <c r="C910" s="424" t="s">
        <v>49</v>
      </c>
      <c r="D910" s="424" t="s">
        <v>59</v>
      </c>
      <c r="F910" s="354"/>
    </row>
    <row r="911" spans="1:6" hidden="1">
      <c r="A911" s="426">
        <v>340467</v>
      </c>
      <c r="B911" s="354" t="s">
        <v>1248</v>
      </c>
      <c r="C911" s="424" t="s">
        <v>49</v>
      </c>
      <c r="D911" s="424" t="s">
        <v>59</v>
      </c>
      <c r="F911" s="354"/>
    </row>
    <row r="912" spans="1:6" hidden="1">
      <c r="A912" s="426">
        <v>340472</v>
      </c>
      <c r="B912" s="354" t="s">
        <v>1249</v>
      </c>
      <c r="C912" s="424" t="s">
        <v>49</v>
      </c>
      <c r="D912" s="424" t="s">
        <v>59</v>
      </c>
      <c r="F912" s="354"/>
    </row>
    <row r="913" spans="1:6" hidden="1">
      <c r="A913" s="426">
        <v>80010123</v>
      </c>
      <c r="B913" s="354" t="s">
        <v>1250</v>
      </c>
      <c r="C913" s="424" t="s">
        <v>144</v>
      </c>
      <c r="D913" s="424" t="s">
        <v>618</v>
      </c>
      <c r="E913" s="424" t="s">
        <v>930</v>
      </c>
      <c r="F913" s="354"/>
    </row>
    <row r="914" spans="1:6" hidden="1">
      <c r="A914" s="426">
        <v>84200405</v>
      </c>
      <c r="B914" s="354" t="s">
        <v>1251</v>
      </c>
      <c r="C914" s="424" t="s">
        <v>144</v>
      </c>
      <c r="D914" s="424" t="s">
        <v>152</v>
      </c>
      <c r="E914" s="424" t="s">
        <v>861</v>
      </c>
      <c r="F914" s="354"/>
    </row>
    <row r="915" spans="1:6" hidden="1">
      <c r="A915" s="426">
        <v>340466</v>
      </c>
      <c r="B915" s="354" t="s">
        <v>1252</v>
      </c>
      <c r="C915" s="424" t="s">
        <v>49</v>
      </c>
      <c r="D915" s="424" t="s">
        <v>59</v>
      </c>
      <c r="F915" s="354"/>
    </row>
    <row r="916" spans="1:6" hidden="1">
      <c r="A916" s="426">
        <v>341240</v>
      </c>
      <c r="B916" s="354" t="s">
        <v>1253</v>
      </c>
      <c r="C916" s="424" t="s">
        <v>49</v>
      </c>
      <c r="D916" s="424" t="s">
        <v>59</v>
      </c>
      <c r="F916" s="354"/>
    </row>
    <row r="917" spans="1:6" hidden="1">
      <c r="A917" s="426">
        <v>341137</v>
      </c>
      <c r="B917" s="354" t="s">
        <v>220</v>
      </c>
      <c r="C917" s="424" t="s">
        <v>49</v>
      </c>
      <c r="D917" s="424" t="s">
        <v>59</v>
      </c>
      <c r="F917" s="354"/>
    </row>
    <row r="918" spans="1:6" hidden="1">
      <c r="A918" s="426">
        <v>82110910</v>
      </c>
      <c r="B918" s="354" t="s">
        <v>1254</v>
      </c>
      <c r="C918" s="424" t="s">
        <v>144</v>
      </c>
      <c r="D918" s="424" t="s">
        <v>149</v>
      </c>
      <c r="E918" s="424" t="s">
        <v>153</v>
      </c>
      <c r="F918" s="354"/>
    </row>
    <row r="919" spans="1:6" hidden="1">
      <c r="A919" s="426">
        <v>340473</v>
      </c>
      <c r="B919" s="354" t="s">
        <v>1255</v>
      </c>
      <c r="C919" s="424" t="s">
        <v>49</v>
      </c>
      <c r="D919" s="424" t="s">
        <v>59</v>
      </c>
      <c r="F919" s="354"/>
    </row>
    <row r="920" spans="1:6" hidden="1">
      <c r="A920" s="426">
        <v>80200405</v>
      </c>
      <c r="B920" s="354" t="s">
        <v>1256</v>
      </c>
      <c r="C920" s="424" t="s">
        <v>144</v>
      </c>
      <c r="D920" s="424" t="s">
        <v>618</v>
      </c>
      <c r="E920" s="424" t="s">
        <v>1257</v>
      </c>
      <c r="F920" s="354"/>
    </row>
    <row r="921" spans="1:6" hidden="1">
      <c r="A921" s="426">
        <v>81200405</v>
      </c>
      <c r="B921" s="354" t="s">
        <v>1258</v>
      </c>
      <c r="C921" s="424" t="s">
        <v>144</v>
      </c>
      <c r="D921" s="424" t="s">
        <v>151</v>
      </c>
      <c r="E921" s="424" t="s">
        <v>1257</v>
      </c>
      <c r="F921" s="354"/>
    </row>
    <row r="922" spans="1:6" hidden="1">
      <c r="A922" s="426">
        <v>82200405</v>
      </c>
      <c r="B922" s="354" t="s">
        <v>1259</v>
      </c>
      <c r="C922" s="424" t="s">
        <v>144</v>
      </c>
      <c r="D922" s="424" t="s">
        <v>149</v>
      </c>
      <c r="E922" s="424" t="s">
        <v>1257</v>
      </c>
      <c r="F922" s="354"/>
    </row>
    <row r="923" spans="1:6" hidden="1">
      <c r="A923" s="426">
        <v>83200405</v>
      </c>
      <c r="B923" s="354" t="s">
        <v>1260</v>
      </c>
      <c r="C923" s="424" t="s">
        <v>144</v>
      </c>
      <c r="D923" s="424" t="s">
        <v>152</v>
      </c>
      <c r="E923" s="424" t="s">
        <v>1257</v>
      </c>
      <c r="F923" s="354"/>
    </row>
    <row r="924" spans="1:6" hidden="1">
      <c r="A924" s="426">
        <v>85200405</v>
      </c>
      <c r="B924" s="354" t="s">
        <v>1251</v>
      </c>
      <c r="C924" s="424" t="s">
        <v>144</v>
      </c>
      <c r="D924" s="424" t="s">
        <v>152</v>
      </c>
      <c r="E924" s="424" t="s">
        <v>861</v>
      </c>
      <c r="F924" s="354"/>
    </row>
    <row r="925" spans="1:6" hidden="1">
      <c r="A925" s="426">
        <v>83120202</v>
      </c>
      <c r="B925" s="354" t="s">
        <v>1261</v>
      </c>
      <c r="C925" s="424" t="s">
        <v>144</v>
      </c>
      <c r="D925" s="424" t="s">
        <v>152</v>
      </c>
      <c r="E925" s="424" t="s">
        <v>635</v>
      </c>
      <c r="F925" s="354"/>
    </row>
    <row r="926" spans="1:6" hidden="1">
      <c r="A926" s="426">
        <v>340385</v>
      </c>
      <c r="B926" s="354" t="s">
        <v>1262</v>
      </c>
      <c r="C926" s="424" t="s">
        <v>49</v>
      </c>
      <c r="D926" s="424" t="s">
        <v>59</v>
      </c>
      <c r="F926" s="354"/>
    </row>
    <row r="927" spans="1:6" hidden="1">
      <c r="A927" s="426">
        <v>340401</v>
      </c>
      <c r="B927" s="354" t="s">
        <v>1263</v>
      </c>
      <c r="C927" s="424" t="s">
        <v>49</v>
      </c>
      <c r="D927" s="424" t="s">
        <v>59</v>
      </c>
      <c r="F927" s="354"/>
    </row>
    <row r="928" spans="1:6" hidden="1">
      <c r="A928" s="426">
        <v>340441</v>
      </c>
      <c r="B928" s="354" t="s">
        <v>1264</v>
      </c>
      <c r="C928" s="424" t="s">
        <v>49</v>
      </c>
      <c r="D928" s="424" t="s">
        <v>59</v>
      </c>
      <c r="F928" s="354"/>
    </row>
    <row r="929" spans="1:6" hidden="1">
      <c r="A929" s="426">
        <v>340475</v>
      </c>
      <c r="B929" s="354" t="s">
        <v>1265</v>
      </c>
      <c r="C929" s="424" t="s">
        <v>49</v>
      </c>
      <c r="D929" s="424" t="s">
        <v>59</v>
      </c>
      <c r="F929" s="354"/>
    </row>
    <row r="930" spans="1:6" hidden="1">
      <c r="A930" s="426">
        <v>340476</v>
      </c>
      <c r="B930" s="354" t="s">
        <v>1266</v>
      </c>
      <c r="C930" s="424" t="s">
        <v>49</v>
      </c>
      <c r="D930" s="424" t="s">
        <v>59</v>
      </c>
      <c r="F930" s="354"/>
    </row>
    <row r="931" spans="1:6" hidden="1">
      <c r="A931" s="426">
        <v>340477</v>
      </c>
      <c r="B931" s="354" t="s">
        <v>1267</v>
      </c>
      <c r="C931" s="424" t="s">
        <v>49</v>
      </c>
      <c r="D931" s="424" t="s">
        <v>59</v>
      </c>
      <c r="F931" s="354"/>
    </row>
    <row r="932" spans="1:6" hidden="1">
      <c r="A932" s="426">
        <v>341062</v>
      </c>
      <c r="B932" s="354" t="s">
        <v>1268</v>
      </c>
      <c r="C932" s="424" t="s">
        <v>49</v>
      </c>
      <c r="D932" s="424" t="s">
        <v>59</v>
      </c>
      <c r="F932" s="354"/>
    </row>
    <row r="933" spans="1:6" hidden="1">
      <c r="A933" s="426">
        <v>341069</v>
      </c>
      <c r="B933" s="354" t="s">
        <v>248</v>
      </c>
      <c r="C933" s="424" t="s">
        <v>49</v>
      </c>
      <c r="D933" s="424" t="s">
        <v>59</v>
      </c>
      <c r="F933" s="354"/>
    </row>
    <row r="934" spans="1:6" hidden="1">
      <c r="A934" s="426">
        <v>341164</v>
      </c>
      <c r="B934" s="354" t="s">
        <v>1269</v>
      </c>
      <c r="C934" s="424" t="s">
        <v>49</v>
      </c>
      <c r="D934" s="424" t="s">
        <v>59</v>
      </c>
      <c r="F934" s="354"/>
    </row>
    <row r="935" spans="1:6" hidden="1">
      <c r="A935" s="426">
        <v>341237</v>
      </c>
      <c r="B935" s="354" t="s">
        <v>1270</v>
      </c>
      <c r="C935" s="424" t="s">
        <v>49</v>
      </c>
      <c r="D935" s="424" t="s">
        <v>59</v>
      </c>
      <c r="F935" s="354"/>
    </row>
    <row r="936" spans="1:6" hidden="1">
      <c r="A936" s="426">
        <v>341242</v>
      </c>
      <c r="B936" s="354" t="s">
        <v>1271</v>
      </c>
      <c r="C936" s="424" t="s">
        <v>49</v>
      </c>
      <c r="D936" s="424" t="s">
        <v>59</v>
      </c>
      <c r="F936" s="354"/>
    </row>
    <row r="937" spans="1:6" ht="15.75" hidden="1">
      <c r="A937" s="426">
        <v>10103</v>
      </c>
      <c r="B937" s="354" t="s">
        <v>1272</v>
      </c>
      <c r="C937" s="424" t="s">
        <v>49</v>
      </c>
      <c r="D937" s="1" t="s">
        <v>1668</v>
      </c>
      <c r="F937" s="354"/>
    </row>
    <row r="938" spans="1:6" hidden="1">
      <c r="A938" s="426">
        <v>340014</v>
      </c>
      <c r="B938" s="354" t="s">
        <v>1273</v>
      </c>
      <c r="C938" s="424" t="s">
        <v>49</v>
      </c>
      <c r="D938" s="424" t="s">
        <v>59</v>
      </c>
      <c r="F938" s="354"/>
    </row>
    <row r="939" spans="1:6" hidden="1">
      <c r="A939" s="426">
        <v>340469</v>
      </c>
      <c r="B939" s="354" t="s">
        <v>1274</v>
      </c>
      <c r="C939" s="424" t="s">
        <v>49</v>
      </c>
      <c r="D939" s="424" t="s">
        <v>59</v>
      </c>
      <c r="F939" s="354"/>
    </row>
    <row r="940" spans="1:6" hidden="1">
      <c r="A940" s="426">
        <v>340470</v>
      </c>
      <c r="B940" s="354" t="s">
        <v>1275</v>
      </c>
      <c r="C940" s="424" t="s">
        <v>49</v>
      </c>
      <c r="D940" s="424" t="s">
        <v>59</v>
      </c>
      <c r="F940" s="354"/>
    </row>
    <row r="941" spans="1:6" hidden="1">
      <c r="A941" s="426">
        <v>340471</v>
      </c>
      <c r="B941" s="354" t="s">
        <v>1276</v>
      </c>
      <c r="C941" s="424" t="s">
        <v>49</v>
      </c>
      <c r="D941" s="424" t="s">
        <v>59</v>
      </c>
      <c r="F941" s="354"/>
    </row>
    <row r="942" spans="1:6" hidden="1">
      <c r="A942" s="426">
        <v>340474</v>
      </c>
      <c r="B942" s="354" t="s">
        <v>1277</v>
      </c>
      <c r="C942" s="424" t="s">
        <v>49</v>
      </c>
      <c r="D942" s="424" t="s">
        <v>59</v>
      </c>
      <c r="F942" s="354"/>
    </row>
    <row r="943" spans="1:6" hidden="1">
      <c r="A943" s="426">
        <v>340486</v>
      </c>
      <c r="B943" s="354" t="s">
        <v>1278</v>
      </c>
      <c r="C943" s="424" t="s">
        <v>49</v>
      </c>
      <c r="D943" s="424" t="s">
        <v>59</v>
      </c>
      <c r="F943" s="354"/>
    </row>
    <row r="944" spans="1:6" hidden="1">
      <c r="A944" s="426">
        <v>340489</v>
      </c>
      <c r="B944" s="354" t="s">
        <v>1279</v>
      </c>
      <c r="C944" s="424" t="s">
        <v>49</v>
      </c>
      <c r="D944" s="424" t="s">
        <v>59</v>
      </c>
      <c r="F944" s="354"/>
    </row>
    <row r="945" spans="1:6" hidden="1">
      <c r="A945" s="426">
        <v>340497</v>
      </c>
      <c r="B945" s="354" t="s">
        <v>1280</v>
      </c>
      <c r="C945" s="424" t="s">
        <v>49</v>
      </c>
      <c r="D945" s="424" t="s">
        <v>59</v>
      </c>
      <c r="F945" s="354"/>
    </row>
    <row r="946" spans="1:6" hidden="1">
      <c r="A946" s="426">
        <v>340501</v>
      </c>
      <c r="B946" s="354" t="s">
        <v>1281</v>
      </c>
      <c r="C946" s="424" t="s">
        <v>49</v>
      </c>
      <c r="D946" s="424" t="s">
        <v>59</v>
      </c>
      <c r="F946" s="354"/>
    </row>
    <row r="947" spans="1:6" hidden="1">
      <c r="A947" s="426">
        <v>340502</v>
      </c>
      <c r="B947" s="354" t="s">
        <v>1282</v>
      </c>
      <c r="C947" s="424" t="s">
        <v>49</v>
      </c>
      <c r="D947" s="424" t="s">
        <v>59</v>
      </c>
      <c r="F947" s="354"/>
    </row>
    <row r="948" spans="1:6" hidden="1">
      <c r="A948" s="426">
        <v>341018</v>
      </c>
      <c r="B948" s="354" t="s">
        <v>242</v>
      </c>
      <c r="C948" s="424" t="s">
        <v>49</v>
      </c>
      <c r="D948" s="424" t="s">
        <v>59</v>
      </c>
      <c r="F948" s="354"/>
    </row>
    <row r="949" spans="1:6" hidden="1">
      <c r="A949" s="426">
        <v>341238</v>
      </c>
      <c r="B949" s="354" t="s">
        <v>1283</v>
      </c>
      <c r="C949" s="424" t="s">
        <v>49</v>
      </c>
      <c r="D949" s="424" t="s">
        <v>59</v>
      </c>
      <c r="F949" s="354"/>
    </row>
    <row r="950" spans="1:6" hidden="1">
      <c r="A950" s="426">
        <v>341246</v>
      </c>
      <c r="B950" s="354" t="s">
        <v>1284</v>
      </c>
      <c r="C950" s="424" t="s">
        <v>49</v>
      </c>
      <c r="D950" s="424" t="s">
        <v>59</v>
      </c>
      <c r="F950" s="354"/>
    </row>
    <row r="951" spans="1:6" hidden="1">
      <c r="A951" s="426">
        <v>341247</v>
      </c>
      <c r="B951" s="354" t="s">
        <v>1285</v>
      </c>
      <c r="C951" s="424" t="s">
        <v>49</v>
      </c>
      <c r="D951" s="424" t="s">
        <v>59</v>
      </c>
      <c r="F951" s="354"/>
    </row>
    <row r="952" spans="1:6" hidden="1">
      <c r="A952" s="426">
        <v>341252</v>
      </c>
      <c r="B952" s="354" t="s">
        <v>1286</v>
      </c>
      <c r="C952" s="424" t="s">
        <v>49</v>
      </c>
      <c r="D952" s="424" t="s">
        <v>59</v>
      </c>
      <c r="F952" s="354"/>
    </row>
    <row r="953" spans="1:6" hidden="1">
      <c r="A953" s="426">
        <v>341254</v>
      </c>
      <c r="B953" s="354" t="s">
        <v>1287</v>
      </c>
      <c r="C953" s="424" t="s">
        <v>49</v>
      </c>
      <c r="D953" s="424" t="s">
        <v>59</v>
      </c>
      <c r="F953" s="354"/>
    </row>
    <row r="954" spans="1:6" hidden="1">
      <c r="A954" s="426">
        <v>341255</v>
      </c>
      <c r="B954" s="354" t="s">
        <v>1288</v>
      </c>
      <c r="C954" s="424" t="s">
        <v>49</v>
      </c>
      <c r="D954" s="424" t="s">
        <v>59</v>
      </c>
      <c r="F954" s="354"/>
    </row>
    <row r="955" spans="1:6" hidden="1">
      <c r="A955" s="426">
        <v>341256</v>
      </c>
      <c r="B955" s="354" t="s">
        <v>1289</v>
      </c>
      <c r="C955" s="424" t="s">
        <v>49</v>
      </c>
      <c r="D955" s="424" t="s">
        <v>59</v>
      </c>
      <c r="F955" s="354"/>
    </row>
    <row r="956" spans="1:6" hidden="1">
      <c r="A956" s="426">
        <v>80200122</v>
      </c>
      <c r="B956" s="354" t="s">
        <v>1290</v>
      </c>
      <c r="C956" s="424" t="s">
        <v>144</v>
      </c>
      <c r="D956" s="424" t="s">
        <v>618</v>
      </c>
      <c r="E956" s="424" t="s">
        <v>930</v>
      </c>
      <c r="F956" s="354"/>
    </row>
    <row r="957" spans="1:6" hidden="1">
      <c r="A957" s="426">
        <v>81200122</v>
      </c>
      <c r="B957" s="354" t="s">
        <v>1291</v>
      </c>
      <c r="C957" s="424" t="s">
        <v>144</v>
      </c>
      <c r="D957" s="424" t="s">
        <v>151</v>
      </c>
      <c r="E957" s="424" t="s">
        <v>930</v>
      </c>
      <c r="F957" s="354"/>
    </row>
    <row r="958" spans="1:6" hidden="1">
      <c r="A958" s="426">
        <v>82110116</v>
      </c>
      <c r="B958" s="354" t="s">
        <v>1292</v>
      </c>
      <c r="C958" s="424" t="s">
        <v>144</v>
      </c>
      <c r="D958" s="424" t="s">
        <v>149</v>
      </c>
      <c r="E958" s="424" t="s">
        <v>930</v>
      </c>
      <c r="F958" s="354"/>
    </row>
    <row r="959" spans="1:6" hidden="1">
      <c r="A959" s="426">
        <v>82110117</v>
      </c>
      <c r="B959" s="354" t="s">
        <v>1293</v>
      </c>
      <c r="C959" s="424" t="s">
        <v>144</v>
      </c>
      <c r="D959" s="424" t="s">
        <v>149</v>
      </c>
      <c r="E959" s="424" t="s">
        <v>930</v>
      </c>
      <c r="F959" s="354"/>
    </row>
    <row r="960" spans="1:6" hidden="1">
      <c r="A960" s="426">
        <v>82200122</v>
      </c>
      <c r="B960" s="354" t="s">
        <v>1294</v>
      </c>
      <c r="C960" s="424" t="s">
        <v>144</v>
      </c>
      <c r="D960" s="424" t="s">
        <v>149</v>
      </c>
      <c r="E960" s="424" t="s">
        <v>930</v>
      </c>
      <c r="F960" s="354"/>
    </row>
    <row r="961" spans="1:6" hidden="1">
      <c r="A961" s="426">
        <v>83200122</v>
      </c>
      <c r="B961" s="354" t="s">
        <v>1295</v>
      </c>
      <c r="C961" s="424" t="s">
        <v>144</v>
      </c>
      <c r="D961" s="424" t="s">
        <v>152</v>
      </c>
      <c r="E961" s="424" t="s">
        <v>930</v>
      </c>
      <c r="F961" s="354"/>
    </row>
    <row r="962" spans="1:6" hidden="1">
      <c r="A962" s="426">
        <v>83141001</v>
      </c>
      <c r="B962" s="354" t="s">
        <v>1296</v>
      </c>
      <c r="C962" s="424" t="s">
        <v>144</v>
      </c>
      <c r="D962" s="424" t="s">
        <v>152</v>
      </c>
      <c r="E962" s="424" t="s">
        <v>998</v>
      </c>
      <c r="F962" s="354"/>
    </row>
    <row r="963" spans="1:6" hidden="1">
      <c r="A963" s="426">
        <v>83141002</v>
      </c>
      <c r="B963" s="354" t="s">
        <v>1297</v>
      </c>
      <c r="C963" s="424" t="s">
        <v>144</v>
      </c>
      <c r="D963" s="424" t="s">
        <v>152</v>
      </c>
      <c r="E963" s="424" t="s">
        <v>998</v>
      </c>
      <c r="F963" s="354"/>
    </row>
    <row r="964" spans="1:6" hidden="1">
      <c r="A964" s="426">
        <v>82110915</v>
      </c>
      <c r="B964" s="354" t="s">
        <v>1298</v>
      </c>
      <c r="C964" s="424" t="s">
        <v>144</v>
      </c>
      <c r="D964" s="424" t="s">
        <v>149</v>
      </c>
      <c r="E964" s="424" t="s">
        <v>181</v>
      </c>
      <c r="F964" s="354"/>
    </row>
    <row r="965" spans="1:6" hidden="1">
      <c r="A965" s="426">
        <v>82110916</v>
      </c>
      <c r="B965" s="354" t="s">
        <v>1299</v>
      </c>
      <c r="C965" s="424" t="s">
        <v>144</v>
      </c>
      <c r="D965" s="424" t="s">
        <v>149</v>
      </c>
      <c r="E965" s="424" t="s">
        <v>181</v>
      </c>
      <c r="F965" s="354"/>
    </row>
    <row r="966" spans="1:6" hidden="1">
      <c r="A966" s="426">
        <v>83150208</v>
      </c>
      <c r="B966" s="354" t="s">
        <v>1300</v>
      </c>
      <c r="C966" s="424" t="s">
        <v>144</v>
      </c>
      <c r="D966" s="424" t="s">
        <v>152</v>
      </c>
      <c r="E966" s="424" t="s">
        <v>843</v>
      </c>
      <c r="F966" s="354"/>
    </row>
    <row r="967" spans="1:6" hidden="1">
      <c r="A967" s="426">
        <v>341245</v>
      </c>
      <c r="B967" s="354" t="s">
        <v>1301</v>
      </c>
      <c r="C967" s="424" t="s">
        <v>49</v>
      </c>
      <c r="D967" s="424" t="s">
        <v>59</v>
      </c>
      <c r="F967" s="354"/>
    </row>
    <row r="968" spans="1:6" hidden="1">
      <c r="A968" s="426">
        <v>31103</v>
      </c>
      <c r="B968" s="354" t="s">
        <v>1302</v>
      </c>
      <c r="C968" s="424" t="s">
        <v>49</v>
      </c>
      <c r="D968" s="424" t="s">
        <v>59</v>
      </c>
      <c r="F968" s="354"/>
    </row>
    <row r="969" spans="1:6" hidden="1">
      <c r="A969" s="426">
        <v>83200411</v>
      </c>
      <c r="B969" s="354" t="s">
        <v>1303</v>
      </c>
      <c r="C969" s="424" t="s">
        <v>144</v>
      </c>
      <c r="D969" s="424" t="s">
        <v>152</v>
      </c>
      <c r="E969" s="433" t="s">
        <v>1133</v>
      </c>
      <c r="F969" s="354"/>
    </row>
    <row r="970" spans="1:6" hidden="1">
      <c r="A970" s="354">
        <v>31008</v>
      </c>
      <c r="B970" s="430" t="s">
        <v>1215</v>
      </c>
      <c r="C970" s="424" t="s">
        <v>49</v>
      </c>
      <c r="D970" s="424" t="s">
        <v>1604</v>
      </c>
      <c r="F970" s="354"/>
    </row>
    <row r="971" spans="1:6" hidden="1">
      <c r="A971" s="354">
        <v>341211</v>
      </c>
      <c r="B971" s="430" t="s">
        <v>1351</v>
      </c>
      <c r="C971" s="424" t="s">
        <v>49</v>
      </c>
      <c r="D971" s="424" t="s">
        <v>59</v>
      </c>
      <c r="F971" s="354"/>
    </row>
    <row r="972" spans="1:6" hidden="1">
      <c r="A972" s="516">
        <v>15002</v>
      </c>
      <c r="B972" t="s">
        <v>517</v>
      </c>
      <c r="C972" s="424" t="s">
        <v>49</v>
      </c>
      <c r="D972" s="734" t="s">
        <v>517</v>
      </c>
      <c r="F972" s="354"/>
    </row>
    <row r="973" spans="1:6" hidden="1">
      <c r="A973" s="516">
        <v>30000</v>
      </c>
      <c r="B973" t="s">
        <v>1456</v>
      </c>
      <c r="C973" s="424" t="s">
        <v>49</v>
      </c>
      <c r="D973" s="424" t="s">
        <v>1658</v>
      </c>
      <c r="F973" s="354"/>
    </row>
    <row r="974" spans="1:6" hidden="1">
      <c r="A974" s="516">
        <v>82110913</v>
      </c>
      <c r="B974" t="s">
        <v>1575</v>
      </c>
      <c r="C974" s="424" t="s">
        <v>144</v>
      </c>
      <c r="D974" s="424" t="s">
        <v>149</v>
      </c>
      <c r="E974" s="424" t="s">
        <v>181</v>
      </c>
      <c r="F974" s="354"/>
    </row>
    <row r="975" spans="1:6" hidden="1">
      <c r="A975" s="516">
        <v>83150104</v>
      </c>
      <c r="B975" t="s">
        <v>1576</v>
      </c>
      <c r="C975" s="424" t="s">
        <v>144</v>
      </c>
      <c r="D975" s="424" t="s">
        <v>152</v>
      </c>
      <c r="E975" s="424" t="s">
        <v>843</v>
      </c>
      <c r="F975" s="354"/>
    </row>
    <row r="976" spans="1:6" hidden="1">
      <c r="A976" s="516">
        <v>83150210</v>
      </c>
      <c r="B976" t="s">
        <v>1577</v>
      </c>
      <c r="C976" s="424" t="s">
        <v>144</v>
      </c>
      <c r="D976" s="424" t="s">
        <v>152</v>
      </c>
      <c r="E976" s="424" t="s">
        <v>843</v>
      </c>
      <c r="F976" s="354"/>
    </row>
    <row r="977" spans="1:6" hidden="1">
      <c r="A977" s="516">
        <v>83150211</v>
      </c>
      <c r="B977" t="s">
        <v>1578</v>
      </c>
      <c r="C977" s="424" t="s">
        <v>144</v>
      </c>
      <c r="D977" s="424" t="s">
        <v>152</v>
      </c>
      <c r="E977" s="424" t="s">
        <v>843</v>
      </c>
      <c r="F977" s="354"/>
    </row>
    <row r="978" spans="1:6" hidden="1">
      <c r="A978" s="516">
        <v>83150212</v>
      </c>
      <c r="B978" t="s">
        <v>1579</v>
      </c>
      <c r="C978" s="424" t="s">
        <v>144</v>
      </c>
      <c r="D978" s="424" t="s">
        <v>152</v>
      </c>
      <c r="E978" s="424" t="s">
        <v>843</v>
      </c>
      <c r="F978" s="354"/>
    </row>
    <row r="979" spans="1:6" hidden="1">
      <c r="A979" s="516">
        <v>84200207</v>
      </c>
      <c r="B979" t="s">
        <v>1581</v>
      </c>
      <c r="C979" s="424" t="s">
        <v>144</v>
      </c>
      <c r="D979" s="424" t="s">
        <v>152</v>
      </c>
      <c r="E979" s="424" t="s">
        <v>861</v>
      </c>
      <c r="F979" s="354"/>
    </row>
    <row r="980" spans="1:6" hidden="1">
      <c r="A980" s="516">
        <v>85200207</v>
      </c>
      <c r="B980" t="s">
        <v>1581</v>
      </c>
      <c r="C980" s="424" t="s">
        <v>144</v>
      </c>
      <c r="D980" s="424" t="s">
        <v>152</v>
      </c>
      <c r="E980" s="424" t="s">
        <v>861</v>
      </c>
      <c r="F980" s="354"/>
    </row>
    <row r="981" spans="1:6" hidden="1">
      <c r="A981" s="516">
        <v>80200412</v>
      </c>
      <c r="B981" t="s">
        <v>1612</v>
      </c>
      <c r="C981" s="424" t="s">
        <v>144</v>
      </c>
      <c r="D981" s="424" t="s">
        <v>618</v>
      </c>
      <c r="E981" s="424" t="s">
        <v>157</v>
      </c>
      <c r="F981" s="354"/>
    </row>
    <row r="982" spans="1:6" hidden="1">
      <c r="A982" s="516">
        <v>81200412</v>
      </c>
      <c r="B982" t="s">
        <v>1613</v>
      </c>
      <c r="C982" s="424" t="s">
        <v>144</v>
      </c>
      <c r="D982" s="424" t="s">
        <v>151</v>
      </c>
      <c r="E982" s="424" t="s">
        <v>157</v>
      </c>
      <c r="F982" s="354"/>
    </row>
    <row r="983" spans="1:6" hidden="1">
      <c r="A983" s="516">
        <v>82200412</v>
      </c>
      <c r="B983" t="s">
        <v>1614</v>
      </c>
      <c r="C983" s="424" t="s">
        <v>144</v>
      </c>
      <c r="D983" s="424" t="s">
        <v>149</v>
      </c>
      <c r="E983" s="424" t="s">
        <v>157</v>
      </c>
      <c r="F983" s="354"/>
    </row>
    <row r="984" spans="1:6" hidden="1">
      <c r="A984" s="516">
        <v>83200413</v>
      </c>
      <c r="B984" t="s">
        <v>1615</v>
      </c>
      <c r="C984" s="424" t="s">
        <v>144</v>
      </c>
      <c r="D984" s="424" t="s">
        <v>152</v>
      </c>
      <c r="E984" s="424" t="s">
        <v>157</v>
      </c>
      <c r="F984" s="354"/>
    </row>
    <row r="985" spans="1:6" hidden="1">
      <c r="A985" s="516">
        <v>84200412</v>
      </c>
      <c r="B985" t="s">
        <v>1616</v>
      </c>
      <c r="C985" s="424" t="s">
        <v>144</v>
      </c>
      <c r="D985" s="424" t="s">
        <v>152</v>
      </c>
      <c r="E985" s="424" t="s">
        <v>861</v>
      </c>
      <c r="F985" s="354"/>
    </row>
    <row r="986" spans="1:6" hidden="1">
      <c r="A986" s="516">
        <v>85200412</v>
      </c>
      <c r="B986" t="s">
        <v>1616</v>
      </c>
      <c r="C986" s="424" t="s">
        <v>144</v>
      </c>
      <c r="D986" s="424" t="s">
        <v>152</v>
      </c>
      <c r="E986" s="424" t="s">
        <v>861</v>
      </c>
      <c r="F986" s="354"/>
    </row>
    <row r="987" spans="1:6" hidden="1">
      <c r="A987" s="516">
        <v>340513</v>
      </c>
      <c r="B987" t="s">
        <v>1617</v>
      </c>
      <c r="C987" s="424" t="s">
        <v>49</v>
      </c>
      <c r="D987" s="424" t="s">
        <v>59</v>
      </c>
      <c r="F987" s="354"/>
    </row>
    <row r="988" spans="1:6" hidden="1">
      <c r="A988" s="516">
        <v>30003</v>
      </c>
      <c r="B988" t="s">
        <v>1704</v>
      </c>
      <c r="C988" s="424" t="s">
        <v>49</v>
      </c>
      <c r="D988" s="424" t="s">
        <v>1658</v>
      </c>
      <c r="F988" s="354"/>
    </row>
    <row r="989" spans="1:6" hidden="1">
      <c r="A989" s="516">
        <v>83150209</v>
      </c>
      <c r="B989" t="s">
        <v>1705</v>
      </c>
      <c r="C989" s="424" t="s">
        <v>144</v>
      </c>
      <c r="D989" s="424" t="s">
        <v>152</v>
      </c>
      <c r="E989" s="424" t="s">
        <v>843</v>
      </c>
      <c r="F989" s="354"/>
    </row>
    <row r="990" spans="1:6" hidden="1">
      <c r="A990" s="516">
        <v>15001</v>
      </c>
      <c r="B990" t="s">
        <v>473</v>
      </c>
      <c r="C990" s="424" t="s">
        <v>49</v>
      </c>
      <c r="D990" s="40" t="s">
        <v>1712</v>
      </c>
      <c r="F990" s="354"/>
    </row>
    <row r="991" spans="1:6" hidden="1">
      <c r="A991" s="516">
        <v>27005</v>
      </c>
      <c r="B991" t="s">
        <v>1728</v>
      </c>
      <c r="C991" s="424" t="s">
        <v>49</v>
      </c>
      <c r="D991" s="2" t="s">
        <v>472</v>
      </c>
      <c r="F991" s="354"/>
    </row>
    <row r="992" spans="1:6" hidden="1">
      <c r="A992" s="516">
        <v>60203097</v>
      </c>
      <c r="B992" t="s">
        <v>1729</v>
      </c>
      <c r="C992" s="424" t="s">
        <v>144</v>
      </c>
      <c r="D992" s="761" t="s">
        <v>145</v>
      </c>
      <c r="E992" s="761" t="s">
        <v>145</v>
      </c>
      <c r="F992" s="354"/>
    </row>
    <row r="993" spans="1:6" hidden="1">
      <c r="A993" s="516">
        <v>81090201</v>
      </c>
      <c r="B993" t="s">
        <v>1732</v>
      </c>
      <c r="C993" s="424" t="s">
        <v>144</v>
      </c>
      <c r="D993" s="424" t="s">
        <v>151</v>
      </c>
      <c r="E993" s="424" t="s">
        <v>172</v>
      </c>
      <c r="F993" s="354"/>
    </row>
    <row r="994" spans="1:6" hidden="1">
      <c r="A994" s="516">
        <v>82110127</v>
      </c>
      <c r="B994" t="s">
        <v>1733</v>
      </c>
      <c r="C994" s="424" t="s">
        <v>144</v>
      </c>
      <c r="D994" s="424" t="s">
        <v>149</v>
      </c>
      <c r="E994" s="424" t="s">
        <v>930</v>
      </c>
      <c r="F994" s="354"/>
    </row>
    <row r="995" spans="1:6" hidden="1">
      <c r="A995" s="516">
        <v>82110128</v>
      </c>
      <c r="B995" t="s">
        <v>1734</v>
      </c>
      <c r="C995" s="424" t="s">
        <v>144</v>
      </c>
      <c r="D995" s="424" t="s">
        <v>151</v>
      </c>
      <c r="E995" s="424" t="s">
        <v>930</v>
      </c>
      <c r="F995" s="354"/>
    </row>
    <row r="996" spans="1:6" hidden="1">
      <c r="A996" s="516">
        <v>83140102</v>
      </c>
      <c r="B996" t="s">
        <v>1735</v>
      </c>
      <c r="C996" s="424" t="s">
        <v>144</v>
      </c>
      <c r="D996" s="424" t="s">
        <v>152</v>
      </c>
      <c r="E996" s="424" t="s">
        <v>172</v>
      </c>
      <c r="F996" s="354"/>
    </row>
    <row r="997" spans="1:6" hidden="1">
      <c r="A997" s="516">
        <v>83150301</v>
      </c>
      <c r="B997" t="s">
        <v>1736</v>
      </c>
      <c r="C997" s="424" t="s">
        <v>144</v>
      </c>
      <c r="D997" s="424" t="s">
        <v>152</v>
      </c>
      <c r="E997" s="424" t="s">
        <v>843</v>
      </c>
      <c r="F997" s="354"/>
    </row>
    <row r="998" spans="1:6" hidden="1">
      <c r="A998" s="516">
        <v>83200210</v>
      </c>
      <c r="B998" t="s">
        <v>1737</v>
      </c>
      <c r="C998" s="424" t="s">
        <v>144</v>
      </c>
      <c r="D998" s="424" t="s">
        <v>163</v>
      </c>
      <c r="E998" s="424" t="s">
        <v>1739</v>
      </c>
      <c r="F998" s="354"/>
    </row>
    <row r="999" spans="1:6" hidden="1">
      <c r="A999" s="516">
        <v>60203096</v>
      </c>
      <c r="B999" t="s">
        <v>1738</v>
      </c>
      <c r="C999" s="424" t="s">
        <v>144</v>
      </c>
      <c r="D999" s="424" t="s">
        <v>163</v>
      </c>
      <c r="E999" s="424" t="s">
        <v>1191</v>
      </c>
      <c r="F999" s="354"/>
    </row>
    <row r="1000" spans="1:6" hidden="1">
      <c r="A1000" s="354"/>
      <c r="B1000" s="430"/>
      <c r="F1000" s="354"/>
    </row>
    <row r="1001" spans="1:6" hidden="1">
      <c r="A1001" s="354"/>
      <c r="B1001" s="430"/>
      <c r="F1001" s="354"/>
    </row>
    <row r="1002" spans="1:6" hidden="1">
      <c r="A1002" s="354"/>
      <c r="B1002" s="430"/>
      <c r="F1002" s="354"/>
    </row>
    <row r="1003" spans="1:6" hidden="1">
      <c r="A1003" s="354"/>
      <c r="B1003" s="430"/>
      <c r="F1003" s="354"/>
    </row>
    <row r="1004" spans="1:6" hidden="1">
      <c r="A1004" s="354"/>
      <c r="B1004" s="430"/>
      <c r="F1004" s="354"/>
    </row>
    <row r="1005" spans="1:6" hidden="1">
      <c r="A1005" s="354"/>
      <c r="B1005" s="430"/>
      <c r="F1005" s="354"/>
    </row>
    <row r="1006" spans="1:6" hidden="1">
      <c r="A1006" s="354"/>
      <c r="B1006" s="430"/>
      <c r="F1006" s="354"/>
    </row>
    <row r="1007" spans="1:6" hidden="1">
      <c r="A1007" s="354"/>
      <c r="B1007" s="430"/>
      <c r="F1007" s="354"/>
    </row>
    <row r="1008" spans="1:6" hidden="1">
      <c r="A1008" s="354"/>
      <c r="B1008" s="430"/>
      <c r="F1008" s="354"/>
    </row>
    <row r="1009" spans="1:6" hidden="1">
      <c r="A1009" s="354"/>
      <c r="B1009" s="430"/>
      <c r="F1009" s="354"/>
    </row>
    <row r="1010" spans="1:6" hidden="1">
      <c r="A1010" s="354"/>
      <c r="B1010" s="430"/>
      <c r="F1010" s="354"/>
    </row>
    <row r="1011" spans="1:6" hidden="1">
      <c r="A1011" s="354"/>
      <c r="B1011" s="430"/>
      <c r="F1011" s="354"/>
    </row>
    <row r="1012" spans="1:6" hidden="1">
      <c r="A1012" s="354"/>
      <c r="B1012" s="430"/>
      <c r="F1012" s="354"/>
    </row>
    <row r="1013" spans="1:6" hidden="1">
      <c r="A1013" s="354"/>
      <c r="B1013" s="430"/>
      <c r="F1013" s="354"/>
    </row>
    <row r="1014" spans="1:6" hidden="1">
      <c r="A1014" s="354"/>
      <c r="B1014" s="430"/>
      <c r="F1014" s="354"/>
    </row>
    <row r="1015" spans="1:6" hidden="1">
      <c r="A1015" s="354"/>
      <c r="B1015" s="430"/>
      <c r="F1015" s="354"/>
    </row>
    <row r="1016" spans="1:6" hidden="1">
      <c r="A1016" s="354"/>
      <c r="B1016" s="430"/>
      <c r="F1016" s="354"/>
    </row>
    <row r="1017" spans="1:6" hidden="1">
      <c r="A1017" s="354"/>
      <c r="B1017" s="430"/>
      <c r="F1017" s="354"/>
    </row>
    <row r="1018" spans="1:6" hidden="1">
      <c r="A1018" s="354"/>
      <c r="B1018" s="430"/>
      <c r="F1018" s="354"/>
    </row>
    <row r="1019" spans="1:6" hidden="1">
      <c r="A1019" s="354"/>
      <c r="B1019" s="430"/>
      <c r="F1019" s="354"/>
    </row>
    <row r="1020" spans="1:6" hidden="1">
      <c r="A1020" s="354"/>
      <c r="B1020" s="430"/>
      <c r="F1020" s="354"/>
    </row>
    <row r="1021" spans="1:6" hidden="1">
      <c r="A1021" s="354"/>
      <c r="B1021" s="430"/>
      <c r="F1021" s="354"/>
    </row>
    <row r="1022" spans="1:6" hidden="1">
      <c r="A1022" s="354"/>
      <c r="B1022" s="430"/>
      <c r="F1022" s="354"/>
    </row>
    <row r="1023" spans="1:6" hidden="1">
      <c r="A1023" s="354"/>
      <c r="B1023" s="430"/>
      <c r="F1023" s="354"/>
    </row>
    <row r="1024" spans="1:6" hidden="1">
      <c r="A1024" s="354"/>
      <c r="B1024" s="430"/>
      <c r="F1024" s="354"/>
    </row>
    <row r="1025" spans="1:6" hidden="1">
      <c r="A1025" s="354"/>
      <c r="B1025" s="430"/>
      <c r="F1025" s="354"/>
    </row>
    <row r="1026" spans="1:6" hidden="1">
      <c r="A1026" s="354"/>
      <c r="B1026" s="430"/>
      <c r="F1026" s="354"/>
    </row>
    <row r="1027" spans="1:6" hidden="1">
      <c r="A1027" s="354"/>
      <c r="B1027" s="430"/>
      <c r="F1027" s="354"/>
    </row>
    <row r="1028" spans="1:6" hidden="1">
      <c r="A1028" s="354"/>
      <c r="B1028" s="430"/>
      <c r="F1028" s="354"/>
    </row>
    <row r="1029" spans="1:6" hidden="1">
      <c r="A1029" s="354"/>
      <c r="B1029" s="430"/>
      <c r="F1029" s="354"/>
    </row>
    <row r="1030" spans="1:6" hidden="1">
      <c r="A1030" s="354"/>
      <c r="B1030" s="430"/>
      <c r="F1030" s="354"/>
    </row>
    <row r="1031" spans="1:6" hidden="1">
      <c r="A1031" s="354"/>
      <c r="B1031" s="430"/>
      <c r="F1031" s="354"/>
    </row>
    <row r="1032" spans="1:6" hidden="1">
      <c r="A1032" s="354"/>
      <c r="B1032" s="430"/>
      <c r="F1032" s="354"/>
    </row>
    <row r="1033" spans="1:6" hidden="1">
      <c r="A1033" s="354"/>
      <c r="B1033" s="430"/>
      <c r="F1033" s="354"/>
    </row>
    <row r="1034" spans="1:6" hidden="1">
      <c r="A1034" s="354"/>
      <c r="B1034" s="430"/>
      <c r="F1034" s="354"/>
    </row>
    <row r="1035" spans="1:6" hidden="1">
      <c r="A1035" s="354"/>
      <c r="B1035" s="430"/>
      <c r="F1035" s="354"/>
    </row>
    <row r="1036" spans="1:6" hidden="1">
      <c r="A1036" s="354"/>
      <c r="B1036" s="430"/>
      <c r="F1036" s="354"/>
    </row>
    <row r="1037" spans="1:6" hidden="1">
      <c r="A1037" s="354"/>
      <c r="B1037" s="430"/>
      <c r="F1037" s="354"/>
    </row>
    <row r="1038" spans="1:6" hidden="1">
      <c r="A1038" s="354"/>
      <c r="B1038" s="430"/>
      <c r="F1038" s="354"/>
    </row>
    <row r="1039" spans="1:6" hidden="1">
      <c r="A1039" s="354"/>
      <c r="B1039" s="430"/>
      <c r="F1039" s="354"/>
    </row>
    <row r="1040" spans="1:6" hidden="1">
      <c r="A1040" s="354"/>
      <c r="B1040" s="430"/>
      <c r="F1040" s="354"/>
    </row>
    <row r="1041" spans="1:6" hidden="1">
      <c r="A1041" s="354"/>
      <c r="B1041" s="430"/>
      <c r="F1041" s="354"/>
    </row>
    <row r="1042" spans="1:6" hidden="1">
      <c r="A1042" s="354"/>
      <c r="B1042" s="430"/>
      <c r="F1042" s="354"/>
    </row>
    <row r="1043" spans="1:6" hidden="1">
      <c r="A1043" s="354"/>
      <c r="B1043" s="430"/>
      <c r="F1043" s="354"/>
    </row>
    <row r="1044" spans="1:6" hidden="1">
      <c r="A1044" s="354"/>
      <c r="B1044" s="430"/>
      <c r="F1044" s="354"/>
    </row>
    <row r="1045" spans="1:6" hidden="1">
      <c r="A1045" s="354"/>
      <c r="B1045" s="430"/>
      <c r="F1045" s="354"/>
    </row>
    <row r="1046" spans="1:6" hidden="1">
      <c r="A1046" s="354"/>
      <c r="B1046" s="430"/>
      <c r="F1046" s="354"/>
    </row>
    <row r="1047" spans="1:6" hidden="1">
      <c r="A1047" s="354"/>
      <c r="B1047" s="430"/>
      <c r="F1047" s="354"/>
    </row>
    <row r="1048" spans="1:6" hidden="1">
      <c r="A1048" s="354"/>
      <c r="B1048" s="430"/>
      <c r="F1048" s="354"/>
    </row>
    <row r="1049" spans="1:6" hidden="1">
      <c r="A1049" s="354"/>
      <c r="B1049" s="430"/>
      <c r="F1049" s="354"/>
    </row>
    <row r="1050" spans="1:6" hidden="1">
      <c r="A1050" s="354"/>
      <c r="B1050" s="430"/>
      <c r="F1050" s="354"/>
    </row>
    <row r="1051" spans="1:6" hidden="1">
      <c r="A1051" s="354"/>
      <c r="B1051" s="430"/>
      <c r="F1051" s="354"/>
    </row>
    <row r="1052" spans="1:6" hidden="1">
      <c r="A1052" s="354"/>
      <c r="B1052" s="430"/>
      <c r="F1052" s="354"/>
    </row>
    <row r="1053" spans="1:6" hidden="1">
      <c r="A1053" s="354"/>
      <c r="B1053" s="430"/>
      <c r="F1053" s="354"/>
    </row>
    <row r="1054" spans="1:6" hidden="1">
      <c r="A1054" s="354"/>
      <c r="B1054" s="430"/>
      <c r="F1054" s="354"/>
    </row>
    <row r="1055" spans="1:6" hidden="1">
      <c r="A1055" s="354"/>
      <c r="B1055" s="430"/>
      <c r="F1055" s="354"/>
    </row>
    <row r="1056" spans="1:6" hidden="1">
      <c r="A1056" s="354"/>
      <c r="B1056" s="430"/>
      <c r="F1056" s="354"/>
    </row>
    <row r="1057" spans="1:6" hidden="1">
      <c r="A1057" s="354"/>
      <c r="B1057" s="430"/>
      <c r="F1057" s="354"/>
    </row>
    <row r="1058" spans="1:6" hidden="1">
      <c r="A1058" s="354"/>
      <c r="B1058" s="430"/>
      <c r="F1058" s="354"/>
    </row>
    <row r="1059" spans="1:6" hidden="1">
      <c r="A1059" s="354"/>
      <c r="B1059" s="430"/>
      <c r="F1059" s="354"/>
    </row>
    <row r="1060" spans="1:6" hidden="1">
      <c r="A1060" s="354"/>
      <c r="B1060" s="430"/>
      <c r="F1060" s="354"/>
    </row>
    <row r="1061" spans="1:6" hidden="1">
      <c r="A1061" s="354"/>
      <c r="B1061" s="430"/>
      <c r="F1061" s="354"/>
    </row>
    <row r="1062" spans="1:6" hidden="1">
      <c r="A1062" s="354"/>
      <c r="B1062" s="430"/>
      <c r="F1062" s="354"/>
    </row>
    <row r="1063" spans="1:6" hidden="1">
      <c r="A1063" s="354"/>
      <c r="B1063" s="430"/>
      <c r="F1063" s="354"/>
    </row>
    <row r="1064" spans="1:6" hidden="1">
      <c r="A1064" s="354"/>
      <c r="B1064" s="430"/>
      <c r="F1064" s="354"/>
    </row>
    <row r="1065" spans="1:6" hidden="1">
      <c r="A1065" s="354"/>
      <c r="B1065" s="430"/>
      <c r="F1065" s="354"/>
    </row>
    <row r="1066" spans="1:6" hidden="1">
      <c r="A1066" s="354"/>
      <c r="B1066" s="430"/>
      <c r="F1066" s="354"/>
    </row>
    <row r="1067" spans="1:6" hidden="1">
      <c r="A1067" s="354"/>
      <c r="B1067" s="430"/>
      <c r="F1067" s="354"/>
    </row>
    <row r="1068" spans="1:6" hidden="1">
      <c r="A1068" s="354"/>
      <c r="B1068" s="430"/>
      <c r="F1068" s="354"/>
    </row>
    <row r="1069" spans="1:6" hidden="1">
      <c r="A1069" s="354"/>
      <c r="B1069" s="430"/>
      <c r="F1069" s="354"/>
    </row>
    <row r="1070" spans="1:6" hidden="1">
      <c r="A1070" s="354"/>
      <c r="B1070" s="430"/>
      <c r="F1070" s="354"/>
    </row>
    <row r="1071" spans="1:6" hidden="1">
      <c r="A1071" s="354"/>
      <c r="B1071" s="430"/>
      <c r="F1071" s="354"/>
    </row>
    <row r="1072" spans="1:6" hidden="1">
      <c r="A1072" s="354"/>
      <c r="B1072" s="430"/>
      <c r="F1072" s="354"/>
    </row>
    <row r="1073" spans="1:6" hidden="1">
      <c r="A1073" s="354"/>
      <c r="B1073" s="430"/>
      <c r="F1073" s="354"/>
    </row>
    <row r="1074" spans="1:6" hidden="1">
      <c r="A1074" s="354"/>
      <c r="B1074" s="430"/>
      <c r="F1074" s="354"/>
    </row>
    <row r="1075" spans="1:6" hidden="1">
      <c r="A1075" s="354"/>
      <c r="B1075" s="430"/>
      <c r="F1075" s="354"/>
    </row>
    <row r="1076" spans="1:6" hidden="1">
      <c r="A1076" s="354"/>
      <c r="B1076" s="430"/>
      <c r="F1076" s="354"/>
    </row>
    <row r="1077" spans="1:6" hidden="1">
      <c r="A1077" s="354"/>
      <c r="B1077" s="430"/>
      <c r="F1077" s="354"/>
    </row>
    <row r="1078" spans="1:6" hidden="1">
      <c r="A1078" s="354"/>
      <c r="B1078" s="430"/>
      <c r="F1078" s="354"/>
    </row>
    <row r="1079" spans="1:6" hidden="1">
      <c r="A1079" s="354"/>
      <c r="B1079" s="430"/>
      <c r="F1079" s="354"/>
    </row>
    <row r="1080" spans="1:6" hidden="1">
      <c r="A1080" s="354"/>
      <c r="B1080" s="430"/>
      <c r="F1080" s="354"/>
    </row>
    <row r="1081" spans="1:6" hidden="1">
      <c r="A1081" s="354"/>
      <c r="B1081" s="430"/>
      <c r="F1081" s="354"/>
    </row>
    <row r="1082" spans="1:6" hidden="1">
      <c r="A1082" s="354"/>
      <c r="B1082" s="430"/>
      <c r="F1082" s="354"/>
    </row>
    <row r="1083" spans="1:6" hidden="1">
      <c r="A1083" s="354"/>
      <c r="B1083" s="430"/>
      <c r="F1083" s="354"/>
    </row>
    <row r="1084" spans="1:6" hidden="1">
      <c r="A1084" s="354"/>
      <c r="B1084" s="430"/>
      <c r="F1084" s="354"/>
    </row>
    <row r="1085" spans="1:6" hidden="1">
      <c r="A1085" s="354"/>
      <c r="B1085" s="430"/>
      <c r="F1085" s="354"/>
    </row>
    <row r="1086" spans="1:6" hidden="1">
      <c r="A1086" s="354"/>
      <c r="B1086" s="430"/>
      <c r="F1086" s="354"/>
    </row>
    <row r="1087" spans="1:6" hidden="1">
      <c r="A1087" s="354"/>
      <c r="B1087" s="430"/>
      <c r="F1087" s="354"/>
    </row>
    <row r="1088" spans="1:6" hidden="1">
      <c r="A1088" s="354"/>
      <c r="B1088" s="430"/>
      <c r="F1088" s="354"/>
    </row>
    <row r="1089" spans="1:6" hidden="1">
      <c r="A1089" s="354"/>
      <c r="B1089" s="430"/>
      <c r="F1089" s="354"/>
    </row>
    <row r="1090" spans="1:6" hidden="1">
      <c r="A1090" s="354"/>
      <c r="B1090" s="430"/>
      <c r="F1090" s="354"/>
    </row>
    <row r="1091" spans="1:6" hidden="1">
      <c r="A1091" s="354"/>
      <c r="B1091" s="430"/>
      <c r="F1091" s="354"/>
    </row>
    <row r="1092" spans="1:6" hidden="1">
      <c r="A1092" s="354"/>
      <c r="B1092" s="430"/>
      <c r="F1092" s="354"/>
    </row>
    <row r="1093" spans="1:6" hidden="1">
      <c r="A1093" s="354"/>
      <c r="B1093" s="430"/>
      <c r="F1093" s="354"/>
    </row>
    <row r="1094" spans="1:6" hidden="1">
      <c r="A1094" s="354"/>
      <c r="B1094" s="430"/>
      <c r="F1094" s="354"/>
    </row>
    <row r="1095" spans="1:6" hidden="1">
      <c r="A1095" s="354"/>
      <c r="B1095" s="430"/>
      <c r="F1095" s="354"/>
    </row>
    <row r="1096" spans="1:6" hidden="1">
      <c r="A1096" s="354"/>
      <c r="B1096" s="430"/>
      <c r="F1096" s="354"/>
    </row>
    <row r="1097" spans="1:6" hidden="1">
      <c r="A1097" s="354"/>
      <c r="B1097" s="430"/>
      <c r="F1097" s="354"/>
    </row>
    <row r="1098" spans="1:6" hidden="1">
      <c r="A1098" s="354"/>
      <c r="B1098" s="430"/>
      <c r="F1098" s="354"/>
    </row>
    <row r="1099" spans="1:6" hidden="1">
      <c r="A1099" s="354"/>
      <c r="B1099" s="430"/>
      <c r="F1099" s="354"/>
    </row>
    <row r="1100" spans="1:6" hidden="1">
      <c r="A1100" s="354"/>
      <c r="B1100" s="430"/>
      <c r="F1100" s="354"/>
    </row>
    <row r="1101" spans="1:6" hidden="1">
      <c r="A1101" s="354"/>
      <c r="B1101" s="430"/>
      <c r="F1101" s="354"/>
    </row>
    <row r="1102" spans="1:6" hidden="1">
      <c r="A1102" s="354"/>
      <c r="B1102" s="430"/>
      <c r="F1102" s="354"/>
    </row>
    <row r="1103" spans="1:6" hidden="1">
      <c r="A1103" s="354"/>
      <c r="B1103" s="430"/>
      <c r="F1103" s="354"/>
    </row>
    <row r="1104" spans="1:6" hidden="1">
      <c r="A1104" s="354"/>
      <c r="B1104" s="430"/>
      <c r="F1104" s="354"/>
    </row>
    <row r="1105" spans="1:6" hidden="1">
      <c r="A1105" s="354"/>
      <c r="B1105" s="430"/>
      <c r="F1105" s="354"/>
    </row>
    <row r="1106" spans="1:6" hidden="1">
      <c r="A1106" s="354"/>
      <c r="B1106" s="430"/>
      <c r="F1106" s="354"/>
    </row>
    <row r="1107" spans="1:6" hidden="1">
      <c r="A1107" s="354"/>
      <c r="B1107" s="430"/>
      <c r="F1107" s="354"/>
    </row>
    <row r="1108" spans="1:6" hidden="1">
      <c r="A1108" s="354"/>
      <c r="B1108" s="430"/>
      <c r="F1108" s="354"/>
    </row>
    <row r="1109" spans="1:6" hidden="1">
      <c r="A1109" s="354"/>
      <c r="B1109" s="430"/>
      <c r="F1109" s="354"/>
    </row>
    <row r="1110" spans="1:6" hidden="1">
      <c r="A1110" s="354"/>
      <c r="B1110" s="430"/>
      <c r="F1110" s="354"/>
    </row>
    <row r="1111" spans="1:6" hidden="1">
      <c r="A1111" s="354"/>
      <c r="B1111" s="430"/>
      <c r="F1111" s="354"/>
    </row>
    <row r="1112" spans="1:6" hidden="1">
      <c r="A1112" s="354"/>
      <c r="B1112" s="430"/>
      <c r="F1112" s="354"/>
    </row>
    <row r="1113" spans="1:6" hidden="1">
      <c r="A1113" s="354"/>
      <c r="B1113" s="430"/>
      <c r="F1113" s="354"/>
    </row>
    <row r="1114" spans="1:6" hidden="1">
      <c r="A1114" s="354"/>
      <c r="B1114" s="430"/>
      <c r="F1114" s="354"/>
    </row>
    <row r="1115" spans="1:6" hidden="1">
      <c r="A1115" s="354"/>
      <c r="B1115" s="430"/>
      <c r="F1115" s="354"/>
    </row>
    <row r="1116" spans="1:6" hidden="1">
      <c r="A1116" s="354"/>
      <c r="B1116" s="430"/>
      <c r="F1116" s="354"/>
    </row>
    <row r="1117" spans="1:6" hidden="1">
      <c r="A1117" s="354"/>
      <c r="B1117" s="430"/>
      <c r="F1117" s="354"/>
    </row>
    <row r="1118" spans="1:6" hidden="1">
      <c r="A1118" s="354"/>
      <c r="B1118" s="430"/>
      <c r="F1118" s="354"/>
    </row>
    <row r="1119" spans="1:6" hidden="1">
      <c r="A1119" s="354"/>
      <c r="B1119" s="430"/>
      <c r="F1119" s="354"/>
    </row>
    <row r="1120" spans="1:6" hidden="1">
      <c r="A1120" s="354"/>
      <c r="B1120" s="430"/>
      <c r="F1120" s="354"/>
    </row>
    <row r="1121" spans="1:6" hidden="1">
      <c r="A1121" s="354"/>
      <c r="B1121" s="430"/>
      <c r="F1121" s="354"/>
    </row>
    <row r="1122" spans="1:6" hidden="1">
      <c r="A1122" s="354"/>
      <c r="B1122" s="430"/>
      <c r="F1122" s="354"/>
    </row>
    <row r="1123" spans="1:6" hidden="1">
      <c r="A1123" s="354"/>
      <c r="B1123" s="430"/>
      <c r="F1123" s="354"/>
    </row>
    <row r="1124" spans="1:6" hidden="1">
      <c r="A1124" s="354"/>
      <c r="B1124" s="430"/>
      <c r="F1124" s="354"/>
    </row>
    <row r="1125" spans="1:6" hidden="1">
      <c r="A1125" s="354"/>
      <c r="B1125" s="430"/>
      <c r="F1125" s="354"/>
    </row>
    <row r="1126" spans="1:6" hidden="1">
      <c r="A1126" s="354"/>
      <c r="B1126" s="430"/>
      <c r="F1126" s="354"/>
    </row>
    <row r="1127" spans="1:6" hidden="1">
      <c r="A1127" s="354"/>
      <c r="B1127" s="430"/>
      <c r="F1127" s="354"/>
    </row>
    <row r="1128" spans="1:6" hidden="1">
      <c r="A1128" s="354"/>
      <c r="B1128" s="430"/>
      <c r="F1128" s="354"/>
    </row>
    <row r="1129" spans="1:6" hidden="1">
      <c r="A1129" s="354"/>
      <c r="B1129" s="430"/>
      <c r="F1129" s="354"/>
    </row>
    <row r="1130" spans="1:6" hidden="1">
      <c r="A1130" s="354"/>
      <c r="B1130" s="430"/>
      <c r="F1130" s="354"/>
    </row>
    <row r="1131" spans="1:6" hidden="1">
      <c r="A1131" s="354"/>
      <c r="B1131" s="430"/>
      <c r="F1131" s="354"/>
    </row>
    <row r="1132" spans="1:6" hidden="1">
      <c r="A1132" s="354"/>
      <c r="B1132" s="430"/>
      <c r="F1132" s="354"/>
    </row>
    <row r="1133" spans="1:6" hidden="1">
      <c r="A1133" s="354"/>
      <c r="B1133" s="430"/>
      <c r="F1133" s="354"/>
    </row>
    <row r="1134" spans="1:6" hidden="1">
      <c r="A1134" s="354"/>
      <c r="B1134" s="430"/>
      <c r="F1134" s="354"/>
    </row>
    <row r="1135" spans="1:6" hidden="1">
      <c r="A1135" s="354"/>
      <c r="B1135" s="430"/>
      <c r="F1135" s="354"/>
    </row>
    <row r="1136" spans="1:6" hidden="1">
      <c r="A1136" s="354"/>
      <c r="B1136" s="430"/>
      <c r="F1136" s="354"/>
    </row>
    <row r="1137" spans="1:6" hidden="1">
      <c r="A1137" s="354"/>
      <c r="B1137" s="430"/>
      <c r="F1137" s="354"/>
    </row>
    <row r="1138" spans="1:6" hidden="1">
      <c r="A1138" s="354"/>
      <c r="B1138" s="430"/>
      <c r="F1138" s="354"/>
    </row>
    <row r="1139" spans="1:6" hidden="1">
      <c r="A1139" s="354"/>
      <c r="B1139" s="430"/>
      <c r="F1139" s="354"/>
    </row>
    <row r="1140" spans="1:6" hidden="1">
      <c r="A1140" s="354"/>
      <c r="B1140" s="430"/>
      <c r="F1140" s="354"/>
    </row>
    <row r="1141" spans="1:6" hidden="1">
      <c r="A1141" s="354"/>
      <c r="B1141" s="430"/>
      <c r="F1141" s="354"/>
    </row>
    <row r="1142" spans="1:6" hidden="1">
      <c r="A1142" s="354"/>
      <c r="B1142" s="430"/>
      <c r="F1142" s="354"/>
    </row>
    <row r="1143" spans="1:6" hidden="1">
      <c r="A1143" s="354"/>
      <c r="B1143" s="430"/>
      <c r="F1143" s="354"/>
    </row>
    <row r="1144" spans="1:6" hidden="1">
      <c r="A1144" s="354"/>
      <c r="B1144" s="430"/>
      <c r="F1144" s="354"/>
    </row>
    <row r="1145" spans="1:6" hidden="1">
      <c r="A1145" s="354"/>
      <c r="B1145" s="430"/>
      <c r="F1145" s="354"/>
    </row>
    <row r="1146" spans="1:6" hidden="1">
      <c r="A1146" s="354"/>
      <c r="B1146" s="430"/>
      <c r="F1146" s="354"/>
    </row>
    <row r="1147" spans="1:6" hidden="1">
      <c r="A1147" s="354"/>
      <c r="B1147" s="430"/>
      <c r="F1147" s="354"/>
    </row>
    <row r="1148" spans="1:6" hidden="1">
      <c r="A1148" s="354"/>
      <c r="B1148" s="430"/>
      <c r="F1148" s="354"/>
    </row>
    <row r="1149" spans="1:6" hidden="1">
      <c r="A1149" s="354"/>
      <c r="B1149" s="430"/>
      <c r="F1149" s="354"/>
    </row>
    <row r="1150" spans="1:6" hidden="1">
      <c r="A1150" s="354"/>
      <c r="B1150" s="430"/>
      <c r="F1150" s="354"/>
    </row>
    <row r="1151" spans="1:6" hidden="1">
      <c r="A1151" s="354"/>
      <c r="B1151" s="430"/>
      <c r="F1151" s="354"/>
    </row>
    <row r="1152" spans="1:6" hidden="1">
      <c r="A1152" s="354"/>
      <c r="B1152" s="430"/>
      <c r="F1152" s="354"/>
    </row>
    <row r="1153" spans="1:6" hidden="1">
      <c r="A1153" s="354"/>
      <c r="B1153" s="430"/>
      <c r="F1153" s="354"/>
    </row>
    <row r="1154" spans="1:6" hidden="1">
      <c r="A1154" s="354"/>
      <c r="B1154" s="430"/>
      <c r="F1154" s="354"/>
    </row>
    <row r="1155" spans="1:6" hidden="1">
      <c r="A1155" s="354"/>
      <c r="B1155" s="430"/>
      <c r="F1155" s="354"/>
    </row>
    <row r="1156" spans="1:6" hidden="1">
      <c r="A1156" s="354"/>
      <c r="B1156" s="430"/>
      <c r="F1156" s="354"/>
    </row>
    <row r="1157" spans="1:6" hidden="1">
      <c r="A1157" s="354"/>
      <c r="B1157" s="430"/>
      <c r="F1157" s="354"/>
    </row>
    <row r="1158" spans="1:6" hidden="1">
      <c r="A1158" s="354"/>
      <c r="B1158" s="430"/>
      <c r="F1158" s="354"/>
    </row>
    <row r="1159" spans="1:6" hidden="1">
      <c r="A1159" s="354"/>
      <c r="B1159" s="430"/>
      <c r="F1159" s="354"/>
    </row>
    <row r="1160" spans="1:6" hidden="1">
      <c r="A1160" s="354"/>
      <c r="B1160" s="430"/>
      <c r="F1160" s="354"/>
    </row>
    <row r="1161" spans="1:6" hidden="1">
      <c r="A1161" s="354"/>
      <c r="B1161" s="430"/>
      <c r="F1161" s="354"/>
    </row>
    <row r="1162" spans="1:6" hidden="1">
      <c r="A1162" s="354"/>
      <c r="B1162" s="430"/>
      <c r="F1162" s="354"/>
    </row>
    <row r="1163" spans="1:6" hidden="1">
      <c r="A1163" s="354"/>
      <c r="B1163" s="430"/>
      <c r="F1163" s="354"/>
    </row>
    <row r="1164" spans="1:6" hidden="1">
      <c r="A1164" s="354"/>
      <c r="B1164" s="430"/>
      <c r="F1164" s="354"/>
    </row>
    <row r="1165" spans="1:6" hidden="1">
      <c r="A1165" s="354"/>
      <c r="B1165" s="430"/>
      <c r="F1165" s="354"/>
    </row>
    <row r="1166" spans="1:6" hidden="1">
      <c r="A1166" s="354"/>
      <c r="B1166" s="430"/>
      <c r="F1166" s="354"/>
    </row>
    <row r="1167" spans="1:6" hidden="1">
      <c r="A1167" s="354"/>
      <c r="B1167" s="430"/>
      <c r="F1167" s="354"/>
    </row>
    <row r="1168" spans="1:6" hidden="1">
      <c r="A1168" s="354"/>
      <c r="B1168" s="430"/>
      <c r="F1168" s="354"/>
    </row>
    <row r="1169" spans="1:6" hidden="1">
      <c r="A1169" s="354"/>
      <c r="B1169" s="430"/>
      <c r="F1169" s="354"/>
    </row>
    <row r="1170" spans="1:6" hidden="1">
      <c r="A1170" s="354"/>
      <c r="B1170" s="430"/>
      <c r="F1170" s="354"/>
    </row>
    <row r="1171" spans="1:6" hidden="1">
      <c r="A1171" s="354"/>
      <c r="B1171" s="430"/>
      <c r="F1171" s="354"/>
    </row>
    <row r="1172" spans="1:6" hidden="1">
      <c r="A1172" s="354"/>
      <c r="B1172" s="430"/>
      <c r="F1172" s="354"/>
    </row>
    <row r="1173" spans="1:6" hidden="1">
      <c r="A1173" s="354"/>
      <c r="B1173" s="430"/>
      <c r="F1173" s="354"/>
    </row>
    <row r="1174" spans="1:6" hidden="1">
      <c r="A1174" s="354"/>
      <c r="B1174" s="430"/>
      <c r="F1174" s="354"/>
    </row>
    <row r="1175" spans="1:6" hidden="1">
      <c r="A1175" s="354"/>
      <c r="B1175" s="430"/>
      <c r="F1175" s="354"/>
    </row>
    <row r="1176" spans="1:6" hidden="1">
      <c r="A1176" s="354"/>
      <c r="B1176" s="430"/>
      <c r="F1176" s="354"/>
    </row>
    <row r="1177" spans="1:6" hidden="1">
      <c r="A1177" s="354"/>
      <c r="B1177" s="430"/>
      <c r="F1177" s="354"/>
    </row>
    <row r="1178" spans="1:6" hidden="1">
      <c r="A1178" s="354"/>
      <c r="B1178" s="430"/>
      <c r="F1178" s="354"/>
    </row>
    <row r="1179" spans="1:6" hidden="1">
      <c r="A1179" s="354"/>
      <c r="B1179" s="430"/>
      <c r="F1179" s="354"/>
    </row>
    <row r="1180" spans="1:6" hidden="1">
      <c r="A1180" s="354"/>
      <c r="B1180" s="430"/>
      <c r="F1180" s="354"/>
    </row>
    <row r="1181" spans="1:6" hidden="1">
      <c r="A1181" s="354"/>
      <c r="B1181" s="430"/>
      <c r="F1181" s="354"/>
    </row>
    <row r="1182" spans="1:6" hidden="1">
      <c r="A1182" s="354"/>
      <c r="B1182" s="430"/>
      <c r="F1182" s="354"/>
    </row>
    <row r="1183" spans="1:6" hidden="1">
      <c r="A1183" s="354"/>
      <c r="B1183" s="430"/>
      <c r="F1183" s="354"/>
    </row>
    <row r="1184" spans="1:6" hidden="1">
      <c r="A1184" s="354"/>
      <c r="B1184" s="430"/>
      <c r="F1184" s="354"/>
    </row>
    <row r="1185" spans="1:6" hidden="1">
      <c r="A1185" s="354"/>
      <c r="B1185" s="430"/>
      <c r="F1185" s="354"/>
    </row>
    <row r="1186" spans="1:6" hidden="1">
      <c r="A1186" s="354"/>
      <c r="B1186" s="430"/>
      <c r="F1186" s="354"/>
    </row>
    <row r="1187" spans="1:6" hidden="1">
      <c r="A1187" s="354"/>
      <c r="B1187" s="430"/>
      <c r="F1187" s="354"/>
    </row>
    <row r="1188" spans="1:6" hidden="1">
      <c r="A1188" s="354"/>
      <c r="B1188" s="430"/>
      <c r="F1188" s="354"/>
    </row>
    <row r="1189" spans="1:6" hidden="1">
      <c r="A1189" s="354"/>
      <c r="B1189" s="430"/>
      <c r="F1189" s="354"/>
    </row>
    <row r="1190" spans="1:6" hidden="1">
      <c r="A1190" s="354"/>
      <c r="B1190" s="430"/>
      <c r="F1190" s="354"/>
    </row>
    <row r="1191" spans="1:6" hidden="1">
      <c r="A1191" s="354"/>
      <c r="B1191" s="430"/>
      <c r="F1191" s="354"/>
    </row>
    <row r="1192" spans="1:6" hidden="1">
      <c r="A1192" s="354"/>
      <c r="B1192" s="430"/>
      <c r="F1192" s="354"/>
    </row>
    <row r="1193" spans="1:6" hidden="1">
      <c r="A1193" s="354"/>
      <c r="B1193" s="430"/>
      <c r="F1193" s="354"/>
    </row>
    <row r="1194" spans="1:6" hidden="1">
      <c r="A1194" s="354"/>
      <c r="B1194" s="430"/>
      <c r="F1194" s="354"/>
    </row>
    <row r="1195" spans="1:6" hidden="1">
      <c r="A1195" s="354"/>
      <c r="B1195" s="430"/>
      <c r="F1195" s="354"/>
    </row>
    <row r="1196" spans="1:6" hidden="1">
      <c r="A1196" s="354"/>
      <c r="B1196" s="430"/>
      <c r="F1196" s="354"/>
    </row>
    <row r="1197" spans="1:6" hidden="1">
      <c r="A1197" s="354"/>
      <c r="B1197" s="430"/>
      <c r="F1197" s="354"/>
    </row>
    <row r="1198" spans="1:6" hidden="1">
      <c r="A1198" s="354"/>
      <c r="B1198" s="430"/>
      <c r="F1198" s="354"/>
    </row>
    <row r="1199" spans="1:6" hidden="1">
      <c r="A1199" s="354"/>
      <c r="B1199" s="430"/>
      <c r="F1199" s="354"/>
    </row>
    <row r="1200" spans="1:6" hidden="1">
      <c r="A1200" s="354"/>
      <c r="B1200" s="430"/>
      <c r="F1200" s="354"/>
    </row>
    <row r="1201" spans="1:6" hidden="1">
      <c r="A1201" s="354"/>
      <c r="B1201" s="430"/>
      <c r="F1201" s="354"/>
    </row>
    <row r="1202" spans="1:6" hidden="1">
      <c r="A1202" s="354"/>
      <c r="B1202" s="430"/>
      <c r="F1202" s="354"/>
    </row>
    <row r="1203" spans="1:6" hidden="1">
      <c r="A1203" s="354"/>
      <c r="B1203" s="430"/>
      <c r="F1203" s="354"/>
    </row>
    <row r="1204" spans="1:6" hidden="1">
      <c r="A1204" s="354"/>
      <c r="B1204" s="430"/>
      <c r="F1204" s="354"/>
    </row>
    <row r="1205" spans="1:6" hidden="1">
      <c r="A1205" s="354"/>
      <c r="B1205" s="430"/>
      <c r="F1205" s="354"/>
    </row>
    <row r="1206" spans="1:6" hidden="1">
      <c r="A1206" s="354"/>
      <c r="B1206" s="430"/>
      <c r="F1206" s="354"/>
    </row>
    <row r="1207" spans="1:6" hidden="1">
      <c r="A1207" s="354"/>
      <c r="B1207" s="430"/>
      <c r="F1207" s="354"/>
    </row>
    <row r="1208" spans="1:6" hidden="1">
      <c r="A1208" s="354"/>
      <c r="B1208" s="430"/>
      <c r="F1208" s="354"/>
    </row>
    <row r="1209" spans="1:6" hidden="1">
      <c r="A1209" s="354"/>
      <c r="B1209" s="430"/>
      <c r="F1209" s="354"/>
    </row>
    <row r="1210" spans="1:6" hidden="1">
      <c r="A1210" s="354"/>
      <c r="B1210" s="430"/>
      <c r="F1210" s="354"/>
    </row>
    <row r="1211" spans="1:6" hidden="1">
      <c r="A1211" s="354"/>
      <c r="B1211" s="430"/>
      <c r="F1211" s="354"/>
    </row>
    <row r="1212" spans="1:6" hidden="1">
      <c r="A1212" s="354"/>
      <c r="B1212" s="430"/>
      <c r="F1212" s="354"/>
    </row>
    <row r="1213" spans="1:6" hidden="1">
      <c r="A1213" s="354"/>
      <c r="B1213" s="430"/>
      <c r="F1213" s="354"/>
    </row>
    <row r="1214" spans="1:6" hidden="1">
      <c r="A1214" s="354"/>
      <c r="B1214" s="430"/>
      <c r="F1214" s="354"/>
    </row>
    <row r="1215" spans="1:6" hidden="1">
      <c r="A1215" s="354"/>
      <c r="B1215" s="430"/>
      <c r="F1215" s="354"/>
    </row>
    <row r="1216" spans="1:6" hidden="1">
      <c r="A1216" s="354"/>
      <c r="B1216" s="430"/>
      <c r="F1216" s="354"/>
    </row>
    <row r="1217" spans="1:6" hidden="1">
      <c r="A1217" s="354"/>
      <c r="B1217" s="430"/>
      <c r="F1217" s="354"/>
    </row>
    <row r="1218" spans="1:6" hidden="1">
      <c r="A1218" s="354"/>
      <c r="B1218" s="430"/>
      <c r="F1218" s="354"/>
    </row>
    <row r="1219" spans="1:6" hidden="1">
      <c r="A1219" s="354"/>
      <c r="B1219" s="430"/>
      <c r="F1219" s="354"/>
    </row>
    <row r="1220" spans="1:6" hidden="1">
      <c r="A1220" s="354"/>
      <c r="B1220" s="430"/>
      <c r="F1220" s="354"/>
    </row>
    <row r="1221" spans="1:6" hidden="1">
      <c r="A1221" s="354"/>
      <c r="B1221" s="430"/>
      <c r="F1221" s="354"/>
    </row>
    <row r="1222" spans="1:6" hidden="1">
      <c r="A1222" s="354"/>
      <c r="B1222" s="430"/>
      <c r="F1222" s="354"/>
    </row>
    <row r="1223" spans="1:6" hidden="1">
      <c r="A1223" s="354"/>
      <c r="B1223" s="430"/>
      <c r="F1223" s="354"/>
    </row>
    <row r="1224" spans="1:6" hidden="1">
      <c r="A1224" s="354"/>
      <c r="B1224" s="430"/>
      <c r="F1224" s="354"/>
    </row>
    <row r="1225" spans="1:6" hidden="1">
      <c r="A1225" s="354"/>
      <c r="B1225" s="430"/>
      <c r="F1225" s="354"/>
    </row>
    <row r="1226" spans="1:6" hidden="1">
      <c r="A1226" s="354"/>
      <c r="B1226" s="430"/>
      <c r="F1226" s="354"/>
    </row>
    <row r="1227" spans="1:6" hidden="1">
      <c r="A1227" s="354"/>
      <c r="B1227" s="430"/>
      <c r="F1227" s="354"/>
    </row>
    <row r="1228" spans="1:6" hidden="1">
      <c r="A1228" s="354"/>
      <c r="B1228" s="430"/>
      <c r="F1228" s="354"/>
    </row>
    <row r="1229" spans="1:6" hidden="1">
      <c r="A1229" s="354"/>
      <c r="B1229" s="430"/>
      <c r="F1229" s="354"/>
    </row>
    <row r="1230" spans="1:6" hidden="1">
      <c r="A1230" s="354"/>
      <c r="B1230" s="430"/>
      <c r="F1230" s="354"/>
    </row>
    <row r="1231" spans="1:6" hidden="1">
      <c r="A1231" s="354"/>
      <c r="B1231" s="430"/>
      <c r="F1231" s="354"/>
    </row>
    <row r="1232" spans="1:6" hidden="1">
      <c r="A1232" s="354"/>
      <c r="B1232" s="430"/>
      <c r="F1232" s="354"/>
    </row>
    <row r="1233" spans="1:6" hidden="1">
      <c r="A1233" s="354"/>
      <c r="B1233" s="430"/>
      <c r="F1233" s="354"/>
    </row>
    <row r="1234" spans="1:6" hidden="1">
      <c r="A1234" s="354"/>
      <c r="B1234" s="430"/>
      <c r="F1234" s="354"/>
    </row>
    <row r="1235" spans="1:6" hidden="1">
      <c r="A1235" s="354"/>
      <c r="B1235" s="430"/>
      <c r="F1235" s="354"/>
    </row>
    <row r="1236" spans="1:6" hidden="1">
      <c r="A1236" s="354"/>
      <c r="B1236" s="430"/>
      <c r="F1236" s="354"/>
    </row>
    <row r="1237" spans="1:6" hidden="1">
      <c r="A1237" s="354"/>
      <c r="B1237" s="430"/>
      <c r="F1237" s="354"/>
    </row>
    <row r="1238" spans="1:6" hidden="1">
      <c r="A1238" s="354"/>
      <c r="B1238" s="430"/>
      <c r="F1238" s="354"/>
    </row>
    <row r="1239" spans="1:6" hidden="1">
      <c r="A1239" s="354"/>
      <c r="B1239" s="430"/>
      <c r="F1239" s="354"/>
    </row>
    <row r="1240" spans="1:6" hidden="1">
      <c r="A1240" s="354"/>
      <c r="B1240" s="430"/>
      <c r="F1240" s="354"/>
    </row>
    <row r="1241" spans="1:6" hidden="1">
      <c r="A1241" s="354"/>
      <c r="B1241" s="430"/>
      <c r="F1241" s="354"/>
    </row>
    <row r="1242" spans="1:6" hidden="1">
      <c r="A1242" s="354"/>
      <c r="B1242" s="430"/>
      <c r="F1242" s="354"/>
    </row>
    <row r="1243" spans="1:6" hidden="1">
      <c r="A1243" s="354"/>
      <c r="B1243" s="430"/>
      <c r="F1243" s="354"/>
    </row>
    <row r="1244" spans="1:6" hidden="1">
      <c r="A1244" s="354"/>
      <c r="B1244" s="430"/>
      <c r="F1244" s="354"/>
    </row>
    <row r="1245" spans="1:6" hidden="1">
      <c r="A1245" s="354"/>
      <c r="B1245" s="430"/>
      <c r="F1245" s="354"/>
    </row>
    <row r="1246" spans="1:6" hidden="1">
      <c r="A1246" s="354"/>
      <c r="B1246" s="430"/>
      <c r="F1246" s="354"/>
    </row>
    <row r="1247" spans="1:6" hidden="1">
      <c r="A1247" s="354"/>
      <c r="B1247" s="430"/>
      <c r="F1247" s="354"/>
    </row>
    <row r="1248" spans="1:6" hidden="1">
      <c r="A1248" s="354"/>
      <c r="B1248" s="430"/>
      <c r="F1248" s="354"/>
    </row>
    <row r="1249" spans="1:6" hidden="1">
      <c r="A1249" s="354"/>
      <c r="B1249" s="430"/>
      <c r="F1249" s="354"/>
    </row>
    <row r="1250" spans="1:6" hidden="1">
      <c r="A1250" s="354"/>
      <c r="B1250" s="430"/>
      <c r="F1250" s="354"/>
    </row>
    <row r="1251" spans="1:6" hidden="1">
      <c r="A1251" s="354"/>
      <c r="B1251" s="430"/>
      <c r="F1251" s="354"/>
    </row>
    <row r="1252" spans="1:6" hidden="1">
      <c r="A1252" s="354"/>
      <c r="B1252" s="430"/>
      <c r="F1252" s="354"/>
    </row>
    <row r="1253" spans="1:6" hidden="1">
      <c r="A1253" s="354"/>
      <c r="B1253" s="430"/>
      <c r="F1253" s="354"/>
    </row>
    <row r="1254" spans="1:6" hidden="1">
      <c r="A1254" s="354"/>
      <c r="B1254" s="430"/>
      <c r="F1254" s="354"/>
    </row>
    <row r="1255" spans="1:6" hidden="1">
      <c r="A1255" s="354"/>
      <c r="B1255" s="430"/>
      <c r="F1255" s="354"/>
    </row>
    <row r="1256" spans="1:6" hidden="1">
      <c r="A1256" s="354"/>
      <c r="B1256" s="430"/>
      <c r="F1256" s="354"/>
    </row>
    <row r="1257" spans="1:6" hidden="1">
      <c r="A1257" s="354"/>
      <c r="B1257" s="430"/>
      <c r="F1257" s="354"/>
    </row>
    <row r="1258" spans="1:6" hidden="1">
      <c r="A1258" s="354"/>
      <c r="B1258" s="430"/>
      <c r="F1258" s="354"/>
    </row>
    <row r="1259" spans="1:6" hidden="1">
      <c r="A1259" s="354"/>
      <c r="B1259" s="430"/>
      <c r="F1259" s="354"/>
    </row>
    <row r="1260" spans="1:6" hidden="1">
      <c r="A1260" s="354"/>
      <c r="B1260" s="430"/>
      <c r="F1260" s="354"/>
    </row>
    <row r="1261" spans="1:6" hidden="1">
      <c r="A1261" s="426"/>
      <c r="B1261" s="354"/>
    </row>
    <row r="1262" spans="1:6" hidden="1">
      <c r="A1262" s="426"/>
      <c r="B1262" s="354"/>
    </row>
    <row r="1263" spans="1:6" hidden="1">
      <c r="A1263" s="426"/>
      <c r="B1263" s="354"/>
    </row>
    <row r="1264" spans="1:6" hidden="1">
      <c r="A1264" s="426"/>
      <c r="B1264" s="354"/>
    </row>
    <row r="1265" spans="1:2" hidden="1">
      <c r="A1265" s="426"/>
      <c r="B1265" s="354"/>
    </row>
    <row r="1266" spans="1:2" hidden="1">
      <c r="A1266" s="426"/>
      <c r="B1266" s="354"/>
    </row>
    <row r="1267" spans="1:2" hidden="1">
      <c r="A1267" s="426"/>
      <c r="B1267" s="354"/>
    </row>
    <row r="1268" spans="1:2" hidden="1">
      <c r="A1268" s="426"/>
      <c r="B1268" s="354"/>
    </row>
    <row r="1269" spans="1:2" hidden="1">
      <c r="A1269" s="426"/>
      <c r="B1269" s="354"/>
    </row>
    <row r="1270" spans="1:2" hidden="1">
      <c r="A1270" s="426"/>
      <c r="B1270" s="354"/>
    </row>
    <row r="1271" spans="1:2" hidden="1">
      <c r="A1271" s="426"/>
      <c r="B1271" s="354"/>
    </row>
    <row r="1272" spans="1:2" hidden="1">
      <c r="A1272" s="426"/>
      <c r="B1272" s="354"/>
    </row>
    <row r="1273" spans="1:2" hidden="1">
      <c r="A1273" s="426"/>
      <c r="B1273" s="354"/>
    </row>
    <row r="1274" spans="1:2" hidden="1">
      <c r="A1274" s="426"/>
      <c r="B1274" s="354"/>
    </row>
    <row r="1275" spans="1:2" hidden="1">
      <c r="A1275" s="426"/>
      <c r="B1275" s="354"/>
    </row>
    <row r="1276" spans="1:2" hidden="1">
      <c r="A1276" s="426"/>
      <c r="B1276" s="354"/>
    </row>
    <row r="1277" spans="1:2" hidden="1">
      <c r="A1277" s="426"/>
      <c r="B1277" s="354"/>
    </row>
    <row r="1278" spans="1:2" hidden="1">
      <c r="A1278" s="426"/>
      <c r="B1278" s="354"/>
    </row>
    <row r="1279" spans="1:2" hidden="1">
      <c r="A1279" s="426"/>
      <c r="B1279" s="354"/>
    </row>
    <row r="1280" spans="1:2" hidden="1">
      <c r="A1280" s="426"/>
      <c r="B1280" s="354"/>
    </row>
    <row r="1281" spans="1:2" hidden="1">
      <c r="A1281" s="426"/>
      <c r="B1281" s="354"/>
    </row>
    <row r="1282" spans="1:2" hidden="1">
      <c r="A1282" s="426"/>
      <c r="B1282" s="354"/>
    </row>
    <row r="1283" spans="1:2" hidden="1">
      <c r="A1283" s="426"/>
      <c r="B1283" s="354"/>
    </row>
    <row r="1284" spans="1:2" hidden="1">
      <c r="A1284" s="426"/>
      <c r="B1284" s="354"/>
    </row>
    <row r="1285" spans="1:2" hidden="1">
      <c r="A1285" s="426"/>
      <c r="B1285" s="354"/>
    </row>
    <row r="1286" spans="1:2" hidden="1">
      <c r="A1286" s="426"/>
      <c r="B1286" s="354"/>
    </row>
    <row r="1287" spans="1:2" hidden="1">
      <c r="A1287" s="426"/>
      <c r="B1287" s="354"/>
    </row>
    <row r="1288" spans="1:2" hidden="1">
      <c r="A1288" s="426"/>
      <c r="B1288" s="354"/>
    </row>
    <row r="1289" spans="1:2" hidden="1">
      <c r="A1289" s="426"/>
      <c r="B1289" s="354"/>
    </row>
    <row r="1290" spans="1:2" hidden="1">
      <c r="A1290" s="426"/>
      <c r="B1290" s="354"/>
    </row>
    <row r="1291" spans="1:2" hidden="1">
      <c r="A1291" s="426"/>
      <c r="B1291" s="354"/>
    </row>
    <row r="1292" spans="1:2" hidden="1">
      <c r="A1292" s="426"/>
      <c r="B1292" s="354"/>
    </row>
    <row r="1293" spans="1:2" hidden="1">
      <c r="A1293" s="426"/>
      <c r="B1293" s="354"/>
    </row>
    <row r="1294" spans="1:2" hidden="1">
      <c r="A1294" s="426"/>
      <c r="B1294" s="354"/>
    </row>
    <row r="1295" spans="1:2" hidden="1">
      <c r="A1295" s="426"/>
      <c r="B1295" s="354"/>
    </row>
    <row r="1296" spans="1:2" hidden="1">
      <c r="A1296" s="426"/>
      <c r="B1296" s="354"/>
    </row>
    <row r="1297" spans="1:2" hidden="1">
      <c r="A1297" s="426"/>
      <c r="B1297" s="354"/>
    </row>
    <row r="1298" spans="1:2" hidden="1">
      <c r="A1298" s="426"/>
      <c r="B1298" s="354"/>
    </row>
    <row r="1299" spans="1:2" hidden="1">
      <c r="A1299" s="426"/>
      <c r="B1299" s="354"/>
    </row>
    <row r="1300" spans="1:2" hidden="1">
      <c r="A1300" s="426"/>
      <c r="B1300" s="354"/>
    </row>
    <row r="1301" spans="1:2" hidden="1">
      <c r="A1301" s="426"/>
      <c r="B1301" s="354"/>
    </row>
    <row r="1302" spans="1:2" hidden="1">
      <c r="A1302" s="426"/>
      <c r="B1302" s="354"/>
    </row>
    <row r="1303" spans="1:2" hidden="1">
      <c r="A1303" s="426"/>
      <c r="B1303" s="354"/>
    </row>
    <row r="1304" spans="1:2" hidden="1">
      <c r="A1304" s="426"/>
      <c r="B1304" s="354"/>
    </row>
    <row r="1305" spans="1:2" hidden="1">
      <c r="A1305" s="426"/>
      <c r="B1305" s="354"/>
    </row>
    <row r="1306" spans="1:2" hidden="1">
      <c r="A1306" s="426"/>
      <c r="B1306" s="354"/>
    </row>
    <row r="1307" spans="1:2" hidden="1">
      <c r="A1307" s="426"/>
      <c r="B1307" s="354"/>
    </row>
    <row r="1308" spans="1:2" hidden="1">
      <c r="A1308" s="426"/>
      <c r="B1308" s="354"/>
    </row>
    <row r="1309" spans="1:2" hidden="1">
      <c r="A1309" s="426"/>
      <c r="B1309" s="354"/>
    </row>
    <row r="1310" spans="1:2" hidden="1">
      <c r="A1310" s="426"/>
      <c r="B1310" s="354"/>
    </row>
    <row r="1311" spans="1:2" hidden="1">
      <c r="A1311" s="426"/>
      <c r="B1311" s="354"/>
    </row>
    <row r="1312" spans="1:2" hidden="1">
      <c r="A1312" s="426"/>
      <c r="B1312" s="354"/>
    </row>
    <row r="1313" spans="1:2" hidden="1">
      <c r="A1313" s="426"/>
      <c r="B1313" s="354"/>
    </row>
    <row r="1314" spans="1:2" hidden="1">
      <c r="A1314" s="426"/>
      <c r="B1314" s="354"/>
    </row>
    <row r="1315" spans="1:2" hidden="1">
      <c r="A1315" s="426"/>
      <c r="B1315" s="354"/>
    </row>
    <row r="1316" spans="1:2" hidden="1">
      <c r="A1316" s="426"/>
      <c r="B1316" s="354"/>
    </row>
    <row r="1317" spans="1:2" hidden="1">
      <c r="A1317" s="426"/>
      <c r="B1317" s="354"/>
    </row>
    <row r="1318" spans="1:2" hidden="1">
      <c r="A1318" s="426"/>
      <c r="B1318" s="354"/>
    </row>
    <row r="1319" spans="1:2" hidden="1">
      <c r="A1319" s="426"/>
      <c r="B1319" s="354"/>
    </row>
    <row r="1320" spans="1:2" hidden="1">
      <c r="A1320" s="426"/>
      <c r="B1320" s="354"/>
    </row>
    <row r="1321" spans="1:2" hidden="1">
      <c r="A1321" s="426"/>
      <c r="B1321" s="354"/>
    </row>
    <row r="1322" spans="1:2" hidden="1">
      <c r="A1322" s="426"/>
      <c r="B1322" s="354"/>
    </row>
    <row r="1323" spans="1:2" hidden="1">
      <c r="A1323" s="426"/>
      <c r="B1323" s="354"/>
    </row>
    <row r="1324" spans="1:2" hidden="1">
      <c r="A1324" s="426"/>
      <c r="B1324" s="354"/>
    </row>
    <row r="1325" spans="1:2" hidden="1">
      <c r="A1325" s="426"/>
      <c r="B1325" s="354"/>
    </row>
    <row r="1326" spans="1:2" hidden="1"/>
    <row r="1327" spans="1:2" hidden="1"/>
    <row r="1328" spans="1:2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spans="1:2" hidden="1"/>
    <row r="2066" spans="1:2" hidden="1"/>
    <row r="2067" spans="1:2" hidden="1"/>
    <row r="2068" spans="1:2">
      <c r="A2068" s="516"/>
      <c r="B2068"/>
    </row>
    <row r="2069" spans="1:2">
      <c r="A2069" s="516"/>
      <c r="B2069"/>
    </row>
  </sheetData>
  <autoFilter ref="A1:G2067" xr:uid="{00000000-0009-0000-0000-000000000000}">
    <filterColumn colId="0">
      <filters>
        <filter val="340209"/>
      </filters>
    </filterColumn>
  </autoFilter>
  <conditionalFormatting sqref="A663 A1:A630 A665:A716 A720:A762 A766:A776 B763:B765 A778 A784:A862 A872:A891 A893:A1048576">
    <cfRule type="duplicateValues" dxfId="63" priority="2"/>
  </conditionalFormatting>
  <conditionalFormatting sqref="A1:A663 A665:A716 A720:A762 A766:A776 B763:B765 A778 A784:A862 A872:A891 A893:A1048576">
    <cfRule type="duplicateValues" dxfId="62" priority="1"/>
  </conditionalFormatting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186D-0898-3A4C-AC7B-94759D996FAA}">
  <sheetPr codeName="Sheet19">
    <tabColor rgb="FF00B050"/>
  </sheetPr>
  <dimension ref="B3:F37"/>
  <sheetViews>
    <sheetView topLeftCell="A3" zoomScale="190" zoomScaleNormal="190" workbookViewId="0">
      <selection activeCell="D26" sqref="D26"/>
    </sheetView>
  </sheetViews>
  <sheetFormatPr defaultColWidth="10.85546875" defaultRowHeight="12.75"/>
  <cols>
    <col min="2" max="2" width="17" customWidth="1"/>
    <col min="4" max="4" width="11.5703125" bestFit="1" customWidth="1"/>
  </cols>
  <sheetData>
    <row r="3" spans="2:6">
      <c r="B3" s="269" t="s">
        <v>1686</v>
      </c>
    </row>
    <row r="4" spans="2:6">
      <c r="F4" s="318" t="s">
        <v>468</v>
      </c>
    </row>
    <row r="5" spans="2:6">
      <c r="B5" s="290" t="s">
        <v>435</v>
      </c>
      <c r="C5" s="290"/>
      <c r="D5" s="291">
        <v>44926</v>
      </c>
      <c r="E5" s="290"/>
      <c r="F5" s="291">
        <v>44561</v>
      </c>
    </row>
    <row r="6" spans="2:6">
      <c r="B6" s="288" t="s">
        <v>1687</v>
      </c>
      <c r="C6" s="289"/>
      <c r="D6" s="745">
        <f>SUM('TB LTD 12.22'!F14:F16)/1000</f>
        <v>4373.8869600000007</v>
      </c>
      <c r="E6" s="289"/>
      <c r="F6" s="745">
        <v>4413</v>
      </c>
    </row>
    <row r="7" spans="2:6">
      <c r="B7" s="288" t="s">
        <v>1688</v>
      </c>
      <c r="C7" s="289"/>
      <c r="D7" s="745">
        <f>'BS LTD USD '!K14/1000</f>
        <v>2150.6870400000003</v>
      </c>
      <c r="E7" s="289"/>
      <c r="F7" s="745">
        <v>3162</v>
      </c>
    </row>
    <row r="8" spans="2:6">
      <c r="B8" s="288" t="s">
        <v>1689</v>
      </c>
      <c r="C8" s="289"/>
      <c r="D8" s="745">
        <f>'TB LTD 12.22'!F157/1000</f>
        <v>68.76185000000001</v>
      </c>
      <c r="E8" s="289"/>
      <c r="F8" s="745">
        <v>171</v>
      </c>
    </row>
    <row r="9" spans="2:6">
      <c r="B9" s="288" t="s">
        <v>1691</v>
      </c>
      <c r="C9" s="289"/>
      <c r="D9" s="745">
        <f>SUM('TB LTD 12.22'!F17)/1000</f>
        <v>4679.8518400000003</v>
      </c>
      <c r="E9" s="289"/>
      <c r="F9" s="745">
        <v>0</v>
      </c>
    </row>
    <row r="11" spans="2:6">
      <c r="B11" s="746" t="s">
        <v>1690</v>
      </c>
      <c r="D11" s="754">
        <f>SUM(D6:D9)</f>
        <v>11273.187690000001</v>
      </c>
      <c r="F11" s="754">
        <f>SUM(F6:F9)</f>
        <v>7746</v>
      </c>
    </row>
    <row r="12" spans="2:6">
      <c r="D12" s="316">
        <f>D11-'BS LTD USD '!N14</f>
        <v>0</v>
      </c>
    </row>
    <row r="14" spans="2:6">
      <c r="B14" s="269" t="s">
        <v>1697</v>
      </c>
    </row>
    <row r="15" spans="2:6">
      <c r="F15" s="318" t="s">
        <v>468</v>
      </c>
    </row>
    <row r="16" spans="2:6">
      <c r="B16" s="290" t="s">
        <v>435</v>
      </c>
      <c r="C16" s="290"/>
      <c r="D16" s="291">
        <v>44926</v>
      </c>
      <c r="E16" s="290"/>
      <c r="F16" s="291">
        <v>44561</v>
      </c>
    </row>
    <row r="17" spans="2:6">
      <c r="B17" s="288" t="s">
        <v>1692</v>
      </c>
      <c r="D17" s="514">
        <f>SUM('TB LTD 12.22'!F30,'TB LTD 12.22'!F31)/1000</f>
        <v>3093.27009</v>
      </c>
      <c r="F17" s="514">
        <v>1308</v>
      </c>
    </row>
    <row r="18" spans="2:6">
      <c r="B18" s="288" t="s">
        <v>1693</v>
      </c>
      <c r="D18" s="514">
        <f>('TB LTD 12.22'!F27+'TB LTD 12.22'!F28)/1000</f>
        <v>2817.3150799999999</v>
      </c>
      <c r="F18" s="514">
        <v>574</v>
      </c>
    </row>
    <row r="19" spans="2:6">
      <c r="B19" s="288" t="s">
        <v>1694</v>
      </c>
      <c r="D19" s="753">
        <f>'TB LTD 12.22'!F29/1000</f>
        <v>758.76922999999999</v>
      </c>
      <c r="F19" s="753">
        <v>118</v>
      </c>
    </row>
    <row r="20" spans="2:6">
      <c r="B20" s="288"/>
      <c r="D20" s="514">
        <f>SUM(D17:D19)</f>
        <v>6669.3544000000002</v>
      </c>
      <c r="F20" s="514">
        <f>SUM(F17:F19)</f>
        <v>2000</v>
      </c>
    </row>
    <row r="21" spans="2:6">
      <c r="B21" s="288"/>
      <c r="D21" s="514"/>
      <c r="F21" s="514"/>
    </row>
    <row r="22" spans="2:6">
      <c r="B22" s="288" t="s">
        <v>1695</v>
      </c>
      <c r="D22" s="514">
        <f>SUM('TB LTD 12.22'!F33:F37)/1000</f>
        <v>-1072.9371500000002</v>
      </c>
      <c r="F22" s="514">
        <v>-369</v>
      </c>
    </row>
    <row r="23" spans="2:6">
      <c r="B23" s="289"/>
    </row>
    <row r="24" spans="2:6">
      <c r="B24" s="746" t="s">
        <v>1690</v>
      </c>
      <c r="D24" s="752">
        <f>SUM(D20:D22)</f>
        <v>5596.4172500000004</v>
      </c>
      <c r="F24" s="752">
        <f>SUM(F20:F22)</f>
        <v>1631</v>
      </c>
    </row>
    <row r="25" spans="2:6">
      <c r="B25" s="289"/>
      <c r="D25" s="316">
        <f>D24-'BS LTD USD '!M23</f>
        <v>0</v>
      </c>
    </row>
    <row r="26" spans="2:6">
      <c r="B26" s="288" t="s">
        <v>1696</v>
      </c>
      <c r="D26" s="514">
        <v>704</v>
      </c>
      <c r="F26" s="514">
        <v>268</v>
      </c>
    </row>
    <row r="29" spans="2:6">
      <c r="B29" s="269" t="s">
        <v>1698</v>
      </c>
    </row>
    <row r="30" spans="2:6">
      <c r="F30" s="318" t="s">
        <v>468</v>
      </c>
    </row>
    <row r="31" spans="2:6">
      <c r="B31" s="290" t="s">
        <v>435</v>
      </c>
      <c r="C31" s="290"/>
      <c r="D31" s="291">
        <v>44926</v>
      </c>
      <c r="E31" s="290"/>
      <c r="F31" s="291">
        <v>44561</v>
      </c>
    </row>
    <row r="32" spans="2:6">
      <c r="B32" s="288" t="s">
        <v>1699</v>
      </c>
      <c r="D32" s="514">
        <f>-'BS LTD USD '!M33</f>
        <v>50441.182680000005</v>
      </c>
      <c r="F32" s="514">
        <v>33054</v>
      </c>
    </row>
    <row r="33" spans="2:6">
      <c r="B33" s="288" t="s">
        <v>1700</v>
      </c>
      <c r="D33" s="514">
        <f>-'BS LTD USD '!M37-'BS LTD USD '!M36-SUM('TB LTD 12.22'!F36,'TB LTD 12.22'!F111,'TB LTD 12.22'!F38)/1000</f>
        <v>76401.736985697193</v>
      </c>
      <c r="F33" s="514">
        <v>21536</v>
      </c>
    </row>
    <row r="34" spans="2:6">
      <c r="B34" s="288" t="s">
        <v>1701</v>
      </c>
      <c r="D34" s="514">
        <f>-SUM('TB LTD 12.22'!F19,'TB LTD 12.22'!F112,'TB LTD 12.22'!F116:F124)/1000</f>
        <v>53451.325750000011</v>
      </c>
      <c r="F34" s="514">
        <v>2449</v>
      </c>
    </row>
    <row r="35" spans="2:6">
      <c r="B35" s="289"/>
    </row>
    <row r="36" spans="2:6">
      <c r="B36" s="746" t="s">
        <v>1690</v>
      </c>
      <c r="D36" s="754">
        <f>SUM(D32:D34)</f>
        <v>180294.24541569722</v>
      </c>
      <c r="F36" s="754">
        <f>SUM(F32:F34)</f>
        <v>57039</v>
      </c>
    </row>
    <row r="37" spans="2:6">
      <c r="D37" s="316">
        <f>D36+'BS LTD USD '!N33</f>
        <v>44585.756650000025</v>
      </c>
    </row>
  </sheetData>
  <pageMargins left="0.7" right="0.7" top="0.75" bottom="0.75" header="0.3" footer="0.3"/>
  <ignoredErrors>
    <ignoredError sqref="F11 F20 D36 F36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D965"/>
  </sheetPr>
  <dimension ref="A1:AC1010"/>
  <sheetViews>
    <sheetView zoomScale="70" zoomScaleNormal="70" workbookViewId="0">
      <selection activeCell="B23" sqref="B23:E23"/>
    </sheetView>
  </sheetViews>
  <sheetFormatPr defaultColWidth="12.5703125" defaultRowHeight="15" customHeight="1"/>
  <cols>
    <col min="1" max="1" width="23.5703125" customWidth="1"/>
    <col min="2" max="2" width="26.5703125" bestFit="1" customWidth="1"/>
    <col min="3" max="6" width="14.42578125" customWidth="1"/>
    <col min="7" max="7" width="3" customWidth="1"/>
    <col min="8" max="8" width="15.5703125" customWidth="1"/>
    <col min="9" max="10" width="14.42578125" customWidth="1"/>
    <col min="11" max="11" width="21.42578125" customWidth="1"/>
    <col min="12" max="29" width="14.42578125" customWidth="1"/>
  </cols>
  <sheetData>
    <row r="1" spans="1:29">
      <c r="A1" s="1"/>
      <c r="B1" s="55">
        <v>-17832251.442308702</v>
      </c>
      <c r="C1" s="781" t="s">
        <v>303</v>
      </c>
      <c r="D1" s="782"/>
      <c r="E1" s="783"/>
      <c r="F1" s="2"/>
      <c r="G1" s="75"/>
      <c r="H1" s="2"/>
      <c r="I1" s="781" t="s">
        <v>304</v>
      </c>
      <c r="J1" s="782"/>
      <c r="K1" s="783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1"/>
      <c r="B2" s="1"/>
      <c r="C2" s="47"/>
      <c r="D2" s="2"/>
      <c r="E2" s="47"/>
      <c r="F2" s="45"/>
      <c r="G2" s="76"/>
      <c r="H2" s="2"/>
      <c r="I2" s="47"/>
      <c r="J2" s="2"/>
      <c r="K2" s="47"/>
      <c r="L2" s="2"/>
      <c r="M2" s="2"/>
      <c r="N2" s="2"/>
      <c r="O2" s="2"/>
      <c r="P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1"/>
      <c r="B3" s="1"/>
      <c r="C3" s="78">
        <v>44926</v>
      </c>
      <c r="D3" s="79"/>
      <c r="E3" s="78">
        <v>44926</v>
      </c>
      <c r="F3" s="77"/>
      <c r="G3" s="80"/>
      <c r="H3" s="2"/>
      <c r="I3" s="78">
        <v>44926</v>
      </c>
      <c r="J3" s="79"/>
      <c r="K3" s="78">
        <v>44926</v>
      </c>
      <c r="L3" s="2"/>
      <c r="M3" s="2"/>
      <c r="N3" s="2"/>
      <c r="O3" s="2"/>
      <c r="P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1" t="s">
        <v>1665</v>
      </c>
      <c r="B4" s="1"/>
      <c r="C4" s="81"/>
      <c r="D4" s="47" t="s">
        <v>305</v>
      </c>
      <c r="E4" s="81" t="s">
        <v>306</v>
      </c>
      <c r="F4" s="1"/>
      <c r="G4" s="82"/>
      <c r="H4" s="2"/>
      <c r="I4" s="81"/>
      <c r="J4" s="47" t="s">
        <v>305</v>
      </c>
      <c r="K4" s="81" t="s">
        <v>306</v>
      </c>
      <c r="L4" s="2"/>
      <c r="M4" s="2"/>
      <c r="N4" s="2"/>
      <c r="O4" s="2"/>
      <c r="P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1"/>
      <c r="B5" s="1"/>
      <c r="C5" s="47"/>
      <c r="D5" s="47"/>
      <c r="E5" s="47"/>
      <c r="F5" s="47"/>
      <c r="G5" s="83"/>
      <c r="H5" s="84"/>
      <c r="I5" s="47"/>
      <c r="J5" s="47"/>
      <c r="K5" s="47"/>
      <c r="L5" s="2"/>
      <c r="M5" s="2"/>
      <c r="N5" s="2"/>
      <c r="O5" s="2"/>
      <c r="P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1"/>
      <c r="B6" s="49" t="s">
        <v>286</v>
      </c>
      <c r="C6" s="45"/>
      <c r="D6" s="45"/>
      <c r="E6" s="45"/>
      <c r="F6" s="45"/>
      <c r="G6" s="76"/>
      <c r="H6" s="2"/>
      <c r="I6" s="45"/>
      <c r="J6" s="2"/>
      <c r="K6" s="2"/>
      <c r="L6" s="2"/>
      <c r="M6" s="2"/>
      <c r="N6" s="2"/>
      <c r="O6" s="2"/>
      <c r="P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1"/>
      <c r="B7" s="50"/>
      <c r="C7" s="1"/>
      <c r="D7" s="1"/>
      <c r="E7" s="1"/>
      <c r="F7" s="1"/>
      <c r="G7" s="82"/>
      <c r="H7" s="2"/>
      <c r="I7" s="1"/>
      <c r="J7" s="372"/>
      <c r="K7" s="2"/>
      <c r="L7" s="2"/>
      <c r="M7" s="2"/>
      <c r="N7" s="2"/>
      <c r="O7" s="2"/>
      <c r="P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1"/>
      <c r="B8" s="40" t="s">
        <v>50</v>
      </c>
      <c r="C8" s="55">
        <f>SUMIF('TB LTD 12.22'!I:I,B8,'TB LTD 12.22'!G:G)</f>
        <v>23504184.210000001</v>
      </c>
      <c r="D8" s="55"/>
      <c r="E8" s="55">
        <f t="shared" ref="E8:E15" si="0">C8+D8</f>
        <v>23504184.210000001</v>
      </c>
      <c r="F8" s="55"/>
      <c r="G8" s="85"/>
      <c r="H8" s="2"/>
      <c r="I8" s="55">
        <f>SUMIF('TB LTD 12.22'!I:I,B8,'TB LTD 12.22'!F:F)</f>
        <v>82711224.239999995</v>
      </c>
      <c r="J8" s="372"/>
      <c r="K8" s="749">
        <f t="shared" ref="K8:K15" si="1">I8+J8</f>
        <v>82711224.239999995</v>
      </c>
      <c r="L8" s="762">
        <f>K8/E8</f>
        <v>3.5190000002131532</v>
      </c>
      <c r="M8" s="368">
        <f>K8/1000</f>
        <v>82711.224239999996</v>
      </c>
      <c r="N8" s="2"/>
      <c r="O8" s="2"/>
      <c r="P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1"/>
      <c r="B9" s="40" t="s">
        <v>51</v>
      </c>
      <c r="C9" s="55">
        <f>SUMIF('TB LTD 12.22'!I:I,B9,'TB LTD 12.22'!G:G)</f>
        <v>2668238.65</v>
      </c>
      <c r="D9" s="55">
        <f>'AJE 2022'!G49</f>
        <v>0</v>
      </c>
      <c r="E9" s="55">
        <f t="shared" si="0"/>
        <v>2668238.65</v>
      </c>
      <c r="F9" s="55"/>
      <c r="G9" s="85"/>
      <c r="H9" s="2"/>
      <c r="I9" s="55">
        <f>SUMIF('TB LTD 12.22'!I:I,B9,'TB LTD 12.22'!F:F)</f>
        <v>9389531.6899999995</v>
      </c>
      <c r="J9" s="372">
        <f>'AJE 2022'!J49</f>
        <v>0</v>
      </c>
      <c r="K9" s="749">
        <f t="shared" si="1"/>
        <v>9389531.6899999995</v>
      </c>
      <c r="L9" s="762">
        <f t="shared" ref="L9:L65" si="2">K9/E9</f>
        <v>3.5189999552701181</v>
      </c>
      <c r="M9" s="368">
        <f t="shared" ref="M9:M65" si="3">K9/1000</f>
        <v>9389.5316899999998</v>
      </c>
      <c r="N9" s="2"/>
      <c r="O9" s="2"/>
      <c r="P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1"/>
      <c r="B10" s="40" t="s">
        <v>110</v>
      </c>
      <c r="C10" s="55">
        <f>SUMIF('TB LTD 12.22'!I:I,B10,'TB LTD 12.22'!G:G)</f>
        <v>24505603.769999981</v>
      </c>
      <c r="D10" s="55">
        <f>-'AJE 2022'!H13-'AJE 2022'!H23-'AJE 2022'!H28-'AJE 2022'!H33+'AJE 2022'!G43-'AJE 2022'!H50</f>
        <v>0</v>
      </c>
      <c r="E10" s="55">
        <f>C10+D10</f>
        <v>24505603.769999981</v>
      </c>
      <c r="F10" s="55"/>
      <c r="G10" s="85"/>
      <c r="H10" s="2"/>
      <c r="I10" s="55">
        <f>SUMIF('TB LTD 12.22'!I:I,B10,'TB LTD 12.22'!F:F)</f>
        <v>86235219.670000076</v>
      </c>
      <c r="J10" s="372">
        <f>-'AJE 2022'!K13-'AJE 2022'!K23-'AJE 2022'!K28-'AJE 2022'!K33+'AJE 2022'!J43-'AJE 2022'!J49</f>
        <v>0</v>
      </c>
      <c r="K10" s="749">
        <f t="shared" si="1"/>
        <v>86235219.670000076</v>
      </c>
      <c r="L10" s="762">
        <f t="shared" si="2"/>
        <v>3.5190000001375252</v>
      </c>
      <c r="M10" s="749">
        <f t="shared" si="3"/>
        <v>86235.219670000079</v>
      </c>
      <c r="N10" s="54">
        <f>M10+M11</f>
        <v>86338.618870000078</v>
      </c>
      <c r="O10" s="334">
        <f>E10*3.519</f>
        <v>86235219.66662994</v>
      </c>
      <c r="P10" s="334">
        <f>O10-K10</f>
        <v>-3.370136022567749E-3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1"/>
      <c r="B11" s="40" t="s">
        <v>992</v>
      </c>
      <c r="C11" s="55">
        <f>SUMIF('TB LTD 12.22'!I:I,B11,'TB LTD 12.22'!G:G)</f>
        <v>29383.119999999999</v>
      </c>
      <c r="D11" s="55"/>
      <c r="E11" s="55">
        <f t="shared" si="0"/>
        <v>29383.119999999999</v>
      </c>
      <c r="F11" s="55"/>
      <c r="G11" s="211"/>
      <c r="H11" s="2"/>
      <c r="I11" s="55">
        <f>SUMIF('TB LTD 12.22'!I:I,B11,'TB LTD 12.22'!F:F)</f>
        <v>103399.2</v>
      </c>
      <c r="J11" s="372"/>
      <c r="K11" s="749">
        <f t="shared" si="1"/>
        <v>103399.2</v>
      </c>
      <c r="L11" s="762">
        <f t="shared" si="2"/>
        <v>3.5190000245038648</v>
      </c>
      <c r="M11" s="749">
        <f t="shared" si="3"/>
        <v>103.39919999999999</v>
      </c>
      <c r="N11" s="2"/>
      <c r="O11" s="2"/>
      <c r="P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1"/>
      <c r="B12" s="40" t="s">
        <v>1669</v>
      </c>
      <c r="C12" s="55">
        <f>SUMIF('TB LTD 12.22'!I:I,B12,'TB LTD 12.22'!G:G)</f>
        <v>30270082</v>
      </c>
      <c r="D12" s="55">
        <f>'AJE 2022'!H93</f>
        <v>0</v>
      </c>
      <c r="E12" s="55">
        <f t="shared" si="0"/>
        <v>30270082</v>
      </c>
      <c r="F12" s="55"/>
      <c r="G12" s="85"/>
      <c r="H12" s="2"/>
      <c r="I12" s="55">
        <f>SUMIF('TB LTD 12.22'!I:I,B12,'TB LTD 12.22'!F:F)</f>
        <v>106520419</v>
      </c>
      <c r="J12" s="372">
        <f>'AJE 2022'!K93</f>
        <v>0</v>
      </c>
      <c r="K12" s="749">
        <f t="shared" si="1"/>
        <v>106520419</v>
      </c>
      <c r="L12" s="762">
        <f t="shared" si="2"/>
        <v>3.5190000146018767</v>
      </c>
      <c r="M12" s="368">
        <f t="shared" si="3"/>
        <v>106520.41899999999</v>
      </c>
      <c r="N12" s="2"/>
      <c r="O12" s="2"/>
      <c r="P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40"/>
      <c r="B13" s="40" t="s">
        <v>108</v>
      </c>
      <c r="C13" s="55">
        <f>SUMIF('TB LTD 12.22'!I:I,B13,'TB LTD 12.22'!G:G)</f>
        <v>0</v>
      </c>
      <c r="D13" s="55"/>
      <c r="E13" s="55">
        <f t="shared" si="0"/>
        <v>0</v>
      </c>
      <c r="F13" s="55"/>
      <c r="G13" s="85"/>
      <c r="H13" s="2"/>
      <c r="I13" s="55">
        <f>SUMIF('TB LTD 12.22'!I:I,B13,'TB LTD 12.22'!F:F)</f>
        <v>0</v>
      </c>
      <c r="J13" s="372"/>
      <c r="K13" s="55">
        <f t="shared" si="1"/>
        <v>0</v>
      </c>
      <c r="L13" s="762" t="e">
        <f t="shared" si="2"/>
        <v>#DIV/0!</v>
      </c>
      <c r="M13" s="368">
        <f t="shared" si="3"/>
        <v>0</v>
      </c>
      <c r="N13" s="2"/>
      <c r="O13" s="2"/>
      <c r="P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40"/>
      <c r="B14" s="40" t="s">
        <v>532</v>
      </c>
      <c r="C14" s="55">
        <f>SUMIF('TB LTD 12.22'!I:I,B14,'TB LTD 12.22'!G:G)</f>
        <v>611164.27</v>
      </c>
      <c r="D14" s="55">
        <f>-'AJE 2022'!H81</f>
        <v>0</v>
      </c>
      <c r="E14" s="55">
        <f t="shared" ref="E14" si="4">C14+D14</f>
        <v>611164.27</v>
      </c>
      <c r="F14" s="55"/>
      <c r="G14" s="211"/>
      <c r="H14" s="2"/>
      <c r="I14" s="55">
        <f>SUMIF('TB LTD 12.22'!I:I,B14,'TB LTD 12.22'!F:F)</f>
        <v>2150687.04</v>
      </c>
      <c r="J14" s="372">
        <f>-'AJE 2022'!K81</f>
        <v>0</v>
      </c>
      <c r="K14" s="55">
        <f t="shared" ref="K14" si="5">I14+J14</f>
        <v>2150687.04</v>
      </c>
      <c r="L14" s="763">
        <f t="shared" si="2"/>
        <v>3.518999957245537</v>
      </c>
      <c r="M14" s="748">
        <f t="shared" si="3"/>
        <v>2150.6870400000003</v>
      </c>
      <c r="N14" s="54">
        <f>M14+M15</f>
        <v>11273.187690000001</v>
      </c>
      <c r="O14" s="2"/>
      <c r="P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1"/>
      <c r="B15" s="40" t="s">
        <v>53</v>
      </c>
      <c r="C15" s="55">
        <f>SUMIF('TB LTD 12.22'!I:I,B15,'TB LTD 12.22'!G:G)</f>
        <v>2592878.1399999997</v>
      </c>
      <c r="D15" s="55"/>
      <c r="E15" s="55">
        <f t="shared" si="0"/>
        <v>2592878.1399999997</v>
      </c>
      <c r="F15" s="55"/>
      <c r="G15" s="85"/>
      <c r="H15" s="2"/>
      <c r="I15" s="55">
        <f>SUMIF('TB LTD 12.22'!I:I,B15,'TB LTD 12.22'!F:F)</f>
        <v>9122500.6500000004</v>
      </c>
      <c r="J15" s="372"/>
      <c r="K15" s="55">
        <f t="shared" si="1"/>
        <v>9122500.6500000004</v>
      </c>
      <c r="L15" s="762">
        <f t="shared" si="2"/>
        <v>3.5182913185422597</v>
      </c>
      <c r="M15" s="748">
        <f t="shared" si="3"/>
        <v>9122.50065</v>
      </c>
      <c r="N15" s="2"/>
      <c r="O15" s="2"/>
      <c r="P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1"/>
      <c r="B16" s="40"/>
      <c r="C16" s="61">
        <f>SUM(C8:C15)</f>
        <v>84181534.159999967</v>
      </c>
      <c r="D16" s="61">
        <f>SUM(D8:D15)</f>
        <v>0</v>
      </c>
      <c r="E16" s="61">
        <f>SUM(E8:E15)</f>
        <v>84181534.159999967</v>
      </c>
      <c r="F16" s="61"/>
      <c r="G16" s="87"/>
      <c r="H16" s="2"/>
      <c r="I16" s="61">
        <f>SUM(I8:I15)</f>
        <v>296232981.49000007</v>
      </c>
      <c r="J16" s="373">
        <f>SUM(J8:J15)</f>
        <v>0</v>
      </c>
      <c r="K16" s="61">
        <f>SUM(K8:K15)</f>
        <v>296232981.49000007</v>
      </c>
      <c r="L16" s="762">
        <f t="shared" si="2"/>
        <v>3.5189781755101266</v>
      </c>
      <c r="M16" s="368">
        <f t="shared" si="3"/>
        <v>296232.98149000009</v>
      </c>
      <c r="N16" s="2"/>
      <c r="O16" s="2">
        <v>297457</v>
      </c>
      <c r="P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1"/>
      <c r="B17" s="40"/>
      <c r="C17" s="55"/>
      <c r="D17" s="55"/>
      <c r="E17" s="55"/>
      <c r="F17" s="55"/>
      <c r="G17" s="85"/>
      <c r="H17" s="2"/>
      <c r="I17" s="55"/>
      <c r="J17" s="368"/>
      <c r="K17" s="55"/>
      <c r="L17" s="762" t="e">
        <f t="shared" si="2"/>
        <v>#DIV/0!</v>
      </c>
      <c r="M17" s="368">
        <f t="shared" si="3"/>
        <v>0</v>
      </c>
      <c r="N17" s="2"/>
      <c r="O17" s="2">
        <v>89523</v>
      </c>
      <c r="P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1"/>
      <c r="B18" s="49" t="s">
        <v>290</v>
      </c>
      <c r="C18" s="55"/>
      <c r="D18" s="55"/>
      <c r="E18" s="55"/>
      <c r="F18" s="55"/>
      <c r="G18" s="85"/>
      <c r="H18" s="2"/>
      <c r="I18" s="55"/>
      <c r="J18" s="368"/>
      <c r="K18" s="55"/>
      <c r="L18" s="762" t="e">
        <f t="shared" si="2"/>
        <v>#DIV/0!</v>
      </c>
      <c r="M18" s="368">
        <f t="shared" si="3"/>
        <v>0</v>
      </c>
      <c r="N18" s="2"/>
      <c r="O18" s="2"/>
      <c r="P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1"/>
      <c r="B19" s="1"/>
      <c r="C19" s="55"/>
      <c r="D19" s="55"/>
      <c r="E19" s="55"/>
      <c r="F19" s="55"/>
      <c r="G19" s="85"/>
      <c r="H19" s="2"/>
      <c r="I19" s="55"/>
      <c r="J19" s="372"/>
      <c r="K19" s="55"/>
      <c r="L19" s="762" t="e">
        <f t="shared" si="2"/>
        <v>#DIV/0!</v>
      </c>
      <c r="M19" s="368">
        <f t="shared" si="3"/>
        <v>0</v>
      </c>
      <c r="N19" s="2"/>
      <c r="O19" s="2"/>
      <c r="P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95" customHeight="1">
      <c r="A20" s="1"/>
      <c r="B20" s="40" t="s">
        <v>137</v>
      </c>
      <c r="C20" s="55">
        <f>SUMIF('TB LTD 12.22'!I:I,B20,'TB LTD 12.22'!G:G)</f>
        <v>297519.03999999998</v>
      </c>
      <c r="D20" s="55">
        <f>-'P&amp;L INC'!F51</f>
        <v>12793.339999973701</v>
      </c>
      <c r="E20" s="55">
        <f t="shared" ref="E20:E23" si="6">C20+D20</f>
        <v>310312.37999997369</v>
      </c>
      <c r="F20" s="55"/>
      <c r="G20" s="85"/>
      <c r="H20" s="2"/>
      <c r="I20" s="55">
        <f>SUMIF('TB LTD 12.22'!I:I,B20,'TB LTD 12.22'!F:F)</f>
        <v>970500.41</v>
      </c>
      <c r="J20" s="372">
        <f>-'P&amp;L LTD  USD'!K121</f>
        <v>42857.688999911901</v>
      </c>
      <c r="K20" s="749">
        <f t="shared" ref="K20:K24" si="7">I20+J20</f>
        <v>1013358.0989999119</v>
      </c>
      <c r="L20" s="762">
        <f t="shared" si="2"/>
        <v>3.2656064157027762</v>
      </c>
      <c r="M20" s="368">
        <f t="shared" si="3"/>
        <v>1013.3580989999119</v>
      </c>
      <c r="N20" s="107"/>
      <c r="O20" s="2"/>
      <c r="P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95" customHeight="1">
      <c r="A21" s="1"/>
      <c r="B21" s="40" t="s">
        <v>1668</v>
      </c>
      <c r="C21" s="55">
        <f>SUMIF('TB LTD 12.22'!I:I,B21,'TB LTD 12.22'!G:G)</f>
        <v>2467206.52</v>
      </c>
      <c r="D21" s="55"/>
      <c r="E21" s="55">
        <f t="shared" si="6"/>
        <v>2467206.52</v>
      </c>
      <c r="F21" s="55"/>
      <c r="G21" s="211"/>
      <c r="H21" s="2"/>
      <c r="I21" s="55">
        <f>SUMIF('TB LTD 12.22'!I:I,B21,'TB LTD 12.22'!F:F)</f>
        <v>8682099.75</v>
      </c>
      <c r="J21" s="372"/>
      <c r="K21" s="749">
        <f t="shared" si="7"/>
        <v>8682099.75</v>
      </c>
      <c r="L21" s="762">
        <f t="shared" si="2"/>
        <v>3.5190000024805381</v>
      </c>
      <c r="M21" s="368">
        <f t="shared" si="3"/>
        <v>8682.0997499999994</v>
      </c>
      <c r="N21" s="107"/>
      <c r="O21" s="2"/>
      <c r="P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1"/>
      <c r="B22" s="2" t="s">
        <v>472</v>
      </c>
      <c r="C22" s="55">
        <f>SUMIF('TB LTD 12.22'!I:I,B22,'TB LTD 12.22'!G:G)</f>
        <v>20186267</v>
      </c>
      <c r="D22" s="55">
        <f>'AJE 2022'!G78</f>
        <v>0</v>
      </c>
      <c r="E22" s="55">
        <f t="shared" si="6"/>
        <v>20186267</v>
      </c>
      <c r="F22" s="55"/>
      <c r="G22" s="211"/>
      <c r="H22" s="2"/>
      <c r="I22" s="55">
        <f>SUMIF('TB LTD 12.22'!I:I,B22,'TB LTD 12.22'!F:F)</f>
        <v>71364452</v>
      </c>
      <c r="J22" s="372">
        <f>'AJE 2022'!J78</f>
        <v>0</v>
      </c>
      <c r="K22" s="749">
        <f t="shared" si="7"/>
        <v>71364452</v>
      </c>
      <c r="L22" s="762">
        <f t="shared" si="2"/>
        <v>3.5352971403776636</v>
      </c>
      <c r="M22" s="368">
        <f t="shared" si="3"/>
        <v>71364.452000000005</v>
      </c>
      <c r="N22" s="2"/>
      <c r="O22" s="2"/>
      <c r="P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1"/>
      <c r="B23" s="40" t="s">
        <v>57</v>
      </c>
      <c r="C23" s="55">
        <f>SUMIF('TB LTD 12.22'!I:I,B23,'TB LTD 12.22'!G:G)</f>
        <v>1659074.9000000001</v>
      </c>
      <c r="D23" s="55"/>
      <c r="E23" s="55">
        <f t="shared" si="6"/>
        <v>1659074.9000000001</v>
      </c>
      <c r="F23" s="55"/>
      <c r="G23" s="85"/>
      <c r="H23" s="2"/>
      <c r="I23" s="55">
        <f>SUMIF('TB LTD 12.22'!I:I,B23,'TB LTD 12.22'!F:F)</f>
        <v>5596417.25</v>
      </c>
      <c r="J23" s="372"/>
      <c r="K23" s="749">
        <f t="shared" si="7"/>
        <v>5596417.25</v>
      </c>
      <c r="L23" s="762">
        <f t="shared" si="2"/>
        <v>3.3732155492196281</v>
      </c>
      <c r="M23" s="368">
        <f t="shared" si="3"/>
        <v>5596.4172500000004</v>
      </c>
      <c r="N23" s="2"/>
      <c r="O23" s="2"/>
      <c r="P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1"/>
      <c r="B24" s="51" t="s">
        <v>54</v>
      </c>
      <c r="C24" s="55">
        <f>SUMIF('TB LTD 12.22'!I:I,B24,'TB LTD 12.22'!G:G)</f>
        <v>2030229.32</v>
      </c>
      <c r="D24" s="55">
        <f>'AJE 2022'!G56</f>
        <v>0</v>
      </c>
      <c r="E24" s="55">
        <f>C24+D24</f>
        <v>2030229.32</v>
      </c>
      <c r="F24" s="55"/>
      <c r="G24" s="85"/>
      <c r="H24" s="2"/>
      <c r="I24" s="55">
        <f>SUMIF('TB LTD 12.22'!I:I,B24,'TB LTD 12.22'!F:F)</f>
        <v>7144376.96</v>
      </c>
      <c r="J24" s="372">
        <f>'AJE 2022'!J56</f>
        <v>0</v>
      </c>
      <c r="K24" s="749">
        <f t="shared" si="7"/>
        <v>7144376.96</v>
      </c>
      <c r="L24" s="762">
        <f t="shared" si="2"/>
        <v>3.5189999915871573</v>
      </c>
      <c r="M24" s="368">
        <f t="shared" si="3"/>
        <v>7144.3769599999996</v>
      </c>
      <c r="N24" s="107">
        <f>K24/3.519</f>
        <v>2030229.3151463482</v>
      </c>
      <c r="O24" s="107">
        <f>N24-E24</f>
        <v>-4.8536518588662148E-3</v>
      </c>
      <c r="P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>
      <c r="A25" s="1"/>
      <c r="B25" s="40"/>
      <c r="C25" s="61">
        <f>SUM(C18:C24)</f>
        <v>26640296.779999997</v>
      </c>
      <c r="D25" s="61">
        <f>SUM(D18:D24)</f>
        <v>12793.339999973701</v>
      </c>
      <c r="E25" s="61">
        <f>SUM(E18:E24)</f>
        <v>26653090.119999971</v>
      </c>
      <c r="F25" s="61"/>
      <c r="G25" s="87"/>
      <c r="H25" s="2"/>
      <c r="I25" s="61">
        <f t="shared" ref="I25:K25" si="8">SUM(I18:I24)</f>
        <v>93757846.36999999</v>
      </c>
      <c r="J25" s="369">
        <f>SUM(J18:J24)</f>
        <v>42857.688999911901</v>
      </c>
      <c r="K25" s="61">
        <f t="shared" si="8"/>
        <v>93800704.058999911</v>
      </c>
      <c r="L25" s="762">
        <f t="shared" si="2"/>
        <v>3.5193181592333884</v>
      </c>
      <c r="M25" s="368">
        <f t="shared" si="3"/>
        <v>93800.704058999909</v>
      </c>
      <c r="N25" s="2"/>
      <c r="O25" s="2"/>
      <c r="P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>
      <c r="A26" s="1"/>
      <c r="B26" s="40"/>
      <c r="C26" s="58"/>
      <c r="D26" s="58"/>
      <c r="E26" s="58"/>
      <c r="F26" s="55"/>
      <c r="G26" s="85"/>
      <c r="H26" s="2"/>
      <c r="I26" s="58"/>
      <c r="J26" s="2"/>
      <c r="K26" s="58"/>
      <c r="L26" s="762" t="e">
        <f t="shared" si="2"/>
        <v>#DIV/0!</v>
      </c>
      <c r="M26" s="368">
        <f t="shared" si="3"/>
        <v>0</v>
      </c>
      <c r="N26" s="2"/>
      <c r="O26" s="2"/>
      <c r="P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>
      <c r="A27" s="1"/>
      <c r="B27" s="88" t="s">
        <v>291</v>
      </c>
      <c r="C27" s="89">
        <f>+C25+C16</f>
        <v>110821830.93999997</v>
      </c>
      <c r="D27" s="89">
        <f>+D25+D16</f>
        <v>12793.339999973701</v>
      </c>
      <c r="E27" s="89">
        <f>+E25+E16</f>
        <v>110834624.27999994</v>
      </c>
      <c r="F27" s="55"/>
      <c r="G27" s="85"/>
      <c r="H27" s="2"/>
      <c r="I27" s="89">
        <f t="shared" ref="I27:K27" si="9">+I25+I16</f>
        <v>389990827.86000007</v>
      </c>
      <c r="J27" s="89">
        <f>+J25+J16</f>
        <v>42857.688999911901</v>
      </c>
      <c r="K27" s="89">
        <f t="shared" si="9"/>
        <v>390033685.54899997</v>
      </c>
      <c r="L27" s="762">
        <f t="shared" si="2"/>
        <v>3.5190599335065493</v>
      </c>
      <c r="M27" s="368">
        <f t="shared" si="3"/>
        <v>390033.68554899999</v>
      </c>
      <c r="N27" s="2"/>
      <c r="O27" s="2"/>
      <c r="P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>
      <c r="A28" s="1"/>
      <c r="B28" s="40"/>
      <c r="C28" s="55"/>
      <c r="D28" s="55"/>
      <c r="E28" s="55"/>
      <c r="F28" s="55"/>
      <c r="G28" s="85"/>
      <c r="H28" s="2"/>
      <c r="I28" s="55"/>
      <c r="J28" s="2"/>
      <c r="K28" s="55"/>
      <c r="L28" s="762" t="e">
        <f t="shared" si="2"/>
        <v>#DIV/0!</v>
      </c>
      <c r="M28" s="368">
        <f t="shared" si="3"/>
        <v>0</v>
      </c>
      <c r="N28" s="2"/>
      <c r="O28" s="107"/>
      <c r="P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>
      <c r="A29" s="1"/>
      <c r="B29" s="40"/>
      <c r="C29" s="55"/>
      <c r="D29" s="55"/>
      <c r="E29" s="55"/>
      <c r="F29" s="55"/>
      <c r="G29" s="85"/>
      <c r="H29" s="2"/>
      <c r="I29" s="55"/>
      <c r="J29" s="2"/>
      <c r="K29" s="55"/>
      <c r="L29" s="762" t="e">
        <f t="shared" si="2"/>
        <v>#DIV/0!</v>
      </c>
      <c r="M29" s="368">
        <f t="shared" si="3"/>
        <v>0</v>
      </c>
      <c r="N29" s="2"/>
      <c r="O29" s="107"/>
      <c r="P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>
      <c r="A30" s="1"/>
      <c r="B30" s="49" t="s">
        <v>292</v>
      </c>
      <c r="C30" s="55"/>
      <c r="D30" s="55"/>
      <c r="E30" s="55"/>
      <c r="F30" s="55"/>
      <c r="G30" s="85"/>
      <c r="H30" s="2"/>
      <c r="I30" s="55"/>
      <c r="J30" s="2"/>
      <c r="K30" s="55"/>
      <c r="L30" s="762" t="e">
        <f t="shared" si="2"/>
        <v>#DIV/0!</v>
      </c>
      <c r="M30" s="368">
        <f t="shared" si="3"/>
        <v>0</v>
      </c>
      <c r="N30" s="2"/>
      <c r="O30" s="107"/>
      <c r="P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>
      <c r="A31" s="1"/>
      <c r="B31" s="40"/>
      <c r="C31" s="55"/>
      <c r="D31" s="55"/>
      <c r="E31" s="55"/>
      <c r="F31" s="55"/>
      <c r="G31" s="85"/>
      <c r="H31" s="2"/>
      <c r="I31" s="55"/>
      <c r="J31" s="2"/>
      <c r="K31" s="55"/>
      <c r="L31" s="762" t="e">
        <f t="shared" si="2"/>
        <v>#DIV/0!</v>
      </c>
      <c r="M31" s="368">
        <f t="shared" si="3"/>
        <v>0</v>
      </c>
      <c r="N31" s="2"/>
      <c r="O31" s="387"/>
      <c r="P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>
      <c r="A32" s="1"/>
      <c r="B32" s="40" t="s">
        <v>59</v>
      </c>
      <c r="C32" s="55">
        <f>SUMIF('TB LTD 12.22'!I:I,B32,'TB LTD 12.22'!G:G)</f>
        <v>-7799848.3200000012</v>
      </c>
      <c r="D32" s="55"/>
      <c r="E32" s="55">
        <f t="shared" ref="E32:E40" si="10">C32+D32</f>
        <v>-7799848.3200000012</v>
      </c>
      <c r="F32" s="55"/>
      <c r="G32" s="85"/>
      <c r="H32" s="2"/>
      <c r="I32" s="55">
        <f>SUMIF('TB LTD 12.22'!I:I,B32,'TB LTD 12.22'!F:F)</f>
        <v>-27447666.349999998</v>
      </c>
      <c r="J32" s="372">
        <f>-'AJE 2022'!K36</f>
        <v>0</v>
      </c>
      <c r="K32" s="372">
        <f t="shared" ref="K32:K41" si="11">I32+J32</f>
        <v>-27447666.349999998</v>
      </c>
      <c r="L32" s="762">
        <f t="shared" si="2"/>
        <v>3.5190000143489963</v>
      </c>
      <c r="M32" s="368">
        <f t="shared" si="3"/>
        <v>-27447.66635</v>
      </c>
      <c r="N32" s="2"/>
      <c r="O32" s="107"/>
      <c r="P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>
      <c r="A33" s="1"/>
      <c r="B33" s="40" t="s">
        <v>491</v>
      </c>
      <c r="C33" s="55">
        <f>SUMIF('TB LTD 12.22'!I:I,B33,'TB LTD 12.22'!G:G)</f>
        <v>-14333944.959999999</v>
      </c>
      <c r="D33" s="55">
        <f>-'AJE 2022'!H89</f>
        <v>0</v>
      </c>
      <c r="E33" s="55">
        <f t="shared" si="10"/>
        <v>-14333944.959999999</v>
      </c>
      <c r="F33" s="55"/>
      <c r="G33" s="211"/>
      <c r="H33" s="2"/>
      <c r="I33" s="55">
        <f>SUMIF('TB LTD 12.22'!I:I,B33,'TB LTD 12.22'!F:F)</f>
        <v>-50441182.680000007</v>
      </c>
      <c r="J33" s="372">
        <f>-'AJE 2022'!K89</f>
        <v>0</v>
      </c>
      <c r="K33" s="372">
        <f t="shared" si="11"/>
        <v>-50441182.680000007</v>
      </c>
      <c r="L33" s="762">
        <f t="shared" si="2"/>
        <v>3.5190021184509983</v>
      </c>
      <c r="M33" s="747">
        <f t="shared" si="3"/>
        <v>-50441.182680000005</v>
      </c>
      <c r="N33" s="54">
        <f>M33+M36+M37+M40+M38</f>
        <v>-135708.4887656972</v>
      </c>
      <c r="O33" s="2"/>
      <c r="P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>
      <c r="A34" s="1"/>
      <c r="B34" s="40" t="s">
        <v>180</v>
      </c>
      <c r="C34" s="55">
        <f>SUMIF('TB LTD 12.22'!I:I,B34,'TB LTD 12.22'!G:G)</f>
        <v>0</v>
      </c>
      <c r="D34" s="55"/>
      <c r="E34" s="55">
        <f t="shared" si="10"/>
        <v>0</v>
      </c>
      <c r="F34" s="55"/>
      <c r="G34" s="85"/>
      <c r="H34" s="2"/>
      <c r="I34" s="55">
        <f>SUMIF('TB LTD 12.22'!I:I,B34,'TB LTD 12.22'!F:F)</f>
        <v>0</v>
      </c>
      <c r="J34" s="372"/>
      <c r="K34" s="55">
        <f t="shared" si="11"/>
        <v>0</v>
      </c>
      <c r="L34" s="774" t="e">
        <f t="shared" si="2"/>
        <v>#DIV/0!</v>
      </c>
      <c r="M34" s="372">
        <f t="shared" si="3"/>
        <v>0</v>
      </c>
      <c r="N34" s="2"/>
      <c r="O34" s="2"/>
      <c r="P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>
      <c r="A35" s="1"/>
      <c r="B35" s="40" t="s">
        <v>170</v>
      </c>
      <c r="C35" s="55">
        <f>SUMIF('TB LTD 12.22'!I:I,B35,'TB LTD 12.22'!G:G)</f>
        <v>-8960313.0600000005</v>
      </c>
      <c r="D35" s="55"/>
      <c r="E35" s="55">
        <f t="shared" si="10"/>
        <v>-8960313.0600000005</v>
      </c>
      <c r="F35" s="55"/>
      <c r="G35" s="85"/>
      <c r="H35" s="2"/>
      <c r="I35" s="55">
        <f>SUMIF('TB LTD 12.22'!I:I,B35,'TB LTD 12.22'!F:F)</f>
        <v>-31531317.140000001</v>
      </c>
      <c r="J35" s="372">
        <f>-'AJE 2022'!K42</f>
        <v>0</v>
      </c>
      <c r="K35" s="372">
        <f t="shared" si="11"/>
        <v>-31531317.140000001</v>
      </c>
      <c r="L35" s="774">
        <f t="shared" si="2"/>
        <v>3.5189972636960518</v>
      </c>
      <c r="M35" s="372">
        <f t="shared" si="3"/>
        <v>-31531.317139999999</v>
      </c>
      <c r="N35" s="2"/>
      <c r="O35" s="2"/>
      <c r="P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>
      <c r="A36" s="1"/>
      <c r="B36" s="40" t="s">
        <v>1658</v>
      </c>
      <c r="C36" s="55">
        <f>SUMIF('TB LTD 12.22'!I:I,B36,'TB LTD 12.22'!G:G)</f>
        <v>-4203504.22</v>
      </c>
      <c r="D36" s="55">
        <f>-('AJE 2022'!G109-'AJE 2022'!H105)</f>
        <v>46711.54711645731</v>
      </c>
      <c r="E36" s="55">
        <f t="shared" si="10"/>
        <v>-4156792.6728835423</v>
      </c>
      <c r="F36" s="55"/>
      <c r="G36" s="85"/>
      <c r="H36" s="2"/>
      <c r="I36" s="55">
        <f>SUMIF('TB LTD 12.22'!I:I,B36,'TB LTD 12.22'!F:F)</f>
        <v>-14792131.360000003</v>
      </c>
      <c r="J36" s="372">
        <f>-('AJE 2022'!J109-'AJE 2022'!K105)</f>
        <v>164377.93430281332</v>
      </c>
      <c r="K36" s="372">
        <f t="shared" si="11"/>
        <v>-14627753.425697191</v>
      </c>
      <c r="L36" s="774">
        <f t="shared" si="2"/>
        <v>3.5190000023623997</v>
      </c>
      <c r="M36" s="372">
        <f t="shared" si="3"/>
        <v>-14627.75342569719</v>
      </c>
      <c r="N36" s="107">
        <f>K36/3.519</f>
        <v>-4156792.6756741093</v>
      </c>
      <c r="O36" s="107">
        <f>N36-E36</f>
        <v>-2.7905669994652271E-3</v>
      </c>
      <c r="P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>
      <c r="A37" s="1"/>
      <c r="B37" s="424" t="s">
        <v>1604</v>
      </c>
      <c r="C37" s="55">
        <f>SUMIF('TB LTD 12.22'!I:I,B37,'TB LTD 12.22'!G:G)</f>
        <v>-15835319.800000001</v>
      </c>
      <c r="D37" s="55">
        <f>-'AJE 2022'!G43</f>
        <v>0</v>
      </c>
      <c r="E37" s="55">
        <f>C37+D37</f>
        <v>-15835319.800000001</v>
      </c>
      <c r="F37" s="55"/>
      <c r="G37" s="85"/>
      <c r="H37" s="2"/>
      <c r="I37" s="55">
        <f>SUMIF('TB LTD 12.22'!I:I,B37,'TB LTD 12.22'!F:F)</f>
        <v>-55724489.910000004</v>
      </c>
      <c r="J37" s="372">
        <f>-'AJE 2022'!K44</f>
        <v>0</v>
      </c>
      <c r="K37" s="372">
        <f t="shared" si="11"/>
        <v>-55724489.910000004</v>
      </c>
      <c r="L37" s="774">
        <f t="shared" si="2"/>
        <v>3.518999970559483</v>
      </c>
      <c r="M37" s="372">
        <f t="shared" si="3"/>
        <v>-55724.489910000004</v>
      </c>
      <c r="N37" s="334">
        <f>E37*3.519</f>
        <v>-55724490.376200005</v>
      </c>
      <c r="O37" s="334">
        <f>N37-K37</f>
        <v>-0.46620000153779984</v>
      </c>
      <c r="P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>
      <c r="A38" s="1"/>
      <c r="B38" s="424" t="s">
        <v>1711</v>
      </c>
      <c r="C38" s="55">
        <f>SUMIF('TB LTD 12.22'!I:I,B38,'TB LTD 12.22'!G:G)</f>
        <v>-4238437.8499999996</v>
      </c>
      <c r="D38" s="55"/>
      <c r="E38" s="55">
        <f>C38+D38</f>
        <v>-4238437.8499999996</v>
      </c>
      <c r="F38" s="55"/>
      <c r="G38" s="85"/>
      <c r="H38" s="2"/>
      <c r="I38" s="55">
        <f>SUMIF('TB LTD 12.22'!I:I,B38,'TB LTD 12.22'!F:F)</f>
        <v>-14915062.75</v>
      </c>
      <c r="J38" s="372"/>
      <c r="K38" s="372">
        <f t="shared" si="11"/>
        <v>-14915062.75</v>
      </c>
      <c r="L38" s="774">
        <f t="shared" si="2"/>
        <v>3.5189999895834267</v>
      </c>
      <c r="M38" s="372">
        <f t="shared" si="3"/>
        <v>-14915.062749999999</v>
      </c>
      <c r="N38" s="2"/>
      <c r="O38" s="2"/>
      <c r="P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>
      <c r="A39" s="1"/>
      <c r="B39" s="40" t="s">
        <v>1712</v>
      </c>
      <c r="C39" s="55">
        <f>SUMIF('TB LTD 12.22'!I:I,B39,'TB LTD 12.22'!G:G)</f>
        <v>-18791168.23</v>
      </c>
      <c r="D39" s="55">
        <f>--17832251.4423087</f>
        <v>17832251.442308702</v>
      </c>
      <c r="E39" s="55">
        <f t="shared" si="10"/>
        <v>-958916.78769129887</v>
      </c>
      <c r="F39" s="55"/>
      <c r="G39" s="85"/>
      <c r="H39" s="2"/>
      <c r="I39" s="55">
        <f>SUMIF('TB LTD 12.22'!I:I,B39,'TB LTD 12.22'!F:F)</f>
        <v>-66126121</v>
      </c>
      <c r="J39" s="372">
        <f>62751693</f>
        <v>62751693</v>
      </c>
      <c r="K39" s="372">
        <f t="shared" si="11"/>
        <v>-3374428</v>
      </c>
      <c r="L39" s="774">
        <f t="shared" si="2"/>
        <v>3.5189998165787868</v>
      </c>
      <c r="M39" s="372">
        <f t="shared" si="3"/>
        <v>-3374.4279999999999</v>
      </c>
      <c r="N39" s="2"/>
      <c r="O39" s="2"/>
      <c r="P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>
      <c r="A40" s="1"/>
      <c r="B40" s="40" t="s">
        <v>55</v>
      </c>
      <c r="C40" s="55">
        <f>SUMIF('TB LTD 12.22'!I:I,B40,'TB LTD 12.22'!G:G)</f>
        <v>0</v>
      </c>
      <c r="D40" s="55"/>
      <c r="E40" s="55">
        <f t="shared" si="10"/>
        <v>0</v>
      </c>
      <c r="F40" s="55"/>
      <c r="G40" s="85"/>
      <c r="H40" s="2"/>
      <c r="I40" s="55">
        <f>SUMIF('TB LTD 12.22'!I:I,B40,'TB LTD 12.22'!F:F)</f>
        <v>0</v>
      </c>
      <c r="J40" s="372"/>
      <c r="K40" s="55">
        <f t="shared" si="11"/>
        <v>0</v>
      </c>
      <c r="L40" s="774" t="e">
        <f t="shared" si="2"/>
        <v>#DIV/0!</v>
      </c>
      <c r="M40" s="372">
        <f t="shared" si="3"/>
        <v>0</v>
      </c>
      <c r="N40" s="2"/>
      <c r="O40" s="2"/>
      <c r="P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>
      <c r="A41" s="1"/>
      <c r="B41" s="734" t="s">
        <v>517</v>
      </c>
      <c r="C41" s="55">
        <f>SUMIF('TB LTD 12.22'!I:I,B41,'TB LTD 12.22'!G:G)</f>
        <v>-1411357.43</v>
      </c>
      <c r="D41" s="55"/>
      <c r="E41" s="55">
        <f t="shared" ref="E41" si="12">C41+D41</f>
        <v>-1411357.43</v>
      </c>
      <c r="F41" s="55"/>
      <c r="G41" s="85"/>
      <c r="H41" s="2"/>
      <c r="I41" s="55">
        <f>SUMIF('TB LTD 12.22'!I:I,B41,'TB LTD 12.22'!F:F)</f>
        <v>-4966566.8099999996</v>
      </c>
      <c r="J41" s="372"/>
      <c r="K41" s="55">
        <f t="shared" si="11"/>
        <v>-4966566.8099999996</v>
      </c>
      <c r="L41" s="774">
        <f t="shared" si="2"/>
        <v>3.5190000097990768</v>
      </c>
      <c r="M41" s="372">
        <f t="shared" si="3"/>
        <v>-4966.5668099999994</v>
      </c>
      <c r="N41" s="2"/>
      <c r="O41" s="2"/>
      <c r="P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>
      <c r="A42" s="1"/>
      <c r="B42" s="40"/>
      <c r="C42" s="775">
        <f>SUM(C32:C41)</f>
        <v>-75573893.870000005</v>
      </c>
      <c r="D42" s="775">
        <f>SUM(D32:D41)</f>
        <v>17878962.98942516</v>
      </c>
      <c r="E42" s="775">
        <f>SUM(E32:E41)</f>
        <v>-57694930.880574845</v>
      </c>
      <c r="F42" s="775"/>
      <c r="G42" s="85"/>
      <c r="H42" s="2"/>
      <c r="I42" s="775">
        <f>SUM(I32:I41)</f>
        <v>-265944538</v>
      </c>
      <c r="J42" s="775">
        <f>SUM(J32:J41)</f>
        <v>62916070.934302814</v>
      </c>
      <c r="K42" s="775">
        <f>SUM(K32:K41)</f>
        <v>-203028467.06569719</v>
      </c>
      <c r="L42" s="774">
        <f t="shared" si="2"/>
        <v>3.5190000918097004</v>
      </c>
      <c r="M42" s="372">
        <f t="shared" si="3"/>
        <v>-203028.46706569719</v>
      </c>
      <c r="N42" s="2"/>
      <c r="O42" s="2"/>
      <c r="P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>
      <c r="A43" s="1"/>
      <c r="B43" s="40"/>
      <c r="C43" s="55"/>
      <c r="D43" s="55"/>
      <c r="E43" s="55"/>
      <c r="F43" s="55"/>
      <c r="G43" s="85"/>
      <c r="H43" s="2"/>
      <c r="I43" s="55"/>
      <c r="J43" s="372"/>
      <c r="K43" s="55"/>
      <c r="L43" s="774" t="e">
        <f t="shared" si="2"/>
        <v>#DIV/0!</v>
      </c>
      <c r="M43" s="372"/>
      <c r="N43" s="2"/>
      <c r="O43" s="2"/>
      <c r="P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>
      <c r="A44" s="1"/>
      <c r="B44" s="40" t="s">
        <v>293</v>
      </c>
      <c r="C44" s="55">
        <f>SUMIF('TB LTD 12.22'!I:I,B44,'TB LTD 12.22'!G:G)</f>
        <v>0</v>
      </c>
      <c r="D44" s="55"/>
      <c r="E44" s="55">
        <f t="shared" ref="E44:E47" si="13">C44+D44</f>
        <v>0</v>
      </c>
      <c r="F44" s="55"/>
      <c r="G44" s="85"/>
      <c r="H44" s="2"/>
      <c r="I44" s="55">
        <f>SUMIF('TB LTD 12.22'!I:I,B44,'TB LTD 12.22'!F:F)</f>
        <v>0</v>
      </c>
      <c r="J44" s="372"/>
      <c r="K44" s="55">
        <f t="shared" ref="K44:K45" si="14">I44+J44</f>
        <v>0</v>
      </c>
      <c r="L44" s="774" t="e">
        <f t="shared" si="2"/>
        <v>#DIV/0!</v>
      </c>
      <c r="M44" s="372">
        <f t="shared" si="3"/>
        <v>0</v>
      </c>
      <c r="N44" s="2"/>
      <c r="O44" s="2"/>
      <c r="P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>
      <c r="A45" s="1"/>
      <c r="B45" s="757" t="s">
        <v>1713</v>
      </c>
      <c r="C45" s="55">
        <f>SUMIF('TB LTD 12.22'!I:I,B45,'TB LTD 12.22'!G:G)</f>
        <v>0</v>
      </c>
      <c r="D45" s="55">
        <v>-17832251.442308702</v>
      </c>
      <c r="E45" s="55">
        <f t="shared" si="13"/>
        <v>-17832251.442308702</v>
      </c>
      <c r="F45" s="55"/>
      <c r="G45" s="85"/>
      <c r="H45" s="2"/>
      <c r="I45" s="55">
        <f>SUMIF('TB LTD 12.22'!I:I,B45,'TB LTD 12.22'!F:F)</f>
        <v>0</v>
      </c>
      <c r="J45" s="368">
        <v>-62751692.825484402</v>
      </c>
      <c r="K45" s="55">
        <f t="shared" si="14"/>
        <v>-62751692.825484402</v>
      </c>
      <c r="L45" s="762">
        <f t="shared" si="2"/>
        <v>3.5190000000000046</v>
      </c>
      <c r="M45" s="368">
        <f t="shared" si="3"/>
        <v>-62751.692825484402</v>
      </c>
      <c r="N45" s="2"/>
      <c r="O45" s="2"/>
      <c r="P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>
      <c r="A46" s="1"/>
      <c r="B46" s="40" t="s">
        <v>109</v>
      </c>
      <c r="C46" s="55">
        <f>SUMIF('TB LTD 12.22'!I:I,B46,'TB LTD 12.22'!G:G)</f>
        <v>0</v>
      </c>
      <c r="D46" s="55"/>
      <c r="E46" s="55">
        <f t="shared" si="13"/>
        <v>0</v>
      </c>
      <c r="F46" s="55"/>
      <c r="G46" s="85"/>
      <c r="H46" s="2"/>
      <c r="I46" s="55">
        <f>SUMIF('TB LTD 12.22'!I:I,B46,'TB LTD 12.22'!F:F)</f>
        <v>0</v>
      </c>
      <c r="J46" s="368"/>
      <c r="K46" s="55">
        <f>I46+J46</f>
        <v>0</v>
      </c>
      <c r="L46" s="762" t="e">
        <f t="shared" si="2"/>
        <v>#DIV/0!</v>
      </c>
      <c r="M46" s="368">
        <f t="shared" si="3"/>
        <v>0</v>
      </c>
      <c r="N46" s="2"/>
      <c r="O46" s="2"/>
      <c r="P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>
      <c r="A47" s="1"/>
      <c r="B47" s="40" t="s">
        <v>169</v>
      </c>
      <c r="C47" s="55">
        <f>SUMIF('TB LTD 12.22'!I:I,B47,'TB LTD 12.22'!G:G)</f>
        <v>0</v>
      </c>
      <c r="D47" s="55"/>
      <c r="E47" s="55">
        <f t="shared" si="13"/>
        <v>0</v>
      </c>
      <c r="F47" s="55"/>
      <c r="G47" s="85"/>
      <c r="H47" s="2"/>
      <c r="I47" s="55">
        <f>SUMIF('TB LTD 12.22'!I:I,B47,'TB LTD 12.22'!F:F)</f>
        <v>0</v>
      </c>
      <c r="J47" s="368"/>
      <c r="K47" s="55">
        <f>I47+J47</f>
        <v>0</v>
      </c>
      <c r="L47" s="762" t="e">
        <f t="shared" si="2"/>
        <v>#DIV/0!</v>
      </c>
      <c r="M47" s="368">
        <f t="shared" si="3"/>
        <v>0</v>
      </c>
      <c r="N47" s="2"/>
      <c r="O47" s="2"/>
      <c r="P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>
      <c r="A48" s="1"/>
      <c r="B48" s="40"/>
      <c r="C48" s="90">
        <f>SUM(C44:C47)</f>
        <v>0</v>
      </c>
      <c r="D48" s="90">
        <f>SUM(D44:D47)</f>
        <v>-17832251.442308702</v>
      </c>
      <c r="E48" s="90">
        <f>SUM(E44:E47)</f>
        <v>-17832251.442308702</v>
      </c>
      <c r="F48" s="90"/>
      <c r="G48" s="91"/>
      <c r="H48" s="2"/>
      <c r="I48" s="90">
        <f>SUM(I44:I47)</f>
        <v>0</v>
      </c>
      <c r="J48" s="370">
        <f>SUM(J44:J47)</f>
        <v>-62751692.825484402</v>
      </c>
      <c r="K48" s="90">
        <f>SUM(K44:K47)</f>
        <v>-62751692.825484402</v>
      </c>
      <c r="L48" s="762">
        <f t="shared" si="2"/>
        <v>3.5190000000000046</v>
      </c>
      <c r="M48" s="368">
        <f t="shared" si="3"/>
        <v>-62751.692825484402</v>
      </c>
      <c r="N48" s="2"/>
      <c r="O48" s="2"/>
      <c r="P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>
      <c r="A49" s="1"/>
      <c r="B49" s="53"/>
      <c r="C49" s="2"/>
      <c r="D49" s="2"/>
      <c r="E49" s="2"/>
      <c r="F49" s="2"/>
      <c r="G49" s="75"/>
      <c r="H49" s="2"/>
      <c r="I49" s="2"/>
      <c r="J49" s="368"/>
      <c r="K49" s="2"/>
      <c r="L49" s="762" t="e">
        <f t="shared" si="2"/>
        <v>#DIV/0!</v>
      </c>
      <c r="M49" s="368">
        <f t="shared" si="3"/>
        <v>0</v>
      </c>
      <c r="N49" s="2"/>
      <c r="O49" s="2"/>
      <c r="P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>
      <c r="A50" s="1"/>
      <c r="B50" s="88" t="s">
        <v>307</v>
      </c>
      <c r="C50" s="89">
        <f>+C48+C42</f>
        <v>-75573893.870000005</v>
      </c>
      <c r="D50" s="89">
        <f>+D48+D42</f>
        <v>46711.547116458416</v>
      </c>
      <c r="E50" s="89">
        <f>+E48+E42</f>
        <v>-75527182.322883546</v>
      </c>
      <c r="F50" s="55"/>
      <c r="G50" s="85"/>
      <c r="H50" s="2"/>
      <c r="I50" s="89">
        <f>+I48+I42</f>
        <v>-265944538</v>
      </c>
      <c r="J50" s="89">
        <f>+J48+J42</f>
        <v>164378.10881841183</v>
      </c>
      <c r="K50" s="89">
        <f>+K48+K42</f>
        <v>-265780159.89118159</v>
      </c>
      <c r="L50" s="762">
        <f t="shared" si="2"/>
        <v>3.5190000701330861</v>
      </c>
      <c r="M50" s="368">
        <f t="shared" si="3"/>
        <v>-265780.15989118157</v>
      </c>
      <c r="N50" s="2"/>
      <c r="O50" s="2"/>
      <c r="P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>
      <c r="A51" s="1"/>
      <c r="B51" s="40"/>
      <c r="C51" s="55"/>
      <c r="D51" s="55"/>
      <c r="E51" s="55"/>
      <c r="F51" s="55"/>
      <c r="G51" s="85"/>
      <c r="H51" s="2"/>
      <c r="I51" s="55"/>
      <c r="J51" s="368"/>
      <c r="K51" s="55"/>
      <c r="L51" s="762" t="e">
        <f t="shared" si="2"/>
        <v>#DIV/0!</v>
      </c>
      <c r="M51" s="368">
        <f t="shared" si="3"/>
        <v>0</v>
      </c>
      <c r="N51" s="2"/>
      <c r="O51" s="2"/>
      <c r="P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>
      <c r="A52" s="1"/>
      <c r="B52" s="49" t="s">
        <v>295</v>
      </c>
      <c r="C52" s="55"/>
      <c r="D52" s="55"/>
      <c r="E52" s="55"/>
      <c r="F52" s="55"/>
      <c r="G52" s="85"/>
      <c r="H52" s="2"/>
      <c r="I52" s="55"/>
      <c r="J52" s="368"/>
      <c r="K52" s="55"/>
      <c r="L52" s="762" t="e">
        <f t="shared" si="2"/>
        <v>#DIV/0!</v>
      </c>
      <c r="M52" s="368">
        <f t="shared" si="3"/>
        <v>0</v>
      </c>
      <c r="N52" s="2"/>
      <c r="O52" s="2"/>
      <c r="P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>
      <c r="A53" s="1"/>
      <c r="B53" s="50"/>
      <c r="C53" s="55"/>
      <c r="D53" s="55"/>
      <c r="E53" s="55"/>
      <c r="F53" s="55"/>
      <c r="G53" s="85"/>
      <c r="H53" s="2"/>
      <c r="I53" s="55"/>
      <c r="J53" s="368"/>
      <c r="K53" s="55"/>
      <c r="L53" s="762" t="e">
        <f t="shared" si="2"/>
        <v>#DIV/0!</v>
      </c>
      <c r="M53" s="368">
        <f t="shared" si="3"/>
        <v>0</v>
      </c>
      <c r="N53" s="2"/>
      <c r="O53" s="2"/>
      <c r="P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>
      <c r="A54" s="1"/>
      <c r="B54" s="40" t="s">
        <v>111</v>
      </c>
      <c r="C54" s="55">
        <f>SUMIF('TB LTD 12.22'!I:I,B54,'TB LTD 12.22'!G:G)</f>
        <v>-690.22</v>
      </c>
      <c r="D54" s="55"/>
      <c r="E54" s="55">
        <f t="shared" ref="E54:E56" si="15">C54+D54</f>
        <v>-690.22</v>
      </c>
      <c r="F54" s="55"/>
      <c r="G54" s="85"/>
      <c r="H54" s="2"/>
      <c r="I54" s="55">
        <f>SUMIF('TB LTD 12.22'!I:I,B54,'TB LTD 12.22'!F:F)</f>
        <v>-2417.02</v>
      </c>
      <c r="J54" s="368"/>
      <c r="K54" s="55">
        <f t="shared" ref="K54:K61" si="16">I54+J54</f>
        <v>-2417.02</v>
      </c>
      <c r="L54" s="762">
        <f t="shared" si="2"/>
        <v>3.5018110167772591</v>
      </c>
      <c r="M54" s="750">
        <f t="shared" si="3"/>
        <v>-2.4170199999999999</v>
      </c>
      <c r="N54" s="54">
        <f>SUM(M54:M57)</f>
        <v>-29790.97746000002</v>
      </c>
      <c r="O54" s="2"/>
      <c r="P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1"/>
      <c r="B55" s="92" t="s">
        <v>139</v>
      </c>
      <c r="C55" s="55">
        <f>SUMIF('TB LTD 12.22'!I:I,B55,'TB LTD 12.22'!G:G)</f>
        <v>-191</v>
      </c>
      <c r="D55" s="55"/>
      <c r="E55" s="55">
        <f t="shared" si="15"/>
        <v>-191</v>
      </c>
      <c r="F55" s="55"/>
      <c r="G55" s="85"/>
      <c r="H55" s="2"/>
      <c r="I55" s="55">
        <f>SUMIF('TB LTD 12.22'!I:I,B55,'TB LTD 12.22'!F:F)</f>
        <v>-651</v>
      </c>
      <c r="J55" s="368"/>
      <c r="K55" s="55">
        <f t="shared" si="16"/>
        <v>-651</v>
      </c>
      <c r="L55" s="762">
        <f t="shared" si="2"/>
        <v>3.4083769633507854</v>
      </c>
      <c r="M55" s="750">
        <f t="shared" si="3"/>
        <v>-0.65100000000000002</v>
      </c>
      <c r="N55" s="2"/>
      <c r="O55" s="2"/>
      <c r="P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>
      <c r="A56" s="1"/>
      <c r="B56" s="92" t="s">
        <v>141</v>
      </c>
      <c r="C56" s="55">
        <f>SUMIF('TB LTD 12.22'!I:I,B56,'TB LTD 12.22'!G:G)</f>
        <v>-49.24</v>
      </c>
      <c r="D56" s="55"/>
      <c r="E56" s="55">
        <f t="shared" si="15"/>
        <v>-49.24</v>
      </c>
      <c r="F56" s="55"/>
      <c r="G56" s="85"/>
      <c r="H56" s="2"/>
      <c r="I56" s="55">
        <f>SUMIF('TB LTD 12.22'!I:I,B56,'TB LTD 12.22'!F:F)</f>
        <v>-169.46</v>
      </c>
      <c r="J56" s="368"/>
      <c r="K56" s="55">
        <f t="shared" si="16"/>
        <v>-169.46</v>
      </c>
      <c r="L56" s="762">
        <f t="shared" si="2"/>
        <v>3.4415109666937451</v>
      </c>
      <c r="M56" s="750">
        <f t="shared" si="3"/>
        <v>-0.16946</v>
      </c>
      <c r="N56" s="2"/>
      <c r="O56" s="2"/>
      <c r="P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>
      <c r="A57" s="1"/>
      <c r="B57" s="93" t="s">
        <v>113</v>
      </c>
      <c r="C57" s="55">
        <f>SUMIF('TB LTD 12.22'!I:I,B57,'TB LTD 12.22'!G:G)</f>
        <v>-8818490.5899999999</v>
      </c>
      <c r="D57" s="55">
        <f>'AJE 2022'!G40</f>
        <v>0</v>
      </c>
      <c r="E57" s="55">
        <f>C57+D57</f>
        <v>-8818490.5899999999</v>
      </c>
      <c r="F57" s="55"/>
      <c r="G57" s="85"/>
      <c r="H57" s="2"/>
      <c r="I57" s="55">
        <f>SUMIF('TB LTD 12.22'!I:I,B57,'TB LTD 12.22'!F:F)</f>
        <v>-29787739.980000019</v>
      </c>
      <c r="J57" s="55">
        <f>'AJE 2022'!J40</f>
        <v>0</v>
      </c>
      <c r="K57" s="55">
        <f t="shared" si="16"/>
        <v>-29787739.980000019</v>
      </c>
      <c r="L57" s="762">
        <f t="shared" si="2"/>
        <v>3.3778728543157657</v>
      </c>
      <c r="M57" s="750">
        <f t="shared" si="3"/>
        <v>-29787.73998000002</v>
      </c>
      <c r="N57" s="2"/>
      <c r="O57" s="2"/>
      <c r="P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>
      <c r="A58" s="1"/>
      <c r="B58" s="93" t="s">
        <v>143</v>
      </c>
      <c r="C58" s="55">
        <f>SUMIF('TB LTD 12.22'!I:I,B58,'TB LTD 12.22'!G:G)</f>
        <v>0</v>
      </c>
      <c r="D58" s="55"/>
      <c r="E58" s="55">
        <f>C58+D58</f>
        <v>0</v>
      </c>
      <c r="F58" s="55"/>
      <c r="G58" s="85"/>
      <c r="H58" s="2"/>
      <c r="I58" s="55">
        <f>SUMIF('TB LTD 12.22'!I:I,B58,'TB LTD 12.22'!F:F)</f>
        <v>0</v>
      </c>
      <c r="J58" s="368"/>
      <c r="K58" s="55">
        <f t="shared" si="16"/>
        <v>0</v>
      </c>
      <c r="L58" s="762" t="e">
        <f t="shared" si="2"/>
        <v>#DIV/0!</v>
      </c>
      <c r="M58" s="368">
        <f t="shared" si="3"/>
        <v>0</v>
      </c>
      <c r="N58" s="2"/>
      <c r="O58" s="2"/>
      <c r="P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>
      <c r="A59" s="1"/>
      <c r="B59" s="40" t="s">
        <v>142</v>
      </c>
      <c r="C59" s="55">
        <f>SUMIF('TB LTD 12.22'!I:I,B59,'TB LTD 12.22'!G:G)</f>
        <v>-4082936.56</v>
      </c>
      <c r="D59" s="55"/>
      <c r="E59" s="55">
        <f>C59+D59</f>
        <v>-4082936.56</v>
      </c>
      <c r="F59" s="55"/>
      <c r="G59" s="85"/>
      <c r="H59" s="2"/>
      <c r="I59" s="55">
        <f>SUMIF('TB LTD 12.22'!I:I,B59,'TB LTD 12.22'!F:F)</f>
        <v>-10468187.57</v>
      </c>
      <c r="J59" s="368"/>
      <c r="K59" s="55">
        <f>I59+J59</f>
        <v>-10468187.57</v>
      </c>
      <c r="L59" s="762">
        <f t="shared" si="2"/>
        <v>2.5638869025190045</v>
      </c>
      <c r="M59" s="751">
        <f t="shared" si="3"/>
        <v>-10468.18757</v>
      </c>
      <c r="N59" s="54">
        <f>SUM(M59:M60)</f>
        <v>-94462.548197818513</v>
      </c>
      <c r="O59" s="2"/>
      <c r="P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>
      <c r="A60" s="1"/>
      <c r="B60" s="40" t="s">
        <v>144</v>
      </c>
      <c r="C60" s="58">
        <f>'P&amp;L LTD  USD'!D122</f>
        <v>-22345579.469999954</v>
      </c>
      <c r="D60" s="58">
        <f>-D10-D57-D37-D9-D36-D24-D14-D22-D39-D33-D12-D45-D20</f>
        <v>-59504.887116432117</v>
      </c>
      <c r="E60" s="58">
        <f>C60+D60</f>
        <v>-22405084.357116386</v>
      </c>
      <c r="F60" s="55">
        <f>E60-'P&amp;L LTD  USD'!F122</f>
        <v>0</v>
      </c>
      <c r="G60" s="85"/>
      <c r="H60" s="2"/>
      <c r="I60" s="58">
        <f>'P&amp;L LTD  USD'!J122</f>
        <v>-83787124.830000192</v>
      </c>
      <c r="J60" s="58">
        <f>-J10-J57-J37-J9-J36-J24-J14-J22-J39-J33-J20-J12-J45</f>
        <v>-207235.79781832546</v>
      </c>
      <c r="K60" s="58">
        <f t="shared" si="16"/>
        <v>-83994360.627818525</v>
      </c>
      <c r="L60" s="762">
        <f t="shared" si="2"/>
        <v>3.7488973167440864</v>
      </c>
      <c r="M60" s="751">
        <f t="shared" si="3"/>
        <v>-83994.360627818518</v>
      </c>
      <c r="N60" s="2"/>
      <c r="O60" s="2"/>
      <c r="P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>
      <c r="A61" s="1"/>
      <c r="B61" s="1"/>
      <c r="C61" s="55">
        <f>SUM(C54:C60)</f>
        <v>-35247937.079999954</v>
      </c>
      <c r="D61" s="55">
        <f>SUM(D54:D60)</f>
        <v>-59504.887116432117</v>
      </c>
      <c r="E61" s="55">
        <f>SUM(E54:E60)</f>
        <v>-35307441.967116386</v>
      </c>
      <c r="F61" s="55"/>
      <c r="G61" s="85"/>
      <c r="H61" s="2"/>
      <c r="I61" s="55">
        <f t="shared" ref="I61" si="17">SUM(I54:I60)</f>
        <v>-124046289.86000021</v>
      </c>
      <c r="J61" s="55">
        <f>SUM(J54:J60)</f>
        <v>-207235.79781832546</v>
      </c>
      <c r="K61" s="55">
        <f t="shared" si="16"/>
        <v>-124253525.65781853</v>
      </c>
      <c r="L61" s="762">
        <f t="shared" si="2"/>
        <v>3.5191879880038361</v>
      </c>
      <c r="M61" s="368">
        <f t="shared" si="3"/>
        <v>-124253.52565781852</v>
      </c>
      <c r="N61" s="2"/>
      <c r="O61" s="2"/>
      <c r="P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>
      <c r="A62" s="1"/>
      <c r="B62" s="1"/>
      <c r="C62" s="58"/>
      <c r="D62" s="58"/>
      <c r="E62" s="58"/>
      <c r="F62" s="55"/>
      <c r="G62" s="85"/>
      <c r="H62" s="2"/>
      <c r="I62" s="58"/>
      <c r="J62" s="58"/>
      <c r="K62" s="58"/>
      <c r="L62" s="762" t="e">
        <f t="shared" si="2"/>
        <v>#DIV/0!</v>
      </c>
      <c r="M62" s="368">
        <f t="shared" si="3"/>
        <v>0</v>
      </c>
      <c r="N62" s="2"/>
      <c r="O62" s="2"/>
      <c r="P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thickBot="1">
      <c r="A63" s="1"/>
      <c r="B63" s="1"/>
      <c r="C63" s="94">
        <f>C61+C50</f>
        <v>-110821830.94999996</v>
      </c>
      <c r="D63" s="94">
        <f>D61+D50</f>
        <v>-12793.339999973701</v>
      </c>
      <c r="E63" s="94">
        <f>E61+E50</f>
        <v>-110834624.28999993</v>
      </c>
      <c r="F63" s="55"/>
      <c r="G63" s="85"/>
      <c r="H63" s="2"/>
      <c r="I63" s="94">
        <f t="shared" ref="I63:K63" si="18">I61+I50</f>
        <v>-389990827.86000019</v>
      </c>
      <c r="J63" s="94">
        <f>J61+J50</f>
        <v>-42857.688999913633</v>
      </c>
      <c r="K63" s="94">
        <f t="shared" si="18"/>
        <v>-390033685.54900014</v>
      </c>
      <c r="L63" s="762">
        <f t="shared" si="2"/>
        <v>3.5190599331890455</v>
      </c>
      <c r="M63" s="368">
        <f t="shared" si="3"/>
        <v>-390033.68554900016</v>
      </c>
      <c r="N63" s="2"/>
      <c r="O63" s="2"/>
      <c r="P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thickTop="1">
      <c r="A64" s="1"/>
      <c r="B64" s="1"/>
      <c r="C64" s="55" t="b">
        <f>+C63=-C27</f>
        <v>0</v>
      </c>
      <c r="D64" s="55" t="b">
        <f>+D63=-D27</f>
        <v>1</v>
      </c>
      <c r="E64" s="55" t="b">
        <f>+E63=-E27</f>
        <v>0</v>
      </c>
      <c r="F64" s="55"/>
      <c r="G64" s="85"/>
      <c r="H64" s="2"/>
      <c r="I64" s="55" t="b">
        <f>+I63=-I27</f>
        <v>1</v>
      </c>
      <c r="J64" s="55" t="b">
        <f>+J63=-J27</f>
        <v>0</v>
      </c>
      <c r="K64" s="55" t="b">
        <f>+K63=-K27</f>
        <v>1</v>
      </c>
      <c r="L64" s="762" t="e">
        <f t="shared" si="2"/>
        <v>#DIV/0!</v>
      </c>
      <c r="M64" s="368">
        <f t="shared" si="3"/>
        <v>1E-3</v>
      </c>
      <c r="N64" s="2"/>
      <c r="O64" s="2"/>
      <c r="P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>
      <c r="A65" s="1"/>
      <c r="B65" s="1"/>
      <c r="C65" s="55">
        <f>+C63+C27</f>
        <v>-9.9999904632568359E-3</v>
      </c>
      <c r="D65" s="55">
        <f>+D63+D27</f>
        <v>0</v>
      </c>
      <c r="E65" s="55">
        <f>+E63+E27</f>
        <v>-9.9999904632568359E-3</v>
      </c>
      <c r="F65" s="55"/>
      <c r="G65" s="85"/>
      <c r="H65" s="2"/>
      <c r="I65" s="55">
        <f>+I63+I27</f>
        <v>0</v>
      </c>
      <c r="J65" s="55">
        <f>+J63+J27</f>
        <v>-1.7316779121756554E-9</v>
      </c>
      <c r="K65" s="55">
        <f>+K63+K27</f>
        <v>0</v>
      </c>
      <c r="L65" s="762">
        <f t="shared" si="2"/>
        <v>0</v>
      </c>
      <c r="M65" s="368">
        <f t="shared" si="3"/>
        <v>0</v>
      </c>
      <c r="N65" s="2"/>
      <c r="O65" s="2"/>
      <c r="P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>
      <c r="A66" s="1"/>
      <c r="B66" s="1"/>
      <c r="C66" s="1"/>
      <c r="D66" s="1"/>
      <c r="E66" s="1"/>
      <c r="F66" s="1"/>
      <c r="G66" s="82"/>
      <c r="H66" s="2"/>
      <c r="I66" s="1"/>
      <c r="J66" s="2"/>
      <c r="K66" s="1"/>
      <c r="L66" s="762"/>
      <c r="M66" s="2"/>
      <c r="N66" s="2"/>
      <c r="O66" s="2"/>
      <c r="P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>
      <c r="A67" s="1"/>
      <c r="B67" s="1"/>
      <c r="C67" s="95"/>
      <c r="D67" s="95"/>
      <c r="E67" s="95"/>
      <c r="F67" s="95"/>
      <c r="G67" s="96"/>
      <c r="H67" s="2"/>
      <c r="I67" s="95"/>
      <c r="J67" s="2"/>
      <c r="K67" s="95"/>
      <c r="L67" s="762"/>
      <c r="M67" s="2"/>
      <c r="N67" s="2"/>
      <c r="O67" s="2"/>
      <c r="P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>
      <c r="A68" s="1"/>
      <c r="B68" s="1"/>
      <c r="C68" s="45"/>
      <c r="D68" s="45"/>
      <c r="E68" s="45"/>
      <c r="F68" s="45"/>
      <c r="G68" s="76"/>
      <c r="H68" s="2"/>
      <c r="I68" s="45"/>
      <c r="J68" s="2"/>
      <c r="K68" s="45"/>
      <c r="L68" s="762"/>
      <c r="M68" s="2"/>
      <c r="N68" s="2"/>
      <c r="O68" s="2"/>
      <c r="P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>
      <c r="A69" s="1"/>
      <c r="B69" s="45"/>
      <c r="C69" s="45"/>
      <c r="D69" s="45"/>
      <c r="E69" s="45"/>
      <c r="F69" s="45"/>
      <c r="G69" s="76"/>
      <c r="H69" s="2"/>
      <c r="I69" s="45"/>
      <c r="J69" s="45"/>
      <c r="K69" s="298"/>
      <c r="L69" s="762"/>
      <c r="M69" s="2"/>
      <c r="N69" s="2"/>
      <c r="O69" s="2"/>
      <c r="P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>
      <c r="A70" s="1"/>
      <c r="B70" s="1"/>
      <c r="C70" s="45"/>
      <c r="D70" s="45"/>
      <c r="E70" s="45"/>
      <c r="F70" s="45"/>
      <c r="G70" s="76"/>
      <c r="H70" s="2"/>
      <c r="I70" s="45"/>
      <c r="J70" s="2"/>
      <c r="K70" s="45"/>
      <c r="L70" s="762"/>
      <c r="M70" s="2"/>
      <c r="N70" s="2"/>
      <c r="O70" s="2"/>
      <c r="P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>
      <c r="A71" s="1"/>
      <c r="B71" s="1"/>
      <c r="C71" s="45"/>
      <c r="D71" s="45"/>
      <c r="E71" s="45"/>
      <c r="F71" s="45"/>
      <c r="G71" s="76"/>
      <c r="H71" s="2"/>
      <c r="I71" s="45"/>
      <c r="J71" s="2"/>
      <c r="K71" s="45"/>
      <c r="L71" s="762"/>
      <c r="M71" s="2"/>
      <c r="N71" s="2"/>
      <c r="O71" s="2"/>
      <c r="P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>
      <c r="A72" s="1"/>
      <c r="B72" s="1"/>
      <c r="C72" s="21"/>
      <c r="D72" s="21"/>
      <c r="E72" s="21"/>
      <c r="F72" s="21"/>
      <c r="G72" s="97"/>
      <c r="H72" s="2"/>
      <c r="I72" s="21"/>
      <c r="J72" s="2"/>
      <c r="K72" s="21"/>
      <c r="L72" s="762"/>
      <c r="M72" s="2"/>
      <c r="N72" s="2"/>
      <c r="O72" s="2"/>
      <c r="P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>
      <c r="A73" s="1"/>
      <c r="B73" s="1"/>
      <c r="C73" s="21"/>
      <c r="D73" s="21"/>
      <c r="E73" s="21"/>
      <c r="F73" s="21"/>
      <c r="G73" s="97"/>
      <c r="H73" s="2"/>
      <c r="I73" s="21"/>
      <c r="J73" s="2"/>
      <c r="K73" s="21"/>
      <c r="L73" s="762"/>
      <c r="M73" s="2"/>
      <c r="N73" s="2"/>
      <c r="O73" s="2"/>
      <c r="P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>
      <c r="A74" s="1"/>
      <c r="B74" s="1"/>
      <c r="C74" s="21"/>
      <c r="D74" s="21"/>
      <c r="E74" s="21"/>
      <c r="F74" s="21"/>
      <c r="G74" s="97"/>
      <c r="H74" s="2"/>
      <c r="I74" s="21"/>
      <c r="J74" s="2"/>
      <c r="K74" s="21"/>
      <c r="L74" s="762"/>
      <c r="M74" s="2"/>
      <c r="N74" s="2"/>
      <c r="O74" s="2"/>
      <c r="P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>
      <c r="A75" s="1"/>
      <c r="B75" s="1"/>
      <c r="C75" s="45"/>
      <c r="D75" s="45"/>
      <c r="E75" s="45"/>
      <c r="F75" s="45"/>
      <c r="G75" s="76"/>
      <c r="H75" s="2"/>
      <c r="I75" s="45"/>
      <c r="J75" s="2"/>
      <c r="K75" s="45"/>
      <c r="L75" s="762"/>
      <c r="M75" s="2"/>
      <c r="N75" s="2"/>
      <c r="O75" s="2"/>
      <c r="P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>
      <c r="A76" s="1"/>
      <c r="B76" s="1"/>
      <c r="C76" s="45"/>
      <c r="D76" s="45"/>
      <c r="E76" s="45"/>
      <c r="F76" s="45"/>
      <c r="G76" s="76"/>
      <c r="H76" s="2"/>
      <c r="I76" s="45"/>
      <c r="J76" s="2"/>
      <c r="K76" s="45"/>
      <c r="L76" s="762"/>
      <c r="M76" s="2"/>
      <c r="N76" s="2"/>
      <c r="O76" s="2"/>
      <c r="P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>
      <c r="A77" s="1"/>
      <c r="B77" s="1"/>
      <c r="C77" s="45"/>
      <c r="D77" s="45"/>
      <c r="E77" s="45"/>
      <c r="F77" s="45"/>
      <c r="G77" s="76"/>
      <c r="H77" s="2"/>
      <c r="I77" s="45"/>
      <c r="J77" s="2"/>
      <c r="K77" s="45"/>
      <c r="L77" s="762"/>
      <c r="M77" s="2"/>
      <c r="N77" s="2"/>
      <c r="O77" s="2"/>
      <c r="P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>
      <c r="A78" s="1"/>
      <c r="B78" s="1"/>
      <c r="C78" s="45"/>
      <c r="D78" s="45"/>
      <c r="E78" s="45"/>
      <c r="F78" s="45"/>
      <c r="G78" s="76"/>
      <c r="H78" s="2"/>
      <c r="I78" s="45"/>
      <c r="J78" s="2"/>
      <c r="K78" s="45"/>
      <c r="L78" s="762"/>
      <c r="M78" s="2"/>
      <c r="N78" s="2"/>
      <c r="O78" s="2"/>
      <c r="P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>
      <c r="A79" s="1"/>
      <c r="B79" s="1"/>
      <c r="C79" s="45"/>
      <c r="D79" s="45"/>
      <c r="E79" s="45"/>
      <c r="F79" s="45"/>
      <c r="G79" s="76"/>
      <c r="H79" s="2"/>
      <c r="I79" s="45"/>
      <c r="J79" s="2"/>
      <c r="K79" s="45"/>
      <c r="L79" s="762"/>
      <c r="M79" s="2"/>
      <c r="N79" s="2"/>
      <c r="O79" s="2"/>
      <c r="P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>
      <c r="A80" s="1"/>
      <c r="B80" s="1"/>
      <c r="C80" s="45"/>
      <c r="D80" s="45"/>
      <c r="E80" s="45"/>
      <c r="F80" s="45"/>
      <c r="G80" s="76"/>
      <c r="H80" s="2"/>
      <c r="I80" s="45"/>
      <c r="J80" s="2"/>
      <c r="K80" s="45"/>
      <c r="L80" s="762"/>
      <c r="M80" s="2"/>
      <c r="N80" s="2"/>
      <c r="O80" s="2"/>
      <c r="P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>
      <c r="A81" s="1"/>
      <c r="B81" s="1"/>
      <c r="C81" s="45"/>
      <c r="D81" s="45"/>
      <c r="E81" s="45"/>
      <c r="F81" s="45"/>
      <c r="G81" s="76"/>
      <c r="H81" s="2"/>
      <c r="I81" s="45"/>
      <c r="J81" s="2"/>
      <c r="K81" s="45"/>
      <c r="L81" s="762"/>
      <c r="M81" s="2"/>
      <c r="N81" s="2"/>
      <c r="O81" s="2"/>
      <c r="P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>
      <c r="A82" s="1"/>
      <c r="B82" s="1"/>
      <c r="C82" s="45"/>
      <c r="D82" s="45"/>
      <c r="E82" s="45"/>
      <c r="F82" s="45"/>
      <c r="G82" s="76"/>
      <c r="H82" s="2"/>
      <c r="I82" s="45"/>
      <c r="J82" s="2"/>
      <c r="K82" s="45"/>
      <c r="L82" s="762"/>
      <c r="M82" s="2"/>
      <c r="N82" s="2"/>
      <c r="O82" s="2"/>
      <c r="P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>
      <c r="A83" s="1"/>
      <c r="B83" s="1"/>
      <c r="C83" s="45"/>
      <c r="D83" s="45"/>
      <c r="E83" s="45"/>
      <c r="F83" s="45"/>
      <c r="G83" s="76"/>
      <c r="H83" s="2"/>
      <c r="I83" s="45"/>
      <c r="J83" s="2"/>
      <c r="K83" s="45"/>
      <c r="L83" s="762"/>
      <c r="M83" s="2"/>
      <c r="N83" s="2"/>
      <c r="O83" s="2"/>
      <c r="P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>
      <c r="A84" s="1"/>
      <c r="B84" s="1"/>
      <c r="C84" s="45"/>
      <c r="D84" s="45"/>
      <c r="E84" s="45"/>
      <c r="F84" s="45"/>
      <c r="G84" s="76"/>
      <c r="H84" s="2"/>
      <c r="I84" s="45"/>
      <c r="J84" s="2"/>
      <c r="K84" s="45"/>
      <c r="L84" s="762"/>
      <c r="M84" s="2"/>
      <c r="N84" s="2"/>
      <c r="O84" s="2"/>
      <c r="P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>
      <c r="A85" s="1"/>
      <c r="B85" s="1"/>
      <c r="C85" s="45"/>
      <c r="D85" s="45"/>
      <c r="E85" s="45"/>
      <c r="F85" s="45"/>
      <c r="G85" s="76"/>
      <c r="H85" s="2"/>
      <c r="I85" s="45"/>
      <c r="J85" s="2"/>
      <c r="K85" s="45"/>
      <c r="L85" s="762"/>
      <c r="M85" s="2"/>
      <c r="N85" s="2"/>
      <c r="O85" s="2"/>
      <c r="P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>
      <c r="A86" s="1"/>
      <c r="B86" s="1"/>
      <c r="C86" s="45"/>
      <c r="D86" s="45"/>
      <c r="E86" s="45"/>
      <c r="F86" s="45"/>
      <c r="G86" s="76"/>
      <c r="H86" s="2"/>
      <c r="I86" s="45"/>
      <c r="J86" s="2"/>
      <c r="K86" s="45"/>
      <c r="L86" s="762"/>
      <c r="M86" s="2"/>
      <c r="N86" s="2"/>
      <c r="O86" s="2"/>
      <c r="P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>
      <c r="A87" s="1"/>
      <c r="B87" s="1"/>
      <c r="C87" s="45"/>
      <c r="D87" s="45"/>
      <c r="E87" s="45"/>
      <c r="F87" s="45"/>
      <c r="G87" s="76"/>
      <c r="H87" s="2"/>
      <c r="I87" s="45"/>
      <c r="J87" s="2"/>
      <c r="K87" s="45"/>
      <c r="L87" s="762"/>
      <c r="M87" s="2"/>
      <c r="N87" s="2"/>
      <c r="O87" s="2"/>
      <c r="P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>
      <c r="A88" s="1"/>
      <c r="B88" s="1"/>
      <c r="C88" s="45"/>
      <c r="D88" s="45"/>
      <c r="E88" s="45"/>
      <c r="F88" s="45"/>
      <c r="G88" s="76"/>
      <c r="H88" s="2"/>
      <c r="I88" s="45"/>
      <c r="J88" s="2"/>
      <c r="K88" s="45"/>
      <c r="L88" s="762"/>
      <c r="M88" s="2"/>
      <c r="N88" s="2"/>
      <c r="O88" s="2"/>
      <c r="P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>
      <c r="A89" s="1"/>
      <c r="B89" s="1"/>
      <c r="C89" s="45"/>
      <c r="D89" s="45"/>
      <c r="E89" s="45"/>
      <c r="F89" s="45"/>
      <c r="G89" s="76"/>
      <c r="H89" s="2"/>
      <c r="I89" s="45"/>
      <c r="J89" s="2"/>
      <c r="K89" s="45"/>
      <c r="L89" s="762"/>
      <c r="M89" s="2"/>
      <c r="N89" s="2"/>
      <c r="O89" s="2"/>
      <c r="P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>
      <c r="A90" s="1"/>
      <c r="B90" s="1"/>
      <c r="C90" s="45"/>
      <c r="D90" s="45"/>
      <c r="E90" s="45"/>
      <c r="F90" s="45"/>
      <c r="G90" s="76"/>
      <c r="H90" s="2"/>
      <c r="I90" s="45"/>
      <c r="J90" s="2"/>
      <c r="K90" s="45"/>
      <c r="L90" s="762"/>
      <c r="M90" s="2"/>
      <c r="N90" s="2"/>
      <c r="O90" s="2"/>
      <c r="P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>
      <c r="A91" s="1"/>
      <c r="B91" s="1"/>
      <c r="C91" s="45"/>
      <c r="D91" s="45"/>
      <c r="E91" s="45"/>
      <c r="F91" s="45"/>
      <c r="G91" s="76"/>
      <c r="H91" s="2"/>
      <c r="I91" s="45"/>
      <c r="J91" s="2"/>
      <c r="K91" s="45"/>
      <c r="L91" s="762"/>
      <c r="M91" s="2"/>
      <c r="N91" s="2"/>
      <c r="O91" s="2"/>
      <c r="P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>
      <c r="A92" s="1"/>
      <c r="B92" s="1"/>
      <c r="C92" s="45"/>
      <c r="D92" s="45"/>
      <c r="E92" s="45"/>
      <c r="F92" s="45"/>
      <c r="G92" s="76"/>
      <c r="H92" s="2"/>
      <c r="I92" s="45"/>
      <c r="J92" s="2"/>
      <c r="K92" s="45"/>
      <c r="L92" s="762"/>
      <c r="M92" s="2"/>
      <c r="N92" s="2"/>
      <c r="O92" s="2"/>
      <c r="P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>
      <c r="A93" s="1"/>
      <c r="B93" s="1"/>
      <c r="C93" s="45"/>
      <c r="D93" s="45"/>
      <c r="E93" s="45"/>
      <c r="F93" s="45"/>
      <c r="G93" s="76"/>
      <c r="H93" s="2"/>
      <c r="I93" s="45"/>
      <c r="J93" s="2"/>
      <c r="K93" s="45"/>
      <c r="L93" s="762"/>
      <c r="M93" s="2"/>
      <c r="N93" s="2"/>
      <c r="O93" s="2"/>
      <c r="P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>
      <c r="A94" s="1"/>
      <c r="B94" s="1"/>
      <c r="C94" s="45"/>
      <c r="D94" s="45"/>
      <c r="E94" s="45"/>
      <c r="F94" s="45"/>
      <c r="G94" s="76"/>
      <c r="H94" s="2"/>
      <c r="I94" s="45"/>
      <c r="J94" s="2"/>
      <c r="K94" s="45"/>
      <c r="L94" s="762"/>
      <c r="M94" s="2"/>
      <c r="N94" s="2"/>
      <c r="O94" s="2"/>
      <c r="P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>
      <c r="A95" s="1"/>
      <c r="B95" s="1"/>
      <c r="C95" s="45"/>
      <c r="D95" s="45"/>
      <c r="E95" s="45"/>
      <c r="F95" s="45"/>
      <c r="G95" s="76"/>
      <c r="H95" s="2"/>
      <c r="I95" s="45"/>
      <c r="J95" s="2"/>
      <c r="K95" s="45"/>
      <c r="L95" s="762"/>
      <c r="M95" s="2"/>
      <c r="N95" s="2"/>
      <c r="O95" s="2"/>
      <c r="P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>
      <c r="A96" s="1"/>
      <c r="B96" s="1"/>
      <c r="C96" s="45"/>
      <c r="D96" s="45"/>
      <c r="E96" s="45"/>
      <c r="F96" s="45"/>
      <c r="G96" s="76"/>
      <c r="H96" s="2"/>
      <c r="I96" s="45"/>
      <c r="J96" s="2"/>
      <c r="K96" s="45"/>
      <c r="L96" s="762"/>
      <c r="M96" s="2"/>
      <c r="N96" s="2"/>
      <c r="O96" s="2"/>
      <c r="P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>
      <c r="A97" s="1"/>
      <c r="B97" s="1"/>
      <c r="C97" s="45"/>
      <c r="D97" s="45"/>
      <c r="E97" s="45"/>
      <c r="F97" s="45"/>
      <c r="G97" s="76"/>
      <c r="H97" s="2"/>
      <c r="I97" s="45"/>
      <c r="J97" s="2"/>
      <c r="K97" s="45"/>
      <c r="L97" s="762"/>
      <c r="M97" s="2"/>
      <c r="N97" s="2"/>
      <c r="O97" s="2"/>
      <c r="P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>
      <c r="A98" s="1"/>
      <c r="B98" s="1"/>
      <c r="C98" s="45"/>
      <c r="D98" s="45"/>
      <c r="E98" s="45"/>
      <c r="F98" s="45"/>
      <c r="G98" s="76"/>
      <c r="H98" s="2"/>
      <c r="I98" s="45"/>
      <c r="J98" s="2"/>
      <c r="K98" s="45"/>
      <c r="L98" s="762"/>
      <c r="M98" s="2"/>
      <c r="N98" s="2"/>
      <c r="O98" s="2"/>
      <c r="P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>
      <c r="A99" s="1"/>
      <c r="B99" s="1"/>
      <c r="C99" s="45"/>
      <c r="D99" s="45"/>
      <c r="E99" s="45"/>
      <c r="F99" s="45"/>
      <c r="G99" s="45"/>
      <c r="H99" s="2"/>
      <c r="I99" s="45"/>
      <c r="J99" s="2"/>
      <c r="K99" s="45"/>
      <c r="L99" s="762"/>
      <c r="M99" s="2"/>
      <c r="N99" s="2"/>
      <c r="O99" s="2"/>
      <c r="P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>
      <c r="A100" s="1"/>
      <c r="B100" s="1"/>
      <c r="C100" s="45"/>
      <c r="D100" s="45"/>
      <c r="E100" s="45"/>
      <c r="F100" s="45"/>
      <c r="G100" s="45"/>
      <c r="H100" s="2"/>
      <c r="I100" s="45"/>
      <c r="J100" s="2"/>
      <c r="K100" s="45"/>
      <c r="L100" s="762"/>
      <c r="M100" s="2"/>
      <c r="N100" s="2"/>
      <c r="O100" s="2"/>
      <c r="P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>
      <c r="A101" s="1"/>
      <c r="B101" s="1"/>
      <c r="C101" s="45"/>
      <c r="D101" s="45"/>
      <c r="E101" s="45"/>
      <c r="F101" s="45"/>
      <c r="G101" s="45"/>
      <c r="H101" s="2"/>
      <c r="I101" s="45"/>
      <c r="J101" s="2"/>
      <c r="K101" s="45"/>
      <c r="L101" s="762"/>
      <c r="M101" s="2"/>
      <c r="N101" s="2"/>
      <c r="O101" s="2"/>
      <c r="P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>
      <c r="A102" s="1"/>
      <c r="B102" s="1"/>
      <c r="C102" s="45"/>
      <c r="D102" s="45"/>
      <c r="E102" s="45"/>
      <c r="F102" s="45"/>
      <c r="G102" s="45"/>
      <c r="H102" s="2"/>
      <c r="I102" s="45"/>
      <c r="J102" s="2"/>
      <c r="K102" s="45"/>
      <c r="L102" s="762"/>
      <c r="M102" s="2"/>
      <c r="N102" s="2"/>
      <c r="O102" s="2"/>
      <c r="P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>
      <c r="A103" s="1"/>
      <c r="B103" s="1"/>
      <c r="C103" s="45"/>
      <c r="D103" s="45"/>
      <c r="E103" s="45"/>
      <c r="F103" s="45"/>
      <c r="G103" s="45"/>
      <c r="H103" s="2"/>
      <c r="I103" s="45"/>
      <c r="J103" s="2"/>
      <c r="K103" s="45"/>
      <c r="L103" s="762"/>
      <c r="M103" s="2"/>
      <c r="N103" s="2"/>
      <c r="O103" s="2"/>
      <c r="P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>
      <c r="A104" s="1"/>
      <c r="B104" s="1"/>
      <c r="C104" s="45"/>
      <c r="D104" s="45"/>
      <c r="E104" s="45"/>
      <c r="F104" s="45"/>
      <c r="G104" s="45"/>
      <c r="H104" s="2"/>
      <c r="I104" s="45"/>
      <c r="J104" s="2"/>
      <c r="K104" s="45"/>
      <c r="L104" s="762"/>
      <c r="M104" s="2"/>
      <c r="N104" s="2"/>
      <c r="O104" s="2"/>
      <c r="P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>
      <c r="A105" s="1"/>
      <c r="B105" s="1"/>
      <c r="C105" s="45"/>
      <c r="D105" s="45"/>
      <c r="E105" s="45"/>
      <c r="F105" s="45"/>
      <c r="G105" s="45"/>
      <c r="H105" s="2"/>
      <c r="I105" s="45"/>
      <c r="J105" s="2"/>
      <c r="K105" s="45"/>
      <c r="L105" s="762"/>
      <c r="M105" s="2"/>
      <c r="N105" s="2"/>
      <c r="O105" s="2"/>
      <c r="P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>
      <c r="A106" s="1"/>
      <c r="B106" s="1"/>
      <c r="C106" s="45"/>
      <c r="D106" s="45"/>
      <c r="E106" s="45"/>
      <c r="F106" s="45"/>
      <c r="G106" s="45"/>
      <c r="H106" s="2"/>
      <c r="I106" s="45"/>
      <c r="J106" s="2"/>
      <c r="K106" s="45"/>
      <c r="L106" s="762"/>
      <c r="M106" s="2"/>
      <c r="N106" s="2"/>
      <c r="O106" s="2"/>
      <c r="P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>
      <c r="A107" s="1"/>
      <c r="B107" s="1"/>
      <c r="C107" s="45"/>
      <c r="D107" s="45"/>
      <c r="E107" s="45"/>
      <c r="F107" s="45"/>
      <c r="G107" s="45"/>
      <c r="H107" s="2"/>
      <c r="I107" s="45"/>
      <c r="J107" s="2"/>
      <c r="K107" s="45"/>
      <c r="L107" s="762"/>
      <c r="M107" s="2"/>
      <c r="N107" s="2"/>
      <c r="O107" s="2"/>
      <c r="P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>
      <c r="A108" s="1"/>
      <c r="B108" s="1"/>
      <c r="C108" s="45"/>
      <c r="D108" s="45"/>
      <c r="E108" s="45"/>
      <c r="F108" s="45"/>
      <c r="G108" s="45"/>
      <c r="H108" s="2"/>
      <c r="I108" s="45"/>
      <c r="J108" s="2"/>
      <c r="K108" s="45"/>
      <c r="L108" s="762"/>
      <c r="M108" s="2"/>
      <c r="N108" s="2"/>
      <c r="O108" s="2"/>
      <c r="P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>
      <c r="A109" s="1"/>
      <c r="B109" s="1"/>
      <c r="C109" s="45"/>
      <c r="D109" s="45"/>
      <c r="E109" s="45"/>
      <c r="F109" s="45"/>
      <c r="G109" s="45"/>
      <c r="H109" s="2"/>
      <c r="I109" s="45"/>
      <c r="J109" s="2"/>
      <c r="K109" s="45"/>
      <c r="L109" s="762"/>
      <c r="M109" s="2"/>
      <c r="N109" s="2"/>
      <c r="O109" s="2"/>
      <c r="P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>
      <c r="A110" s="1"/>
      <c r="B110" s="1"/>
      <c r="C110" s="45"/>
      <c r="D110" s="45"/>
      <c r="E110" s="45"/>
      <c r="F110" s="45"/>
      <c r="G110" s="45"/>
      <c r="H110" s="2"/>
      <c r="I110" s="45"/>
      <c r="J110" s="2"/>
      <c r="K110" s="45"/>
      <c r="L110" s="2"/>
      <c r="M110" s="2"/>
      <c r="N110" s="2"/>
      <c r="O110" s="2"/>
      <c r="P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>
      <c r="A111" s="1"/>
      <c r="B111" s="1"/>
      <c r="C111" s="45"/>
      <c r="D111" s="45"/>
      <c r="E111" s="45"/>
      <c r="F111" s="45"/>
      <c r="G111" s="45"/>
      <c r="H111" s="2"/>
      <c r="I111" s="45"/>
      <c r="J111" s="2"/>
      <c r="K111" s="45"/>
      <c r="L111" s="2"/>
      <c r="M111" s="2"/>
      <c r="N111" s="2"/>
      <c r="O111" s="2"/>
      <c r="P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>
      <c r="A112" s="1"/>
      <c r="B112" s="1"/>
      <c r="C112" s="45"/>
      <c r="D112" s="45"/>
      <c r="E112" s="45"/>
      <c r="F112" s="45"/>
      <c r="G112" s="45"/>
      <c r="H112" s="2"/>
      <c r="I112" s="45"/>
      <c r="J112" s="2"/>
      <c r="K112" s="45"/>
      <c r="L112" s="2"/>
      <c r="M112" s="2"/>
      <c r="N112" s="2"/>
      <c r="O112" s="2"/>
      <c r="P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>
      <c r="A113" s="1"/>
      <c r="B113" s="1"/>
      <c r="C113" s="45"/>
      <c r="D113" s="45"/>
      <c r="E113" s="45"/>
      <c r="F113" s="45"/>
      <c r="G113" s="45"/>
      <c r="H113" s="2"/>
      <c r="I113" s="45"/>
      <c r="J113" s="2"/>
      <c r="K113" s="45"/>
      <c r="L113" s="2"/>
      <c r="M113" s="2"/>
      <c r="N113" s="2"/>
      <c r="O113" s="2"/>
      <c r="P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>
      <c r="A114" s="1"/>
      <c r="B114" s="1"/>
      <c r="C114" s="45"/>
      <c r="D114" s="45"/>
      <c r="E114" s="45"/>
      <c r="F114" s="45"/>
      <c r="G114" s="45"/>
      <c r="H114" s="2"/>
      <c r="I114" s="45"/>
      <c r="J114" s="2"/>
      <c r="K114" s="45"/>
      <c r="L114" s="2"/>
      <c r="M114" s="2"/>
      <c r="N114" s="2"/>
      <c r="O114" s="2"/>
      <c r="P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>
      <c r="A115" s="1"/>
      <c r="B115" s="1"/>
      <c r="C115" s="45"/>
      <c r="D115" s="45"/>
      <c r="E115" s="45"/>
      <c r="F115" s="45"/>
      <c r="G115" s="45"/>
      <c r="H115" s="2"/>
      <c r="I115" s="45"/>
      <c r="J115" s="2"/>
      <c r="K115" s="45"/>
      <c r="L115" s="2"/>
      <c r="M115" s="2"/>
      <c r="N115" s="2"/>
      <c r="O115" s="2"/>
      <c r="P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>
      <c r="A116" s="1"/>
      <c r="B116" s="1"/>
      <c r="C116" s="45"/>
      <c r="D116" s="45"/>
      <c r="E116" s="45"/>
      <c r="F116" s="45"/>
      <c r="G116" s="45"/>
      <c r="H116" s="2"/>
      <c r="I116" s="45"/>
      <c r="J116" s="2"/>
      <c r="K116" s="45"/>
      <c r="L116" s="2"/>
      <c r="M116" s="2"/>
      <c r="N116" s="2"/>
      <c r="O116" s="2"/>
      <c r="P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>
      <c r="A117" s="1"/>
      <c r="B117" s="1"/>
      <c r="C117" s="45"/>
      <c r="D117" s="45"/>
      <c r="E117" s="45"/>
      <c r="F117" s="45"/>
      <c r="G117" s="45"/>
      <c r="H117" s="2"/>
      <c r="I117" s="45"/>
      <c r="J117" s="2"/>
      <c r="K117" s="45"/>
      <c r="L117" s="2"/>
      <c r="M117" s="2"/>
      <c r="N117" s="2"/>
      <c r="O117" s="2"/>
      <c r="P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>
      <c r="A118" s="1"/>
      <c r="B118" s="1"/>
      <c r="C118" s="45"/>
      <c r="D118" s="45"/>
      <c r="E118" s="45"/>
      <c r="F118" s="45"/>
      <c r="G118" s="45"/>
      <c r="H118" s="2"/>
      <c r="I118" s="45"/>
      <c r="J118" s="2"/>
      <c r="K118" s="45"/>
      <c r="L118" s="2"/>
      <c r="M118" s="2"/>
      <c r="N118" s="2"/>
      <c r="O118" s="2"/>
      <c r="P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>
      <c r="A119" s="1"/>
      <c r="B119" s="1"/>
      <c r="C119" s="45"/>
      <c r="D119" s="45"/>
      <c r="E119" s="45"/>
      <c r="F119" s="45"/>
      <c r="G119" s="45"/>
      <c r="H119" s="2"/>
      <c r="I119" s="45"/>
      <c r="J119" s="2"/>
      <c r="K119" s="45"/>
      <c r="L119" s="2"/>
      <c r="M119" s="2"/>
      <c r="N119" s="2"/>
      <c r="O119" s="2"/>
      <c r="P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>
      <c r="A120" s="1"/>
      <c r="B120" s="1"/>
      <c r="C120" s="45"/>
      <c r="D120" s="45"/>
      <c r="E120" s="45"/>
      <c r="F120" s="45"/>
      <c r="G120" s="45"/>
      <c r="H120" s="2"/>
      <c r="I120" s="45"/>
      <c r="J120" s="2"/>
      <c r="K120" s="45"/>
      <c r="L120" s="2"/>
      <c r="M120" s="2"/>
      <c r="N120" s="2"/>
      <c r="O120" s="2"/>
      <c r="P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>
      <c r="A121" s="1"/>
      <c r="B121" s="1"/>
      <c r="C121" s="45"/>
      <c r="D121" s="45"/>
      <c r="E121" s="45"/>
      <c r="F121" s="45"/>
      <c r="G121" s="45"/>
      <c r="H121" s="2"/>
      <c r="I121" s="45"/>
      <c r="J121" s="2"/>
      <c r="K121" s="45"/>
      <c r="L121" s="2"/>
      <c r="M121" s="2"/>
      <c r="N121" s="2"/>
      <c r="O121" s="2"/>
      <c r="P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>
      <c r="A122" s="1"/>
      <c r="B122" s="1"/>
      <c r="C122" s="45"/>
      <c r="D122" s="45"/>
      <c r="E122" s="45"/>
      <c r="F122" s="45"/>
      <c r="G122" s="45"/>
      <c r="H122" s="2"/>
      <c r="I122" s="45"/>
      <c r="J122" s="2"/>
      <c r="K122" s="45"/>
      <c r="L122" s="2"/>
      <c r="M122" s="2"/>
      <c r="N122" s="2"/>
      <c r="O122" s="2"/>
      <c r="P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>
      <c r="A123" s="1"/>
      <c r="B123" s="1"/>
      <c r="C123" s="45"/>
      <c r="D123" s="45"/>
      <c r="E123" s="45"/>
      <c r="F123" s="45"/>
      <c r="G123" s="45"/>
      <c r="H123" s="2"/>
      <c r="I123" s="45"/>
      <c r="J123" s="2"/>
      <c r="K123" s="45"/>
      <c r="L123" s="2"/>
      <c r="M123" s="2"/>
      <c r="N123" s="2"/>
      <c r="O123" s="2"/>
      <c r="P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>
      <c r="A124" s="1"/>
      <c r="B124" s="1"/>
      <c r="C124" s="45"/>
      <c r="D124" s="45"/>
      <c r="E124" s="45"/>
      <c r="F124" s="45"/>
      <c r="G124" s="45"/>
      <c r="H124" s="2"/>
      <c r="I124" s="45"/>
      <c r="J124" s="2"/>
      <c r="K124" s="45"/>
      <c r="L124" s="2"/>
      <c r="M124" s="2"/>
      <c r="N124" s="2"/>
      <c r="O124" s="2"/>
      <c r="P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>
      <c r="A125" s="1"/>
      <c r="B125" s="1"/>
      <c r="C125" s="45"/>
      <c r="D125" s="45"/>
      <c r="E125" s="45"/>
      <c r="F125" s="45"/>
      <c r="G125" s="45"/>
      <c r="H125" s="2"/>
      <c r="I125" s="45"/>
      <c r="J125" s="2"/>
      <c r="K125" s="45"/>
      <c r="L125" s="2"/>
      <c r="M125" s="2"/>
      <c r="N125" s="2"/>
      <c r="O125" s="2"/>
      <c r="P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>
      <c r="A126" s="1"/>
      <c r="B126" s="1"/>
      <c r="C126" s="45"/>
      <c r="D126" s="45"/>
      <c r="E126" s="45"/>
      <c r="F126" s="45"/>
      <c r="G126" s="45"/>
      <c r="H126" s="2"/>
      <c r="I126" s="45"/>
      <c r="J126" s="2"/>
      <c r="K126" s="45"/>
      <c r="L126" s="2"/>
      <c r="M126" s="2"/>
      <c r="N126" s="2"/>
      <c r="O126" s="2"/>
      <c r="P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>
      <c r="A127" s="1"/>
      <c r="B127" s="1"/>
      <c r="C127" s="45"/>
      <c r="D127" s="45"/>
      <c r="E127" s="45"/>
      <c r="F127" s="45"/>
      <c r="G127" s="45"/>
      <c r="H127" s="2"/>
      <c r="I127" s="45"/>
      <c r="J127" s="2"/>
      <c r="K127" s="45"/>
      <c r="L127" s="2"/>
      <c r="M127" s="2"/>
      <c r="N127" s="2"/>
      <c r="O127" s="2"/>
      <c r="P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>
      <c r="A128" s="1"/>
      <c r="B128" s="1"/>
      <c r="C128" s="45"/>
      <c r="D128" s="45"/>
      <c r="E128" s="45"/>
      <c r="F128" s="45"/>
      <c r="G128" s="45"/>
      <c r="H128" s="2"/>
      <c r="I128" s="45"/>
      <c r="J128" s="2"/>
      <c r="K128" s="45"/>
      <c r="L128" s="2"/>
      <c r="M128" s="2"/>
      <c r="N128" s="2"/>
      <c r="O128" s="2"/>
      <c r="P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>
      <c r="A129" s="1"/>
      <c r="B129" s="1"/>
      <c r="C129" s="45"/>
      <c r="D129" s="45"/>
      <c r="E129" s="45"/>
      <c r="F129" s="45"/>
      <c r="G129" s="45"/>
      <c r="H129" s="2"/>
      <c r="I129" s="45"/>
      <c r="J129" s="2"/>
      <c r="K129" s="45"/>
      <c r="L129" s="2"/>
      <c r="M129" s="2"/>
      <c r="N129" s="2"/>
      <c r="O129" s="2"/>
      <c r="P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>
      <c r="A130" s="1"/>
      <c r="B130" s="1"/>
      <c r="C130" s="45"/>
      <c r="D130" s="45"/>
      <c r="E130" s="45"/>
      <c r="F130" s="45"/>
      <c r="G130" s="45"/>
      <c r="H130" s="2"/>
      <c r="I130" s="45"/>
      <c r="J130" s="2"/>
      <c r="K130" s="45"/>
      <c r="L130" s="2"/>
      <c r="M130" s="2"/>
      <c r="N130" s="2"/>
      <c r="O130" s="2"/>
      <c r="P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>
      <c r="A131" s="1"/>
      <c r="B131" s="1"/>
      <c r="C131" s="45"/>
      <c r="D131" s="45"/>
      <c r="E131" s="45"/>
      <c r="F131" s="45"/>
      <c r="G131" s="45"/>
      <c r="H131" s="2"/>
      <c r="I131" s="45"/>
      <c r="J131" s="2"/>
      <c r="K131" s="45"/>
      <c r="L131" s="2"/>
      <c r="M131" s="2"/>
      <c r="N131" s="2"/>
      <c r="O131" s="2"/>
      <c r="P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>
      <c r="A132" s="1"/>
      <c r="B132" s="1"/>
      <c r="C132" s="45"/>
      <c r="D132" s="45"/>
      <c r="E132" s="45"/>
      <c r="F132" s="45"/>
      <c r="G132" s="45"/>
      <c r="H132" s="2"/>
      <c r="I132" s="45"/>
      <c r="J132" s="2"/>
      <c r="K132" s="45"/>
      <c r="L132" s="2"/>
      <c r="M132" s="2"/>
      <c r="N132" s="2"/>
      <c r="O132" s="2"/>
      <c r="P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>
      <c r="A133" s="1"/>
      <c r="B133" s="1"/>
      <c r="C133" s="45"/>
      <c r="D133" s="45"/>
      <c r="E133" s="45"/>
      <c r="F133" s="45"/>
      <c r="G133" s="45"/>
      <c r="H133" s="2"/>
      <c r="I133" s="45"/>
      <c r="J133" s="2"/>
      <c r="K133" s="45"/>
      <c r="L133" s="2"/>
      <c r="M133" s="2"/>
      <c r="N133" s="2"/>
      <c r="O133" s="2"/>
      <c r="P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>
      <c r="A134" s="1"/>
      <c r="B134" s="1"/>
      <c r="C134" s="45"/>
      <c r="D134" s="45"/>
      <c r="E134" s="45"/>
      <c r="F134" s="45"/>
      <c r="G134" s="45"/>
      <c r="H134" s="2"/>
      <c r="I134" s="45"/>
      <c r="J134" s="2"/>
      <c r="K134" s="45"/>
      <c r="L134" s="2"/>
      <c r="M134" s="2"/>
      <c r="N134" s="2"/>
      <c r="O134" s="2"/>
      <c r="P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>
      <c r="A135" s="1"/>
      <c r="B135" s="1"/>
      <c r="C135" s="45"/>
      <c r="D135" s="45"/>
      <c r="E135" s="45"/>
      <c r="F135" s="45"/>
      <c r="G135" s="45"/>
      <c r="H135" s="2"/>
      <c r="I135" s="45"/>
      <c r="J135" s="2"/>
      <c r="K135" s="45"/>
      <c r="L135" s="2"/>
      <c r="M135" s="2"/>
      <c r="N135" s="2"/>
      <c r="O135" s="2"/>
      <c r="P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>
      <c r="A136" s="1"/>
      <c r="B136" s="1"/>
      <c r="C136" s="45"/>
      <c r="D136" s="45"/>
      <c r="E136" s="45"/>
      <c r="F136" s="45"/>
      <c r="G136" s="45"/>
      <c r="H136" s="2"/>
      <c r="I136" s="45"/>
      <c r="J136" s="2"/>
      <c r="K136" s="45"/>
      <c r="L136" s="2"/>
      <c r="M136" s="2"/>
      <c r="N136" s="2"/>
      <c r="O136" s="2"/>
      <c r="P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>
      <c r="A137" s="1"/>
      <c r="B137" s="1"/>
      <c r="C137" s="45"/>
      <c r="D137" s="45"/>
      <c r="E137" s="45"/>
      <c r="F137" s="45"/>
      <c r="G137" s="45"/>
      <c r="H137" s="2"/>
      <c r="I137" s="45"/>
      <c r="J137" s="2"/>
      <c r="K137" s="45"/>
      <c r="L137" s="2"/>
      <c r="M137" s="2"/>
      <c r="N137" s="2"/>
      <c r="O137" s="2"/>
      <c r="P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>
      <c r="A138" s="1"/>
      <c r="B138" s="1"/>
      <c r="C138" s="45"/>
      <c r="D138" s="45"/>
      <c r="E138" s="45"/>
      <c r="F138" s="45"/>
      <c r="G138" s="45"/>
      <c r="H138" s="2"/>
      <c r="I138" s="45"/>
      <c r="J138" s="2"/>
      <c r="K138" s="45"/>
      <c r="L138" s="2"/>
      <c r="M138" s="2"/>
      <c r="N138" s="2"/>
      <c r="O138" s="2"/>
      <c r="P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>
      <c r="A139" s="1"/>
      <c r="B139" s="1"/>
      <c r="C139" s="45"/>
      <c r="D139" s="45"/>
      <c r="E139" s="45"/>
      <c r="F139" s="45"/>
      <c r="G139" s="45"/>
      <c r="H139" s="2"/>
      <c r="I139" s="45"/>
      <c r="J139" s="2"/>
      <c r="K139" s="45"/>
      <c r="L139" s="2"/>
      <c r="M139" s="2"/>
      <c r="N139" s="2"/>
      <c r="O139" s="2"/>
      <c r="P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>
      <c r="A140" s="1"/>
      <c r="B140" s="1"/>
      <c r="C140" s="45"/>
      <c r="D140" s="45"/>
      <c r="E140" s="45"/>
      <c r="F140" s="45"/>
      <c r="G140" s="45"/>
      <c r="H140" s="2"/>
      <c r="I140" s="45"/>
      <c r="J140" s="2"/>
      <c r="K140" s="45"/>
      <c r="L140" s="2"/>
      <c r="M140" s="2"/>
      <c r="N140" s="2"/>
      <c r="O140" s="2"/>
      <c r="P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>
      <c r="A141" s="1"/>
      <c r="B141" s="1"/>
      <c r="C141" s="45"/>
      <c r="D141" s="45"/>
      <c r="E141" s="45"/>
      <c r="F141" s="45"/>
      <c r="G141" s="45"/>
      <c r="H141" s="2"/>
      <c r="I141" s="45"/>
      <c r="J141" s="2"/>
      <c r="K141" s="45"/>
      <c r="L141" s="2"/>
      <c r="M141" s="2"/>
      <c r="N141" s="2"/>
      <c r="O141" s="2"/>
      <c r="P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>
      <c r="A142" s="1"/>
      <c r="B142" s="1"/>
      <c r="C142" s="45"/>
      <c r="D142" s="45"/>
      <c r="E142" s="45"/>
      <c r="F142" s="45"/>
      <c r="G142" s="45"/>
      <c r="H142" s="2"/>
      <c r="I142" s="45"/>
      <c r="J142" s="2"/>
      <c r="K142" s="45"/>
      <c r="L142" s="2"/>
      <c r="M142" s="2"/>
      <c r="N142" s="2"/>
      <c r="O142" s="2"/>
      <c r="P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>
      <c r="A143" s="1"/>
      <c r="B143" s="1"/>
      <c r="C143" s="45"/>
      <c r="D143" s="45"/>
      <c r="E143" s="45"/>
      <c r="F143" s="45"/>
      <c r="G143" s="45"/>
      <c r="H143" s="2"/>
      <c r="I143" s="45"/>
      <c r="J143" s="2"/>
      <c r="K143" s="45"/>
      <c r="L143" s="2"/>
      <c r="M143" s="2"/>
      <c r="N143" s="2"/>
      <c r="O143" s="2"/>
      <c r="P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>
      <c r="A144" s="1"/>
      <c r="B144" s="1"/>
      <c r="C144" s="45"/>
      <c r="D144" s="45"/>
      <c r="E144" s="45"/>
      <c r="F144" s="45"/>
      <c r="G144" s="45"/>
      <c r="H144" s="2"/>
      <c r="I144" s="45"/>
      <c r="J144" s="2"/>
      <c r="K144" s="45"/>
      <c r="L144" s="2"/>
      <c r="M144" s="2"/>
      <c r="N144" s="2"/>
      <c r="O144" s="2"/>
      <c r="P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>
      <c r="A145" s="1"/>
      <c r="B145" s="1"/>
      <c r="C145" s="45"/>
      <c r="D145" s="45"/>
      <c r="E145" s="45"/>
      <c r="F145" s="45"/>
      <c r="G145" s="45"/>
      <c r="H145" s="2"/>
      <c r="I145" s="45"/>
      <c r="J145" s="2"/>
      <c r="K145" s="45"/>
      <c r="L145" s="2"/>
      <c r="M145" s="2"/>
      <c r="N145" s="2"/>
      <c r="O145" s="2"/>
      <c r="P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>
      <c r="A146" s="1"/>
      <c r="B146" s="1"/>
      <c r="C146" s="45"/>
      <c r="D146" s="45"/>
      <c r="E146" s="45"/>
      <c r="F146" s="45"/>
      <c r="G146" s="45"/>
      <c r="H146" s="2"/>
      <c r="I146" s="45"/>
      <c r="J146" s="2"/>
      <c r="K146" s="45"/>
      <c r="L146" s="2"/>
      <c r="M146" s="2"/>
      <c r="N146" s="2"/>
      <c r="O146" s="2"/>
      <c r="P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>
      <c r="A147" s="1"/>
      <c r="B147" s="1"/>
      <c r="C147" s="45"/>
      <c r="D147" s="45"/>
      <c r="E147" s="45"/>
      <c r="F147" s="45"/>
      <c r="G147" s="45"/>
      <c r="H147" s="2"/>
      <c r="I147" s="45"/>
      <c r="J147" s="2"/>
      <c r="K147" s="45"/>
      <c r="L147" s="2"/>
      <c r="M147" s="2"/>
      <c r="N147" s="2"/>
      <c r="O147" s="2"/>
      <c r="P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>
      <c r="A148" s="1"/>
      <c r="B148" s="1"/>
      <c r="C148" s="45"/>
      <c r="D148" s="45"/>
      <c r="E148" s="45"/>
      <c r="F148" s="45"/>
      <c r="G148" s="45"/>
      <c r="H148" s="2"/>
      <c r="I148" s="45"/>
      <c r="J148" s="2"/>
      <c r="K148" s="45"/>
      <c r="L148" s="2"/>
      <c r="M148" s="2"/>
      <c r="N148" s="2"/>
      <c r="O148" s="2"/>
      <c r="P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>
      <c r="A149" s="1"/>
      <c r="B149" s="1"/>
      <c r="C149" s="45"/>
      <c r="D149" s="45"/>
      <c r="E149" s="45"/>
      <c r="F149" s="45"/>
      <c r="G149" s="45"/>
      <c r="H149" s="2"/>
      <c r="I149" s="45"/>
      <c r="J149" s="2"/>
      <c r="K149" s="45"/>
      <c r="L149" s="2"/>
      <c r="M149" s="2"/>
      <c r="N149" s="2"/>
      <c r="O149" s="2"/>
      <c r="P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>
      <c r="A150" s="1"/>
      <c r="B150" s="1"/>
      <c r="C150" s="45"/>
      <c r="D150" s="45"/>
      <c r="E150" s="45"/>
      <c r="F150" s="45"/>
      <c r="G150" s="45"/>
      <c r="H150" s="2"/>
      <c r="I150" s="45"/>
      <c r="J150" s="2"/>
      <c r="K150" s="45"/>
      <c r="L150" s="2"/>
      <c r="M150" s="2"/>
      <c r="N150" s="2"/>
      <c r="O150" s="2"/>
      <c r="P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>
      <c r="A151" s="1"/>
      <c r="B151" s="1"/>
      <c r="C151" s="45"/>
      <c r="D151" s="45"/>
      <c r="E151" s="45"/>
      <c r="F151" s="45"/>
      <c r="G151" s="45"/>
      <c r="H151" s="2"/>
      <c r="I151" s="45"/>
      <c r="J151" s="2"/>
      <c r="K151" s="45"/>
      <c r="L151" s="2"/>
      <c r="M151" s="2"/>
      <c r="N151" s="2"/>
      <c r="O151" s="2"/>
      <c r="P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>
      <c r="A152" s="1"/>
      <c r="B152" s="1"/>
      <c r="C152" s="45"/>
      <c r="D152" s="45"/>
      <c r="E152" s="45"/>
      <c r="F152" s="45"/>
      <c r="G152" s="45"/>
      <c r="H152" s="2"/>
      <c r="I152" s="45"/>
      <c r="J152" s="2"/>
      <c r="K152" s="45"/>
      <c r="L152" s="2"/>
      <c r="M152" s="2"/>
      <c r="N152" s="2"/>
      <c r="O152" s="2"/>
      <c r="P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>
      <c r="A153" s="1"/>
      <c r="B153" s="1"/>
      <c r="C153" s="45"/>
      <c r="D153" s="45"/>
      <c r="E153" s="45"/>
      <c r="F153" s="45"/>
      <c r="G153" s="45"/>
      <c r="H153" s="2"/>
      <c r="I153" s="45"/>
      <c r="J153" s="2"/>
      <c r="K153" s="45"/>
      <c r="L153" s="2"/>
      <c r="M153" s="2"/>
      <c r="N153" s="2"/>
      <c r="O153" s="2"/>
      <c r="P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>
      <c r="A154" s="1"/>
      <c r="B154" s="1"/>
      <c r="C154" s="45"/>
      <c r="D154" s="45"/>
      <c r="E154" s="45"/>
      <c r="F154" s="45"/>
      <c r="G154" s="45"/>
      <c r="H154" s="2"/>
      <c r="I154" s="45"/>
      <c r="J154" s="2"/>
      <c r="K154" s="45"/>
      <c r="L154" s="2"/>
      <c r="M154" s="2"/>
      <c r="N154" s="2"/>
      <c r="O154" s="2"/>
      <c r="P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>
      <c r="A155" s="1"/>
      <c r="B155" s="1"/>
      <c r="C155" s="45"/>
      <c r="D155" s="45"/>
      <c r="E155" s="45"/>
      <c r="F155" s="45"/>
      <c r="G155" s="45"/>
      <c r="H155" s="2"/>
      <c r="I155" s="45"/>
      <c r="J155" s="2"/>
      <c r="K155" s="45"/>
      <c r="L155" s="2"/>
      <c r="M155" s="2"/>
      <c r="N155" s="2"/>
      <c r="O155" s="2"/>
      <c r="P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>
      <c r="A156" s="1"/>
      <c r="B156" s="1"/>
      <c r="C156" s="45"/>
      <c r="D156" s="45"/>
      <c r="E156" s="45"/>
      <c r="F156" s="45"/>
      <c r="G156" s="45"/>
      <c r="H156" s="2"/>
      <c r="I156" s="45"/>
      <c r="J156" s="2"/>
      <c r="K156" s="45"/>
      <c r="L156" s="2"/>
      <c r="M156" s="2"/>
      <c r="N156" s="2"/>
      <c r="O156" s="2"/>
      <c r="P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>
      <c r="A157" s="1"/>
      <c r="B157" s="1"/>
      <c r="C157" s="45"/>
      <c r="D157" s="45"/>
      <c r="E157" s="45"/>
      <c r="F157" s="45"/>
      <c r="G157" s="45"/>
      <c r="H157" s="2"/>
      <c r="I157" s="45"/>
      <c r="J157" s="2"/>
      <c r="K157" s="45"/>
      <c r="L157" s="2"/>
      <c r="M157" s="2"/>
      <c r="N157" s="2"/>
      <c r="O157" s="2"/>
      <c r="P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>
      <c r="A158" s="1"/>
      <c r="B158" s="1"/>
      <c r="C158" s="45"/>
      <c r="D158" s="45"/>
      <c r="E158" s="45"/>
      <c r="F158" s="45"/>
      <c r="G158" s="45"/>
      <c r="H158" s="2"/>
      <c r="I158" s="45"/>
      <c r="J158" s="2"/>
      <c r="K158" s="45"/>
      <c r="L158" s="2"/>
      <c r="M158" s="2"/>
      <c r="N158" s="2"/>
      <c r="O158" s="2"/>
      <c r="P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>
      <c r="A159" s="1"/>
      <c r="B159" s="1"/>
      <c r="C159" s="45"/>
      <c r="D159" s="45"/>
      <c r="E159" s="45"/>
      <c r="F159" s="45"/>
      <c r="G159" s="45"/>
      <c r="H159" s="2"/>
      <c r="I159" s="45"/>
      <c r="J159" s="2"/>
      <c r="K159" s="45"/>
      <c r="L159" s="2"/>
      <c r="M159" s="2"/>
      <c r="N159" s="2"/>
      <c r="O159" s="2"/>
      <c r="P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>
      <c r="A160" s="1"/>
      <c r="B160" s="1"/>
      <c r="C160" s="45"/>
      <c r="D160" s="45"/>
      <c r="E160" s="45"/>
      <c r="F160" s="45"/>
      <c r="G160" s="45"/>
      <c r="H160" s="2"/>
      <c r="I160" s="45"/>
      <c r="J160" s="2"/>
      <c r="K160" s="45"/>
      <c r="L160" s="2"/>
      <c r="M160" s="2"/>
      <c r="N160" s="2"/>
      <c r="O160" s="2"/>
      <c r="P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>
      <c r="A161" s="1"/>
      <c r="B161" s="1"/>
      <c r="C161" s="45"/>
      <c r="D161" s="45"/>
      <c r="E161" s="45"/>
      <c r="F161" s="45"/>
      <c r="G161" s="45"/>
      <c r="H161" s="2"/>
      <c r="I161" s="45"/>
      <c r="J161" s="2"/>
      <c r="K161" s="45"/>
      <c r="L161" s="2"/>
      <c r="M161" s="2"/>
      <c r="N161" s="2"/>
      <c r="O161" s="2"/>
      <c r="P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>
      <c r="A162" s="1"/>
      <c r="B162" s="1"/>
      <c r="C162" s="45"/>
      <c r="D162" s="45"/>
      <c r="E162" s="45"/>
      <c r="F162" s="45"/>
      <c r="G162" s="45"/>
      <c r="H162" s="2"/>
      <c r="I162" s="45"/>
      <c r="J162" s="2"/>
      <c r="K162" s="45"/>
      <c r="L162" s="2"/>
      <c r="M162" s="2"/>
      <c r="N162" s="2"/>
      <c r="O162" s="2"/>
      <c r="P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>
      <c r="A163" s="1"/>
      <c r="B163" s="1"/>
      <c r="C163" s="45"/>
      <c r="D163" s="45"/>
      <c r="E163" s="45"/>
      <c r="F163" s="45"/>
      <c r="G163" s="45"/>
      <c r="H163" s="2"/>
      <c r="I163" s="45"/>
      <c r="J163" s="2"/>
      <c r="K163" s="45"/>
      <c r="L163" s="2"/>
      <c r="M163" s="2"/>
      <c r="N163" s="2"/>
      <c r="O163" s="2"/>
      <c r="P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>
      <c r="A164" s="1"/>
      <c r="B164" s="1"/>
      <c r="C164" s="45"/>
      <c r="D164" s="45"/>
      <c r="E164" s="45"/>
      <c r="F164" s="45"/>
      <c r="G164" s="45"/>
      <c r="H164" s="2"/>
      <c r="I164" s="45"/>
      <c r="J164" s="2"/>
      <c r="K164" s="45"/>
      <c r="L164" s="2"/>
      <c r="M164" s="2"/>
      <c r="N164" s="2"/>
      <c r="O164" s="2"/>
      <c r="P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>
      <c r="A165" s="1"/>
      <c r="B165" s="1"/>
      <c r="C165" s="45"/>
      <c r="D165" s="45"/>
      <c r="E165" s="45"/>
      <c r="F165" s="45"/>
      <c r="G165" s="45"/>
      <c r="H165" s="2"/>
      <c r="I165" s="45"/>
      <c r="J165" s="2"/>
      <c r="K165" s="45"/>
      <c r="L165" s="2"/>
      <c r="M165" s="2"/>
      <c r="N165" s="2"/>
      <c r="O165" s="2"/>
      <c r="P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>
      <c r="A166" s="1"/>
      <c r="B166" s="1"/>
      <c r="C166" s="45"/>
      <c r="D166" s="45"/>
      <c r="E166" s="45"/>
      <c r="F166" s="45"/>
      <c r="G166" s="45"/>
      <c r="H166" s="2"/>
      <c r="I166" s="45"/>
      <c r="J166" s="2"/>
      <c r="K166" s="45"/>
      <c r="L166" s="2"/>
      <c r="M166" s="2"/>
      <c r="N166" s="2"/>
      <c r="O166" s="2"/>
      <c r="P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>
      <c r="A167" s="1"/>
      <c r="B167" s="1"/>
      <c r="C167" s="45"/>
      <c r="D167" s="45"/>
      <c r="E167" s="45"/>
      <c r="F167" s="45"/>
      <c r="G167" s="45"/>
      <c r="H167" s="2"/>
      <c r="I167" s="45"/>
      <c r="J167" s="2"/>
      <c r="K167" s="45"/>
      <c r="L167" s="2"/>
      <c r="M167" s="2"/>
      <c r="N167" s="2"/>
      <c r="O167" s="2"/>
      <c r="P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>
      <c r="A168" s="1"/>
      <c r="B168" s="1"/>
      <c r="C168" s="45"/>
      <c r="D168" s="45"/>
      <c r="E168" s="45"/>
      <c r="F168" s="45"/>
      <c r="G168" s="45"/>
      <c r="H168" s="2"/>
      <c r="I168" s="45"/>
      <c r="J168" s="2"/>
      <c r="K168" s="2"/>
      <c r="L168" s="2"/>
      <c r="M168" s="2"/>
      <c r="N168" s="2"/>
      <c r="O168" s="2"/>
      <c r="P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>
      <c r="A169" s="1"/>
      <c r="B169" s="1"/>
      <c r="C169" s="45"/>
      <c r="D169" s="45"/>
      <c r="E169" s="45"/>
      <c r="F169" s="45"/>
      <c r="G169" s="45"/>
      <c r="H169" s="2"/>
      <c r="I169" s="45"/>
      <c r="J169" s="2"/>
      <c r="K169" s="2"/>
      <c r="L169" s="2"/>
      <c r="M169" s="2"/>
      <c r="N169" s="2"/>
      <c r="O169" s="2"/>
      <c r="P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>
      <c r="A170" s="1"/>
      <c r="B170" s="1"/>
      <c r="C170" s="45"/>
      <c r="D170" s="45"/>
      <c r="E170" s="45"/>
      <c r="F170" s="45"/>
      <c r="G170" s="45"/>
      <c r="H170" s="2"/>
      <c r="I170" s="45"/>
      <c r="J170" s="2"/>
      <c r="K170" s="2"/>
      <c r="L170" s="2"/>
      <c r="M170" s="2"/>
      <c r="N170" s="2"/>
      <c r="O170" s="2"/>
      <c r="P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>
      <c r="A171" s="1"/>
      <c r="B171" s="1"/>
      <c r="C171" s="45"/>
      <c r="D171" s="45"/>
      <c r="E171" s="45"/>
      <c r="F171" s="45"/>
      <c r="G171" s="45"/>
      <c r="H171" s="2"/>
      <c r="I171" s="45"/>
      <c r="J171" s="2"/>
      <c r="K171" s="2"/>
      <c r="L171" s="2"/>
      <c r="M171" s="2"/>
      <c r="N171" s="2"/>
      <c r="O171" s="2"/>
      <c r="P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>
      <c r="A172" s="1"/>
      <c r="B172" s="1"/>
      <c r="C172" s="45"/>
      <c r="D172" s="45"/>
      <c r="E172" s="45"/>
      <c r="F172" s="45"/>
      <c r="G172" s="45"/>
      <c r="H172" s="2"/>
      <c r="I172" s="45"/>
      <c r="J172" s="2"/>
      <c r="K172" s="2"/>
      <c r="L172" s="2"/>
      <c r="M172" s="2"/>
      <c r="N172" s="2"/>
      <c r="O172" s="2"/>
      <c r="P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>
      <c r="A173" s="1"/>
      <c r="B173" s="1"/>
      <c r="C173" s="45"/>
      <c r="D173" s="45"/>
      <c r="E173" s="45"/>
      <c r="F173" s="45"/>
      <c r="G173" s="45"/>
      <c r="H173" s="2"/>
      <c r="I173" s="45"/>
      <c r="J173" s="2"/>
      <c r="K173" s="2"/>
      <c r="L173" s="2"/>
      <c r="M173" s="2"/>
      <c r="N173" s="2"/>
      <c r="O173" s="2"/>
      <c r="P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>
      <c r="A174" s="1"/>
      <c r="B174" s="1"/>
      <c r="C174" s="45"/>
      <c r="D174" s="45"/>
      <c r="E174" s="45"/>
      <c r="F174" s="45"/>
      <c r="G174" s="45"/>
      <c r="H174" s="2"/>
      <c r="I174" s="45"/>
      <c r="J174" s="2"/>
      <c r="K174" s="2"/>
      <c r="L174" s="2"/>
      <c r="M174" s="2"/>
      <c r="N174" s="2"/>
      <c r="O174" s="2"/>
      <c r="P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>
      <c r="A175" s="1"/>
      <c r="B175" s="1"/>
      <c r="C175" s="45"/>
      <c r="D175" s="45"/>
      <c r="E175" s="45"/>
      <c r="F175" s="45"/>
      <c r="G175" s="45"/>
      <c r="H175" s="2"/>
      <c r="I175" s="45"/>
      <c r="J175" s="2"/>
      <c r="K175" s="2"/>
      <c r="L175" s="2"/>
      <c r="M175" s="2"/>
      <c r="N175" s="2"/>
      <c r="O175" s="2"/>
      <c r="P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>
      <c r="A176" s="1"/>
      <c r="B176" s="1"/>
      <c r="C176" s="45"/>
      <c r="D176" s="45"/>
      <c r="E176" s="45"/>
      <c r="F176" s="45"/>
      <c r="G176" s="45"/>
      <c r="H176" s="2"/>
      <c r="I176" s="45"/>
      <c r="J176" s="2"/>
      <c r="K176" s="2"/>
      <c r="L176" s="2"/>
      <c r="M176" s="2"/>
      <c r="N176" s="2"/>
      <c r="O176" s="2"/>
      <c r="P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>
      <c r="A177" s="1"/>
      <c r="B177" s="1"/>
      <c r="C177" s="45"/>
      <c r="D177" s="45"/>
      <c r="E177" s="45"/>
      <c r="F177" s="45"/>
      <c r="G177" s="45"/>
      <c r="H177" s="2"/>
      <c r="I177" s="45"/>
      <c r="J177" s="2"/>
      <c r="K177" s="2"/>
      <c r="L177" s="2"/>
      <c r="M177" s="2"/>
      <c r="N177" s="2"/>
      <c r="O177" s="2"/>
      <c r="P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>
      <c r="A178" s="1"/>
      <c r="B178" s="1"/>
      <c r="C178" s="45"/>
      <c r="D178" s="45"/>
      <c r="E178" s="45"/>
      <c r="F178" s="45"/>
      <c r="G178" s="45"/>
      <c r="H178" s="2"/>
      <c r="I178" s="45"/>
      <c r="J178" s="2"/>
      <c r="K178" s="2"/>
      <c r="L178" s="2"/>
      <c r="M178" s="2"/>
      <c r="N178" s="2"/>
      <c r="O178" s="2"/>
      <c r="P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>
      <c r="A179" s="1"/>
      <c r="B179" s="1"/>
      <c r="C179" s="45"/>
      <c r="D179" s="45"/>
      <c r="E179" s="45"/>
      <c r="F179" s="45"/>
      <c r="G179" s="45"/>
      <c r="H179" s="2"/>
      <c r="I179" s="45"/>
      <c r="J179" s="2"/>
      <c r="K179" s="2"/>
      <c r="L179" s="2"/>
      <c r="M179" s="2"/>
      <c r="N179" s="2"/>
      <c r="O179" s="2"/>
      <c r="P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>
      <c r="A180" s="1"/>
      <c r="B180" s="1"/>
      <c r="C180" s="45"/>
      <c r="D180" s="45"/>
      <c r="E180" s="45"/>
      <c r="F180" s="45"/>
      <c r="G180" s="45"/>
      <c r="H180" s="2"/>
      <c r="I180" s="45"/>
      <c r="J180" s="2"/>
      <c r="K180" s="2"/>
      <c r="L180" s="2"/>
      <c r="M180" s="2"/>
      <c r="N180" s="2"/>
      <c r="O180" s="2"/>
      <c r="P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>
      <c r="A181" s="1"/>
      <c r="B181" s="1"/>
      <c r="C181" s="45"/>
      <c r="D181" s="45"/>
      <c r="E181" s="45"/>
      <c r="F181" s="45"/>
      <c r="G181" s="45"/>
      <c r="H181" s="2"/>
      <c r="I181" s="45"/>
      <c r="J181" s="2"/>
      <c r="K181" s="2"/>
      <c r="L181" s="2"/>
      <c r="M181" s="2"/>
      <c r="N181" s="2"/>
      <c r="O181" s="2"/>
      <c r="P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>
      <c r="A182" s="1"/>
      <c r="B182" s="1"/>
      <c r="C182" s="45"/>
      <c r="D182" s="45"/>
      <c r="E182" s="45"/>
      <c r="F182" s="45"/>
      <c r="G182" s="45"/>
      <c r="H182" s="2"/>
      <c r="I182" s="45"/>
      <c r="J182" s="2"/>
      <c r="K182" s="2"/>
      <c r="L182" s="2"/>
      <c r="M182" s="2"/>
      <c r="N182" s="2"/>
      <c r="O182" s="2"/>
      <c r="P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>
      <c r="A183" s="1"/>
      <c r="B183" s="1"/>
      <c r="C183" s="45"/>
      <c r="D183" s="45"/>
      <c r="E183" s="45"/>
      <c r="F183" s="45"/>
      <c r="G183" s="45"/>
      <c r="H183" s="2"/>
      <c r="I183" s="45"/>
      <c r="J183" s="2"/>
      <c r="K183" s="2"/>
      <c r="L183" s="2"/>
      <c r="M183" s="2"/>
      <c r="N183" s="2"/>
      <c r="O183" s="2"/>
      <c r="P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>
      <c r="A184" s="1"/>
      <c r="B184" s="1"/>
      <c r="C184" s="45"/>
      <c r="D184" s="45"/>
      <c r="E184" s="45"/>
      <c r="F184" s="45"/>
      <c r="G184" s="45"/>
      <c r="H184" s="2"/>
      <c r="I184" s="45"/>
      <c r="J184" s="2"/>
      <c r="K184" s="2"/>
      <c r="L184" s="2"/>
      <c r="M184" s="2"/>
      <c r="N184" s="2"/>
      <c r="O184" s="2"/>
      <c r="P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>
      <c r="A185" s="1"/>
      <c r="B185" s="1"/>
      <c r="C185" s="45"/>
      <c r="D185" s="45"/>
      <c r="E185" s="45"/>
      <c r="F185" s="45"/>
      <c r="G185" s="45"/>
      <c r="H185" s="2"/>
      <c r="I185" s="45"/>
      <c r="J185" s="2"/>
      <c r="K185" s="2"/>
      <c r="L185" s="2"/>
      <c r="M185" s="2"/>
      <c r="N185" s="2"/>
      <c r="O185" s="2"/>
      <c r="P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>
      <c r="A186" s="1"/>
      <c r="B186" s="1"/>
      <c r="C186" s="45"/>
      <c r="D186" s="45"/>
      <c r="E186" s="45"/>
      <c r="F186" s="45"/>
      <c r="G186" s="45"/>
      <c r="H186" s="2"/>
      <c r="I186" s="45"/>
      <c r="J186" s="2"/>
      <c r="K186" s="2"/>
      <c r="L186" s="2"/>
      <c r="M186" s="2"/>
      <c r="N186" s="2"/>
      <c r="O186" s="2"/>
      <c r="P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>
      <c r="A187" s="1"/>
      <c r="B187" s="1"/>
      <c r="C187" s="45"/>
      <c r="D187" s="45"/>
      <c r="E187" s="45"/>
      <c r="F187" s="45"/>
      <c r="G187" s="45"/>
      <c r="H187" s="2"/>
      <c r="I187" s="45"/>
      <c r="J187" s="2"/>
      <c r="K187" s="2"/>
      <c r="L187" s="2"/>
      <c r="M187" s="2"/>
      <c r="N187" s="2"/>
      <c r="O187" s="2"/>
      <c r="P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>
      <c r="A188" s="1"/>
      <c r="B188" s="1"/>
      <c r="C188" s="45"/>
      <c r="D188" s="45"/>
      <c r="E188" s="45"/>
      <c r="F188" s="45"/>
      <c r="G188" s="45"/>
      <c r="H188" s="2"/>
      <c r="I188" s="45"/>
      <c r="J188" s="2"/>
      <c r="K188" s="2"/>
      <c r="L188" s="2"/>
      <c r="M188" s="2"/>
      <c r="N188" s="2"/>
      <c r="O188" s="2"/>
      <c r="P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>
      <c r="A189" s="1"/>
      <c r="B189" s="1"/>
      <c r="C189" s="45"/>
      <c r="D189" s="45"/>
      <c r="E189" s="45"/>
      <c r="F189" s="45"/>
      <c r="G189" s="45"/>
      <c r="H189" s="2"/>
      <c r="I189" s="45"/>
      <c r="J189" s="2"/>
      <c r="K189" s="2"/>
      <c r="L189" s="2"/>
      <c r="M189" s="2"/>
      <c r="N189" s="2"/>
      <c r="O189" s="2"/>
      <c r="P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>
      <c r="A190" s="1"/>
      <c r="B190" s="1"/>
      <c r="C190" s="45"/>
      <c r="D190" s="45"/>
      <c r="E190" s="45"/>
      <c r="F190" s="45"/>
      <c r="G190" s="45"/>
      <c r="H190" s="2"/>
      <c r="I190" s="45"/>
      <c r="J190" s="2"/>
      <c r="K190" s="2"/>
      <c r="L190" s="2"/>
      <c r="M190" s="2"/>
      <c r="N190" s="2"/>
      <c r="O190" s="2"/>
      <c r="P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>
      <c r="A191" s="1"/>
      <c r="B191" s="1"/>
      <c r="C191" s="45"/>
      <c r="D191" s="45"/>
      <c r="E191" s="45"/>
      <c r="F191" s="45"/>
      <c r="G191" s="45"/>
      <c r="H191" s="2"/>
      <c r="I191" s="45"/>
      <c r="J191" s="2"/>
      <c r="K191" s="2"/>
      <c r="L191" s="2"/>
      <c r="M191" s="2"/>
      <c r="N191" s="2"/>
      <c r="O191" s="2"/>
      <c r="P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>
      <c r="A192" s="1"/>
      <c r="B192" s="1"/>
      <c r="C192" s="45"/>
      <c r="D192" s="45"/>
      <c r="E192" s="45"/>
      <c r="F192" s="45"/>
      <c r="G192" s="45"/>
      <c r="H192" s="2"/>
      <c r="I192" s="45"/>
      <c r="J192" s="2"/>
      <c r="K192" s="2"/>
      <c r="L192" s="2"/>
      <c r="M192" s="2"/>
      <c r="N192" s="2"/>
      <c r="O192" s="2"/>
      <c r="P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>
      <c r="A193" s="1"/>
      <c r="B193" s="1"/>
      <c r="C193" s="45"/>
      <c r="D193" s="45"/>
      <c r="E193" s="45"/>
      <c r="F193" s="45"/>
      <c r="G193" s="45"/>
      <c r="H193" s="2"/>
      <c r="I193" s="45"/>
      <c r="J193" s="2"/>
      <c r="K193" s="2"/>
      <c r="L193" s="2"/>
      <c r="M193" s="2"/>
      <c r="N193" s="2"/>
      <c r="O193" s="2"/>
      <c r="P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>
      <c r="A194" s="1"/>
      <c r="B194" s="1"/>
      <c r="C194" s="45"/>
      <c r="D194" s="45"/>
      <c r="E194" s="45"/>
      <c r="F194" s="45"/>
      <c r="G194" s="45"/>
      <c r="H194" s="2"/>
      <c r="I194" s="45"/>
      <c r="J194" s="2"/>
      <c r="K194" s="2"/>
      <c r="L194" s="2"/>
      <c r="M194" s="2"/>
      <c r="N194" s="2"/>
      <c r="O194" s="2"/>
      <c r="P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>
      <c r="A195" s="1"/>
      <c r="B195" s="1"/>
      <c r="C195" s="45"/>
      <c r="D195" s="45"/>
      <c r="E195" s="45"/>
      <c r="F195" s="45"/>
      <c r="G195" s="45"/>
      <c r="H195" s="2"/>
      <c r="I195" s="45"/>
      <c r="J195" s="2"/>
      <c r="K195" s="2"/>
      <c r="L195" s="2"/>
      <c r="M195" s="2"/>
      <c r="N195" s="2"/>
      <c r="O195" s="2"/>
      <c r="P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>
      <c r="A196" s="1"/>
      <c r="B196" s="1"/>
      <c r="C196" s="45"/>
      <c r="D196" s="45"/>
      <c r="E196" s="45"/>
      <c r="F196" s="45"/>
      <c r="G196" s="45"/>
      <c r="H196" s="2"/>
      <c r="I196" s="45"/>
      <c r="J196" s="2"/>
      <c r="K196" s="2"/>
      <c r="L196" s="2"/>
      <c r="M196" s="2"/>
      <c r="N196" s="2"/>
      <c r="O196" s="2"/>
      <c r="P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>
      <c r="A197" s="1"/>
      <c r="B197" s="1"/>
      <c r="C197" s="45"/>
      <c r="D197" s="45"/>
      <c r="E197" s="45"/>
      <c r="F197" s="45"/>
      <c r="G197" s="45"/>
      <c r="H197" s="2"/>
      <c r="I197" s="45"/>
      <c r="J197" s="2"/>
      <c r="K197" s="2"/>
      <c r="L197" s="2"/>
      <c r="M197" s="2"/>
      <c r="N197" s="2"/>
      <c r="O197" s="2"/>
      <c r="P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>
      <c r="A198" s="1"/>
      <c r="B198" s="1"/>
      <c r="C198" s="45"/>
      <c r="D198" s="45"/>
      <c r="E198" s="45"/>
      <c r="F198" s="45"/>
      <c r="G198" s="45"/>
      <c r="H198" s="2"/>
      <c r="I198" s="45"/>
      <c r="J198" s="2"/>
      <c r="K198" s="2"/>
      <c r="L198" s="2"/>
      <c r="M198" s="2"/>
      <c r="N198" s="2"/>
      <c r="O198" s="2"/>
      <c r="P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>
      <c r="A199" s="1"/>
      <c r="B199" s="1"/>
      <c r="C199" s="45"/>
      <c r="D199" s="45"/>
      <c r="E199" s="45"/>
      <c r="F199" s="45"/>
      <c r="G199" s="45"/>
      <c r="H199" s="2"/>
      <c r="I199" s="45"/>
      <c r="J199" s="2"/>
      <c r="K199" s="2"/>
      <c r="L199" s="2"/>
      <c r="M199" s="2"/>
      <c r="N199" s="2"/>
      <c r="O199" s="2"/>
      <c r="P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>
      <c r="A200" s="1"/>
      <c r="B200" s="1"/>
      <c r="C200" s="45"/>
      <c r="D200" s="45"/>
      <c r="E200" s="45"/>
      <c r="F200" s="45"/>
      <c r="G200" s="45"/>
      <c r="H200" s="2"/>
      <c r="I200" s="45"/>
      <c r="J200" s="2"/>
      <c r="K200" s="2"/>
      <c r="L200" s="2"/>
      <c r="M200" s="2"/>
      <c r="N200" s="2"/>
      <c r="O200" s="2"/>
      <c r="P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>
      <c r="A201" s="1"/>
      <c r="B201" s="1"/>
      <c r="C201" s="45"/>
      <c r="D201" s="45"/>
      <c r="E201" s="45"/>
      <c r="F201" s="45"/>
      <c r="G201" s="45"/>
      <c r="H201" s="2"/>
      <c r="I201" s="45"/>
      <c r="J201" s="2"/>
      <c r="K201" s="2"/>
      <c r="L201" s="2"/>
      <c r="M201" s="2"/>
      <c r="N201" s="2"/>
      <c r="O201" s="2"/>
      <c r="P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>
      <c r="A202" s="1"/>
      <c r="B202" s="1"/>
      <c r="C202" s="45"/>
      <c r="D202" s="45"/>
      <c r="E202" s="45"/>
      <c r="F202" s="45"/>
      <c r="G202" s="45"/>
      <c r="H202" s="2"/>
      <c r="I202" s="45"/>
      <c r="J202" s="2"/>
      <c r="K202" s="2"/>
      <c r="L202" s="2"/>
      <c r="M202" s="2"/>
      <c r="N202" s="2"/>
      <c r="O202" s="2"/>
      <c r="P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>
      <c r="A203" s="1"/>
      <c r="B203" s="1"/>
      <c r="C203" s="45"/>
      <c r="D203" s="45"/>
      <c r="E203" s="45"/>
      <c r="F203" s="45"/>
      <c r="G203" s="45"/>
      <c r="H203" s="2"/>
      <c r="I203" s="45"/>
      <c r="J203" s="2"/>
      <c r="K203" s="2"/>
      <c r="L203" s="2"/>
      <c r="M203" s="2"/>
      <c r="N203" s="2"/>
      <c r="O203" s="2"/>
      <c r="P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>
      <c r="A204" s="1"/>
      <c r="B204" s="1"/>
      <c r="C204" s="45"/>
      <c r="D204" s="45"/>
      <c r="E204" s="45"/>
      <c r="F204" s="45"/>
      <c r="G204" s="45"/>
      <c r="H204" s="2"/>
      <c r="I204" s="45"/>
      <c r="J204" s="2"/>
      <c r="K204" s="2"/>
      <c r="L204" s="2"/>
      <c r="M204" s="2"/>
      <c r="N204" s="2"/>
      <c r="O204" s="2"/>
      <c r="P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>
      <c r="A205" s="1"/>
      <c r="B205" s="1"/>
      <c r="C205" s="45"/>
      <c r="D205" s="45"/>
      <c r="E205" s="45"/>
      <c r="F205" s="45"/>
      <c r="G205" s="45"/>
      <c r="H205" s="2"/>
      <c r="I205" s="45"/>
      <c r="J205" s="2"/>
      <c r="K205" s="2"/>
      <c r="L205" s="2"/>
      <c r="M205" s="2"/>
      <c r="N205" s="2"/>
      <c r="O205" s="2"/>
      <c r="P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>
      <c r="A206" s="1"/>
      <c r="B206" s="1"/>
      <c r="C206" s="45"/>
      <c r="D206" s="45"/>
      <c r="E206" s="45"/>
      <c r="F206" s="45"/>
      <c r="G206" s="45"/>
      <c r="H206" s="2"/>
      <c r="I206" s="45"/>
      <c r="J206" s="2"/>
      <c r="K206" s="2"/>
      <c r="L206" s="2"/>
      <c r="M206" s="2"/>
      <c r="N206" s="2"/>
      <c r="O206" s="2"/>
      <c r="P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>
      <c r="A207" s="1"/>
      <c r="B207" s="1"/>
      <c r="C207" s="45"/>
      <c r="D207" s="45"/>
      <c r="E207" s="45"/>
      <c r="F207" s="45"/>
      <c r="G207" s="45"/>
      <c r="H207" s="2"/>
      <c r="I207" s="45"/>
      <c r="J207" s="2"/>
      <c r="K207" s="2"/>
      <c r="L207" s="2"/>
      <c r="M207" s="2"/>
      <c r="N207" s="2"/>
      <c r="O207" s="2"/>
      <c r="P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>
      <c r="A208" s="1"/>
      <c r="B208" s="1"/>
      <c r="C208" s="45"/>
      <c r="D208" s="45"/>
      <c r="E208" s="45"/>
      <c r="F208" s="45"/>
      <c r="G208" s="45"/>
      <c r="H208" s="2"/>
      <c r="I208" s="45"/>
      <c r="J208" s="2"/>
      <c r="K208" s="2"/>
      <c r="L208" s="2"/>
      <c r="M208" s="2"/>
      <c r="N208" s="2"/>
      <c r="O208" s="2"/>
      <c r="P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>
      <c r="A209" s="1"/>
      <c r="B209" s="1"/>
      <c r="C209" s="45"/>
      <c r="D209" s="45"/>
      <c r="E209" s="45"/>
      <c r="F209" s="45"/>
      <c r="G209" s="45"/>
      <c r="H209" s="2"/>
      <c r="I209" s="45"/>
      <c r="J209" s="2"/>
      <c r="K209" s="2"/>
      <c r="L209" s="2"/>
      <c r="M209" s="2"/>
      <c r="N209" s="2"/>
      <c r="O209" s="2"/>
      <c r="P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>
      <c r="A210" s="1"/>
      <c r="B210" s="1"/>
      <c r="C210" s="45"/>
      <c r="D210" s="45"/>
      <c r="E210" s="45"/>
      <c r="F210" s="45"/>
      <c r="G210" s="45"/>
      <c r="H210" s="2"/>
      <c r="I210" s="45"/>
      <c r="J210" s="2"/>
      <c r="K210" s="2"/>
      <c r="L210" s="2"/>
      <c r="M210" s="2"/>
      <c r="N210" s="2"/>
      <c r="O210" s="2"/>
      <c r="P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>
      <c r="A211" s="1"/>
      <c r="B211" s="1"/>
      <c r="C211" s="45"/>
      <c r="D211" s="45"/>
      <c r="E211" s="45"/>
      <c r="F211" s="45"/>
      <c r="G211" s="45"/>
      <c r="H211" s="2"/>
      <c r="I211" s="45"/>
      <c r="J211" s="2"/>
      <c r="K211" s="2"/>
      <c r="L211" s="2"/>
      <c r="M211" s="2"/>
      <c r="N211" s="2"/>
      <c r="O211" s="2"/>
      <c r="P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>
      <c r="A212" s="1"/>
      <c r="B212" s="1"/>
      <c r="C212" s="45"/>
      <c r="D212" s="45"/>
      <c r="E212" s="45"/>
      <c r="F212" s="45"/>
      <c r="G212" s="45"/>
      <c r="H212" s="2"/>
      <c r="I212" s="45"/>
      <c r="J212" s="2"/>
      <c r="K212" s="2"/>
      <c r="L212" s="2"/>
      <c r="M212" s="2"/>
      <c r="N212" s="2"/>
      <c r="O212" s="2"/>
      <c r="P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>
      <c r="A213" s="1"/>
      <c r="B213" s="1"/>
      <c r="C213" s="45"/>
      <c r="D213" s="45"/>
      <c r="E213" s="45"/>
      <c r="F213" s="45"/>
      <c r="G213" s="45"/>
      <c r="H213" s="2"/>
      <c r="I213" s="45"/>
      <c r="J213" s="2"/>
      <c r="K213" s="2"/>
      <c r="L213" s="2"/>
      <c r="M213" s="2"/>
      <c r="N213" s="2"/>
      <c r="O213" s="2"/>
      <c r="P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>
      <c r="A214" s="1"/>
      <c r="B214" s="1"/>
      <c r="C214" s="45"/>
      <c r="D214" s="45"/>
      <c r="E214" s="45"/>
      <c r="F214" s="45"/>
      <c r="G214" s="45"/>
      <c r="H214" s="2"/>
      <c r="I214" s="45"/>
      <c r="J214" s="2"/>
      <c r="K214" s="2"/>
      <c r="L214" s="2"/>
      <c r="M214" s="2"/>
      <c r="N214" s="2"/>
      <c r="O214" s="2"/>
      <c r="P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>
      <c r="A215" s="1"/>
      <c r="B215" s="1"/>
      <c r="C215" s="45"/>
      <c r="D215" s="45"/>
      <c r="E215" s="45"/>
      <c r="F215" s="45"/>
      <c r="G215" s="45"/>
      <c r="H215" s="2"/>
      <c r="I215" s="45"/>
      <c r="J215" s="2"/>
      <c r="K215" s="2"/>
      <c r="L215" s="2"/>
      <c r="M215" s="2"/>
      <c r="N215" s="2"/>
      <c r="O215" s="2"/>
      <c r="P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>
      <c r="A216" s="1"/>
      <c r="B216" s="1"/>
      <c r="C216" s="45"/>
      <c r="D216" s="45"/>
      <c r="E216" s="45"/>
      <c r="F216" s="45"/>
      <c r="G216" s="45"/>
      <c r="H216" s="2"/>
      <c r="I216" s="45"/>
      <c r="J216" s="2"/>
      <c r="K216" s="2"/>
      <c r="L216" s="2"/>
      <c r="M216" s="2"/>
      <c r="N216" s="2"/>
      <c r="O216" s="2"/>
      <c r="P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>
      <c r="A217" s="1"/>
      <c r="B217" s="1"/>
      <c r="C217" s="45"/>
      <c r="D217" s="45"/>
      <c r="E217" s="45"/>
      <c r="F217" s="45"/>
      <c r="G217" s="45"/>
      <c r="H217" s="2"/>
      <c r="I217" s="45"/>
      <c r="J217" s="2"/>
      <c r="K217" s="2"/>
      <c r="L217" s="2"/>
      <c r="M217" s="2"/>
      <c r="N217" s="2"/>
      <c r="O217" s="2"/>
      <c r="P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>
      <c r="A218" s="1"/>
      <c r="B218" s="1"/>
      <c r="C218" s="45"/>
      <c r="D218" s="45"/>
      <c r="E218" s="45"/>
      <c r="F218" s="45"/>
      <c r="G218" s="45"/>
      <c r="H218" s="2"/>
      <c r="I218" s="45"/>
      <c r="J218" s="2"/>
      <c r="K218" s="2"/>
      <c r="L218" s="2"/>
      <c r="M218" s="2"/>
      <c r="N218" s="2"/>
      <c r="O218" s="2"/>
      <c r="P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>
      <c r="A219" s="1"/>
      <c r="B219" s="1"/>
      <c r="C219" s="45"/>
      <c r="D219" s="45"/>
      <c r="E219" s="45"/>
      <c r="F219" s="45"/>
      <c r="G219" s="45"/>
      <c r="H219" s="2"/>
      <c r="I219" s="45"/>
      <c r="J219" s="2"/>
      <c r="K219" s="2"/>
      <c r="L219" s="2"/>
      <c r="M219" s="2"/>
      <c r="N219" s="2"/>
      <c r="O219" s="2"/>
      <c r="P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>
      <c r="A220" s="1"/>
      <c r="B220" s="1"/>
      <c r="C220" s="45"/>
      <c r="D220" s="45"/>
      <c r="E220" s="45"/>
      <c r="F220" s="45"/>
      <c r="G220" s="45"/>
      <c r="H220" s="2"/>
      <c r="I220" s="45"/>
      <c r="J220" s="2"/>
      <c r="K220" s="2"/>
      <c r="L220" s="2"/>
      <c r="M220" s="2"/>
      <c r="N220" s="2"/>
      <c r="O220" s="2"/>
      <c r="P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>
      <c r="A221" s="1"/>
      <c r="B221" s="1"/>
      <c r="C221" s="45"/>
      <c r="D221" s="45"/>
      <c r="E221" s="45"/>
      <c r="F221" s="45"/>
      <c r="G221" s="45"/>
      <c r="H221" s="2"/>
      <c r="I221" s="45"/>
      <c r="J221" s="2"/>
      <c r="K221" s="2"/>
      <c r="L221" s="2"/>
      <c r="M221" s="2"/>
      <c r="N221" s="2"/>
      <c r="O221" s="2"/>
      <c r="P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>
      <c r="A222" s="1"/>
      <c r="B222" s="1"/>
      <c r="C222" s="45"/>
      <c r="D222" s="45"/>
      <c r="E222" s="45"/>
      <c r="F222" s="45"/>
      <c r="G222" s="45"/>
      <c r="H222" s="2"/>
      <c r="I222" s="45"/>
      <c r="J222" s="2"/>
      <c r="K222" s="2"/>
      <c r="L222" s="2"/>
      <c r="M222" s="2"/>
      <c r="N222" s="2"/>
      <c r="O222" s="2"/>
      <c r="P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>
      <c r="A223" s="1"/>
      <c r="B223" s="1"/>
      <c r="C223" s="45"/>
      <c r="D223" s="45"/>
      <c r="E223" s="45"/>
      <c r="F223" s="45"/>
      <c r="G223" s="45"/>
      <c r="H223" s="2"/>
      <c r="I223" s="45"/>
      <c r="J223" s="2"/>
      <c r="K223" s="2"/>
      <c r="L223" s="2"/>
      <c r="M223" s="2"/>
      <c r="N223" s="2"/>
      <c r="O223" s="2"/>
      <c r="P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>
      <c r="A224" s="1"/>
      <c r="B224" s="1"/>
      <c r="C224" s="45"/>
      <c r="D224" s="45"/>
      <c r="E224" s="45"/>
      <c r="F224" s="45"/>
      <c r="G224" s="45"/>
      <c r="H224" s="2"/>
      <c r="I224" s="45"/>
      <c r="J224" s="2"/>
      <c r="K224" s="2"/>
      <c r="L224" s="2"/>
      <c r="M224" s="2"/>
      <c r="N224" s="2"/>
      <c r="O224" s="2"/>
      <c r="P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>
      <c r="A225" s="1"/>
      <c r="B225" s="1"/>
      <c r="C225" s="45"/>
      <c r="D225" s="45"/>
      <c r="E225" s="45"/>
      <c r="F225" s="45"/>
      <c r="G225" s="45"/>
      <c r="H225" s="2"/>
      <c r="I225" s="45"/>
      <c r="J225" s="2"/>
      <c r="K225" s="2"/>
      <c r="L225" s="2"/>
      <c r="M225" s="2"/>
      <c r="N225" s="2"/>
      <c r="O225" s="2"/>
      <c r="P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>
      <c r="A226" s="1"/>
      <c r="B226" s="1"/>
      <c r="C226" s="45"/>
      <c r="D226" s="45"/>
      <c r="E226" s="45"/>
      <c r="F226" s="45"/>
      <c r="G226" s="45"/>
      <c r="H226" s="2"/>
      <c r="I226" s="45"/>
      <c r="J226" s="2"/>
      <c r="K226" s="2"/>
      <c r="L226" s="2"/>
      <c r="M226" s="2"/>
      <c r="N226" s="2"/>
      <c r="O226" s="2"/>
      <c r="P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>
      <c r="A227" s="1"/>
      <c r="B227" s="1"/>
      <c r="C227" s="45"/>
      <c r="D227" s="45"/>
      <c r="E227" s="45"/>
      <c r="F227" s="45"/>
      <c r="G227" s="45"/>
      <c r="H227" s="2"/>
      <c r="I227" s="45"/>
      <c r="J227" s="2"/>
      <c r="K227" s="2"/>
      <c r="L227" s="2"/>
      <c r="M227" s="2"/>
      <c r="N227" s="2"/>
      <c r="O227" s="2"/>
      <c r="P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>
      <c r="A228" s="1"/>
      <c r="B228" s="1"/>
      <c r="C228" s="45"/>
      <c r="D228" s="45"/>
      <c r="E228" s="45"/>
      <c r="F228" s="45"/>
      <c r="G228" s="45"/>
      <c r="H228" s="2"/>
      <c r="I228" s="45"/>
      <c r="J228" s="2"/>
      <c r="K228" s="2"/>
      <c r="L228" s="2"/>
      <c r="M228" s="2"/>
      <c r="N228" s="2"/>
      <c r="O228" s="2"/>
      <c r="P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>
      <c r="A229" s="1"/>
      <c r="B229" s="1"/>
      <c r="C229" s="45"/>
      <c r="D229" s="45"/>
      <c r="E229" s="45"/>
      <c r="F229" s="45"/>
      <c r="G229" s="45"/>
      <c r="H229" s="2"/>
      <c r="I229" s="45"/>
      <c r="J229" s="2"/>
      <c r="K229" s="2"/>
      <c r="L229" s="2"/>
      <c r="M229" s="2"/>
      <c r="N229" s="2"/>
      <c r="O229" s="2"/>
      <c r="P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>
      <c r="A230" s="1"/>
      <c r="B230" s="1"/>
      <c r="C230" s="45"/>
      <c r="D230" s="45"/>
      <c r="E230" s="45"/>
      <c r="F230" s="45"/>
      <c r="G230" s="45"/>
      <c r="H230" s="2"/>
      <c r="I230" s="45"/>
      <c r="J230" s="2"/>
      <c r="K230" s="2"/>
      <c r="L230" s="2"/>
      <c r="M230" s="2"/>
      <c r="N230" s="2"/>
      <c r="O230" s="2"/>
      <c r="P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>
      <c r="A231" s="1"/>
      <c r="B231" s="1"/>
      <c r="C231" s="45"/>
      <c r="D231" s="45"/>
      <c r="E231" s="45"/>
      <c r="F231" s="45"/>
      <c r="G231" s="45"/>
      <c r="H231" s="2"/>
      <c r="I231" s="45"/>
      <c r="J231" s="2"/>
      <c r="K231" s="2"/>
      <c r="L231" s="2"/>
      <c r="M231" s="2"/>
      <c r="N231" s="2"/>
      <c r="O231" s="2"/>
      <c r="P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>
      <c r="A232" s="1"/>
      <c r="B232" s="1"/>
      <c r="C232" s="45"/>
      <c r="D232" s="45"/>
      <c r="E232" s="45"/>
      <c r="F232" s="45"/>
      <c r="G232" s="45"/>
      <c r="H232" s="2"/>
      <c r="I232" s="45"/>
      <c r="J232" s="2"/>
      <c r="K232" s="2"/>
      <c r="L232" s="2"/>
      <c r="M232" s="2"/>
      <c r="N232" s="2"/>
      <c r="O232" s="2"/>
      <c r="P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>
      <c r="A233" s="1"/>
      <c r="B233" s="1"/>
      <c r="C233" s="45"/>
      <c r="D233" s="45"/>
      <c r="E233" s="45"/>
      <c r="F233" s="45"/>
      <c r="G233" s="45"/>
      <c r="H233" s="2"/>
      <c r="I233" s="45"/>
      <c r="J233" s="2"/>
      <c r="K233" s="2"/>
      <c r="L233" s="2"/>
      <c r="M233" s="2"/>
      <c r="N233" s="2"/>
      <c r="O233" s="2"/>
      <c r="P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>
      <c r="A234" s="1"/>
      <c r="B234" s="1"/>
      <c r="C234" s="45"/>
      <c r="D234" s="45"/>
      <c r="E234" s="45"/>
      <c r="F234" s="45"/>
      <c r="G234" s="45"/>
      <c r="H234" s="2"/>
      <c r="I234" s="45"/>
      <c r="J234" s="2"/>
      <c r="K234" s="2"/>
      <c r="L234" s="2"/>
      <c r="M234" s="2"/>
      <c r="N234" s="2"/>
      <c r="O234" s="2"/>
      <c r="P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>
      <c r="A235" s="1"/>
      <c r="B235" s="1"/>
      <c r="C235" s="45"/>
      <c r="D235" s="45"/>
      <c r="E235" s="45"/>
      <c r="F235" s="45"/>
      <c r="G235" s="45"/>
      <c r="H235" s="2"/>
      <c r="I235" s="45"/>
      <c r="J235" s="2"/>
      <c r="K235" s="2"/>
      <c r="L235" s="2"/>
      <c r="M235" s="2"/>
      <c r="N235" s="2"/>
      <c r="O235" s="2"/>
      <c r="P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>
      <c r="A236" s="1"/>
      <c r="B236" s="1"/>
      <c r="C236" s="45"/>
      <c r="D236" s="45"/>
      <c r="E236" s="45"/>
      <c r="F236" s="45"/>
      <c r="G236" s="45"/>
      <c r="H236" s="2"/>
      <c r="I236" s="45"/>
      <c r="J236" s="2"/>
      <c r="K236" s="2"/>
      <c r="L236" s="2"/>
      <c r="M236" s="2"/>
      <c r="N236" s="2"/>
      <c r="O236" s="2"/>
      <c r="P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>
      <c r="A237" s="1"/>
      <c r="B237" s="1"/>
      <c r="C237" s="45"/>
      <c r="D237" s="45"/>
      <c r="E237" s="45"/>
      <c r="F237" s="45"/>
      <c r="G237" s="45"/>
      <c r="H237" s="2"/>
      <c r="I237" s="45"/>
      <c r="J237" s="2"/>
      <c r="K237" s="2"/>
      <c r="L237" s="2"/>
      <c r="M237" s="2"/>
      <c r="N237" s="2"/>
      <c r="O237" s="2"/>
      <c r="P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>
      <c r="A238" s="1"/>
      <c r="B238" s="1"/>
      <c r="C238" s="45"/>
      <c r="D238" s="45"/>
      <c r="E238" s="45"/>
      <c r="F238" s="45"/>
      <c r="G238" s="45"/>
      <c r="H238" s="2"/>
      <c r="I238" s="45"/>
      <c r="J238" s="2"/>
      <c r="K238" s="2"/>
      <c r="L238" s="2"/>
      <c r="M238" s="2"/>
      <c r="N238" s="2"/>
      <c r="O238" s="2"/>
      <c r="P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>
      <c r="A239" s="1"/>
      <c r="B239" s="1"/>
      <c r="C239" s="45"/>
      <c r="D239" s="45"/>
      <c r="E239" s="45"/>
      <c r="F239" s="45"/>
      <c r="G239" s="45"/>
      <c r="H239" s="2"/>
      <c r="I239" s="45"/>
      <c r="J239" s="2"/>
      <c r="K239" s="2"/>
      <c r="L239" s="2"/>
      <c r="M239" s="2"/>
      <c r="N239" s="2"/>
      <c r="O239" s="2"/>
      <c r="P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>
      <c r="A240" s="1"/>
      <c r="B240" s="1"/>
      <c r="C240" s="45"/>
      <c r="D240" s="45"/>
      <c r="E240" s="45"/>
      <c r="F240" s="45"/>
      <c r="G240" s="45"/>
      <c r="H240" s="2"/>
      <c r="I240" s="45"/>
      <c r="J240" s="2"/>
      <c r="K240" s="2"/>
      <c r="L240" s="2"/>
      <c r="M240" s="2"/>
      <c r="N240" s="2"/>
      <c r="O240" s="2"/>
      <c r="P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>
      <c r="A241" s="1"/>
      <c r="B241" s="1"/>
      <c r="C241" s="45"/>
      <c r="D241" s="45"/>
      <c r="E241" s="45"/>
      <c r="F241" s="45"/>
      <c r="G241" s="45"/>
      <c r="H241" s="2"/>
      <c r="I241" s="45"/>
      <c r="J241" s="2"/>
      <c r="K241" s="2"/>
      <c r="L241" s="2"/>
      <c r="M241" s="2"/>
      <c r="N241" s="2"/>
      <c r="O241" s="2"/>
      <c r="P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>
      <c r="A242" s="1"/>
      <c r="B242" s="1"/>
      <c r="C242" s="45"/>
      <c r="D242" s="45"/>
      <c r="E242" s="45"/>
      <c r="F242" s="45"/>
      <c r="G242" s="45"/>
      <c r="H242" s="2"/>
      <c r="I242" s="45"/>
      <c r="J242" s="2"/>
      <c r="K242" s="2"/>
      <c r="L242" s="2"/>
      <c r="M242" s="2"/>
      <c r="N242" s="2"/>
      <c r="O242" s="2"/>
      <c r="P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>
      <c r="A243" s="1"/>
      <c r="B243" s="1"/>
      <c r="C243" s="45"/>
      <c r="D243" s="45"/>
      <c r="E243" s="45"/>
      <c r="F243" s="45"/>
      <c r="G243" s="45"/>
      <c r="H243" s="2"/>
      <c r="I243" s="45"/>
      <c r="J243" s="2"/>
      <c r="K243" s="2"/>
      <c r="L243" s="2"/>
      <c r="M243" s="2"/>
      <c r="N243" s="2"/>
      <c r="O243" s="2"/>
      <c r="P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>
      <c r="A244" s="1"/>
      <c r="B244" s="1"/>
      <c r="C244" s="45"/>
      <c r="D244" s="45"/>
      <c r="E244" s="45"/>
      <c r="F244" s="45"/>
      <c r="G244" s="45"/>
      <c r="H244" s="2"/>
      <c r="I244" s="45"/>
      <c r="J244" s="2"/>
      <c r="K244" s="2"/>
      <c r="L244" s="2"/>
      <c r="M244" s="2"/>
      <c r="N244" s="2"/>
      <c r="O244" s="2"/>
      <c r="P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>
      <c r="A245" s="1"/>
      <c r="B245" s="1"/>
      <c r="C245" s="45"/>
      <c r="D245" s="45"/>
      <c r="E245" s="45"/>
      <c r="F245" s="45"/>
      <c r="G245" s="45"/>
      <c r="H245" s="2"/>
      <c r="I245" s="45"/>
      <c r="J245" s="2"/>
      <c r="K245" s="2"/>
      <c r="L245" s="2"/>
      <c r="M245" s="2"/>
      <c r="N245" s="2"/>
      <c r="O245" s="2"/>
      <c r="P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>
      <c r="A246" s="1"/>
      <c r="B246" s="1"/>
      <c r="C246" s="45"/>
      <c r="D246" s="45"/>
      <c r="E246" s="45"/>
      <c r="F246" s="45"/>
      <c r="G246" s="45"/>
      <c r="H246" s="2"/>
      <c r="I246" s="45"/>
      <c r="J246" s="2"/>
      <c r="K246" s="2"/>
      <c r="L246" s="2"/>
      <c r="M246" s="2"/>
      <c r="N246" s="2"/>
      <c r="O246" s="2"/>
      <c r="P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>
      <c r="A247" s="1"/>
      <c r="B247" s="1"/>
      <c r="C247" s="45"/>
      <c r="D247" s="45"/>
      <c r="E247" s="45"/>
      <c r="F247" s="45"/>
      <c r="G247" s="45"/>
      <c r="H247" s="2"/>
      <c r="I247" s="45"/>
      <c r="J247" s="2"/>
      <c r="K247" s="2"/>
      <c r="L247" s="2"/>
      <c r="M247" s="2"/>
      <c r="N247" s="2"/>
      <c r="O247" s="2"/>
      <c r="P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>
      <c r="A248" s="1"/>
      <c r="B248" s="1"/>
      <c r="C248" s="45"/>
      <c r="D248" s="45"/>
      <c r="E248" s="45"/>
      <c r="F248" s="45"/>
      <c r="G248" s="45"/>
      <c r="H248" s="2"/>
      <c r="I248" s="45"/>
      <c r="J248" s="2"/>
      <c r="K248" s="2"/>
      <c r="L248" s="2"/>
      <c r="M248" s="2"/>
      <c r="N248" s="2"/>
      <c r="O248" s="2"/>
      <c r="P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>
      <c r="A249" s="1"/>
      <c r="B249" s="1"/>
      <c r="C249" s="45"/>
      <c r="D249" s="45"/>
      <c r="E249" s="45"/>
      <c r="F249" s="45"/>
      <c r="G249" s="45"/>
      <c r="H249" s="2"/>
      <c r="I249" s="45"/>
      <c r="J249" s="2"/>
      <c r="K249" s="2"/>
      <c r="L249" s="2"/>
      <c r="M249" s="2"/>
      <c r="N249" s="2"/>
      <c r="O249" s="2"/>
      <c r="P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>
      <c r="A250" s="1"/>
      <c r="B250" s="1"/>
      <c r="C250" s="45"/>
      <c r="D250" s="45"/>
      <c r="E250" s="45"/>
      <c r="F250" s="45"/>
      <c r="G250" s="45"/>
      <c r="H250" s="2"/>
      <c r="I250" s="45"/>
      <c r="J250" s="2"/>
      <c r="K250" s="2"/>
      <c r="L250" s="2"/>
      <c r="M250" s="2"/>
      <c r="N250" s="2"/>
      <c r="O250" s="2"/>
      <c r="P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>
      <c r="A251" s="1"/>
      <c r="B251" s="1"/>
      <c r="C251" s="45"/>
      <c r="D251" s="45"/>
      <c r="E251" s="45"/>
      <c r="F251" s="45"/>
      <c r="G251" s="45"/>
      <c r="H251" s="2"/>
      <c r="I251" s="45"/>
      <c r="J251" s="2"/>
      <c r="K251" s="2"/>
      <c r="L251" s="2"/>
      <c r="M251" s="2"/>
      <c r="N251" s="2"/>
      <c r="O251" s="2"/>
      <c r="P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>
      <c r="A252" s="1"/>
      <c r="B252" s="1"/>
      <c r="C252" s="45"/>
      <c r="D252" s="45"/>
      <c r="E252" s="45"/>
      <c r="F252" s="45"/>
      <c r="G252" s="45"/>
      <c r="H252" s="2"/>
      <c r="I252" s="45"/>
      <c r="J252" s="2"/>
      <c r="K252" s="2"/>
      <c r="L252" s="2"/>
      <c r="M252" s="2"/>
      <c r="N252" s="2"/>
      <c r="O252" s="2"/>
      <c r="P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>
      <c r="A253" s="1"/>
      <c r="B253" s="1"/>
      <c r="C253" s="45"/>
      <c r="D253" s="45"/>
      <c r="E253" s="45"/>
      <c r="F253" s="45"/>
      <c r="G253" s="45"/>
      <c r="H253" s="2"/>
      <c r="I253" s="45"/>
      <c r="J253" s="2"/>
      <c r="K253" s="2"/>
      <c r="L253" s="2"/>
      <c r="M253" s="2"/>
      <c r="N253" s="2"/>
      <c r="O253" s="2"/>
      <c r="P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>
      <c r="A254" s="1"/>
      <c r="B254" s="1"/>
      <c r="C254" s="45"/>
      <c r="D254" s="45"/>
      <c r="E254" s="45"/>
      <c r="F254" s="45"/>
      <c r="G254" s="45"/>
      <c r="H254" s="2"/>
      <c r="I254" s="45"/>
      <c r="J254" s="2"/>
      <c r="K254" s="2"/>
      <c r="L254" s="2"/>
      <c r="M254" s="2"/>
      <c r="N254" s="2"/>
      <c r="O254" s="2"/>
      <c r="P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>
      <c r="A255" s="1"/>
      <c r="B255" s="1"/>
      <c r="C255" s="45"/>
      <c r="D255" s="45"/>
      <c r="E255" s="45"/>
      <c r="F255" s="45"/>
      <c r="G255" s="45"/>
      <c r="H255" s="2"/>
      <c r="I255" s="45"/>
      <c r="J255" s="2"/>
      <c r="K255" s="2"/>
      <c r="L255" s="2"/>
      <c r="M255" s="2"/>
      <c r="N255" s="2"/>
      <c r="O255" s="2"/>
      <c r="P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>
      <c r="A256" s="1"/>
      <c r="B256" s="1"/>
      <c r="C256" s="45"/>
      <c r="D256" s="45"/>
      <c r="E256" s="45"/>
      <c r="F256" s="45"/>
      <c r="G256" s="45"/>
      <c r="H256" s="2"/>
      <c r="I256" s="45"/>
      <c r="J256" s="2"/>
      <c r="K256" s="2"/>
      <c r="L256" s="2"/>
      <c r="M256" s="2"/>
      <c r="N256" s="2"/>
      <c r="O256" s="2"/>
      <c r="P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>
      <c r="A257" s="1"/>
      <c r="B257" s="1"/>
      <c r="C257" s="45"/>
      <c r="D257" s="45"/>
      <c r="E257" s="45"/>
      <c r="F257" s="45"/>
      <c r="G257" s="45"/>
      <c r="H257" s="2"/>
      <c r="I257" s="45"/>
      <c r="J257" s="2"/>
      <c r="K257" s="2"/>
      <c r="L257" s="2"/>
      <c r="M257" s="2"/>
      <c r="N257" s="2"/>
      <c r="O257" s="2"/>
      <c r="P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>
      <c r="A258" s="1"/>
      <c r="B258" s="1"/>
      <c r="C258" s="45"/>
      <c r="D258" s="45"/>
      <c r="E258" s="45"/>
      <c r="F258" s="45"/>
      <c r="G258" s="45"/>
      <c r="H258" s="2"/>
      <c r="I258" s="45"/>
      <c r="J258" s="2"/>
      <c r="K258" s="2"/>
      <c r="L258" s="2"/>
      <c r="M258" s="2"/>
      <c r="N258" s="2"/>
      <c r="O258" s="2"/>
      <c r="P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>
      <c r="A259" s="1"/>
      <c r="B259" s="1"/>
      <c r="C259" s="45"/>
      <c r="D259" s="45"/>
      <c r="E259" s="45"/>
      <c r="F259" s="45"/>
      <c r="G259" s="45"/>
      <c r="H259" s="2"/>
      <c r="I259" s="45"/>
      <c r="J259" s="2"/>
      <c r="K259" s="2"/>
      <c r="L259" s="2"/>
      <c r="M259" s="2"/>
      <c r="N259" s="2"/>
      <c r="O259" s="2"/>
      <c r="P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>
      <c r="A260" s="1"/>
      <c r="B260" s="1"/>
      <c r="C260" s="45"/>
      <c r="D260" s="45"/>
      <c r="E260" s="45"/>
      <c r="F260" s="45"/>
      <c r="G260" s="45"/>
      <c r="H260" s="2"/>
      <c r="I260" s="45"/>
      <c r="J260" s="2"/>
      <c r="K260" s="2"/>
      <c r="L260" s="2"/>
      <c r="M260" s="2"/>
      <c r="N260" s="2"/>
      <c r="O260" s="2"/>
      <c r="P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>
      <c r="A261" s="1"/>
      <c r="B261" s="1"/>
      <c r="C261" s="45"/>
      <c r="D261" s="45"/>
      <c r="E261" s="45"/>
      <c r="F261" s="45"/>
      <c r="G261" s="45"/>
      <c r="H261" s="2"/>
      <c r="I261" s="45"/>
      <c r="J261" s="2"/>
      <c r="K261" s="2"/>
      <c r="L261" s="2"/>
      <c r="M261" s="2"/>
      <c r="N261" s="2"/>
      <c r="O261" s="2"/>
      <c r="P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>
      <c r="A262" s="1"/>
      <c r="B262" s="1"/>
      <c r="C262" s="45"/>
      <c r="D262" s="45"/>
      <c r="E262" s="45"/>
      <c r="F262" s="45"/>
      <c r="G262" s="45"/>
      <c r="H262" s="2"/>
      <c r="I262" s="45"/>
      <c r="J262" s="2"/>
      <c r="K262" s="2"/>
      <c r="L262" s="2"/>
      <c r="M262" s="2"/>
      <c r="N262" s="2"/>
      <c r="O262" s="2"/>
      <c r="P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>
      <c r="A263" s="1"/>
      <c r="B263" s="1"/>
      <c r="C263" s="45"/>
      <c r="D263" s="45"/>
      <c r="E263" s="45"/>
      <c r="F263" s="45"/>
      <c r="G263" s="45"/>
      <c r="H263" s="2"/>
      <c r="I263" s="45"/>
      <c r="J263" s="2"/>
      <c r="K263" s="2"/>
      <c r="L263" s="2"/>
      <c r="M263" s="2"/>
      <c r="N263" s="2"/>
      <c r="O263" s="2"/>
      <c r="P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>
      <c r="A264" s="1"/>
      <c r="B264" s="1"/>
      <c r="C264" s="45"/>
      <c r="D264" s="45"/>
      <c r="E264" s="45"/>
      <c r="F264" s="45"/>
      <c r="G264" s="45"/>
      <c r="H264" s="2"/>
      <c r="I264" s="45"/>
      <c r="J264" s="2"/>
      <c r="K264" s="2"/>
      <c r="L264" s="2"/>
      <c r="M264" s="2"/>
      <c r="N264" s="2"/>
      <c r="O264" s="2"/>
      <c r="P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>
      <c r="A265" s="1"/>
      <c r="B265" s="1"/>
      <c r="C265" s="45"/>
      <c r="D265" s="45"/>
      <c r="E265" s="45"/>
      <c r="F265" s="45"/>
      <c r="G265" s="45"/>
      <c r="H265" s="2"/>
      <c r="I265" s="45"/>
      <c r="J265" s="2"/>
      <c r="K265" s="2"/>
      <c r="L265" s="2"/>
      <c r="M265" s="2"/>
      <c r="N265" s="2"/>
      <c r="O265" s="2"/>
      <c r="P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</sheetData>
  <mergeCells count="2">
    <mergeCell ref="C1:E1"/>
    <mergeCell ref="I1:K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D965"/>
  </sheetPr>
  <dimension ref="A1:AD1044"/>
  <sheetViews>
    <sheetView zoomScale="130" zoomScaleNormal="130" workbookViewId="0">
      <pane xSplit="3" ySplit="3" topLeftCell="D88" activePane="bottomRight" state="frozen"/>
      <selection pane="topRight" activeCell="D1" sqref="D1"/>
      <selection pane="bottomLeft" activeCell="A4" sqref="A4"/>
      <selection pane="bottomRight" activeCell="D119" sqref="D119"/>
    </sheetView>
  </sheetViews>
  <sheetFormatPr defaultColWidth="12.5703125" defaultRowHeight="15" customHeight="1" outlineLevelRow="1" outlineLevelCol="1"/>
  <cols>
    <col min="1" max="1" width="14.42578125" customWidth="1"/>
    <col min="2" max="2" width="17.5703125" customWidth="1"/>
    <col min="3" max="3" width="24.42578125" customWidth="1"/>
    <col min="4" max="5" width="14.42578125" customWidth="1" outlineLevel="1"/>
    <col min="6" max="6" width="19.42578125" customWidth="1" outlineLevel="1"/>
    <col min="7" max="7" width="21.85546875" customWidth="1" outlineLevel="1"/>
    <col min="8" max="8" width="3.42578125" customWidth="1" outlineLevel="1"/>
    <col min="9" max="9" width="14.42578125" customWidth="1" outlineLevel="1"/>
    <col min="10" max="10" width="14.85546875" bestFit="1" customWidth="1" outlineLevel="1"/>
    <col min="11" max="11" width="14.42578125" customWidth="1" outlineLevel="1"/>
    <col min="12" max="12" width="16.42578125" customWidth="1" outlineLevel="1"/>
    <col min="13" max="30" width="14.42578125" customWidth="1"/>
  </cols>
  <sheetData>
    <row r="1" spans="1:30">
      <c r="A1" s="2"/>
      <c r="B1" s="1"/>
      <c r="C1" s="1"/>
      <c r="D1" s="781" t="s">
        <v>303</v>
      </c>
      <c r="E1" s="782"/>
      <c r="F1" s="783"/>
      <c r="G1" s="45"/>
      <c r="H1" s="98"/>
      <c r="I1" s="45"/>
      <c r="J1" s="781" t="s">
        <v>308</v>
      </c>
      <c r="K1" s="782"/>
      <c r="L1" s="783"/>
      <c r="M1" s="2"/>
      <c r="N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1"/>
      <c r="C2" s="1"/>
      <c r="D2" s="47"/>
      <c r="E2" s="2"/>
      <c r="F2" s="2"/>
      <c r="G2" s="47"/>
      <c r="H2" s="83"/>
      <c r="I2" s="47"/>
      <c r="J2" s="47"/>
      <c r="K2" s="2"/>
      <c r="L2" s="2"/>
      <c r="M2" s="2"/>
      <c r="N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/>
      <c r="B3" s="1"/>
      <c r="C3" s="55"/>
      <c r="D3" s="101">
        <v>2022</v>
      </c>
      <c r="E3" s="79"/>
      <c r="F3" s="101">
        <v>2022</v>
      </c>
      <c r="G3" s="55"/>
      <c r="H3" s="99"/>
      <c r="I3" s="79"/>
      <c r="J3" s="101">
        <v>2022</v>
      </c>
      <c r="K3" s="79"/>
      <c r="L3" s="101">
        <v>2022</v>
      </c>
      <c r="M3" s="2"/>
      <c r="N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>
      <c r="A4" s="2"/>
      <c r="B4" s="1"/>
      <c r="C4" s="1"/>
      <c r="D4" s="81"/>
      <c r="E4" s="47" t="s">
        <v>305</v>
      </c>
      <c r="F4" s="47" t="s">
        <v>306</v>
      </c>
      <c r="G4" s="640"/>
      <c r="H4" s="100"/>
      <c r="I4" s="81"/>
      <c r="J4" s="101" t="s">
        <v>283</v>
      </c>
      <c r="K4" s="102" t="s">
        <v>305</v>
      </c>
      <c r="L4" s="102" t="s">
        <v>306</v>
      </c>
      <c r="M4" s="2"/>
      <c r="N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2"/>
      <c r="B5" s="41" t="s">
        <v>145</v>
      </c>
      <c r="C5" s="41" t="s">
        <v>145</v>
      </c>
      <c r="D5" s="55">
        <f>SUMIFS('TB LTD 12.22'!G:G,'TB LTD 12.22'!I:I,$B5,'TB LTD 12.22'!J:J,$C5)</f>
        <v>-339636990.73999995</v>
      </c>
      <c r="E5" s="55">
        <f>'AJE 2022'!G12+'AJE 2022'!G27</f>
        <v>0</v>
      </c>
      <c r="F5" s="645">
        <f t="shared" ref="F5:F8" si="0">D5+E5</f>
        <v>-339636990.73999995</v>
      </c>
      <c r="G5" s="55">
        <f>SUM('P&amp;L INC'!F12:F17)</f>
        <v>-339405831.35000002</v>
      </c>
      <c r="H5" s="103"/>
      <c r="I5" s="55"/>
      <c r="J5" s="55">
        <f>SUMIFS('TB LTD 12.22'!F:F,'TB LTD 12.22'!I:I,$B5,'TB LTD 12.22'!J:J,$C5)</f>
        <v>-1148093116.5100002</v>
      </c>
      <c r="K5" s="55">
        <f>'AJE 2022'!J12+'AJE 2022'!J27</f>
        <v>0</v>
      </c>
      <c r="L5" s="55">
        <f>J5+K5</f>
        <v>-1148093116.5100002</v>
      </c>
      <c r="M5" s="2"/>
      <c r="N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>
      <c r="A6" s="2"/>
      <c r="B6" s="41" t="s">
        <v>145</v>
      </c>
      <c r="C6" s="2" t="s">
        <v>146</v>
      </c>
      <c r="D6" s="55">
        <f>SUMIFS('TB LTD 12.22'!G:G,'TB LTD 12.22'!I:I,$B6,'TB LTD 12.22'!J:J,$C6)</f>
        <v>-2600569.2200000007</v>
      </c>
      <c r="E6" s="55"/>
      <c r="F6" s="55">
        <f t="shared" si="0"/>
        <v>-2600569.2200000007</v>
      </c>
      <c r="G6" s="55">
        <f>F5-G5</f>
        <v>-231159.38999992609</v>
      </c>
      <c r="H6" s="103"/>
      <c r="I6" s="55"/>
      <c r="J6" s="55">
        <f>SUMIFS('TB LTD 12.22'!F:F,'TB LTD 12.22'!I:I,$B6,'TB LTD 12.22'!J:J,$C6)</f>
        <v>-8791096.2700000014</v>
      </c>
      <c r="K6" s="55"/>
      <c r="L6" s="55">
        <f>J6+K6</f>
        <v>-8791096.2700000014</v>
      </c>
      <c r="N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>
      <c r="A7" s="2"/>
      <c r="B7" s="41" t="s">
        <v>145</v>
      </c>
      <c r="C7" s="41" t="s">
        <v>171</v>
      </c>
      <c r="D7" s="55">
        <f>SUMIFS('TB LTD 12.22'!G:G,'TB LTD 12.22'!I:I,$B7,'TB LTD 12.22'!J:J,$C7)</f>
        <v>4931358.47</v>
      </c>
      <c r="E7" s="55"/>
      <c r="F7" s="55">
        <f t="shared" si="0"/>
        <v>4931358.47</v>
      </c>
      <c r="G7" s="55">
        <v>249578</v>
      </c>
      <c r="H7" s="103"/>
      <c r="I7" s="55"/>
      <c r="J7" s="55">
        <f>SUMIFS('TB LTD 12.22'!F:F,'TB LTD 12.22'!I:I,$B7,'TB LTD 12.22'!J:J,$C7)</f>
        <v>16699482.02</v>
      </c>
      <c r="K7" s="55"/>
      <c r="L7" s="55">
        <f>J7+K7</f>
        <v>16699482.02</v>
      </c>
      <c r="M7" s="2"/>
      <c r="N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>
      <c r="A8" s="2"/>
      <c r="B8" s="41" t="s">
        <v>145</v>
      </c>
      <c r="C8" s="41" t="s">
        <v>150</v>
      </c>
      <c r="D8" s="55">
        <f>SUMIFS('TB LTD 12.22'!G:G,'TB LTD 12.22'!I:I,$B8,'TB LTD 12.22'!J:J,$C8)</f>
        <v>3066669.95</v>
      </c>
      <c r="E8" s="55"/>
      <c r="F8" s="55">
        <f t="shared" si="0"/>
        <v>3066669.95</v>
      </c>
      <c r="G8" s="55"/>
      <c r="H8" s="103"/>
      <c r="I8" s="55"/>
      <c r="J8" s="55">
        <f>SUMIFS('TB LTD 12.22'!F:F,'TB LTD 12.22'!I:I,$B8,'TB LTD 12.22'!J:J,$C8)</f>
        <v>10391329.77</v>
      </c>
      <c r="K8" s="55"/>
      <c r="L8" s="55">
        <f>J8+K8</f>
        <v>10391329.77</v>
      </c>
      <c r="M8" s="2"/>
      <c r="N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>
      <c r="A9" s="2"/>
      <c r="B9" s="41" t="s">
        <v>145</v>
      </c>
      <c r="C9" s="41" t="s">
        <v>994</v>
      </c>
      <c r="D9" s="55">
        <f>SUMIFS('TB LTD 12.22'!G:G,'TB LTD 12.22'!I:I,$B9,'TB LTD 12.22'!J:J,$C9)</f>
        <v>9.9999998510611476E-3</v>
      </c>
      <c r="E9" s="55"/>
      <c r="F9" s="55">
        <f t="shared" ref="F9" si="1">D9+E9</f>
        <v>9.9999998510611476E-3</v>
      </c>
      <c r="G9" s="55"/>
      <c r="H9" s="420"/>
      <c r="I9" s="55"/>
      <c r="J9" s="55">
        <f>SUMIFS('TB LTD 12.22'!F:F,'TB LTD 12.22'!I:I,$B9,'TB LTD 12.22'!J:J,$C9)</f>
        <v>0</v>
      </c>
      <c r="K9" s="55"/>
      <c r="L9" s="55">
        <f t="shared" ref="L9" si="2">J9+K9</f>
        <v>0</v>
      </c>
      <c r="M9" s="2"/>
      <c r="N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>
      <c r="A10" s="2"/>
      <c r="B10" s="62" t="s">
        <v>145</v>
      </c>
      <c r="C10" s="62" t="s">
        <v>499</v>
      </c>
      <c r="D10" s="61">
        <f>SUM(D5:D8)</f>
        <v>-334239531.53999996</v>
      </c>
      <c r="E10" s="61">
        <f>SUM(E5:E8)</f>
        <v>0</v>
      </c>
      <c r="F10" s="61">
        <f>SUM(F5:F8)</f>
        <v>-334239531.53999996</v>
      </c>
      <c r="G10" s="55"/>
      <c r="H10" s="104"/>
      <c r="I10" s="61"/>
      <c r="J10" s="61">
        <f>SUM(J5:J8)</f>
        <v>-1129793400.9900002</v>
      </c>
      <c r="K10" s="61">
        <f>SUM(K5:K8)</f>
        <v>0</v>
      </c>
      <c r="L10" s="61">
        <f>SUM(L5:L8)</f>
        <v>-1129793400.9900002</v>
      </c>
      <c r="M10" s="2"/>
      <c r="N10" s="54">
        <f>L10/1000</f>
        <v>-1129793.4009900002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>
      <c r="A11" s="2"/>
      <c r="B11" s="1"/>
      <c r="C11" s="1"/>
      <c r="D11" s="55"/>
      <c r="E11" s="55"/>
      <c r="F11" s="55"/>
      <c r="G11" s="55"/>
      <c r="H11" s="103"/>
      <c r="I11" s="55"/>
      <c r="J11" s="55"/>
      <c r="K11" s="55"/>
      <c r="L11" s="55"/>
      <c r="M11" s="2"/>
      <c r="N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>
      <c r="A12" s="2"/>
      <c r="B12" s="62"/>
      <c r="C12" s="62" t="s">
        <v>618</v>
      </c>
      <c r="D12" s="61">
        <f>SUM(D13:D31)</f>
        <v>23057127.010000002</v>
      </c>
      <c r="E12" s="61">
        <f>SUM(E13:E31)</f>
        <v>0</v>
      </c>
      <c r="F12" s="61">
        <f>SUM(F13:F31)</f>
        <v>23057127.010000002</v>
      </c>
      <c r="G12" s="55"/>
      <c r="H12" s="104"/>
      <c r="I12" s="61"/>
      <c r="J12" s="61">
        <f>SUM(J13:J31)</f>
        <v>77948520.260000005</v>
      </c>
      <c r="K12" s="61">
        <f>SUM(K13:K31)</f>
        <v>0</v>
      </c>
      <c r="L12" s="61">
        <f>SUM(L13:L31)</f>
        <v>77948520.260000005</v>
      </c>
      <c r="M12" s="2"/>
      <c r="N12" s="54">
        <f>L12/1000</f>
        <v>77948.520260000005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.75" customHeight="1" outlineLevel="1">
      <c r="A13" s="105" t="s">
        <v>310</v>
      </c>
      <c r="B13" s="62" t="s">
        <v>618</v>
      </c>
      <c r="C13" s="43" t="s">
        <v>148</v>
      </c>
      <c r="D13" s="55">
        <f>SUMIFS('TB LTD 12.22'!G:G,'TB LTD 12.22'!I:I,$B13,'TB LTD 12.22'!J:J,$C13)</f>
        <v>844546.94000000006</v>
      </c>
      <c r="E13" s="55"/>
      <c r="F13" s="55">
        <f t="shared" ref="F13:F29" si="3">D13+E13</f>
        <v>844546.94000000006</v>
      </c>
      <c r="G13" s="55"/>
      <c r="H13" s="103"/>
      <c r="I13" s="55"/>
      <c r="J13" s="55">
        <f>SUMIFS('TB LTD 12.22'!F:F,'TB LTD 12.22'!I:I,$B13,'TB LTD 12.22'!J:J,$C13)</f>
        <v>2852594.38</v>
      </c>
      <c r="K13" s="55"/>
      <c r="L13" s="55">
        <f t="shared" ref="L13:L31" si="4">J13+K13</f>
        <v>2852594.38</v>
      </c>
      <c r="M13" s="2"/>
      <c r="N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.75" customHeight="1" outlineLevel="1">
      <c r="A14" s="105" t="s">
        <v>309</v>
      </c>
      <c r="B14" s="62" t="s">
        <v>618</v>
      </c>
      <c r="C14" s="43" t="s">
        <v>635</v>
      </c>
      <c r="D14" s="55">
        <f>SUMIFS('TB LTD 12.22'!G:G,'TB LTD 12.22'!I:I,$B14,'TB LTD 12.22'!J:J,$C14)</f>
        <v>321517.7</v>
      </c>
      <c r="E14" s="55"/>
      <c r="F14" s="55">
        <f t="shared" ref="F14:F22" si="5">D14+E14</f>
        <v>321517.7</v>
      </c>
      <c r="G14" s="55"/>
      <c r="H14" s="420"/>
      <c r="I14" s="55"/>
      <c r="J14" s="55">
        <f>SUMIFS('TB LTD 12.22'!F:F,'TB LTD 12.22'!I:I,$B14,'TB LTD 12.22'!J:J,$C14)</f>
        <v>1079539.9100000001</v>
      </c>
      <c r="K14" s="55"/>
      <c r="L14" s="55">
        <f t="shared" si="4"/>
        <v>1079539.9100000001</v>
      </c>
      <c r="M14" s="2"/>
      <c r="N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.75" customHeight="1" outlineLevel="1">
      <c r="A15" s="105" t="s">
        <v>309</v>
      </c>
      <c r="B15" s="62" t="s">
        <v>618</v>
      </c>
      <c r="C15" s="43" t="s">
        <v>153</v>
      </c>
      <c r="D15" s="55">
        <f>SUMIFS('TB LTD 12.22'!G:G,'TB LTD 12.22'!I:I,$B15,'TB LTD 12.22'!J:J,$C15)</f>
        <v>70434.95</v>
      </c>
      <c r="E15" s="55"/>
      <c r="F15" s="55">
        <f t="shared" si="5"/>
        <v>70434.95</v>
      </c>
      <c r="G15" s="55"/>
      <c r="H15" s="420"/>
      <c r="I15" s="55"/>
      <c r="J15" s="55">
        <f>SUMIFS('TB LTD 12.22'!F:F,'TB LTD 12.22'!I:I,$B15,'TB LTD 12.22'!J:J,$C15)</f>
        <v>238667.82</v>
      </c>
      <c r="K15" s="55"/>
      <c r="L15" s="55">
        <f t="shared" si="4"/>
        <v>238667.82</v>
      </c>
      <c r="M15" s="2"/>
      <c r="N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outlineLevel="1">
      <c r="A16" s="105" t="s">
        <v>311</v>
      </c>
      <c r="B16" s="62" t="s">
        <v>618</v>
      </c>
      <c r="C16" s="43" t="s">
        <v>172</v>
      </c>
      <c r="D16" s="55">
        <f>SUMIFS('TB LTD 12.22'!G:G,'TB LTD 12.22'!I:I,$B16,'TB LTD 12.22'!J:J,$C16)</f>
        <v>21106.66</v>
      </c>
      <c r="E16" s="55">
        <f>'AJE 2022'!G38</f>
        <v>0</v>
      </c>
      <c r="F16" s="55">
        <f t="shared" si="5"/>
        <v>21106.66</v>
      </c>
      <c r="G16" s="55"/>
      <c r="H16" s="420"/>
      <c r="I16" s="55"/>
      <c r="J16" s="55">
        <f>SUMIFS('TB LTD 12.22'!F:F,'TB LTD 12.22'!I:I,$B16,'TB LTD 12.22'!J:J,$C16)</f>
        <v>70070.509999999995</v>
      </c>
      <c r="K16" s="55">
        <f>'AJE 2022'!J38</f>
        <v>0</v>
      </c>
      <c r="L16" s="55">
        <f t="shared" si="4"/>
        <v>70070.509999999995</v>
      </c>
      <c r="M16" s="2"/>
      <c r="N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.75" customHeight="1" outlineLevel="1">
      <c r="A17" s="105" t="s">
        <v>309</v>
      </c>
      <c r="B17" s="62" t="s">
        <v>618</v>
      </c>
      <c r="C17" s="43" t="s">
        <v>157</v>
      </c>
      <c r="D17" s="55">
        <f>SUMIFS('TB LTD 12.22'!G:G,'TB LTD 12.22'!I:I,$B17,'TB LTD 12.22'!J:J,$C17)</f>
        <v>114342.52</v>
      </c>
      <c r="E17" s="55"/>
      <c r="F17" s="55">
        <f t="shared" si="5"/>
        <v>114342.52</v>
      </c>
      <c r="G17" s="55"/>
      <c r="H17" s="420"/>
      <c r="I17" s="55"/>
      <c r="J17" s="55">
        <f>SUMIFS('TB LTD 12.22'!F:F,'TB LTD 12.22'!I:I,$B17,'TB LTD 12.22'!J:J,$C17)</f>
        <v>392459.68999999994</v>
      </c>
      <c r="K17" s="55"/>
      <c r="L17" s="55">
        <f t="shared" si="4"/>
        <v>392459.68999999994</v>
      </c>
      <c r="M17" s="2"/>
      <c r="N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.75" customHeight="1" outlineLevel="1">
      <c r="A18" s="105" t="s">
        <v>385</v>
      </c>
      <c r="B18" s="62" t="s">
        <v>618</v>
      </c>
      <c r="C18" s="43" t="s">
        <v>385</v>
      </c>
      <c r="D18" s="55">
        <f>SUMIFS('TB LTD 12.22'!G:G,'TB LTD 12.22'!I:I,$B18,'TB LTD 12.22'!J:J,$C18)</f>
        <v>16803.740000000002</v>
      </c>
      <c r="E18" s="55"/>
      <c r="F18" s="55">
        <f t="shared" si="5"/>
        <v>16803.740000000002</v>
      </c>
      <c r="G18" s="55"/>
      <c r="H18" s="420"/>
      <c r="I18" s="55"/>
      <c r="J18" s="55">
        <f>SUMIFS('TB LTD 12.22'!F:F,'TB LTD 12.22'!I:I,$B18,'TB LTD 12.22'!J:J,$C18)</f>
        <v>54762.66</v>
      </c>
      <c r="K18" s="55"/>
      <c r="L18" s="55">
        <f t="shared" si="4"/>
        <v>54762.66</v>
      </c>
      <c r="M18" s="2"/>
      <c r="N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outlineLevel="1">
      <c r="A19" s="105" t="s">
        <v>309</v>
      </c>
      <c r="B19" s="62" t="s">
        <v>618</v>
      </c>
      <c r="C19" s="43" t="s">
        <v>160</v>
      </c>
      <c r="D19" s="55">
        <f>SUMIFS('TB LTD 12.22'!G:G,'TB LTD 12.22'!I:I,$B19,'TB LTD 12.22'!J:J,$C19)</f>
        <v>1757.32</v>
      </c>
      <c r="E19" s="55"/>
      <c r="F19" s="55">
        <f t="shared" si="5"/>
        <v>1757.32</v>
      </c>
      <c r="G19" s="55"/>
      <c r="H19" s="420"/>
      <c r="I19" s="55"/>
      <c r="J19" s="55">
        <f>SUMIFS('TB LTD 12.22'!F:F,'TB LTD 12.22'!I:I,$B19,'TB LTD 12.22'!J:J,$C19)</f>
        <v>6136</v>
      </c>
      <c r="K19" s="55"/>
      <c r="L19" s="55">
        <f t="shared" si="4"/>
        <v>6136</v>
      </c>
      <c r="M19" s="2"/>
      <c r="N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.75" customHeight="1" outlineLevel="1">
      <c r="A20" s="105" t="s">
        <v>309</v>
      </c>
      <c r="B20" s="62" t="s">
        <v>618</v>
      </c>
      <c r="C20" s="43" t="s">
        <v>647</v>
      </c>
      <c r="D20" s="55">
        <f>SUMIFS('TB LTD 12.22'!G:G,'TB LTD 12.22'!I:I,$B20,'TB LTD 12.22'!J:J,$C20)</f>
        <v>48346.67</v>
      </c>
      <c r="E20" s="55"/>
      <c r="F20" s="55">
        <f t="shared" si="5"/>
        <v>48346.67</v>
      </c>
      <c r="G20" s="55"/>
      <c r="H20" s="420"/>
      <c r="I20" s="55"/>
      <c r="J20" s="55">
        <f>SUMIFS('TB LTD 12.22'!F:F,'TB LTD 12.22'!I:I,$B20,'TB LTD 12.22'!J:J,$C20)</f>
        <v>162032.54</v>
      </c>
      <c r="K20" s="55"/>
      <c r="L20" s="55">
        <f t="shared" si="4"/>
        <v>162032.54</v>
      </c>
      <c r="M20" s="2"/>
      <c r="N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5.75" customHeight="1" outlineLevel="1">
      <c r="A21" s="105" t="s">
        <v>309</v>
      </c>
      <c r="B21" s="62" t="s">
        <v>618</v>
      </c>
      <c r="C21" s="43" t="s">
        <v>645</v>
      </c>
      <c r="D21" s="55">
        <f>SUMIFS('TB LTD 12.22'!G:G,'TB LTD 12.22'!I:I,$B21,'TB LTD 12.22'!J:J,$C21)</f>
        <v>9171.5400000000009</v>
      </c>
      <c r="E21" s="55"/>
      <c r="F21" s="55">
        <f t="shared" si="5"/>
        <v>9171.5400000000009</v>
      </c>
      <c r="G21" s="55"/>
      <c r="H21" s="420"/>
      <c r="I21" s="55"/>
      <c r="J21" s="55">
        <f>SUMIFS('TB LTD 12.22'!F:F,'TB LTD 12.22'!I:I,$B21,'TB LTD 12.22'!J:J,$C21)</f>
        <v>30310.62</v>
      </c>
      <c r="K21" s="55"/>
      <c r="L21" s="55">
        <f t="shared" si="4"/>
        <v>30310.62</v>
      </c>
      <c r="M21" s="2"/>
      <c r="N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.75" customHeight="1" outlineLevel="1">
      <c r="A22" s="105" t="s">
        <v>309</v>
      </c>
      <c r="B22" s="62" t="s">
        <v>618</v>
      </c>
      <c r="C22" s="43" t="s">
        <v>643</v>
      </c>
      <c r="D22" s="55">
        <f>SUMIFS('TB LTD 12.22'!G:G,'TB LTD 12.22'!I:I,$B22,'TB LTD 12.22'!J:J,$C22)</f>
        <v>52156.54</v>
      </c>
      <c r="E22" s="55"/>
      <c r="F22" s="55">
        <f t="shared" si="5"/>
        <v>52156.54</v>
      </c>
      <c r="G22" s="55"/>
      <c r="H22" s="420"/>
      <c r="I22" s="55"/>
      <c r="J22" s="55">
        <f>SUMIFS('TB LTD 12.22'!F:F,'TB LTD 12.22'!I:I,$B22,'TB LTD 12.22'!J:J,$C22)</f>
        <v>174725.83</v>
      </c>
      <c r="K22" s="55"/>
      <c r="L22" s="55">
        <f t="shared" si="4"/>
        <v>174725.83</v>
      </c>
      <c r="M22" s="2"/>
      <c r="N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.75" customHeight="1" outlineLevel="1">
      <c r="A23" s="105" t="s">
        <v>309</v>
      </c>
      <c r="B23" s="62" t="s">
        <v>618</v>
      </c>
      <c r="C23" s="43" t="s">
        <v>161</v>
      </c>
      <c r="D23" s="55">
        <f>SUMIFS('TB LTD 12.22'!G:G,'TB LTD 12.22'!I:I,$B23,'TB LTD 12.22'!J:J,$C23)</f>
        <v>1872.76</v>
      </c>
      <c r="E23" s="55"/>
      <c r="F23" s="55">
        <f t="shared" si="3"/>
        <v>1872.76</v>
      </c>
      <c r="G23" s="55"/>
      <c r="H23" s="103"/>
      <c r="I23" s="55"/>
      <c r="J23" s="55">
        <f>SUMIFS('TB LTD 12.22'!F:F,'TB LTD 12.22'!I:I,$B23,'TB LTD 12.22'!J:J,$C23)</f>
        <v>6808.42</v>
      </c>
      <c r="K23" s="55"/>
      <c r="L23" s="55">
        <f t="shared" si="4"/>
        <v>6808.42</v>
      </c>
      <c r="M23" s="2"/>
      <c r="N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.75" customHeight="1" outlineLevel="1">
      <c r="A24" s="105" t="s">
        <v>309</v>
      </c>
      <c r="B24" s="62" t="s">
        <v>618</v>
      </c>
      <c r="C24" s="43" t="s">
        <v>850</v>
      </c>
      <c r="D24" s="55">
        <f>SUMIFS('TB LTD 12.22'!G:G,'TB LTD 12.22'!I:I,$B24,'TB LTD 12.22'!J:J,$C24)</f>
        <v>0</v>
      </c>
      <c r="E24" s="55"/>
      <c r="F24" s="55">
        <f t="shared" si="3"/>
        <v>0</v>
      </c>
      <c r="G24" s="55"/>
      <c r="H24" s="103"/>
      <c r="I24" s="55"/>
      <c r="J24" s="55">
        <f>SUMIFS('TB LTD 12.22'!F:F,'TB LTD 12.22'!I:I,$B24,'TB LTD 12.22'!J:J,$C24)</f>
        <v>0</v>
      </c>
      <c r="K24" s="55"/>
      <c r="L24" s="55">
        <f t="shared" si="4"/>
        <v>0</v>
      </c>
      <c r="M24" s="2"/>
      <c r="N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 outlineLevel="1">
      <c r="A25" s="105" t="s">
        <v>309</v>
      </c>
      <c r="B25" s="62" t="s">
        <v>618</v>
      </c>
      <c r="C25" s="43" t="s">
        <v>1257</v>
      </c>
      <c r="D25" s="55">
        <f>SUMIFS('TB LTD 12.22'!G:G,'TB LTD 12.22'!I:I,$B25,'TB LTD 12.22'!J:J,$C25)</f>
        <v>2471.58</v>
      </c>
      <c r="E25" s="55"/>
      <c r="F25" s="55">
        <f t="shared" si="3"/>
        <v>2471.58</v>
      </c>
      <c r="G25" s="55"/>
      <c r="H25" s="103"/>
      <c r="I25" s="55"/>
      <c r="J25" s="55">
        <f>SUMIFS('TB LTD 12.22'!F:F,'TB LTD 12.22'!I:I,$B25,'TB LTD 12.22'!J:J,$C25)</f>
        <v>8556.43</v>
      </c>
      <c r="K25" s="55"/>
      <c r="L25" s="55">
        <f t="shared" si="4"/>
        <v>8556.43</v>
      </c>
      <c r="M25" s="2"/>
      <c r="N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 outlineLevel="1">
      <c r="A26" s="105" t="s">
        <v>309</v>
      </c>
      <c r="B26" s="62" t="s">
        <v>618</v>
      </c>
      <c r="C26" s="43" t="s">
        <v>650</v>
      </c>
      <c r="D26" s="55">
        <f>SUMIFS('TB LTD 12.22'!G:G,'TB LTD 12.22'!I:I,$B26,'TB LTD 12.22'!J:J,$C26)</f>
        <v>0</v>
      </c>
      <c r="E26" s="55"/>
      <c r="F26" s="55">
        <f t="shared" si="3"/>
        <v>0</v>
      </c>
      <c r="G26" s="55"/>
      <c r="H26" s="103"/>
      <c r="I26" s="55"/>
      <c r="J26" s="55">
        <f>SUMIFS('TB LTD 12.22'!F:F,'TB LTD 12.22'!I:I,$B26,'TB LTD 12.22'!J:J,$C26)</f>
        <v>0</v>
      </c>
      <c r="K26" s="55"/>
      <c r="L26" s="55">
        <f t="shared" si="4"/>
        <v>0</v>
      </c>
      <c r="M26" s="2"/>
      <c r="N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>
      <c r="A27" s="105" t="s">
        <v>309</v>
      </c>
      <c r="B27" s="62" t="s">
        <v>618</v>
      </c>
      <c r="C27" s="43" t="s">
        <v>652</v>
      </c>
      <c r="D27" s="55">
        <f>SUMIFS('TB LTD 12.22'!G:G,'TB LTD 12.22'!I:I,$B27,'TB LTD 12.22'!J:J,$C27)</f>
        <v>1787545.2</v>
      </c>
      <c r="E27" s="55">
        <f>-'AJE 2022'!H67</f>
        <v>0</v>
      </c>
      <c r="F27" s="55">
        <f t="shared" si="3"/>
        <v>1787545.2</v>
      </c>
      <c r="G27" s="55"/>
      <c r="H27" s="103"/>
      <c r="I27" s="55"/>
      <c r="J27" s="55">
        <f>SUMIFS('TB LTD 12.22'!F:F,'TB LTD 12.22'!I:I,$B27,'TB LTD 12.22'!J:J,$C27)</f>
        <v>6216999.5899999999</v>
      </c>
      <c r="K27" s="55">
        <f>-'AJE 2022'!J66</f>
        <v>0</v>
      </c>
      <c r="L27" s="55">
        <f t="shared" si="4"/>
        <v>6216999.5899999999</v>
      </c>
      <c r="M27" s="2"/>
      <c r="N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>
      <c r="A28" s="105" t="s">
        <v>309</v>
      </c>
      <c r="B28" s="62" t="s">
        <v>618</v>
      </c>
      <c r="C28" s="43" t="s">
        <v>159</v>
      </c>
      <c r="D28" s="55">
        <f>SUMIFS('TB LTD 12.22'!G:G,'TB LTD 12.22'!I:I,$B28,'TB LTD 12.22'!J:J,$C28)</f>
        <v>3082.15</v>
      </c>
      <c r="E28" s="55"/>
      <c r="F28" s="55">
        <f t="shared" si="3"/>
        <v>3082.15</v>
      </c>
      <c r="G28" s="55"/>
      <c r="H28" s="103"/>
      <c r="I28" s="55"/>
      <c r="J28" s="55">
        <f>SUMIFS('TB LTD 12.22'!F:F,'TB LTD 12.22'!I:I,$B28,'TB LTD 12.22'!J:J,$C28)</f>
        <v>9998.9500000000007</v>
      </c>
      <c r="K28" s="55"/>
      <c r="L28" s="55">
        <f t="shared" si="4"/>
        <v>9998.9500000000007</v>
      </c>
      <c r="M28" s="2"/>
      <c r="N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>
      <c r="A29" s="105" t="s">
        <v>309</v>
      </c>
      <c r="B29" s="62" t="s">
        <v>618</v>
      </c>
      <c r="C29" s="43" t="s">
        <v>1133</v>
      </c>
      <c r="D29" s="55">
        <f>SUMIFS('TB LTD 12.22'!G:G,'TB LTD 12.22'!I:I,$B29,'TB LTD 12.22'!J:J,$C29)</f>
        <v>99.05</v>
      </c>
      <c r="E29" s="55"/>
      <c r="F29" s="55">
        <f t="shared" si="3"/>
        <v>99.05</v>
      </c>
      <c r="G29" s="55"/>
      <c r="H29" s="103"/>
      <c r="I29" s="55"/>
      <c r="J29" s="55">
        <f>SUMIFS('TB LTD 12.22'!F:F,'TB LTD 12.22'!I:I,$B29,'TB LTD 12.22'!J:J,$C29)</f>
        <v>338.71</v>
      </c>
      <c r="K29" s="55"/>
      <c r="L29" s="55">
        <f t="shared" si="4"/>
        <v>338.71</v>
      </c>
      <c r="M29" s="2"/>
      <c r="N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>
      <c r="A30" s="105" t="s">
        <v>309</v>
      </c>
      <c r="B30" s="62" t="s">
        <v>618</v>
      </c>
      <c r="C30" s="43" t="s">
        <v>162</v>
      </c>
      <c r="D30" s="55">
        <f>SUMIFS('TB LTD 12.22'!G:G,'TB LTD 12.22'!I:I,$B30,'TB LTD 12.22'!J:J,$C30)</f>
        <v>0</v>
      </c>
      <c r="E30" s="55"/>
      <c r="F30" s="55">
        <f>D30+E30</f>
        <v>0</v>
      </c>
      <c r="G30" s="55"/>
      <c r="H30" s="103"/>
      <c r="I30" s="55"/>
      <c r="J30" s="55">
        <f>SUMIFS('TB LTD 12.22'!F:F,'TB LTD 12.22'!I:I,$B30,'TB LTD 12.22'!J:J,$C30)</f>
        <v>0</v>
      </c>
      <c r="K30" s="55"/>
      <c r="L30" s="55">
        <f t="shared" si="4"/>
        <v>0</v>
      </c>
      <c r="M30" s="2"/>
      <c r="N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>
      <c r="A31" s="105"/>
      <c r="B31" s="62" t="s">
        <v>618</v>
      </c>
      <c r="C31" s="43" t="s">
        <v>183</v>
      </c>
      <c r="D31" s="55">
        <f>SUMIFS('TB LTD 12.22'!G:G,'TB LTD 12.22'!I:I,$B31,'TB LTD 12.22'!J:J,$C31)</f>
        <v>19761871.690000001</v>
      </c>
      <c r="E31" s="55">
        <f>'AJE 2022'!G17</f>
        <v>0</v>
      </c>
      <c r="F31" s="55">
        <f>D31+E31</f>
        <v>19761871.690000001</v>
      </c>
      <c r="G31" s="55"/>
      <c r="H31" s="103"/>
      <c r="I31" s="55"/>
      <c r="J31" s="55">
        <f>SUMIFS('TB LTD 12.22'!F:F,'TB LTD 12.22'!I:I,$B31,'TB LTD 12.22'!J:J,$C31)</f>
        <v>66644518.200000003</v>
      </c>
      <c r="K31" s="55">
        <f>'AJE 2022'!J17</f>
        <v>0</v>
      </c>
      <c r="L31" s="55">
        <f t="shared" si="4"/>
        <v>66644518.200000003</v>
      </c>
      <c r="M31" s="2"/>
      <c r="N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thickBot="1">
      <c r="A32" s="2"/>
      <c r="B32" s="1"/>
      <c r="C32" s="41" t="s">
        <v>297</v>
      </c>
      <c r="D32" s="106">
        <f>D10+D12</f>
        <v>-311182404.52999997</v>
      </c>
      <c r="E32" s="106">
        <f>E10+E12</f>
        <v>0</v>
      </c>
      <c r="F32" s="106">
        <f>F10+F12</f>
        <v>-311182404.52999997</v>
      </c>
      <c r="G32" s="55"/>
      <c r="H32" s="103"/>
      <c r="I32" s="55"/>
      <c r="J32" s="106">
        <f>J10+J12</f>
        <v>-1051844880.7300003</v>
      </c>
      <c r="K32" s="106">
        <f>K10+K12</f>
        <v>0</v>
      </c>
      <c r="L32" s="106">
        <f>L10+L12</f>
        <v>-1051844880.7300003</v>
      </c>
      <c r="M32" s="2"/>
      <c r="N32" s="54">
        <f>L32/1000</f>
        <v>-1051844.8807300003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>
      <c r="A33" s="2"/>
      <c r="B33" s="1"/>
      <c r="C33" s="41"/>
      <c r="D33" s="55"/>
      <c r="E33" s="55"/>
      <c r="F33" s="55"/>
      <c r="G33" s="55"/>
      <c r="H33" s="103"/>
      <c r="I33" s="55"/>
      <c r="J33" s="55"/>
      <c r="K33" s="55"/>
      <c r="L33" s="55"/>
      <c r="M33" s="2"/>
      <c r="N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>
      <c r="A34" s="2"/>
      <c r="B34" s="1"/>
      <c r="C34" s="7"/>
      <c r="D34" s="55"/>
      <c r="E34" s="55"/>
      <c r="F34" s="55"/>
      <c r="G34" s="55"/>
      <c r="H34" s="103"/>
      <c r="I34" s="55"/>
      <c r="J34" s="55"/>
      <c r="K34" s="55"/>
      <c r="L34" s="55"/>
      <c r="M34" s="2"/>
      <c r="N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>
      <c r="A35" s="2"/>
      <c r="B35" s="62"/>
      <c r="C35" s="62" t="s">
        <v>151</v>
      </c>
      <c r="D35" s="61">
        <f>SUM(D36:D54)</f>
        <v>20781725.32</v>
      </c>
      <c r="E35" s="61">
        <f>SUM(E36:E54)</f>
        <v>0</v>
      </c>
      <c r="F35" s="61">
        <f>SUM(F36:F54)</f>
        <v>20781725.32</v>
      </c>
      <c r="G35" s="55"/>
      <c r="H35" s="104"/>
      <c r="I35" s="61"/>
      <c r="J35" s="61">
        <f>SUM(J36:J54)</f>
        <v>70597716.310000017</v>
      </c>
      <c r="K35" s="61">
        <f>SUM(K36:K54)</f>
        <v>0</v>
      </c>
      <c r="L35" s="61">
        <f>SUM(L36:L54)</f>
        <v>70597716.310000017</v>
      </c>
      <c r="M35" s="2"/>
      <c r="N35" s="54">
        <f>L35/1000</f>
        <v>70597.716310000018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 outlineLevel="1">
      <c r="A36" s="105" t="s">
        <v>310</v>
      </c>
      <c r="B36" s="62" t="s">
        <v>151</v>
      </c>
      <c r="C36" s="43" t="s">
        <v>148</v>
      </c>
      <c r="D36" s="55">
        <f>SUMIFS('TB LTD 12.22'!G:G,'TB LTD 12.22'!I:I,$B36,'TB LTD 12.22'!J:J,$C36)</f>
        <v>13350033.099999998</v>
      </c>
      <c r="E36" s="55">
        <f>'AJE 2022'!G97-'AJE 2022'!G101</f>
        <v>0</v>
      </c>
      <c r="F36" s="55">
        <f t="shared" ref="F36:F54" si="6">D36+E36</f>
        <v>13350033.099999998</v>
      </c>
      <c r="G36" s="55"/>
      <c r="H36" s="103"/>
      <c r="I36" s="55"/>
      <c r="J36" s="55">
        <f>SUMIFS('TB LTD 12.22'!F:F,'TB LTD 12.22'!I:I,$B36,'TB LTD 12.22'!J:J,$C36)</f>
        <v>45424825.679999992</v>
      </c>
      <c r="K36" s="55">
        <f>'AJE 2022'!K98-'AJE 2022'!J101</f>
        <v>0</v>
      </c>
      <c r="L36" s="55">
        <f t="shared" ref="L36:L54" si="7">J36+K36</f>
        <v>45424825.679999992</v>
      </c>
      <c r="M36" s="2"/>
      <c r="N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 outlineLevel="1">
      <c r="A37" s="105" t="s">
        <v>309</v>
      </c>
      <c r="B37" s="62" t="s">
        <v>151</v>
      </c>
      <c r="C37" s="43" t="s">
        <v>635</v>
      </c>
      <c r="D37" s="55">
        <f>SUMIFS('TB LTD 12.22'!G:G,'TB LTD 12.22'!I:I,$B37,'TB LTD 12.22'!J:J,$C37)</f>
        <v>1119298.6500000001</v>
      </c>
      <c r="E37" s="55"/>
      <c r="F37" s="55">
        <f t="shared" ref="F37:F45" si="8">D37+E37</f>
        <v>1119298.6500000001</v>
      </c>
      <c r="G37" s="55"/>
      <c r="H37" s="420"/>
      <c r="I37" s="55"/>
      <c r="J37" s="55">
        <f>SUMIFS('TB LTD 12.22'!F:F,'TB LTD 12.22'!I:I,$B37,'TB LTD 12.22'!J:J,$C37)</f>
        <v>3777596.0400000005</v>
      </c>
      <c r="K37" s="55"/>
      <c r="L37" s="55">
        <f t="shared" ref="L37:L45" si="9">J37+K37</f>
        <v>3777596.0400000005</v>
      </c>
      <c r="M37" s="2"/>
      <c r="N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 outlineLevel="1">
      <c r="A38" s="105" t="s">
        <v>309</v>
      </c>
      <c r="B38" s="62" t="s">
        <v>151</v>
      </c>
      <c r="C38" s="43" t="s">
        <v>153</v>
      </c>
      <c r="D38" s="55">
        <f>SUMIFS('TB LTD 12.22'!G:G,'TB LTD 12.22'!I:I,$B38,'TB LTD 12.22'!J:J,$C38)</f>
        <v>1670933.66</v>
      </c>
      <c r="E38" s="55"/>
      <c r="F38" s="55">
        <f t="shared" si="8"/>
        <v>1670933.66</v>
      </c>
      <c r="G38" s="55"/>
      <c r="H38" s="420"/>
      <c r="I38" s="55"/>
      <c r="J38" s="55">
        <f>SUMIFS('TB LTD 12.22'!F:F,'TB LTD 12.22'!I:I,$B38,'TB LTD 12.22'!J:J,$C38)</f>
        <v>5623468.8900000006</v>
      </c>
      <c r="K38" s="55"/>
      <c r="L38" s="55">
        <f t="shared" si="9"/>
        <v>5623468.8900000006</v>
      </c>
      <c r="M38" s="2"/>
      <c r="N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outlineLevel="1">
      <c r="A39" s="105" t="s">
        <v>311</v>
      </c>
      <c r="B39" s="62" t="s">
        <v>151</v>
      </c>
      <c r="C39" s="43" t="s">
        <v>172</v>
      </c>
      <c r="D39" s="55">
        <f>SUMIFS('TB LTD 12.22'!G:G,'TB LTD 12.22'!I:I,$B39,'TB LTD 12.22'!J:J,$C39)</f>
        <v>-39848.169999999984</v>
      </c>
      <c r="E39" s="55">
        <f>-'AJE 2022'!H37</f>
        <v>0</v>
      </c>
      <c r="F39" s="55">
        <f t="shared" si="8"/>
        <v>-39848.169999999984</v>
      </c>
      <c r="G39" s="55"/>
      <c r="H39" s="420"/>
      <c r="I39" s="55"/>
      <c r="J39" s="55">
        <f>SUMIFS('TB LTD 12.22'!F:F,'TB LTD 12.22'!I:I,$B39,'TB LTD 12.22'!J:J,$C39)</f>
        <v>-161997.4800000001</v>
      </c>
      <c r="K39" s="55">
        <f>-'AJE 2022'!K37</f>
        <v>0</v>
      </c>
      <c r="L39" s="55">
        <f t="shared" si="9"/>
        <v>-161997.4800000001</v>
      </c>
      <c r="M39" s="2"/>
      <c r="N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outlineLevel="1">
      <c r="A40" s="105" t="s">
        <v>309</v>
      </c>
      <c r="B40" s="62" t="s">
        <v>151</v>
      </c>
      <c r="C40" s="43" t="s">
        <v>157</v>
      </c>
      <c r="D40" s="55">
        <f>SUMIFS('TB LTD 12.22'!G:G,'TB LTD 12.22'!I:I,$B40,'TB LTD 12.22'!J:J,$C40)</f>
        <v>989386.5900000002</v>
      </c>
      <c r="E40" s="55"/>
      <c r="F40" s="55">
        <f t="shared" si="8"/>
        <v>989386.5900000002</v>
      </c>
      <c r="G40" s="55"/>
      <c r="H40" s="420"/>
      <c r="I40" s="55"/>
      <c r="J40" s="55">
        <f>SUMIFS('TB LTD 12.22'!F:F,'TB LTD 12.22'!I:I,$B40,'TB LTD 12.22'!J:J,$C40)</f>
        <v>3423464.68</v>
      </c>
      <c r="K40" s="55"/>
      <c r="L40" s="55">
        <f t="shared" si="9"/>
        <v>3423464.68</v>
      </c>
      <c r="M40" s="2"/>
      <c r="N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outlineLevel="1">
      <c r="A41" s="105" t="s">
        <v>385</v>
      </c>
      <c r="B41" s="62" t="s">
        <v>151</v>
      </c>
      <c r="C41" s="43" t="s">
        <v>385</v>
      </c>
      <c r="D41" s="55">
        <f>SUMIFS('TB LTD 12.22'!G:G,'TB LTD 12.22'!I:I,$B41,'TB LTD 12.22'!J:J,$C41)</f>
        <v>136688.74</v>
      </c>
      <c r="E41" s="55"/>
      <c r="F41" s="55">
        <f t="shared" si="8"/>
        <v>136688.74</v>
      </c>
      <c r="G41" s="55"/>
      <c r="H41" s="420"/>
      <c r="I41" s="55"/>
      <c r="J41" s="55">
        <f>SUMIFS('TB LTD 12.22'!F:F,'TB LTD 12.22'!I:I,$B41,'TB LTD 12.22'!J:J,$C41)</f>
        <v>445711.95</v>
      </c>
      <c r="K41" s="55"/>
      <c r="L41" s="55">
        <f t="shared" si="9"/>
        <v>445711.95</v>
      </c>
      <c r="M41" s="2"/>
      <c r="N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outlineLevel="1">
      <c r="A42" s="105" t="s">
        <v>309</v>
      </c>
      <c r="B42" s="62" t="s">
        <v>151</v>
      </c>
      <c r="C42" s="43" t="s">
        <v>160</v>
      </c>
      <c r="D42" s="55">
        <f>SUMIFS('TB LTD 12.22'!G:G,'TB LTD 12.22'!I:I,$B42,'TB LTD 12.22'!J:J,$C42)</f>
        <v>18024.669999999998</v>
      </c>
      <c r="E42" s="55"/>
      <c r="F42" s="55">
        <f t="shared" si="8"/>
        <v>18024.669999999998</v>
      </c>
      <c r="G42" s="55"/>
      <c r="H42" s="420"/>
      <c r="I42" s="55"/>
      <c r="J42" s="55">
        <f>SUMIFS('TB LTD 12.22'!F:F,'TB LTD 12.22'!I:I,$B42,'TB LTD 12.22'!J:J,$C42)</f>
        <v>61677.9</v>
      </c>
      <c r="K42" s="55"/>
      <c r="L42" s="55">
        <f t="shared" si="9"/>
        <v>61677.9</v>
      </c>
      <c r="M42" s="2"/>
      <c r="N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 outlineLevel="1">
      <c r="A43" s="105" t="s">
        <v>309</v>
      </c>
      <c r="B43" s="62" t="s">
        <v>151</v>
      </c>
      <c r="C43" s="43" t="s">
        <v>647</v>
      </c>
      <c r="D43" s="55">
        <f>SUMIFS('TB LTD 12.22'!G:G,'TB LTD 12.22'!I:I,$B43,'TB LTD 12.22'!J:J,$C43)</f>
        <v>392581.94</v>
      </c>
      <c r="E43" s="55"/>
      <c r="F43" s="55">
        <f t="shared" si="8"/>
        <v>392581.94</v>
      </c>
      <c r="G43" s="55"/>
      <c r="H43" s="420"/>
      <c r="I43" s="55"/>
      <c r="J43" s="55">
        <f>SUMIFS('TB LTD 12.22'!F:F,'TB LTD 12.22'!I:I,$B43,'TB LTD 12.22'!J:J,$C43)</f>
        <v>1326297.02</v>
      </c>
      <c r="K43" s="55"/>
      <c r="L43" s="55">
        <f t="shared" si="9"/>
        <v>1326297.02</v>
      </c>
      <c r="M43" s="2"/>
      <c r="N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 outlineLevel="1">
      <c r="A44" s="105" t="s">
        <v>309</v>
      </c>
      <c r="B44" s="62" t="s">
        <v>151</v>
      </c>
      <c r="C44" s="43" t="s">
        <v>645</v>
      </c>
      <c r="D44" s="55">
        <f>SUMIFS('TB LTD 12.22'!G:G,'TB LTD 12.22'!I:I,$B44,'TB LTD 12.22'!J:J,$C44)</f>
        <v>76196.55</v>
      </c>
      <c r="E44" s="55"/>
      <c r="F44" s="55">
        <f t="shared" si="8"/>
        <v>76196.55</v>
      </c>
      <c r="G44" s="55"/>
      <c r="H44" s="420"/>
      <c r="I44" s="55"/>
      <c r="J44" s="55">
        <f>SUMIFS('TB LTD 12.22'!F:F,'TB LTD 12.22'!I:I,$B44,'TB LTD 12.22'!J:J,$C44)</f>
        <v>255373.49</v>
      </c>
      <c r="K44" s="55"/>
      <c r="L44" s="55">
        <f t="shared" si="9"/>
        <v>255373.49</v>
      </c>
      <c r="M44" s="2"/>
      <c r="N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 outlineLevel="1">
      <c r="A45" s="105" t="s">
        <v>309</v>
      </c>
      <c r="B45" s="62" t="s">
        <v>151</v>
      </c>
      <c r="C45" s="43" t="s">
        <v>643</v>
      </c>
      <c r="D45" s="55">
        <f>SUMIFS('TB LTD 12.22'!G:G,'TB LTD 12.22'!I:I,$B45,'TB LTD 12.22'!J:J,$C45)</f>
        <v>424207.54</v>
      </c>
      <c r="E45" s="55"/>
      <c r="F45" s="55">
        <f t="shared" si="8"/>
        <v>424207.54</v>
      </c>
      <c r="G45" s="55"/>
      <c r="H45" s="420"/>
      <c r="I45" s="55"/>
      <c r="J45" s="55">
        <f>SUMIFS('TB LTD 12.22'!F:F,'TB LTD 12.22'!I:I,$B45,'TB LTD 12.22'!J:J,$C45)</f>
        <v>1431443.55</v>
      </c>
      <c r="K45" s="55"/>
      <c r="L45" s="55">
        <f t="shared" si="9"/>
        <v>1431443.55</v>
      </c>
      <c r="M45" s="2"/>
      <c r="N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outlineLevel="1">
      <c r="A46" s="105" t="s">
        <v>309</v>
      </c>
      <c r="B46" s="62" t="s">
        <v>151</v>
      </c>
      <c r="C46" s="43" t="s">
        <v>161</v>
      </c>
      <c r="D46" s="55">
        <f>SUMIFS('TB LTD 12.22'!G:G,'TB LTD 12.22'!I:I,$B46,'TB LTD 12.22'!J:J,$C46)</f>
        <v>21837.15</v>
      </c>
      <c r="E46" s="55"/>
      <c r="F46" s="55">
        <f t="shared" si="6"/>
        <v>21837.15</v>
      </c>
      <c r="G46" s="55"/>
      <c r="H46" s="103"/>
      <c r="I46" s="55"/>
      <c r="J46" s="55">
        <f>SUMIFS('TB LTD 12.22'!F:F,'TB LTD 12.22'!I:I,$B46,'TB LTD 12.22'!J:J,$C46)</f>
        <v>77653.320000000007</v>
      </c>
      <c r="K46" s="55"/>
      <c r="L46" s="55">
        <f t="shared" si="7"/>
        <v>77653.320000000007</v>
      </c>
      <c r="M46" s="2"/>
      <c r="N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outlineLevel="1">
      <c r="A47" s="105" t="s">
        <v>309</v>
      </c>
      <c r="B47" s="62" t="s">
        <v>151</v>
      </c>
      <c r="C47" s="43" t="s">
        <v>650</v>
      </c>
      <c r="D47" s="55">
        <f>SUMIFS('TB LTD 12.22'!G:G,'TB LTD 12.22'!I:I,$B47,'TB LTD 12.22'!J:J,$C47)</f>
        <v>0</v>
      </c>
      <c r="E47" s="55"/>
      <c r="F47" s="55">
        <f>D47+E47</f>
        <v>0</v>
      </c>
      <c r="G47" s="55"/>
      <c r="H47" s="103"/>
      <c r="I47" s="55"/>
      <c r="J47" s="55">
        <f>SUMIFS('TB LTD 12.22'!F:F,'TB LTD 12.22'!I:I,$B47,'TB LTD 12.22'!J:J,$C47)</f>
        <v>0</v>
      </c>
      <c r="K47" s="55"/>
      <c r="L47" s="55">
        <f t="shared" si="7"/>
        <v>0</v>
      </c>
      <c r="M47" s="2"/>
      <c r="N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outlineLevel="1">
      <c r="A48" s="105" t="s">
        <v>309</v>
      </c>
      <c r="B48" s="62" t="s">
        <v>151</v>
      </c>
      <c r="C48" s="43" t="s">
        <v>998</v>
      </c>
      <c r="D48" s="55">
        <f>SUMIFS('TB LTD 12.22'!G:G,'TB LTD 12.22'!I:I,$B48,'TB LTD 12.22'!J:J,$C48)</f>
        <v>2740</v>
      </c>
      <c r="E48" s="55"/>
      <c r="F48" s="55">
        <f t="shared" si="6"/>
        <v>2740</v>
      </c>
      <c r="G48" s="55"/>
      <c r="H48" s="103"/>
      <c r="I48" s="55"/>
      <c r="J48" s="55">
        <f>SUMIFS('TB LTD 12.22'!F:F,'TB LTD 12.22'!I:I,$B48,'TB LTD 12.22'!J:J,$C48)</f>
        <v>9189.9599999999991</v>
      </c>
      <c r="K48" s="55"/>
      <c r="L48" s="55">
        <f t="shared" si="7"/>
        <v>9189.9599999999991</v>
      </c>
      <c r="M48" s="2"/>
      <c r="N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>
      <c r="A49" s="105" t="s">
        <v>309</v>
      </c>
      <c r="B49" s="62" t="s">
        <v>151</v>
      </c>
      <c r="C49" s="43" t="s">
        <v>652</v>
      </c>
      <c r="D49" s="55">
        <f>SUMIFS('TB LTD 12.22'!G:G,'TB LTD 12.22'!I:I,$B49,'TB LTD 12.22'!J:J,$C49)</f>
        <v>2292651.61</v>
      </c>
      <c r="E49" s="55">
        <f>'AJE 2022'!H67</f>
        <v>0</v>
      </c>
      <c r="F49" s="55">
        <f t="shared" si="6"/>
        <v>2292651.61</v>
      </c>
      <c r="G49" s="55"/>
      <c r="H49" s="103"/>
      <c r="I49" s="55"/>
      <c r="J49" s="55">
        <f>SUMIFS('TB LTD 12.22'!F:F,'TB LTD 12.22'!I:I,$B49,'TB LTD 12.22'!J:J,$C49)</f>
        <v>7796536.9800000004</v>
      </c>
      <c r="K49" s="55">
        <f>'AJE 2022'!J66</f>
        <v>0</v>
      </c>
      <c r="L49" s="55">
        <f t="shared" si="7"/>
        <v>7796536.9800000004</v>
      </c>
      <c r="M49" s="2"/>
      <c r="N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>
      <c r="A50" s="105" t="s">
        <v>309</v>
      </c>
      <c r="B50" s="62" t="s">
        <v>151</v>
      </c>
      <c r="C50" s="43" t="s">
        <v>1257</v>
      </c>
      <c r="D50" s="55">
        <f>SUMIFS('TB LTD 12.22'!G:G,'TB LTD 12.22'!I:I,$B50,'TB LTD 12.22'!J:J,$C50)</f>
        <v>28002.55</v>
      </c>
      <c r="E50" s="55"/>
      <c r="F50" s="55">
        <f t="shared" si="6"/>
        <v>28002.55</v>
      </c>
      <c r="G50" s="55"/>
      <c r="H50" s="103"/>
      <c r="I50" s="55"/>
      <c r="J50" s="55">
        <f>SUMIFS('TB LTD 12.22'!F:F,'TB LTD 12.22'!I:I,$B50,'TB LTD 12.22'!J:J,$C50)</f>
        <v>96897.68</v>
      </c>
      <c r="K50" s="55"/>
      <c r="L50" s="55">
        <f t="shared" si="7"/>
        <v>96897.68</v>
      </c>
      <c r="M50" s="2"/>
      <c r="N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>
      <c r="A51" s="105" t="s">
        <v>309</v>
      </c>
      <c r="B51" s="62" t="s">
        <v>151</v>
      </c>
      <c r="C51" s="43" t="s">
        <v>850</v>
      </c>
      <c r="D51" s="55">
        <f>SUMIFS('TB LTD 12.22'!G:G,'TB LTD 12.22'!I:I,$B51,'TB LTD 12.22'!J:J,$C51)</f>
        <v>0</v>
      </c>
      <c r="E51" s="55"/>
      <c r="F51" s="55">
        <f t="shared" si="6"/>
        <v>0</v>
      </c>
      <c r="G51" s="55"/>
      <c r="H51" s="103"/>
      <c r="I51" s="55"/>
      <c r="J51" s="55">
        <f>SUMIFS('TB LTD 12.22'!F:F,'TB LTD 12.22'!I:I,$B51,'TB LTD 12.22'!J:J,$C51)</f>
        <v>0</v>
      </c>
      <c r="K51" s="55"/>
      <c r="L51" s="55">
        <f t="shared" si="7"/>
        <v>0</v>
      </c>
      <c r="M51" s="2"/>
      <c r="N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>
      <c r="A52" s="105" t="s">
        <v>309</v>
      </c>
      <c r="B52" s="62" t="s">
        <v>151</v>
      </c>
      <c r="C52" s="43" t="s">
        <v>159</v>
      </c>
      <c r="D52" s="55">
        <f>SUMIFS('TB LTD 12.22'!G:G,'TB LTD 12.22'!I:I,$B52,'TB LTD 12.22'!J:J,$C52)</f>
        <v>25708.76</v>
      </c>
      <c r="E52" s="55"/>
      <c r="F52" s="55">
        <f t="shared" si="6"/>
        <v>25708.76</v>
      </c>
      <c r="G52" s="55"/>
      <c r="H52" s="103"/>
      <c r="I52" s="55"/>
      <c r="J52" s="55">
        <f>SUMIFS('TB LTD 12.22'!F:F,'TB LTD 12.22'!I:I,$B52,'TB LTD 12.22'!J:J,$C52)</f>
        <v>83647.78</v>
      </c>
      <c r="K52" s="55"/>
      <c r="L52" s="55">
        <f t="shared" si="7"/>
        <v>83647.78</v>
      </c>
      <c r="M52" s="2"/>
      <c r="N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>
      <c r="A53" s="105" t="s">
        <v>309</v>
      </c>
      <c r="B53" s="62" t="s">
        <v>151</v>
      </c>
      <c r="C53" s="43" t="s">
        <v>1133</v>
      </c>
      <c r="D53" s="55">
        <f>SUMIFS('TB LTD 12.22'!G:G,'TB LTD 12.22'!I:I,$B53,'TB LTD 12.22'!J:J,$C53)</f>
        <v>973.72</v>
      </c>
      <c r="E53" s="55"/>
      <c r="F53" s="55">
        <f t="shared" si="6"/>
        <v>973.72</v>
      </c>
      <c r="G53" s="55"/>
      <c r="H53" s="103"/>
      <c r="I53" s="55"/>
      <c r="J53" s="55">
        <f>SUMIFS('TB LTD 12.22'!F:F,'TB LTD 12.22'!I:I,$B53,'TB LTD 12.22'!J:J,$C53)</f>
        <v>3337.97</v>
      </c>
      <c r="K53" s="55"/>
      <c r="L53" s="55">
        <f t="shared" si="7"/>
        <v>3337.97</v>
      </c>
      <c r="M53" s="2"/>
      <c r="N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>
      <c r="A54" s="105" t="s">
        <v>309</v>
      </c>
      <c r="B54" s="62" t="s">
        <v>151</v>
      </c>
      <c r="C54" s="43" t="s">
        <v>162</v>
      </c>
      <c r="D54" s="55">
        <f>SUMIFS('TB LTD 12.22'!G:G,'TB LTD 12.22'!I:I,$B54,'TB LTD 12.22'!J:J,$C54)</f>
        <v>272308.26</v>
      </c>
      <c r="E54" s="55"/>
      <c r="F54" s="55">
        <f t="shared" si="6"/>
        <v>272308.26</v>
      </c>
      <c r="G54" s="55"/>
      <c r="H54" s="103"/>
      <c r="I54" s="55"/>
      <c r="J54" s="55">
        <f>SUMIFS('TB LTD 12.22'!F:F,'TB LTD 12.22'!I:I,$B54,'TB LTD 12.22'!J:J,$C54)</f>
        <v>922590.9</v>
      </c>
      <c r="K54" s="55"/>
      <c r="L54" s="55">
        <f t="shared" si="7"/>
        <v>922590.9</v>
      </c>
      <c r="M54" s="2"/>
      <c r="N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>
      <c r="A55" s="2"/>
      <c r="B55" s="62"/>
      <c r="C55" s="43"/>
      <c r="D55" s="55"/>
      <c r="E55" s="55"/>
      <c r="F55" s="55"/>
      <c r="G55" s="55"/>
      <c r="H55" s="103"/>
      <c r="I55" s="55"/>
      <c r="J55" s="55"/>
      <c r="K55" s="55"/>
      <c r="L55" s="55"/>
      <c r="M55" s="2"/>
      <c r="N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>
      <c r="A56" s="2"/>
      <c r="B56" s="1"/>
      <c r="C56" s="62" t="s">
        <v>149</v>
      </c>
      <c r="D56" s="61">
        <f>SUM(D57:D80)</f>
        <v>256017748.69</v>
      </c>
      <c r="E56" s="61">
        <f>SUM(E57:E80)</f>
        <v>0</v>
      </c>
      <c r="F56" s="61">
        <f>SUM(F57:F80)</f>
        <v>256017748.69</v>
      </c>
      <c r="G56" s="55"/>
      <c r="H56" s="104"/>
      <c r="I56" s="61"/>
      <c r="J56" s="61">
        <f>SUM(J57:J80)</f>
        <v>863135860.49000001</v>
      </c>
      <c r="K56" s="61">
        <f>SUM(K57:K80)</f>
        <v>0</v>
      </c>
      <c r="L56" s="61">
        <f>SUM(L57:L80)</f>
        <v>863135860.49000001</v>
      </c>
      <c r="M56" s="2"/>
      <c r="N56" s="54">
        <f>L56/1000</f>
        <v>863135.86048999999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 outlineLevel="1">
      <c r="A57" s="2" t="s">
        <v>310</v>
      </c>
      <c r="B57" s="62" t="s">
        <v>149</v>
      </c>
      <c r="C57" s="320" t="s">
        <v>148</v>
      </c>
      <c r="D57" s="55">
        <f>SUMIFS('TB LTD 12.22'!G:G,'TB LTD 12.22'!I:I,$B57,'TB LTD 12.22'!J:J,$C57)</f>
        <v>2173718.69</v>
      </c>
      <c r="E57" s="55">
        <f>'AJE 2022'!G101</f>
        <v>0</v>
      </c>
      <c r="F57" s="55">
        <f>D57+E57</f>
        <v>2173718.69</v>
      </c>
      <c r="G57" s="55"/>
      <c r="H57" s="103"/>
      <c r="I57" s="55"/>
      <c r="J57" s="55">
        <f>SUMIFS('TB LTD 12.22'!F:F,'TB LTD 12.22'!I:I,$B57,'TB LTD 12.22'!J:J,$C57)</f>
        <v>7365857.9799999995</v>
      </c>
      <c r="K57" s="55">
        <f>'AJE 2022'!J101</f>
        <v>0</v>
      </c>
      <c r="L57" s="55">
        <f t="shared" ref="L57:L80" si="10">J57+K57</f>
        <v>7365857.9799999995</v>
      </c>
      <c r="M57" s="2"/>
      <c r="N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 outlineLevel="1">
      <c r="A58" s="105" t="s">
        <v>309</v>
      </c>
      <c r="B58" s="62" t="s">
        <v>149</v>
      </c>
      <c r="C58" s="320" t="s">
        <v>635</v>
      </c>
      <c r="D58" s="55">
        <f>SUMIFS('TB LTD 12.22'!G:G,'TB LTD 12.22'!I:I,$B58,'TB LTD 12.22'!J:J,$C58)</f>
        <v>115313.87</v>
      </c>
      <c r="E58" s="55"/>
      <c r="F58" s="55">
        <f t="shared" ref="F58:F71" si="11">D58+E58</f>
        <v>115313.87</v>
      </c>
      <c r="G58" s="55"/>
      <c r="H58" s="420"/>
      <c r="I58" s="55"/>
      <c r="J58" s="55">
        <f>SUMIFS('TB LTD 12.22'!F:F,'TB LTD 12.22'!I:I,$B58,'TB LTD 12.22'!J:J,$C58)</f>
        <v>370618.51</v>
      </c>
      <c r="K58" s="55"/>
      <c r="L58" s="55">
        <f t="shared" ref="L58:L71" si="12">J58+K58</f>
        <v>370618.51</v>
      </c>
      <c r="M58" s="2"/>
      <c r="N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 outlineLevel="1">
      <c r="A59" s="2" t="s">
        <v>312</v>
      </c>
      <c r="B59" s="62" t="s">
        <v>149</v>
      </c>
      <c r="C59" s="320" t="s">
        <v>156</v>
      </c>
      <c r="D59" s="55">
        <f>SUMIFS('TB LTD 12.22'!G:G,'TB LTD 12.22'!I:I,$B59,'TB LTD 12.22'!J:J,$C59)</f>
        <v>225249411.19</v>
      </c>
      <c r="E59" s="55"/>
      <c r="F59" s="55">
        <f t="shared" si="11"/>
        <v>225249411.19</v>
      </c>
      <c r="G59" s="55"/>
      <c r="H59" s="420"/>
      <c r="I59" s="55"/>
      <c r="J59" s="55">
        <f>SUMIFS('TB LTD 12.22'!F:F,'TB LTD 12.22'!I:I,$B59,'TB LTD 12.22'!J:J,$C59)</f>
        <v>759668120.21000004</v>
      </c>
      <c r="K59" s="55"/>
      <c r="L59" s="55">
        <f t="shared" si="12"/>
        <v>759668120.21000004</v>
      </c>
      <c r="M59" s="2"/>
      <c r="N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 outlineLevel="1">
      <c r="A60" s="2" t="s">
        <v>477</v>
      </c>
      <c r="B60" s="62" t="s">
        <v>149</v>
      </c>
      <c r="C60" s="320" t="s">
        <v>181</v>
      </c>
      <c r="D60" s="55">
        <f>SUMIFS('TB LTD 12.22'!G:G,'TB LTD 12.22'!I:I,$B60,'TB LTD 12.22'!J:J,$C60)</f>
        <v>1690366.06</v>
      </c>
      <c r="E60" s="55"/>
      <c r="F60" s="55">
        <f t="shared" si="11"/>
        <v>1690366.06</v>
      </c>
      <c r="G60" s="55"/>
      <c r="H60" s="420"/>
      <c r="I60" s="55"/>
      <c r="J60" s="55">
        <f>SUMIFS('TB LTD 12.22'!F:F,'TB LTD 12.22'!I:I,$B60,'TB LTD 12.22'!J:J,$C60)</f>
        <v>5731716.5399999991</v>
      </c>
      <c r="K60" s="55"/>
      <c r="L60" s="55">
        <f t="shared" si="12"/>
        <v>5731716.5399999991</v>
      </c>
      <c r="M60" s="2"/>
      <c r="N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 outlineLevel="1">
      <c r="A61" s="2" t="s">
        <v>477</v>
      </c>
      <c r="B61" s="62" t="s">
        <v>149</v>
      </c>
      <c r="C61" s="320" t="s">
        <v>230</v>
      </c>
      <c r="D61" s="55">
        <f>SUMIFS('TB LTD 12.22'!G:G,'TB LTD 12.22'!I:I,$B61,'TB LTD 12.22'!J:J,$C61)</f>
        <v>0</v>
      </c>
      <c r="E61" s="55"/>
      <c r="F61" s="55">
        <f t="shared" si="11"/>
        <v>0</v>
      </c>
      <c r="G61" s="55"/>
      <c r="H61" s="420"/>
      <c r="I61" s="55"/>
      <c r="J61" s="55">
        <f>SUMIFS('TB LTD 12.22'!F:F,'TB LTD 12.22'!I:I,$B61,'TB LTD 12.22'!J:J,$C61)</f>
        <v>0</v>
      </c>
      <c r="K61" s="55"/>
      <c r="L61" s="55">
        <f t="shared" si="12"/>
        <v>0</v>
      </c>
      <c r="M61" s="2"/>
      <c r="N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 outlineLevel="1">
      <c r="A62" s="2" t="s">
        <v>477</v>
      </c>
      <c r="B62" s="62" t="s">
        <v>149</v>
      </c>
      <c r="C62" s="320" t="s">
        <v>153</v>
      </c>
      <c r="D62" s="55">
        <f>SUMIFS('TB LTD 12.22'!G:G,'TB LTD 12.22'!I:I,$B62,'TB LTD 12.22'!J:J,$C62)</f>
        <v>1244785.8799999999</v>
      </c>
      <c r="E62" s="55"/>
      <c r="F62" s="55">
        <f t="shared" si="11"/>
        <v>1244785.8799999999</v>
      </c>
      <c r="G62" s="55"/>
      <c r="H62" s="420"/>
      <c r="I62" s="55"/>
      <c r="J62" s="55">
        <f>SUMIFS('TB LTD 12.22'!F:F,'TB LTD 12.22'!I:I,$B62,'TB LTD 12.22'!J:J,$C62)</f>
        <v>4178354.53</v>
      </c>
      <c r="K62" s="55"/>
      <c r="L62" s="55">
        <f t="shared" si="12"/>
        <v>4178354.53</v>
      </c>
      <c r="M62" s="2"/>
      <c r="N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 outlineLevel="1">
      <c r="A63" s="2" t="s">
        <v>311</v>
      </c>
      <c r="B63" s="62" t="s">
        <v>149</v>
      </c>
      <c r="C63" s="320" t="s">
        <v>172</v>
      </c>
      <c r="D63" s="55">
        <f>SUMIFS('TB LTD 12.22'!G:G,'TB LTD 12.22'!I:I,$B63,'TB LTD 12.22'!J:J,$C63)</f>
        <v>45317.04</v>
      </c>
      <c r="E63" s="55">
        <f>-'AJE 2022'!H39</f>
        <v>0</v>
      </c>
      <c r="F63" s="55">
        <f t="shared" si="11"/>
        <v>45317.04</v>
      </c>
      <c r="G63" s="55"/>
      <c r="H63" s="420"/>
      <c r="I63" s="55"/>
      <c r="J63" s="55">
        <f>SUMIFS('TB LTD 12.22'!F:F,'TB LTD 12.22'!I:I,$B63,'TB LTD 12.22'!J:J,$C63)</f>
        <v>145013.25</v>
      </c>
      <c r="K63" s="55">
        <f>-'AJE 2022'!K39</f>
        <v>0</v>
      </c>
      <c r="L63" s="55">
        <f t="shared" si="12"/>
        <v>145013.25</v>
      </c>
      <c r="M63" s="2"/>
      <c r="N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 outlineLevel="1">
      <c r="A64" s="105" t="s">
        <v>309</v>
      </c>
      <c r="B64" s="62" t="s">
        <v>149</v>
      </c>
      <c r="C64" s="320" t="s">
        <v>157</v>
      </c>
      <c r="D64" s="55">
        <f>SUMIFS('TB LTD 12.22'!G:G,'TB LTD 12.22'!I:I,$B64,'TB LTD 12.22'!J:J,$C64)</f>
        <v>236043.48</v>
      </c>
      <c r="E64" s="55"/>
      <c r="F64" s="55">
        <f t="shared" si="11"/>
        <v>236043.48</v>
      </c>
      <c r="G64" s="55"/>
      <c r="H64" s="420"/>
      <c r="I64" s="55"/>
      <c r="J64" s="55">
        <f>SUMIFS('TB LTD 12.22'!F:F,'TB LTD 12.22'!I:I,$B64,'TB LTD 12.22'!J:J,$C64)</f>
        <v>815217.65000000014</v>
      </c>
      <c r="K64" s="55"/>
      <c r="L64" s="55">
        <f t="shared" si="12"/>
        <v>815217.65000000014</v>
      </c>
      <c r="M64" s="2"/>
      <c r="N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 outlineLevel="1">
      <c r="A65" s="2" t="s">
        <v>385</v>
      </c>
      <c r="B65" s="62" t="s">
        <v>149</v>
      </c>
      <c r="C65" s="320" t="s">
        <v>385</v>
      </c>
      <c r="D65" s="55">
        <f>SUMIFS('TB LTD 12.22'!G:G,'TB LTD 12.22'!I:I,$B65,'TB LTD 12.22'!J:J,$C65)</f>
        <v>33124.83</v>
      </c>
      <c r="E65" s="55"/>
      <c r="F65" s="55">
        <f t="shared" si="11"/>
        <v>33124.83</v>
      </c>
      <c r="G65" s="55"/>
      <c r="H65" s="420"/>
      <c r="I65" s="55"/>
      <c r="J65" s="55">
        <f>SUMIFS('TB LTD 12.22'!F:F,'TB LTD 12.22'!I:I,$B65,'TB LTD 12.22'!J:J,$C65)</f>
        <v>107986.72</v>
      </c>
      <c r="K65" s="55"/>
      <c r="L65" s="55">
        <f t="shared" si="12"/>
        <v>107986.72</v>
      </c>
      <c r="M65" s="2"/>
      <c r="N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 outlineLevel="1">
      <c r="A66" s="105" t="s">
        <v>309</v>
      </c>
      <c r="B66" s="62" t="s">
        <v>149</v>
      </c>
      <c r="C66" s="320" t="s">
        <v>160</v>
      </c>
      <c r="D66" s="55">
        <f>SUMIFS('TB LTD 12.22'!G:G,'TB LTD 12.22'!I:I,$B66,'TB LTD 12.22'!J:J,$C66)</f>
        <v>1262.26</v>
      </c>
      <c r="E66" s="55"/>
      <c r="F66" s="55">
        <f t="shared" si="11"/>
        <v>1262.26</v>
      </c>
      <c r="G66" s="55"/>
      <c r="H66" s="420"/>
      <c r="I66" s="55"/>
      <c r="J66" s="55">
        <f>SUMIFS('TB LTD 12.22'!F:F,'TB LTD 12.22'!I:I,$B66,'TB LTD 12.22'!J:J,$C66)</f>
        <v>4182.8</v>
      </c>
      <c r="K66" s="55"/>
      <c r="L66" s="55">
        <f t="shared" si="12"/>
        <v>4182.8</v>
      </c>
      <c r="M66" s="2"/>
      <c r="N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 outlineLevel="1">
      <c r="A67" s="105" t="s">
        <v>309</v>
      </c>
      <c r="B67" s="62" t="s">
        <v>149</v>
      </c>
      <c r="C67" s="320" t="s">
        <v>647</v>
      </c>
      <c r="D67" s="55">
        <f>SUMIFS('TB LTD 12.22'!G:G,'TB LTD 12.22'!I:I,$B67,'TB LTD 12.22'!J:J,$C67)</f>
        <v>94035.67</v>
      </c>
      <c r="E67" s="55"/>
      <c r="F67" s="55">
        <f t="shared" si="11"/>
        <v>94035.67</v>
      </c>
      <c r="G67" s="55"/>
      <c r="H67" s="420"/>
      <c r="I67" s="55"/>
      <c r="J67" s="55">
        <f>SUMIFS('TB LTD 12.22'!F:F,'TB LTD 12.22'!I:I,$B67,'TB LTD 12.22'!J:J,$C67)</f>
        <v>317248.46000000002</v>
      </c>
      <c r="K67" s="55"/>
      <c r="L67" s="55">
        <f t="shared" si="12"/>
        <v>317248.46000000002</v>
      </c>
      <c r="M67" s="2"/>
      <c r="N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 outlineLevel="1">
      <c r="A68" s="105" t="s">
        <v>309</v>
      </c>
      <c r="B68" s="62" t="s">
        <v>149</v>
      </c>
      <c r="C68" s="320" t="s">
        <v>850</v>
      </c>
      <c r="D68" s="55">
        <f>SUMIFS('TB LTD 12.22'!G:G,'TB LTD 12.22'!I:I,$B68,'TB LTD 12.22'!J:J,$C68)</f>
        <v>0</v>
      </c>
      <c r="E68" s="55"/>
      <c r="F68" s="55">
        <f t="shared" si="11"/>
        <v>0</v>
      </c>
      <c r="G68" s="55"/>
      <c r="H68" s="420"/>
      <c r="I68" s="55"/>
      <c r="J68" s="55">
        <f>SUMIFS('TB LTD 12.22'!F:F,'TB LTD 12.22'!I:I,$B68,'TB LTD 12.22'!J:J,$C68)</f>
        <v>0</v>
      </c>
      <c r="K68" s="55"/>
      <c r="L68" s="55">
        <f t="shared" si="12"/>
        <v>0</v>
      </c>
      <c r="M68" s="2"/>
      <c r="N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 outlineLevel="1">
      <c r="A69" s="105" t="s">
        <v>309</v>
      </c>
      <c r="B69" s="62" t="s">
        <v>149</v>
      </c>
      <c r="C69" s="320" t="s">
        <v>645</v>
      </c>
      <c r="D69" s="55">
        <f>SUMIFS('TB LTD 12.22'!G:G,'TB LTD 12.22'!I:I,$B69,'TB LTD 12.22'!J:J,$C69)</f>
        <v>17764</v>
      </c>
      <c r="E69" s="55"/>
      <c r="F69" s="55">
        <f t="shared" si="11"/>
        <v>17764</v>
      </c>
      <c r="G69" s="55"/>
      <c r="H69" s="420"/>
      <c r="I69" s="55"/>
      <c r="J69" s="55">
        <f>SUMIFS('TB LTD 12.22'!F:F,'TB LTD 12.22'!I:I,$B69,'TB LTD 12.22'!J:J,$C69)</f>
        <v>59157.19</v>
      </c>
      <c r="K69" s="55"/>
      <c r="L69" s="55">
        <f t="shared" si="12"/>
        <v>59157.19</v>
      </c>
      <c r="M69" s="2"/>
      <c r="N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 outlineLevel="1">
      <c r="A70" s="105" t="s">
        <v>309</v>
      </c>
      <c r="B70" s="62" t="s">
        <v>149</v>
      </c>
      <c r="C70" s="320" t="s">
        <v>643</v>
      </c>
      <c r="D70" s="55">
        <f>SUMIFS('TB LTD 12.22'!G:G,'TB LTD 12.22'!I:I,$B70,'TB LTD 12.22'!J:J,$C70)</f>
        <v>106943.14</v>
      </c>
      <c r="E70" s="55"/>
      <c r="F70" s="55">
        <f t="shared" si="11"/>
        <v>106943.14</v>
      </c>
      <c r="G70" s="55"/>
      <c r="H70" s="420"/>
      <c r="I70" s="55"/>
      <c r="J70" s="55">
        <f>SUMIFS('TB LTD 12.22'!F:F,'TB LTD 12.22'!I:I,$B70,'TB LTD 12.22'!J:J,$C70)</f>
        <v>360812.2</v>
      </c>
      <c r="K70" s="55"/>
      <c r="L70" s="55">
        <f t="shared" si="12"/>
        <v>360812.2</v>
      </c>
      <c r="M70" s="2"/>
      <c r="N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 outlineLevel="1">
      <c r="A71" s="105" t="s">
        <v>309</v>
      </c>
      <c r="B71" s="62" t="s">
        <v>149</v>
      </c>
      <c r="C71" s="320" t="s">
        <v>161</v>
      </c>
      <c r="D71" s="55">
        <f>SUMIFS('TB LTD 12.22'!G:G,'TB LTD 12.22'!I:I,$B71,'TB LTD 12.22'!J:J,$C71)</f>
        <v>3325.12</v>
      </c>
      <c r="E71" s="55"/>
      <c r="F71" s="55">
        <f t="shared" si="11"/>
        <v>3325.12</v>
      </c>
      <c r="G71" s="55"/>
      <c r="H71" s="420"/>
      <c r="I71" s="55"/>
      <c r="J71" s="55">
        <f>SUMIFS('TB LTD 12.22'!F:F,'TB LTD 12.22'!I:I,$B71,'TB LTD 12.22'!J:J,$C71)</f>
        <v>12110.43</v>
      </c>
      <c r="K71" s="55"/>
      <c r="L71" s="55">
        <f t="shared" si="12"/>
        <v>12110.43</v>
      </c>
      <c r="M71" s="2"/>
      <c r="N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 outlineLevel="1">
      <c r="A72" s="105" t="s">
        <v>309</v>
      </c>
      <c r="B72" s="62" t="s">
        <v>149</v>
      </c>
      <c r="C72" s="320" t="s">
        <v>650</v>
      </c>
      <c r="D72" s="55">
        <f>SUMIFS('TB LTD 12.22'!G:G,'TB LTD 12.22'!I:I,$B72,'TB LTD 12.22'!J:J,$C72)</f>
        <v>0</v>
      </c>
      <c r="E72" s="55"/>
      <c r="F72" s="55">
        <f t="shared" ref="F72:F80" si="13">D72+E72</f>
        <v>0</v>
      </c>
      <c r="G72" s="55"/>
      <c r="H72" s="103"/>
      <c r="I72" s="55"/>
      <c r="J72" s="55">
        <f>SUMIFS('TB LTD 12.22'!F:F,'TB LTD 12.22'!I:I,$B72,'TB LTD 12.22'!J:J,$C72)</f>
        <v>0</v>
      </c>
      <c r="K72" s="55"/>
      <c r="L72" s="55">
        <f t="shared" si="10"/>
        <v>0</v>
      </c>
      <c r="M72" s="2"/>
      <c r="N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 outlineLevel="1">
      <c r="A73" s="105" t="s">
        <v>309</v>
      </c>
      <c r="B73" s="62" t="s">
        <v>149</v>
      </c>
      <c r="C73" s="43" t="s">
        <v>1257</v>
      </c>
      <c r="D73" s="55">
        <f>SUMIFS('TB LTD 12.22'!G:G,'TB LTD 12.22'!I:I,$B73,'TB LTD 12.22'!J:J,$C73)</f>
        <v>6569.35</v>
      </c>
      <c r="E73" s="55"/>
      <c r="F73" s="55">
        <f t="shared" si="13"/>
        <v>6569.35</v>
      </c>
      <c r="G73" s="55"/>
      <c r="H73" s="103"/>
      <c r="I73" s="55"/>
      <c r="J73" s="55">
        <f>SUMIFS('TB LTD 12.22'!F:F,'TB LTD 12.22'!I:I,$B73,'TB LTD 12.22'!J:J,$C73)</f>
        <v>22728.95</v>
      </c>
      <c r="K73" s="55"/>
      <c r="L73" s="55">
        <f t="shared" si="10"/>
        <v>22728.95</v>
      </c>
      <c r="M73" s="2"/>
      <c r="N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>
      <c r="A74" s="105" t="s">
        <v>309</v>
      </c>
      <c r="B74" s="62" t="s">
        <v>149</v>
      </c>
      <c r="C74" s="43" t="s">
        <v>998</v>
      </c>
      <c r="D74" s="55">
        <f>SUMIFS('TB LTD 12.22'!G:G,'TB LTD 12.22'!I:I,$B74,'TB LTD 12.22'!J:J,$C74)</f>
        <v>1970.5500000000002</v>
      </c>
      <c r="E74" s="55"/>
      <c r="F74" s="55">
        <f t="shared" si="13"/>
        <v>1970.5500000000002</v>
      </c>
      <c r="G74" s="55"/>
      <c r="H74" s="103"/>
      <c r="I74" s="55"/>
      <c r="J74" s="55">
        <f>SUMIFS('TB LTD 12.22'!F:F,'TB LTD 12.22'!I:I,$B74,'TB LTD 12.22'!J:J,$C74)</f>
        <v>6763.54</v>
      </c>
      <c r="K74" s="55"/>
      <c r="L74" s="55">
        <f t="shared" si="10"/>
        <v>6763.54</v>
      </c>
      <c r="M74" s="2"/>
      <c r="N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 outlineLevel="1">
      <c r="A75" s="105" t="s">
        <v>309</v>
      </c>
      <c r="B75" s="62" t="s">
        <v>149</v>
      </c>
      <c r="C75" s="43" t="s">
        <v>652</v>
      </c>
      <c r="D75" s="55">
        <f>SUMIFS('TB LTD 12.22'!G:G,'TB LTD 12.22'!I:I,$B75,'TB LTD 12.22'!J:J,$C75)</f>
        <v>0</v>
      </c>
      <c r="E75" s="55"/>
      <c r="F75" s="55">
        <f t="shared" si="13"/>
        <v>0</v>
      </c>
      <c r="G75" s="55"/>
      <c r="H75" s="103"/>
      <c r="I75" s="55"/>
      <c r="J75" s="55">
        <f>SUMIFS('TB LTD 12.22'!F:F,'TB LTD 12.22'!I:I,$B75,'TB LTD 12.22'!J:J,$C75)</f>
        <v>0</v>
      </c>
      <c r="K75" s="55"/>
      <c r="L75" s="55">
        <f t="shared" si="10"/>
        <v>0</v>
      </c>
      <c r="M75" s="2"/>
      <c r="N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 outlineLevel="1">
      <c r="A76" s="105" t="s">
        <v>309</v>
      </c>
      <c r="B76" s="62" t="s">
        <v>149</v>
      </c>
      <c r="C76" s="43" t="s">
        <v>159</v>
      </c>
      <c r="D76" s="55">
        <f>SUMIFS('TB LTD 12.22'!G:G,'TB LTD 12.22'!I:I,$B76,'TB LTD 12.22'!J:J,$C76)</f>
        <v>6291.36</v>
      </c>
      <c r="E76" s="55"/>
      <c r="F76" s="55">
        <f t="shared" si="13"/>
        <v>6291.36</v>
      </c>
      <c r="G76" s="55"/>
      <c r="H76" s="103"/>
      <c r="I76" s="55"/>
      <c r="J76" s="55">
        <f>SUMIFS('TB LTD 12.22'!F:F,'TB LTD 12.22'!I:I,$B76,'TB LTD 12.22'!J:J,$C76)</f>
        <v>20451.88</v>
      </c>
      <c r="K76" s="55"/>
      <c r="L76" s="55">
        <f t="shared" si="10"/>
        <v>20451.88</v>
      </c>
      <c r="M76" s="2"/>
      <c r="N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 outlineLevel="1">
      <c r="A77" s="105" t="s">
        <v>309</v>
      </c>
      <c r="B77" s="62" t="s">
        <v>149</v>
      </c>
      <c r="C77" s="43" t="s">
        <v>162</v>
      </c>
      <c r="D77" s="55">
        <f>SUMIFS('TB LTD 12.22'!G:G,'TB LTD 12.22'!I:I,$B77,'TB LTD 12.22'!J:J,$C77)</f>
        <v>12125.93</v>
      </c>
      <c r="E77" s="55"/>
      <c r="F77" s="55">
        <f t="shared" si="13"/>
        <v>12125.93</v>
      </c>
      <c r="G77" s="55"/>
      <c r="H77" s="103"/>
      <c r="I77" s="55"/>
      <c r="J77" s="55">
        <f>SUMIFS('TB LTD 12.22'!F:F,'TB LTD 12.22'!I:I,$B77,'TB LTD 12.22'!J:J,$C77)</f>
        <v>39988.5</v>
      </c>
      <c r="K77" s="55"/>
      <c r="L77" s="55">
        <f t="shared" si="10"/>
        <v>39988.5</v>
      </c>
      <c r="M77" s="2"/>
      <c r="N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 outlineLevel="1">
      <c r="A78" s="105" t="s">
        <v>309</v>
      </c>
      <c r="B78" s="62" t="s">
        <v>149</v>
      </c>
      <c r="C78" s="43" t="s">
        <v>1133</v>
      </c>
      <c r="D78" s="55">
        <f>SUMIFS('TB LTD 12.22'!G:G,'TB LTD 12.22'!I:I,$B78,'TB LTD 12.22'!J:J,$C78)</f>
        <v>243.81</v>
      </c>
      <c r="E78" s="55"/>
      <c r="F78" s="55">
        <f t="shared" si="13"/>
        <v>243.81</v>
      </c>
      <c r="G78" s="55"/>
      <c r="H78" s="103"/>
      <c r="I78" s="55"/>
      <c r="J78" s="55">
        <f>SUMIFS('TB LTD 12.22'!F:F,'TB LTD 12.22'!I:I,$B78,'TB LTD 12.22'!J:J,$C78)</f>
        <v>836.48</v>
      </c>
      <c r="K78" s="55"/>
      <c r="L78" s="55">
        <f t="shared" si="10"/>
        <v>836.48</v>
      </c>
      <c r="M78" s="2"/>
      <c r="N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>
      <c r="A79" s="105" t="s">
        <v>309</v>
      </c>
      <c r="B79" s="62" t="s">
        <v>149</v>
      </c>
      <c r="C79" s="43" t="s">
        <v>229</v>
      </c>
      <c r="D79" s="55">
        <f>SUMIFS('TB LTD 12.22'!G:G,'TB LTD 12.22'!I:I,$B79,'TB LTD 12.22'!J:J,$C79)</f>
        <v>21808.15</v>
      </c>
      <c r="E79" s="55"/>
      <c r="F79" s="55">
        <f t="shared" si="13"/>
        <v>21808.15</v>
      </c>
      <c r="G79" s="55"/>
      <c r="H79" s="103"/>
      <c r="I79" s="55"/>
      <c r="J79" s="55">
        <f>SUMIFS('TB LTD 12.22'!F:F,'TB LTD 12.22'!I:I,$B79,'TB LTD 12.22'!J:J,$C79)</f>
        <v>75149.429999999993</v>
      </c>
      <c r="K79" s="55"/>
      <c r="L79" s="55">
        <f t="shared" si="10"/>
        <v>75149.429999999993</v>
      </c>
      <c r="M79" s="2"/>
      <c r="N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>
      <c r="A80" s="2"/>
      <c r="B80" s="62" t="s">
        <v>149</v>
      </c>
      <c r="C80" s="43" t="s">
        <v>183</v>
      </c>
      <c r="D80" s="55">
        <f>SUMIFS('TB LTD 12.22'!G:G,'TB LTD 12.22'!I:I,$B80,'TB LTD 12.22'!J:J,$C80)</f>
        <v>24957328.310000002</v>
      </c>
      <c r="E80" s="55"/>
      <c r="F80" s="55">
        <f t="shared" si="13"/>
        <v>24957328.310000002</v>
      </c>
      <c r="G80" s="55"/>
      <c r="H80" s="103"/>
      <c r="I80" s="55"/>
      <c r="J80" s="55">
        <f>SUMIFS('TB LTD 12.22'!F:F,'TB LTD 12.22'!I:I,$B80,'TB LTD 12.22'!J:J,$C80)</f>
        <v>83833545.239999995</v>
      </c>
      <c r="K80" s="55"/>
      <c r="L80" s="55">
        <f t="shared" si="10"/>
        <v>83833545.239999995</v>
      </c>
      <c r="M80" s="2"/>
      <c r="N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2"/>
      <c r="B81" s="62"/>
      <c r="C81" s="43"/>
      <c r="D81" s="55"/>
      <c r="E81" s="55"/>
      <c r="F81" s="55"/>
      <c r="G81" s="55"/>
      <c r="H81" s="103"/>
      <c r="I81" s="55"/>
      <c r="J81" s="55"/>
      <c r="K81" s="55"/>
      <c r="L81" s="55"/>
      <c r="M81" s="2"/>
      <c r="N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2"/>
      <c r="B82" s="1"/>
      <c r="C82" s="62" t="s">
        <v>152</v>
      </c>
      <c r="D82" s="61">
        <f>SUM(D83:D107)</f>
        <v>8244728.4100000011</v>
      </c>
      <c r="E82" s="61">
        <f>SUM(E83:E107)</f>
        <v>0</v>
      </c>
      <c r="F82" s="61">
        <f>SUM(F83:F107)</f>
        <v>8244728.4100000011</v>
      </c>
      <c r="G82" s="55"/>
      <c r="H82" s="104"/>
      <c r="I82" s="61"/>
      <c r="J82" s="61">
        <f>SUM(J83:J107)</f>
        <v>28231934.880000003</v>
      </c>
      <c r="K82" s="61">
        <f>SUM(K83:K107)</f>
        <v>0</v>
      </c>
      <c r="L82" s="61">
        <f>SUM(L83:L107)</f>
        <v>28231934.880000003</v>
      </c>
      <c r="M82" s="2"/>
      <c r="N82" s="54">
        <f>L82/1000</f>
        <v>28231.934880000004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 outlineLevel="1">
      <c r="A83" s="2" t="s">
        <v>310</v>
      </c>
      <c r="B83" s="62" t="s">
        <v>152</v>
      </c>
      <c r="C83" s="43" t="s">
        <v>148</v>
      </c>
      <c r="D83" s="55">
        <f>SUMIFS('TB LTD 12.22'!G:G,'TB LTD 12.22'!I:I,$B83,'TB LTD 12.22'!J:J,$C83)</f>
        <v>3113324.45</v>
      </c>
      <c r="E83" s="55">
        <f>-'AJE 2022'!G97</f>
        <v>0</v>
      </c>
      <c r="F83" s="55">
        <f t="shared" ref="F83:F106" si="14">D83+E83</f>
        <v>3113324.45</v>
      </c>
      <c r="G83" s="55"/>
      <c r="H83" s="103"/>
      <c r="I83" s="55"/>
      <c r="J83" s="55">
        <f>SUMIFS('TB LTD 12.22'!F:F,'TB LTD 12.22'!I:I,$B83,'TB LTD 12.22'!J:J,$C83)</f>
        <v>10615546.249999998</v>
      </c>
      <c r="K83" s="55">
        <f>-'AJE 2022'!J97</f>
        <v>0</v>
      </c>
      <c r="L83" s="55">
        <f t="shared" ref="L83:L106" si="15">J83+K83</f>
        <v>10615546.249999998</v>
      </c>
      <c r="M83" s="2"/>
      <c r="N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 outlineLevel="1">
      <c r="A84" s="105" t="s">
        <v>309</v>
      </c>
      <c r="B84" s="62" t="s">
        <v>152</v>
      </c>
      <c r="C84" s="43" t="s">
        <v>635</v>
      </c>
      <c r="D84" s="55">
        <f>SUMIFS('TB LTD 12.22'!G:G,'TB LTD 12.22'!I:I,$B84,'TB LTD 12.22'!J:J,$C84)</f>
        <v>1393307.4100000001</v>
      </c>
      <c r="E84" s="55"/>
      <c r="F84" s="55">
        <f t="shared" ref="F84:F86" si="16">D84+E84</f>
        <v>1393307.4100000001</v>
      </c>
      <c r="G84" s="55"/>
      <c r="H84" s="420"/>
      <c r="I84" s="55"/>
      <c r="J84" s="55">
        <f>SUMIFS('TB LTD 12.22'!F:F,'TB LTD 12.22'!I:I,$B84,'TB LTD 12.22'!J:J,$C84)</f>
        <v>4792776.6500000004</v>
      </c>
      <c r="K84" s="55"/>
      <c r="L84" s="55">
        <f t="shared" ref="L84:L86" si="17">J84+K84</f>
        <v>4792776.6500000004</v>
      </c>
      <c r="M84" s="2"/>
      <c r="N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 outlineLevel="1">
      <c r="A85" s="105" t="s">
        <v>309</v>
      </c>
      <c r="B85" s="62" t="s">
        <v>152</v>
      </c>
      <c r="C85" s="43" t="s">
        <v>153</v>
      </c>
      <c r="D85" s="55">
        <f>SUMIFS('TB LTD 12.22'!G:G,'TB LTD 12.22'!I:I,$B85,'TB LTD 12.22'!J:J,$C85)</f>
        <v>50814.44</v>
      </c>
      <c r="E85" s="55"/>
      <c r="F85" s="55">
        <f t="shared" si="16"/>
        <v>50814.44</v>
      </c>
      <c r="G85" s="55"/>
      <c r="H85" s="420"/>
      <c r="I85" s="55"/>
      <c r="J85" s="55">
        <f>SUMIFS('TB LTD 12.22'!F:F,'TB LTD 12.22'!I:I,$B85,'TB LTD 12.22'!J:J,$C85)</f>
        <v>174686.63</v>
      </c>
      <c r="K85" s="55"/>
      <c r="L85" s="55">
        <f t="shared" si="17"/>
        <v>174686.63</v>
      </c>
      <c r="M85" s="2"/>
      <c r="N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 outlineLevel="1">
      <c r="A86" s="2" t="s">
        <v>311</v>
      </c>
      <c r="B86" s="62" t="s">
        <v>152</v>
      </c>
      <c r="C86" s="43" t="s">
        <v>172</v>
      </c>
      <c r="D86" s="55">
        <f>SUMIFS('TB LTD 12.22'!G:G,'TB LTD 12.22'!I:I,$B86,'TB LTD 12.22'!J:J,$C86)</f>
        <v>158535.01</v>
      </c>
      <c r="E86" s="55">
        <f>'AJE 2022'!G36</f>
        <v>0</v>
      </c>
      <c r="F86" s="55">
        <f t="shared" si="16"/>
        <v>158535.01</v>
      </c>
      <c r="G86" s="55"/>
      <c r="H86" s="420"/>
      <c r="I86" s="55"/>
      <c r="J86" s="55">
        <f>SUMIFS('TB LTD 12.22'!F:F,'TB LTD 12.22'!I:I,$B86,'TB LTD 12.22'!J:J,$C86)</f>
        <v>528868.75</v>
      </c>
      <c r="K86" s="55">
        <f>'AJE 2022'!J36</f>
        <v>0</v>
      </c>
      <c r="L86" s="55">
        <f t="shared" si="17"/>
        <v>528868.75</v>
      </c>
      <c r="M86" s="2"/>
      <c r="N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 outlineLevel="1">
      <c r="A87" s="105" t="s">
        <v>309</v>
      </c>
      <c r="B87" s="62" t="s">
        <v>152</v>
      </c>
      <c r="C87" s="43" t="s">
        <v>157</v>
      </c>
      <c r="D87" s="55">
        <f>SUMIFS('TB LTD 12.22'!G:G,'TB LTD 12.22'!I:I,$B87,'TB LTD 12.22'!J:J,$C87)</f>
        <v>174471.07</v>
      </c>
      <c r="E87" s="55">
        <f>-'AJE 2022'!H80</f>
        <v>0</v>
      </c>
      <c r="F87" s="55">
        <f t="shared" si="14"/>
        <v>174471.07</v>
      </c>
      <c r="G87" s="55"/>
      <c r="H87" s="103"/>
      <c r="I87" s="55"/>
      <c r="J87" s="55">
        <f>SUMIFS('TB LTD 12.22'!F:F,'TB LTD 12.22'!I:I,$B87,'TB LTD 12.22'!J:J,$C87)</f>
        <v>675328.11</v>
      </c>
      <c r="K87" s="55">
        <f>-'AJE 2022'!K80</f>
        <v>0</v>
      </c>
      <c r="L87" s="55">
        <f t="shared" si="15"/>
        <v>675328.11</v>
      </c>
      <c r="M87" s="2"/>
      <c r="N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 outlineLevel="1">
      <c r="A88" s="105" t="s">
        <v>385</v>
      </c>
      <c r="B88" s="62" t="s">
        <v>152</v>
      </c>
      <c r="C88" s="43" t="s">
        <v>385</v>
      </c>
      <c r="D88" s="55">
        <f>SUMIFS('TB LTD 12.22'!G:G,'TB LTD 12.22'!I:I,$B88,'TB LTD 12.22'!J:J,$C88)</f>
        <v>30171.52</v>
      </c>
      <c r="E88" s="55"/>
      <c r="F88" s="55">
        <f t="shared" si="14"/>
        <v>30171.52</v>
      </c>
      <c r="G88" s="55"/>
      <c r="H88" s="103"/>
      <c r="I88" s="55"/>
      <c r="J88" s="55">
        <f>SUMIFS('TB LTD 12.22'!F:F,'TB LTD 12.22'!I:I,$B88,'TB LTD 12.22'!J:J,$C88)</f>
        <v>98394.26</v>
      </c>
      <c r="K88" s="55"/>
      <c r="L88" s="55">
        <f t="shared" si="15"/>
        <v>98394.26</v>
      </c>
      <c r="M88" s="2"/>
      <c r="N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 outlineLevel="1">
      <c r="A89" s="105" t="s">
        <v>309</v>
      </c>
      <c r="B89" s="62" t="s">
        <v>152</v>
      </c>
      <c r="C89" s="43" t="s">
        <v>160</v>
      </c>
      <c r="D89" s="55">
        <f>SUMIFS('TB LTD 12.22'!G:G,'TB LTD 12.22'!I:I,$B89,'TB LTD 12.22'!J:J,$C89)</f>
        <v>20969.419999999998</v>
      </c>
      <c r="E89" s="55"/>
      <c r="F89" s="55">
        <f t="shared" si="14"/>
        <v>20969.419999999998</v>
      </c>
      <c r="G89" s="55"/>
      <c r="H89" s="103"/>
      <c r="I89" s="55"/>
      <c r="J89" s="55">
        <f>SUMIFS('TB LTD 12.22'!F:F,'TB LTD 12.22'!I:I,$B89,'TB LTD 12.22'!J:J,$C89)</f>
        <v>71129.97</v>
      </c>
      <c r="K89" s="55"/>
      <c r="L89" s="55">
        <f t="shared" si="15"/>
        <v>71129.97</v>
      </c>
      <c r="M89" s="2"/>
      <c r="N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 outlineLevel="1">
      <c r="A90" s="105" t="s">
        <v>309</v>
      </c>
      <c r="B90" s="62" t="s">
        <v>152</v>
      </c>
      <c r="C90" s="43" t="s">
        <v>647</v>
      </c>
      <c r="D90" s="55">
        <f>SUMIFS('TB LTD 12.22'!G:G,'TB LTD 12.22'!I:I,$B90,'TB LTD 12.22'!J:J,$C90)</f>
        <v>99716.29</v>
      </c>
      <c r="E90" s="55"/>
      <c r="F90" s="55">
        <f t="shared" si="14"/>
        <v>99716.29</v>
      </c>
      <c r="G90" s="55"/>
      <c r="H90" s="103"/>
      <c r="I90" s="55"/>
      <c r="J90" s="55">
        <f>SUMIFS('TB LTD 12.22'!F:F,'TB LTD 12.22'!I:I,$B90,'TB LTD 12.22'!J:J,$C90)</f>
        <v>337073.24</v>
      </c>
      <c r="K90" s="55"/>
      <c r="L90" s="55">
        <f t="shared" si="15"/>
        <v>337073.24</v>
      </c>
      <c r="M90" s="2"/>
      <c r="N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 outlineLevel="1">
      <c r="A91" s="105" t="s">
        <v>309</v>
      </c>
      <c r="B91" s="62" t="s">
        <v>152</v>
      </c>
      <c r="C91" s="43" t="s">
        <v>645</v>
      </c>
      <c r="D91" s="55">
        <f>SUMIFS('TB LTD 12.22'!G:G,'TB LTD 12.22'!I:I,$B91,'TB LTD 12.22'!J:J,$C91)</f>
        <v>21579.97</v>
      </c>
      <c r="E91" s="55"/>
      <c r="F91" s="55">
        <f t="shared" si="14"/>
        <v>21579.97</v>
      </c>
      <c r="G91" s="55"/>
      <c r="H91" s="103"/>
      <c r="I91" s="55"/>
      <c r="J91" s="55">
        <f>SUMIFS('TB LTD 12.22'!F:F,'TB LTD 12.22'!I:I,$B91,'TB LTD 12.22'!J:J,$C91)</f>
        <v>73077.03</v>
      </c>
      <c r="K91" s="55"/>
      <c r="L91" s="55">
        <f t="shared" si="15"/>
        <v>73077.03</v>
      </c>
      <c r="M91" s="2"/>
      <c r="N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 outlineLevel="1">
      <c r="A92" s="105" t="s">
        <v>309</v>
      </c>
      <c r="B92" s="62" t="s">
        <v>152</v>
      </c>
      <c r="C92" s="43" t="s">
        <v>853</v>
      </c>
      <c r="D92" s="55">
        <f>SUMIFS('TB LTD 12.22'!G:G,'TB LTD 12.22'!I:I,$B92,'TB LTD 12.22'!J:J,$C92)</f>
        <v>100410.54</v>
      </c>
      <c r="E92" s="55"/>
      <c r="F92" s="55">
        <f t="shared" si="14"/>
        <v>100410.54</v>
      </c>
      <c r="G92" s="55"/>
      <c r="H92" s="103"/>
      <c r="I92" s="55"/>
      <c r="J92" s="55">
        <f>SUMIFS('TB LTD 12.22'!F:F,'TB LTD 12.22'!I:I,$B92,'TB LTD 12.22'!J:J,$C92)</f>
        <v>338802.02</v>
      </c>
      <c r="K92" s="55"/>
      <c r="L92" s="55">
        <f t="shared" si="15"/>
        <v>338802.02</v>
      </c>
      <c r="M92" s="2"/>
      <c r="N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 outlineLevel="1">
      <c r="A93" s="105" t="s">
        <v>309</v>
      </c>
      <c r="B93" s="62" t="s">
        <v>152</v>
      </c>
      <c r="C93" s="43" t="s">
        <v>161</v>
      </c>
      <c r="D93" s="55">
        <f>SUMIFS('TB LTD 12.22'!G:G,'TB LTD 12.22'!I:I,$B93,'TB LTD 12.22'!J:J,$C93)</f>
        <v>5488.36</v>
      </c>
      <c r="E93" s="55"/>
      <c r="F93" s="55">
        <f t="shared" si="14"/>
        <v>5488.36</v>
      </c>
      <c r="G93" s="55"/>
      <c r="H93" s="103"/>
      <c r="I93" s="55"/>
      <c r="J93" s="55">
        <f>SUMIFS('TB LTD 12.22'!F:F,'TB LTD 12.22'!I:I,$B93,'TB LTD 12.22'!J:J,$C93)</f>
        <v>18652.97</v>
      </c>
      <c r="K93" s="55"/>
      <c r="L93" s="55">
        <f t="shared" si="15"/>
        <v>18652.97</v>
      </c>
      <c r="M93" s="2"/>
      <c r="N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 outlineLevel="1">
      <c r="A94" s="105" t="s">
        <v>309</v>
      </c>
      <c r="B94" s="62" t="s">
        <v>152</v>
      </c>
      <c r="C94" s="43" t="s">
        <v>650</v>
      </c>
      <c r="D94" s="55">
        <f>SUMIFS('TB LTD 12.22'!G:G,'TB LTD 12.22'!I:I,$B94,'TB LTD 12.22'!J:J,$C94)</f>
        <v>359315.87</v>
      </c>
      <c r="E94" s="55"/>
      <c r="F94" s="55">
        <f t="shared" si="14"/>
        <v>359315.87</v>
      </c>
      <c r="G94" s="55"/>
      <c r="H94" s="103"/>
      <c r="I94" s="55"/>
      <c r="J94" s="55">
        <f>SUMIFS('TB LTD 12.22'!F:F,'TB LTD 12.22'!I:I,$B94,'TB LTD 12.22'!J:J,$C94)</f>
        <v>1208109.6000000001</v>
      </c>
      <c r="K94" s="55"/>
      <c r="L94" s="55">
        <f t="shared" si="15"/>
        <v>1208109.6000000001</v>
      </c>
      <c r="M94" s="2"/>
      <c r="N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 outlineLevel="1">
      <c r="A95" s="105" t="s">
        <v>309</v>
      </c>
      <c r="B95" s="62" t="s">
        <v>152</v>
      </c>
      <c r="C95" s="43" t="s">
        <v>652</v>
      </c>
      <c r="D95" s="55">
        <f>SUMIFS('TB LTD 12.22'!G:G,'TB LTD 12.22'!I:I,$B95,'TB LTD 12.22'!J:J,$C95)</f>
        <v>0</v>
      </c>
      <c r="E95" s="55"/>
      <c r="F95" s="55">
        <f t="shared" si="14"/>
        <v>0</v>
      </c>
      <c r="G95" s="55"/>
      <c r="H95" s="103"/>
      <c r="I95" s="55"/>
      <c r="J95" s="55">
        <f>SUMIFS('TB LTD 12.22'!F:F,'TB LTD 12.22'!I:I,$B95,'TB LTD 12.22'!J:J,$C95)</f>
        <v>0</v>
      </c>
      <c r="K95" s="55"/>
      <c r="L95" s="55">
        <f t="shared" si="15"/>
        <v>0</v>
      </c>
      <c r="M95" s="2"/>
      <c r="N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 outlineLevel="1">
      <c r="A96" s="105" t="s">
        <v>309</v>
      </c>
      <c r="B96" s="62" t="s">
        <v>152</v>
      </c>
      <c r="C96" s="43" t="s">
        <v>850</v>
      </c>
      <c r="D96" s="55">
        <f>SUMIFS('TB LTD 12.22'!G:G,'TB LTD 12.22'!I:I,$B96,'TB LTD 12.22'!J:J,$C96)</f>
        <v>65698.040000000008</v>
      </c>
      <c r="E96" s="55"/>
      <c r="F96" s="55">
        <f t="shared" si="14"/>
        <v>65698.040000000008</v>
      </c>
      <c r="G96" s="55"/>
      <c r="H96" s="103"/>
      <c r="I96" s="55"/>
      <c r="J96" s="55">
        <f>SUMIFS('TB LTD 12.22'!F:F,'TB LTD 12.22'!I:I,$B96,'TB LTD 12.22'!J:J,$C96)</f>
        <v>224892.89</v>
      </c>
      <c r="K96" s="55"/>
      <c r="L96" s="55">
        <f t="shared" si="15"/>
        <v>224892.89</v>
      </c>
      <c r="M96" s="2"/>
      <c r="N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 outlineLevel="1">
      <c r="A97" s="105" t="s">
        <v>309</v>
      </c>
      <c r="B97" s="62" t="s">
        <v>152</v>
      </c>
      <c r="C97" s="43" t="s">
        <v>159</v>
      </c>
      <c r="D97" s="55">
        <f>SUMIFS('TB LTD 12.22'!G:G,'TB LTD 12.22'!I:I,$B97,'TB LTD 12.22'!J:J,$C97)</f>
        <v>167873.21000000002</v>
      </c>
      <c r="E97" s="55"/>
      <c r="F97" s="55">
        <f t="shared" si="14"/>
        <v>167873.21000000002</v>
      </c>
      <c r="G97" s="55"/>
      <c r="H97" s="103"/>
      <c r="I97" s="55"/>
      <c r="J97" s="55">
        <f>SUMIFS('TB LTD 12.22'!F:F,'TB LTD 12.22'!I:I,$B97,'TB LTD 12.22'!J:J,$C97)</f>
        <v>537325.07000000007</v>
      </c>
      <c r="K97" s="55"/>
      <c r="L97" s="55">
        <f t="shared" si="15"/>
        <v>537325.07000000007</v>
      </c>
      <c r="M97" s="2"/>
      <c r="N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 outlineLevel="1">
      <c r="A98" s="105" t="s">
        <v>309</v>
      </c>
      <c r="B98" s="62" t="s">
        <v>152</v>
      </c>
      <c r="C98" s="43" t="s">
        <v>162</v>
      </c>
      <c r="D98" s="55">
        <f>SUMIFS('TB LTD 12.22'!G:G,'TB LTD 12.22'!I:I,$B98,'TB LTD 12.22'!J:J,$C98)</f>
        <v>2198.83</v>
      </c>
      <c r="E98" s="55"/>
      <c r="F98" s="55">
        <f t="shared" si="14"/>
        <v>2198.83</v>
      </c>
      <c r="G98" s="55"/>
      <c r="H98" s="103"/>
      <c r="I98" s="55"/>
      <c r="J98" s="55">
        <f>SUMIFS('TB LTD 12.22'!F:F,'TB LTD 12.22'!I:I,$B98,'TB LTD 12.22'!J:J,$C98)</f>
        <v>7488.5</v>
      </c>
      <c r="K98" s="55"/>
      <c r="L98" s="55">
        <f t="shared" si="15"/>
        <v>7488.5</v>
      </c>
      <c r="M98" s="2"/>
      <c r="N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 outlineLevel="1">
      <c r="A99" s="105" t="s">
        <v>309</v>
      </c>
      <c r="B99" s="62" t="s">
        <v>152</v>
      </c>
      <c r="C99" s="43" t="s">
        <v>1257</v>
      </c>
      <c r="D99" s="55">
        <f>SUMIFS('TB LTD 12.22'!G:G,'TB LTD 12.22'!I:I,$B99,'TB LTD 12.22'!J:J,$C99)</f>
        <v>6569.36</v>
      </c>
      <c r="E99" s="55"/>
      <c r="F99" s="55">
        <f t="shared" si="14"/>
        <v>6569.36</v>
      </c>
      <c r="G99" s="55"/>
      <c r="H99" s="103"/>
      <c r="I99" s="55"/>
      <c r="J99" s="55">
        <f>SUMIFS('TB LTD 12.22'!F:F,'TB LTD 12.22'!I:I,$B99,'TB LTD 12.22'!J:J,$C99)</f>
        <v>22728.95</v>
      </c>
      <c r="K99" s="55"/>
      <c r="L99" s="55">
        <f t="shared" si="15"/>
        <v>22728.95</v>
      </c>
      <c r="M99" s="2"/>
      <c r="N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 outlineLevel="1">
      <c r="A100" s="105" t="s">
        <v>309</v>
      </c>
      <c r="B100" s="62" t="s">
        <v>152</v>
      </c>
      <c r="C100" s="43" t="s">
        <v>998</v>
      </c>
      <c r="D100" s="55">
        <f>SUMIFS('TB LTD 12.22'!G:G,'TB LTD 12.22'!I:I,$B100,'TB LTD 12.22'!J:J,$C100)</f>
        <v>22620.760000000002</v>
      </c>
      <c r="E100" s="55"/>
      <c r="F100" s="55">
        <f t="shared" si="14"/>
        <v>22620.760000000002</v>
      </c>
      <c r="G100" s="55"/>
      <c r="H100" s="103"/>
      <c r="I100" s="55"/>
      <c r="J100" s="55">
        <f>SUMIFS('TB LTD 12.22'!F:F,'TB LTD 12.22'!I:I,$B100,'TB LTD 12.22'!J:J,$C100)</f>
        <v>77647.41</v>
      </c>
      <c r="K100" s="55"/>
      <c r="L100" s="55">
        <f t="shared" si="15"/>
        <v>77647.41</v>
      </c>
      <c r="M100" s="2"/>
      <c r="N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 outlineLevel="1">
      <c r="A101" s="105" t="s">
        <v>309</v>
      </c>
      <c r="B101" s="62" t="s">
        <v>152</v>
      </c>
      <c r="C101" s="43" t="s">
        <v>229</v>
      </c>
      <c r="D101" s="55">
        <f>SUMIFS('TB LTD 12.22'!G:G,'TB LTD 12.22'!I:I,$B101,'TB LTD 12.22'!J:J,$C101)</f>
        <v>0</v>
      </c>
      <c r="E101" s="55"/>
      <c r="F101" s="55">
        <f t="shared" si="14"/>
        <v>0</v>
      </c>
      <c r="G101" s="55"/>
      <c r="H101" s="103"/>
      <c r="I101" s="55"/>
      <c r="J101" s="55">
        <f>SUMIFS('TB LTD 12.22'!F:F,'TB LTD 12.22'!I:I,$B101,'TB LTD 12.22'!J:J,$C101)</f>
        <v>0</v>
      </c>
      <c r="K101" s="55"/>
      <c r="L101" s="55">
        <f t="shared" si="15"/>
        <v>0</v>
      </c>
      <c r="M101" s="2"/>
      <c r="N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 outlineLevel="1">
      <c r="A102" s="105" t="s">
        <v>309</v>
      </c>
      <c r="B102" s="62" t="s">
        <v>152</v>
      </c>
      <c r="C102" s="43" t="s">
        <v>1679</v>
      </c>
      <c r="D102" s="55">
        <f>SUMIFS('TB LTD 12.22'!G:G,'TB LTD 12.22'!I:I,$B102,'TB LTD 12.22'!J:J,$C102)</f>
        <v>0</v>
      </c>
      <c r="E102" s="55">
        <f>'AJE 2022'!G88</f>
        <v>0</v>
      </c>
      <c r="F102" s="55">
        <f t="shared" si="14"/>
        <v>0</v>
      </c>
      <c r="G102" s="55"/>
      <c r="H102" s="420"/>
      <c r="I102" s="55"/>
      <c r="J102" s="55">
        <f>SUMIFS('TB LTD 12.22'!F:F,'TB LTD 12.22'!I:I,$B102,'TB LTD 12.22'!J:J,$C102)</f>
        <v>0</v>
      </c>
      <c r="K102" s="55">
        <f>'AJE 2022'!J88</f>
        <v>0</v>
      </c>
      <c r="L102" s="55">
        <f t="shared" si="15"/>
        <v>0</v>
      </c>
      <c r="M102" s="2"/>
      <c r="N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 outlineLevel="1">
      <c r="A103" s="105" t="s">
        <v>309</v>
      </c>
      <c r="B103" s="62" t="s">
        <v>152</v>
      </c>
      <c r="C103" s="43" t="s">
        <v>843</v>
      </c>
      <c r="D103" s="55">
        <f>SUMIFS('TB LTD 12.22'!G:G,'TB LTD 12.22'!I:I,$B103,'TB LTD 12.22'!J:J,$C103)</f>
        <v>1267685.1500000001</v>
      </c>
      <c r="E103" s="55"/>
      <c r="F103" s="55">
        <f t="shared" si="14"/>
        <v>1267685.1500000001</v>
      </c>
      <c r="G103" s="55"/>
      <c r="H103" s="103"/>
      <c r="I103" s="55"/>
      <c r="J103" s="55">
        <f>SUMIFS('TB LTD 12.22'!F:F,'TB LTD 12.22'!I:I,$B103,'TB LTD 12.22'!J:J,$C103)</f>
        <v>4297812.79</v>
      </c>
      <c r="K103" s="55"/>
      <c r="L103" s="55">
        <f t="shared" si="15"/>
        <v>4297812.79</v>
      </c>
      <c r="M103" s="2"/>
      <c r="N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 outlineLevel="1">
      <c r="A104" s="105" t="s">
        <v>309</v>
      </c>
      <c r="B104" s="62" t="s">
        <v>152</v>
      </c>
      <c r="C104" s="43" t="s">
        <v>1133</v>
      </c>
      <c r="D104" s="55">
        <f>SUMIFS('TB LTD 12.22'!G:G,'TB LTD 12.22'!I:I,$B104,'TB LTD 12.22'!J:J,$C104)</f>
        <v>1000932.41</v>
      </c>
      <c r="E104" s="55"/>
      <c r="F104" s="55">
        <f>D104+E104</f>
        <v>1000932.41</v>
      </c>
      <c r="G104" s="55"/>
      <c r="H104" s="103"/>
      <c r="I104" s="55"/>
      <c r="J104" s="55">
        <f>SUMIFS('TB LTD 12.22'!F:F,'TB LTD 12.22'!I:I,$B104,'TB LTD 12.22'!J:J,$C104)</f>
        <v>3522236.32</v>
      </c>
      <c r="K104" s="55"/>
      <c r="L104" s="55">
        <f t="shared" si="15"/>
        <v>3522236.32</v>
      </c>
      <c r="M104" s="2"/>
      <c r="N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 outlineLevel="1">
      <c r="A105" s="105" t="s">
        <v>309</v>
      </c>
      <c r="B105" s="62" t="s">
        <v>152</v>
      </c>
      <c r="C105" s="43" t="s">
        <v>1113</v>
      </c>
      <c r="D105" s="55">
        <f>SUMIFS('TB LTD 12.22'!G:G,'TB LTD 12.22'!I:I,$B105,'TB LTD 12.22'!J:J,$C105)</f>
        <v>-14370.75</v>
      </c>
      <c r="E105" s="55"/>
      <c r="F105" s="55">
        <f t="shared" si="14"/>
        <v>-14370.75</v>
      </c>
      <c r="G105" s="55"/>
      <c r="H105" s="103"/>
      <c r="I105" s="55"/>
      <c r="J105" s="55">
        <f>SUMIFS('TB LTD 12.22'!F:F,'TB LTD 12.22'!I:I,$B105,'TB LTD 12.22'!J:J,$C105)</f>
        <v>-50172.89</v>
      </c>
      <c r="K105" s="55"/>
      <c r="L105" s="55">
        <f t="shared" si="15"/>
        <v>-50172.89</v>
      </c>
      <c r="M105" s="2"/>
      <c r="N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1.95" customHeight="1" outlineLevel="1">
      <c r="A106" s="105" t="s">
        <v>309</v>
      </c>
      <c r="B106" s="62" t="s">
        <v>152</v>
      </c>
      <c r="C106" s="43" t="s">
        <v>861</v>
      </c>
      <c r="D106" s="55">
        <f>SUMIFS('TB LTD 12.22'!G:G,'TB LTD 12.22'!I:I,$B106,'TB LTD 12.22'!J:J,$C106)</f>
        <v>1862.6499999994339</v>
      </c>
      <c r="E106" s="55"/>
      <c r="F106" s="55">
        <f t="shared" si="14"/>
        <v>1862.6499999994339</v>
      </c>
      <c r="G106" s="55"/>
      <c r="H106" s="103"/>
      <c r="I106" s="55"/>
      <c r="J106" s="55">
        <f>SUMIFS('TB LTD 12.22'!F:F,'TB LTD 12.22'!I:I,$B106,'TB LTD 12.22'!J:J,$C106)</f>
        <v>-2.8699999985692557</v>
      </c>
      <c r="K106" s="55"/>
      <c r="L106" s="55">
        <f t="shared" si="15"/>
        <v>-2.8699999985692557</v>
      </c>
      <c r="M106" s="2"/>
      <c r="N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1.95" customHeight="1" outlineLevel="1">
      <c r="A107" s="105"/>
      <c r="B107" s="62" t="s">
        <v>152</v>
      </c>
      <c r="C107" s="43" t="s">
        <v>183</v>
      </c>
      <c r="D107" s="55">
        <f>SUMIFS('TB LTD 12.22'!G:G,'TB LTD 12.22'!I:I,$B107,'TB LTD 12.22'!J:J,$C107)</f>
        <v>195554.4</v>
      </c>
      <c r="E107" s="55">
        <f>'AJE 2022'!G22</f>
        <v>0</v>
      </c>
      <c r="F107" s="55">
        <f>D107+E107</f>
        <v>195554.4</v>
      </c>
      <c r="G107" s="55"/>
      <c r="H107" s="420"/>
      <c r="I107" s="55"/>
      <c r="J107" s="55">
        <f>SUMIFS('TB LTD 12.22'!F:F,'TB LTD 12.22'!I:I,$B107,'TB LTD 12.22'!J:J,$C107)</f>
        <v>659533.23</v>
      </c>
      <c r="K107" s="55">
        <f>'AJE 2022'!J22</f>
        <v>0</v>
      </c>
      <c r="L107" s="55">
        <f t="shared" ref="L107" si="18">J107+K107</f>
        <v>659533.23</v>
      </c>
      <c r="M107" s="2"/>
      <c r="N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 thickBot="1">
      <c r="A108" s="2"/>
      <c r="B108" s="1"/>
      <c r="C108" s="41" t="s">
        <v>298</v>
      </c>
      <c r="D108" s="108">
        <f>D82+D56+D35</f>
        <v>285044202.42000002</v>
      </c>
      <c r="E108" s="108">
        <f>E82+E56+E35</f>
        <v>0</v>
      </c>
      <c r="F108" s="108">
        <f>F82+F56+F35</f>
        <v>285044202.42000002</v>
      </c>
      <c r="G108" s="55"/>
      <c r="H108" s="104"/>
      <c r="I108" s="61"/>
      <c r="J108" s="108">
        <f>J82+J56+J35</f>
        <v>961965511.68000007</v>
      </c>
      <c r="K108" s="108">
        <f>K82+K56+K35</f>
        <v>0</v>
      </c>
      <c r="L108" s="108">
        <f>L82+L56+L35</f>
        <v>961965511.68000007</v>
      </c>
      <c r="M108" s="2"/>
      <c r="N108" s="54">
        <f>L108/1000</f>
        <v>961965.51168000011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2"/>
      <c r="B109" s="1"/>
      <c r="C109" s="42"/>
      <c r="D109" s="109"/>
      <c r="E109" s="109"/>
      <c r="F109" s="109"/>
      <c r="G109" s="55"/>
      <c r="H109" s="110"/>
      <c r="I109" s="109"/>
      <c r="J109" s="109"/>
      <c r="K109" s="109"/>
      <c r="L109" s="109"/>
      <c r="M109" s="2"/>
      <c r="N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 thickBot="1">
      <c r="A110" s="2"/>
      <c r="B110" s="1"/>
      <c r="C110" s="41" t="s">
        <v>299</v>
      </c>
      <c r="D110" s="94">
        <f>D108+D32</f>
        <v>-26138202.109999955</v>
      </c>
      <c r="E110" s="94">
        <f>E108+E32</f>
        <v>0</v>
      </c>
      <c r="F110" s="94">
        <f>F108+F32</f>
        <v>-26138202.109999955</v>
      </c>
      <c r="G110" s="55"/>
      <c r="H110" s="103"/>
      <c r="I110" s="55"/>
      <c r="J110" s="94">
        <f>J108+J32</f>
        <v>-89879369.050000191</v>
      </c>
      <c r="K110" s="94">
        <f>K108+K32</f>
        <v>0</v>
      </c>
      <c r="L110" s="94">
        <f>L108+L32</f>
        <v>-89879369.050000191</v>
      </c>
      <c r="M110" s="2"/>
      <c r="N110" s="54">
        <f>L110/1000</f>
        <v>-89879.369050000198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 thickTop="1">
      <c r="A111" s="2"/>
      <c r="B111" s="1"/>
      <c r="C111" s="41"/>
      <c r="D111" s="55"/>
      <c r="E111" s="55"/>
      <c r="F111" s="55"/>
      <c r="G111" s="55"/>
      <c r="H111" s="103"/>
      <c r="I111" s="55"/>
      <c r="J111" s="55"/>
      <c r="K111" s="55"/>
      <c r="L111" s="55"/>
      <c r="M111" s="2"/>
      <c r="N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2"/>
      <c r="B112" s="1"/>
      <c r="C112" s="62" t="s">
        <v>163</v>
      </c>
      <c r="D112" s="61">
        <f>SUM(D113:D119)</f>
        <v>242412.35000000003</v>
      </c>
      <c r="E112" s="61">
        <f>SUM(E113:E119)</f>
        <v>0</v>
      </c>
      <c r="F112" s="61">
        <f>SUM(F113:F119)</f>
        <v>242412.35000000003</v>
      </c>
      <c r="G112" s="55"/>
      <c r="H112" s="104"/>
      <c r="I112" s="61"/>
      <c r="J112" s="61">
        <f>SUM(J113:J119)</f>
        <v>-6117819.6600000001</v>
      </c>
      <c r="K112" s="61">
        <f>SUM(K113:K118)</f>
        <v>0</v>
      </c>
      <c r="L112" s="61">
        <f>SUM(L113:L119)</f>
        <v>-6117819.6600000001</v>
      </c>
      <c r="M112" s="2"/>
      <c r="N112" s="54">
        <f>L112/1000</f>
        <v>-6117.8196600000001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 outlineLevel="1">
      <c r="A113" s="105" t="s">
        <v>313</v>
      </c>
      <c r="B113" s="62" t="s">
        <v>163</v>
      </c>
      <c r="C113" s="43" t="s">
        <v>876</v>
      </c>
      <c r="D113" s="55">
        <f>SUMIFS('TB LTD 12.22'!G:G,'TB LTD 12.22'!I:I,$B113,'TB LTD 12.22'!J:J,$C113)</f>
        <v>61321.33</v>
      </c>
      <c r="E113" s="55"/>
      <c r="F113" s="55">
        <f t="shared" ref="F113:F120" si="19">D113+E113</f>
        <v>61321.33</v>
      </c>
      <c r="G113" s="55"/>
      <c r="H113" s="103"/>
      <c r="I113" s="55"/>
      <c r="J113" s="55">
        <f>SUMIFS('TB LTD 12.22'!F:F,'TB LTD 12.22'!I:I,$B113,'TB LTD 12.22'!J:J,$C113)</f>
        <v>199212.54</v>
      </c>
      <c r="K113" s="55">
        <f>'AJE 2022'!J32</f>
        <v>0</v>
      </c>
      <c r="L113" s="55">
        <f t="shared" ref="L113:L120" si="20">J113+K113</f>
        <v>199212.54</v>
      </c>
      <c r="M113" s="2"/>
      <c r="N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 outlineLevel="1">
      <c r="A114" s="105" t="s">
        <v>313</v>
      </c>
      <c r="B114" s="62" t="s">
        <v>163</v>
      </c>
      <c r="C114" s="43" t="s">
        <v>164</v>
      </c>
      <c r="D114" s="55">
        <f>SUMIFS('TB LTD 12.22'!G:G,'TB LTD 12.22'!I:I,$B114,'TB LTD 12.22'!J:J,$C114)</f>
        <v>-115341.95</v>
      </c>
      <c r="E114" s="55"/>
      <c r="F114" s="55">
        <f t="shared" si="19"/>
        <v>-115341.95</v>
      </c>
      <c r="G114" s="55"/>
      <c r="H114" s="103"/>
      <c r="I114" s="55"/>
      <c r="J114" s="55">
        <f>SUMIFS('TB LTD 12.22'!F:F,'TB LTD 12.22'!I:I,$B114,'TB LTD 12.22'!J:J,$C114)</f>
        <v>-414156.16000000003</v>
      </c>
      <c r="K114" s="55"/>
      <c r="L114" s="55">
        <f>J114+K114</f>
        <v>-414156.16000000003</v>
      </c>
      <c r="M114" s="2"/>
      <c r="N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 outlineLevel="1">
      <c r="A115" s="105" t="s">
        <v>313</v>
      </c>
      <c r="B115" s="62" t="s">
        <v>163</v>
      </c>
      <c r="C115" s="43" t="s">
        <v>1191</v>
      </c>
      <c r="D115" s="55">
        <f>SUMIFS('TB LTD 12.22'!G:G,'TB LTD 12.22'!I:I,$B115,'TB LTD 12.22'!J:J,$C115)</f>
        <v>-280262.05</v>
      </c>
      <c r="E115" s="55">
        <f>-'AJE 2022'!G94</f>
        <v>0</v>
      </c>
      <c r="F115" s="55">
        <f t="shared" ref="F115" si="21">D115+E115</f>
        <v>-280262.05</v>
      </c>
      <c r="G115" s="55"/>
      <c r="H115" s="420"/>
      <c r="I115" s="55"/>
      <c r="J115" s="55">
        <f>SUMIFS('TB LTD 12.22'!F:F,'TB LTD 12.22'!I:I,$B115,'TB LTD 12.22'!J:J,$C115)</f>
        <v>-985515.07</v>
      </c>
      <c r="K115" s="55">
        <f>-'AJE 2022'!K93</f>
        <v>0</v>
      </c>
      <c r="L115" s="55">
        <f>J115+K115</f>
        <v>-985515.07</v>
      </c>
      <c r="M115" s="2"/>
      <c r="N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 outlineLevel="1">
      <c r="A116" s="105" t="s">
        <v>313</v>
      </c>
      <c r="B116" s="62" t="s">
        <v>163</v>
      </c>
      <c r="C116" s="43" t="s">
        <v>166</v>
      </c>
      <c r="D116" s="55">
        <f>SUMIFS('TB LTD 12.22'!G:G,'TB LTD 12.22'!I:I,$B116,'TB LTD 12.22'!J:J,$C116)</f>
        <v>307568.02</v>
      </c>
      <c r="E116" s="55"/>
      <c r="F116" s="55">
        <f t="shared" si="19"/>
        <v>307568.02</v>
      </c>
      <c r="G116" s="55"/>
      <c r="H116" s="103"/>
      <c r="I116" s="55"/>
      <c r="J116" s="55">
        <f>SUMIFS('TB LTD 12.22'!F:F,'TB LTD 12.22'!I:I,$B116,'TB LTD 12.22'!J:J,$C116)</f>
        <v>-5818936.9699999997</v>
      </c>
      <c r="K116" s="55"/>
      <c r="L116" s="55">
        <f t="shared" si="20"/>
        <v>-5818936.9699999997</v>
      </c>
      <c r="M116" s="107" t="e">
        <f>L116-'[3]P&amp;L LTD  USD'!$L$116</f>
        <v>#REF!</v>
      </c>
      <c r="N116" s="2"/>
      <c r="Q116" s="107">
        <f>P116+P110</f>
        <v>0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 outlineLevel="1">
      <c r="A117" s="105" t="s">
        <v>313</v>
      </c>
      <c r="B117" s="62" t="s">
        <v>163</v>
      </c>
      <c r="C117" s="43" t="s">
        <v>517</v>
      </c>
      <c r="D117" s="55">
        <f>SUMIFS('TB LTD 12.22'!G:G,'TB LTD 12.22'!I:I,$B117,'TB LTD 12.22'!J:J,$C117)</f>
        <v>0</v>
      </c>
      <c r="E117" s="55"/>
      <c r="F117" s="55">
        <f t="shared" si="19"/>
        <v>0</v>
      </c>
      <c r="G117" s="55"/>
      <c r="H117" s="420"/>
      <c r="I117" s="55"/>
      <c r="J117" s="55">
        <f>SUMIFS('TB LTD 12.22'!F:F,'TB LTD 12.22'!I:I,$B117,'TB LTD 12.22'!J:J,$C117)</f>
        <v>0</v>
      </c>
      <c r="K117" s="55"/>
      <c r="L117" s="55">
        <f t="shared" si="20"/>
        <v>0</v>
      </c>
      <c r="M117" s="2"/>
      <c r="N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 outlineLevel="1">
      <c r="A118" s="105" t="s">
        <v>313</v>
      </c>
      <c r="B118" s="62" t="s">
        <v>163</v>
      </c>
      <c r="C118" s="43" t="s">
        <v>313</v>
      </c>
      <c r="D118" s="55">
        <f>SUMIFS('TB LTD 12.22'!G:G,'TB LTD 12.22'!I:I,$B118,'TB LTD 12.22'!J:J,$C118)</f>
        <v>0</v>
      </c>
      <c r="E118" s="55">
        <f>-'AJE 2022'!H82+'AJE 2022'!G32+'AJE 2022'!G82</f>
        <v>0</v>
      </c>
      <c r="F118" s="55">
        <f t="shared" si="19"/>
        <v>0</v>
      </c>
      <c r="G118" s="55"/>
      <c r="H118" s="103"/>
      <c r="I118" s="55"/>
      <c r="J118" s="55">
        <f>SUMIFS('TB LTD 12.22'!F:F,'TB LTD 12.22'!I:I,$B118,'TB LTD 12.22'!J:J,$C118)</f>
        <v>0</v>
      </c>
      <c r="K118" s="55">
        <f>'AJE 2022'!J82</f>
        <v>0</v>
      </c>
      <c r="L118" s="55">
        <f t="shared" si="20"/>
        <v>0</v>
      </c>
      <c r="M118" s="2"/>
      <c r="N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 outlineLevel="1">
      <c r="A119" s="105" t="s">
        <v>313</v>
      </c>
      <c r="B119" s="62" t="s">
        <v>163</v>
      </c>
      <c r="C119" s="424" t="s">
        <v>1739</v>
      </c>
      <c r="D119" s="55">
        <f>SUMIFS('TB LTD 12.22'!G:G,'TB LTD 12.22'!I:I,$B119,'TB LTD 12.22'!J:J,$C119)</f>
        <v>269127</v>
      </c>
      <c r="E119" s="55"/>
      <c r="F119" s="55">
        <f t="shared" si="19"/>
        <v>269127</v>
      </c>
      <c r="G119" s="55"/>
      <c r="H119" s="420"/>
      <c r="I119" s="55"/>
      <c r="J119" s="55">
        <f>SUMIFS('TB LTD 12.22'!F:F,'TB LTD 12.22'!I:I,$B119,'TB LTD 12.22'!J:J,$C119)</f>
        <v>901576</v>
      </c>
      <c r="K119" s="55"/>
      <c r="L119" s="55">
        <f t="shared" si="20"/>
        <v>901576</v>
      </c>
      <c r="M119" s="2"/>
      <c r="N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105" t="s">
        <v>314</v>
      </c>
      <c r="B120" s="62" t="s">
        <v>182</v>
      </c>
      <c r="C120" s="43" t="s">
        <v>182</v>
      </c>
      <c r="D120" s="55">
        <f>SUMIFS('TB LTD 12.22'!G:G,'TB LTD 12.22'!I:I,$B120,'TB LTD 12.22'!J:J,$C120)</f>
        <v>3550210.29</v>
      </c>
      <c r="E120" s="55">
        <f>-'AJE 2022'!H105+'AJE 2022'!H110</f>
        <v>-46711.54711645731</v>
      </c>
      <c r="F120" s="55">
        <f t="shared" si="19"/>
        <v>3503498.7428835426</v>
      </c>
      <c r="G120" s="55"/>
      <c r="H120" s="103"/>
      <c r="I120" s="55"/>
      <c r="J120" s="55">
        <f>SUMIFS('TB LTD 12.22'!F:F,'TB LTD 12.22'!I:I,$B120,'TB LTD 12.22'!J:J,$C120)</f>
        <v>12210063.880000001</v>
      </c>
      <c r="K120" s="55">
        <f>-'AJE 2022'!K105+'AJE 2022'!K110</f>
        <v>-164377.93430281332</v>
      </c>
      <c r="L120" s="55">
        <f t="shared" si="20"/>
        <v>12045685.945697188</v>
      </c>
      <c r="M120" s="107" t="e">
        <f>'[3]P&amp;L LTD  USD'!$L$119-L120</f>
        <v>#REF!</v>
      </c>
      <c r="N120" s="54">
        <f>L120/1000</f>
        <v>12045.685945697189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2"/>
      <c r="B121" s="41" t="s">
        <v>274</v>
      </c>
      <c r="C121" s="41" t="s">
        <v>274</v>
      </c>
      <c r="D121" s="55">
        <f>SUMIFS('TB LTD 12.22'!G:G,'TB LTD 12.22'!I:I,$B121,'TB LTD 12.22'!J:J,$C121)</f>
        <v>0</v>
      </c>
      <c r="E121" s="55">
        <f>'P&amp;L INC'!F51</f>
        <v>-12793.339999973701</v>
      </c>
      <c r="F121" s="55">
        <f>D121+E121</f>
        <v>-12793.339999973701</v>
      </c>
      <c r="G121" s="55"/>
      <c r="H121" s="103"/>
      <c r="I121" s="55"/>
      <c r="J121" s="55">
        <f>SUMIFS('TB LTD 12.22'!F:F,'TB LTD 12.22'!I:I,$B121,'TB LTD 12.22'!J:J,$C121)</f>
        <v>0</v>
      </c>
      <c r="K121" s="55">
        <f>'BS INC'!E39*'AJE 2022'!N3</f>
        <v>-42857.688999911901</v>
      </c>
      <c r="L121" s="55">
        <f>J121+K121</f>
        <v>-42857.688999911901</v>
      </c>
      <c r="M121" s="2"/>
      <c r="N121" s="54">
        <f>L121/1000</f>
        <v>-42.8576889999119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 thickBot="1">
      <c r="A122" s="2"/>
      <c r="B122" s="1"/>
      <c r="C122" s="62" t="s">
        <v>302</v>
      </c>
      <c r="D122" s="94">
        <f t="shared" ref="D122" si="22">+D110+D112+D120+D121</f>
        <v>-22345579.469999954</v>
      </c>
      <c r="E122" s="94">
        <f>+E110+E112+E120+E121</f>
        <v>-59504.887116431011</v>
      </c>
      <c r="F122" s="94">
        <f>+F110+F112+F120+F121</f>
        <v>-22405084.357116386</v>
      </c>
      <c r="G122" s="55"/>
      <c r="H122" s="103"/>
      <c r="I122" s="55"/>
      <c r="J122" s="94">
        <f>+J110+J112+J120+J121</f>
        <v>-83787124.830000192</v>
      </c>
      <c r="K122" s="94">
        <f>+K110+K112+K120+K121</f>
        <v>-207235.6233027252</v>
      </c>
      <c r="L122" s="94">
        <f>+L110+L112+L120+L121</f>
        <v>-83994360.453302905</v>
      </c>
      <c r="M122" s="107">
        <v>-85884731.704652607</v>
      </c>
      <c r="N122" s="54">
        <f>L122/1000</f>
        <v>-83994.360453302899</v>
      </c>
      <c r="Q122" s="334">
        <f>P122/3.5</f>
        <v>0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 thickTop="1">
      <c r="A123" s="2"/>
      <c r="B123" s="1"/>
      <c r="C123" s="1"/>
      <c r="D123" s="19">
        <v>22130830.949999999</v>
      </c>
      <c r="E123" s="111"/>
      <c r="F123" s="19">
        <v>21611455.579999998</v>
      </c>
      <c r="G123" s="111"/>
      <c r="H123" s="112"/>
      <c r="I123" s="111"/>
      <c r="J123" s="19">
        <v>83031424.829999998</v>
      </c>
      <c r="K123" s="111"/>
      <c r="L123" s="19">
        <v>84335201.560000002</v>
      </c>
      <c r="M123" s="107"/>
      <c r="N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2"/>
      <c r="B124" s="1"/>
      <c r="C124" s="1"/>
      <c r="D124" s="19">
        <f>D122+D123</f>
        <v>-214748.51999995485</v>
      </c>
      <c r="E124" s="55"/>
      <c r="F124" s="19">
        <f>F122+F123</f>
        <v>-793628.77711638808</v>
      </c>
      <c r="G124" s="95"/>
      <c r="H124" s="113"/>
      <c r="I124" s="95"/>
      <c r="J124" s="19">
        <f>J122+J123</f>
        <v>-755700.00000019372</v>
      </c>
      <c r="K124" s="95"/>
      <c r="L124" s="19">
        <f>L122+L123</f>
        <v>340841.10669709742</v>
      </c>
      <c r="M124" s="107">
        <f>M122-L122</f>
        <v>-1890371.2513497025</v>
      </c>
      <c r="N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2"/>
      <c r="B125" s="1"/>
      <c r="C125" s="1"/>
      <c r="D125" s="19"/>
      <c r="E125" s="114"/>
      <c r="F125" s="114"/>
      <c r="G125" s="114"/>
      <c r="H125" s="115"/>
      <c r="I125" s="114"/>
      <c r="J125" s="19"/>
      <c r="K125" s="114"/>
      <c r="L125" s="114"/>
      <c r="M125" s="107">
        <f>1894872.03+930000</f>
        <v>2824872.0300000003</v>
      </c>
      <c r="N125" s="2" t="s">
        <v>1746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2"/>
      <c r="B126" s="1"/>
      <c r="C126" s="43" t="s">
        <v>469</v>
      </c>
      <c r="D126" s="19">
        <f>D16+D39+D63+D86</f>
        <v>185110.54000000004</v>
      </c>
      <c r="E126" s="19"/>
      <c r="F126" s="19">
        <f>F16+F39+F63+F86</f>
        <v>185110.54000000004</v>
      </c>
      <c r="G126" s="19"/>
      <c r="H126" s="116"/>
      <c r="I126" s="19"/>
      <c r="J126" s="19">
        <f>J16+J39+J63+J86</f>
        <v>581955.02999999991</v>
      </c>
      <c r="K126" s="19"/>
      <c r="L126" s="19">
        <f>L16+L39+L63+L86</f>
        <v>581955.02999999991</v>
      </c>
      <c r="M126" s="107">
        <v>-255061.24818795201</v>
      </c>
      <c r="N126" s="2" t="s">
        <v>1747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2"/>
      <c r="B127" s="1"/>
      <c r="C127" s="43" t="s">
        <v>385</v>
      </c>
      <c r="D127" s="19">
        <f>D18+D41+D65+D88</f>
        <v>216788.83</v>
      </c>
      <c r="E127" s="114"/>
      <c r="F127" s="19">
        <f>F18+F41+F65+F88</f>
        <v>216788.83</v>
      </c>
      <c r="G127" s="114"/>
      <c r="H127" s="115"/>
      <c r="I127" s="114"/>
      <c r="J127" s="19">
        <f>J18+J41+J65+J88</f>
        <v>706855.59</v>
      </c>
      <c r="K127" s="114"/>
      <c r="L127" s="19">
        <f>L18+L41+L65+L88</f>
        <v>706855.59</v>
      </c>
      <c r="M127" s="107"/>
      <c r="N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2"/>
      <c r="B128" s="1"/>
      <c r="C128" s="1"/>
      <c r="D128" s="114"/>
      <c r="E128" s="114"/>
      <c r="F128" s="114"/>
      <c r="G128" s="114"/>
      <c r="H128" s="115"/>
      <c r="I128" s="114"/>
      <c r="J128" s="114"/>
      <c r="K128" s="114"/>
      <c r="L128" s="114">
        <f>L122+83329344</f>
        <v>-665016.45330290496</v>
      </c>
      <c r="M128" s="2"/>
      <c r="N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2"/>
      <c r="B129" s="1"/>
      <c r="C129" s="1"/>
      <c r="D129" s="543">
        <f>SUM(D13:D30,D36:D54,D57:D79,D83:D106,D112,D120)</f>
        <v>266979197.66999996</v>
      </c>
      <c r="E129" s="45"/>
      <c r="F129" s="543">
        <f>SUM(F13:F30,F36:F54,F57:F79,F83:F106,F112,F120)</f>
        <v>266932486.1228835</v>
      </c>
      <c r="G129" s="45"/>
      <c r="H129" s="98"/>
      <c r="I129" s="45"/>
      <c r="J129" s="45"/>
      <c r="K129" s="45"/>
      <c r="L129" s="45"/>
      <c r="M129" s="2"/>
      <c r="N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2"/>
      <c r="B130" s="1"/>
      <c r="C130" s="1"/>
      <c r="D130" s="45"/>
      <c r="E130" s="45"/>
      <c r="F130" s="45"/>
      <c r="G130" s="45"/>
      <c r="H130" s="98"/>
      <c r="I130" s="45"/>
      <c r="J130" s="45"/>
      <c r="K130" s="55"/>
      <c r="L130" s="298"/>
      <c r="M130" s="2"/>
      <c r="N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2"/>
      <c r="B131" s="1"/>
      <c r="C131" s="1"/>
      <c r="D131" s="45"/>
      <c r="E131" s="45"/>
      <c r="F131" s="45"/>
      <c r="G131" s="45"/>
      <c r="H131" s="98"/>
      <c r="I131" s="45"/>
      <c r="J131" s="45"/>
      <c r="K131" s="508">
        <v>-85884731.704652607</v>
      </c>
      <c r="L131" s="45"/>
      <c r="M131" s="2"/>
      <c r="N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2"/>
      <c r="B132" s="1"/>
      <c r="C132" s="1"/>
      <c r="D132" s="45"/>
      <c r="E132" s="45"/>
      <c r="F132" s="45"/>
      <c r="G132" s="45"/>
      <c r="H132" s="98"/>
      <c r="I132" s="45"/>
      <c r="J132" s="45"/>
      <c r="K132" s="508">
        <f>L122</f>
        <v>-83994360.453302905</v>
      </c>
      <c r="L132" s="45"/>
      <c r="M132" s="2"/>
      <c r="N132" s="107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2"/>
      <c r="B133" s="1"/>
      <c r="C133" s="1"/>
      <c r="D133" s="45"/>
      <c r="E133" s="45"/>
      <c r="F133" s="45"/>
      <c r="G133" s="45"/>
      <c r="H133" s="98"/>
      <c r="I133" s="45"/>
      <c r="J133" s="45"/>
      <c r="K133" s="508">
        <f>K131-K132</f>
        <v>-1890371.2513497025</v>
      </c>
      <c r="L133" s="45"/>
      <c r="M133" s="2"/>
      <c r="N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2"/>
      <c r="B134" s="1"/>
      <c r="C134" s="1"/>
      <c r="D134" s="45"/>
      <c r="E134" s="45"/>
      <c r="F134" s="45"/>
      <c r="G134" s="45"/>
      <c r="H134" s="98"/>
      <c r="I134" s="45"/>
      <c r="J134" s="45"/>
      <c r="K134" s="45"/>
      <c r="L134" s="45"/>
      <c r="M134" s="2"/>
      <c r="N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2"/>
      <c r="B135" s="1"/>
      <c r="C135" s="1"/>
      <c r="D135" s="45"/>
      <c r="E135" s="45"/>
      <c r="F135" s="508"/>
      <c r="G135" s="45"/>
      <c r="H135" s="98"/>
      <c r="I135" s="45"/>
      <c r="J135" s="45"/>
      <c r="K135" s="45"/>
      <c r="L135" s="45"/>
      <c r="M135" s="2"/>
      <c r="N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2"/>
      <c r="B136" s="1"/>
      <c r="C136" s="1"/>
      <c r="D136" s="45"/>
      <c r="E136" s="45"/>
      <c r="F136" s="45"/>
      <c r="G136" s="45"/>
      <c r="H136" s="98"/>
      <c r="I136" s="45"/>
      <c r="J136" s="45"/>
      <c r="K136" s="45"/>
      <c r="L136" s="45"/>
      <c r="M136" s="2"/>
      <c r="N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2"/>
      <c r="B137" s="1"/>
      <c r="C137" s="1"/>
      <c r="D137" s="45"/>
      <c r="E137" s="45"/>
      <c r="F137" s="45"/>
      <c r="G137" s="45"/>
      <c r="H137" s="98"/>
      <c r="I137" s="45"/>
      <c r="J137" s="45"/>
      <c r="K137" s="45"/>
      <c r="L137" s="45"/>
      <c r="M137" s="2"/>
      <c r="N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2"/>
      <c r="B138" s="1"/>
      <c r="C138" s="1"/>
      <c r="D138" s="45"/>
      <c r="E138" s="45"/>
      <c r="F138" s="45"/>
      <c r="G138" s="45"/>
      <c r="H138" s="98"/>
      <c r="I138" s="45"/>
      <c r="J138" s="45"/>
      <c r="K138" s="45"/>
      <c r="L138" s="45"/>
      <c r="M138" s="2"/>
      <c r="N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2"/>
      <c r="B139" s="1"/>
      <c r="C139" s="1"/>
      <c r="D139" s="45"/>
      <c r="E139" s="45"/>
      <c r="F139" s="45"/>
      <c r="G139" s="45"/>
      <c r="H139" s="98"/>
      <c r="I139" s="45"/>
      <c r="J139" s="45"/>
      <c r="K139" s="45"/>
      <c r="L139" s="45"/>
      <c r="M139" s="2"/>
      <c r="N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2"/>
      <c r="B140" s="1"/>
      <c r="C140" s="1"/>
      <c r="D140" s="45"/>
      <c r="E140" s="45"/>
      <c r="F140" s="45"/>
      <c r="G140" s="45"/>
      <c r="H140" s="98"/>
      <c r="I140" s="45"/>
      <c r="J140" s="45"/>
      <c r="K140" s="45"/>
      <c r="L140" s="45"/>
      <c r="M140" s="2"/>
      <c r="N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2"/>
      <c r="B141" s="1"/>
      <c r="C141" s="1"/>
      <c r="D141" s="45"/>
      <c r="E141" s="45"/>
      <c r="F141" s="45"/>
      <c r="G141" s="45"/>
      <c r="H141" s="98"/>
      <c r="I141" s="45"/>
      <c r="J141" s="45"/>
      <c r="K141" s="45"/>
      <c r="L141" s="45"/>
      <c r="M141" s="2"/>
      <c r="N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2"/>
      <c r="B142" s="1"/>
      <c r="C142" s="1"/>
      <c r="D142" s="45"/>
      <c r="E142" s="45"/>
      <c r="F142" s="45"/>
      <c r="G142" s="45"/>
      <c r="H142" s="98"/>
      <c r="I142" s="45"/>
      <c r="J142" s="45"/>
      <c r="K142" s="45"/>
      <c r="L142" s="45"/>
      <c r="M142" s="2"/>
      <c r="N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2"/>
      <c r="B143" s="1"/>
      <c r="C143" s="1"/>
      <c r="D143" s="45"/>
      <c r="E143" s="45"/>
      <c r="F143" s="45"/>
      <c r="G143" s="45"/>
      <c r="H143" s="98"/>
      <c r="I143" s="45"/>
      <c r="J143" s="45"/>
      <c r="K143" s="45"/>
      <c r="L143" s="45"/>
      <c r="M143" s="2"/>
      <c r="N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2"/>
      <c r="B144" s="1"/>
      <c r="C144" s="1"/>
      <c r="D144" s="45"/>
      <c r="E144" s="45"/>
      <c r="F144" s="45"/>
      <c r="G144" s="45"/>
      <c r="H144" s="98"/>
      <c r="I144" s="45"/>
      <c r="J144" s="45"/>
      <c r="K144" s="45"/>
      <c r="L144" s="45"/>
      <c r="M144" s="2"/>
      <c r="N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2"/>
      <c r="B145" s="1"/>
      <c r="C145" s="1"/>
      <c r="D145" s="45"/>
      <c r="E145" s="45"/>
      <c r="F145" s="45"/>
      <c r="G145" s="45"/>
      <c r="H145" s="98"/>
      <c r="I145" s="45"/>
      <c r="J145" s="45"/>
      <c r="K145" s="45"/>
      <c r="L145" s="45"/>
      <c r="M145" s="2"/>
      <c r="N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2"/>
      <c r="B146" s="1"/>
      <c r="C146" s="1"/>
      <c r="D146" s="45"/>
      <c r="E146" s="45"/>
      <c r="F146" s="45"/>
      <c r="G146" s="45"/>
      <c r="H146" s="98"/>
      <c r="I146" s="45"/>
      <c r="J146" s="45"/>
      <c r="K146" s="45"/>
      <c r="L146" s="45"/>
      <c r="M146" s="2"/>
      <c r="N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2"/>
      <c r="B147" s="1"/>
      <c r="C147" s="1"/>
      <c r="D147" s="45"/>
      <c r="E147" s="45"/>
      <c r="F147" s="45"/>
      <c r="G147" s="45"/>
      <c r="H147" s="98"/>
      <c r="I147" s="45"/>
      <c r="J147" s="45"/>
      <c r="K147" s="45"/>
      <c r="L147" s="45"/>
      <c r="M147" s="2"/>
      <c r="N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2"/>
      <c r="B148" s="1"/>
      <c r="C148" s="1"/>
      <c r="D148" s="45"/>
      <c r="E148" s="45"/>
      <c r="F148" s="45"/>
      <c r="G148" s="45"/>
      <c r="H148" s="98"/>
      <c r="I148" s="45"/>
      <c r="J148" s="45"/>
      <c r="K148" s="45"/>
      <c r="L148" s="45"/>
      <c r="M148" s="2"/>
      <c r="N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2"/>
      <c r="B149" s="1"/>
      <c r="C149" s="1"/>
      <c r="D149" s="45"/>
      <c r="E149" s="45"/>
      <c r="F149" s="45"/>
      <c r="G149" s="45"/>
      <c r="H149" s="98"/>
      <c r="I149" s="45"/>
      <c r="J149" s="45"/>
      <c r="K149" s="45"/>
      <c r="L149" s="45"/>
      <c r="M149" s="2"/>
      <c r="N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2"/>
      <c r="B150" s="1"/>
      <c r="C150" s="1"/>
      <c r="D150" s="45"/>
      <c r="E150" s="45"/>
      <c r="F150" s="45"/>
      <c r="G150" s="45"/>
      <c r="H150" s="98"/>
      <c r="I150" s="45"/>
      <c r="J150" s="45"/>
      <c r="K150" s="45"/>
      <c r="L150" s="45"/>
      <c r="M150" s="2"/>
      <c r="N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2"/>
      <c r="B151" s="1"/>
      <c r="C151" s="1"/>
      <c r="D151" s="45"/>
      <c r="E151" s="45"/>
      <c r="F151" s="45"/>
      <c r="G151" s="45"/>
      <c r="H151" s="98"/>
      <c r="I151" s="45"/>
      <c r="J151" s="45"/>
      <c r="K151" s="45"/>
      <c r="L151" s="45"/>
      <c r="M151" s="2"/>
      <c r="N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2"/>
      <c r="B152" s="1"/>
      <c r="C152" s="1"/>
      <c r="D152" s="45"/>
      <c r="E152" s="45"/>
      <c r="F152" s="45"/>
      <c r="G152" s="45"/>
      <c r="H152" s="98"/>
      <c r="I152" s="45"/>
      <c r="J152" s="45"/>
      <c r="K152" s="45"/>
      <c r="L152" s="45"/>
      <c r="M152" s="2"/>
      <c r="N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2"/>
      <c r="B153" s="1"/>
      <c r="C153" s="1"/>
      <c r="D153" s="45"/>
      <c r="E153" s="45"/>
      <c r="F153" s="45"/>
      <c r="G153" s="45"/>
      <c r="H153" s="98"/>
      <c r="I153" s="45"/>
      <c r="J153" s="45"/>
      <c r="K153" s="45"/>
      <c r="L153" s="45"/>
      <c r="M153" s="2"/>
      <c r="N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2"/>
      <c r="B154" s="1"/>
      <c r="C154" s="1"/>
      <c r="D154" s="45"/>
      <c r="E154" s="45"/>
      <c r="F154" s="45"/>
      <c r="G154" s="45"/>
      <c r="H154" s="98"/>
      <c r="I154" s="45"/>
      <c r="J154" s="45"/>
      <c r="K154" s="45"/>
      <c r="L154" s="45"/>
      <c r="M154" s="2"/>
      <c r="N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2"/>
      <c r="B155" s="1"/>
      <c r="C155" s="1"/>
      <c r="D155" s="45"/>
      <c r="E155" s="45"/>
      <c r="F155" s="45"/>
      <c r="G155" s="45"/>
      <c r="H155" s="98"/>
      <c r="I155" s="45"/>
      <c r="J155" s="45"/>
      <c r="K155" s="45"/>
      <c r="L155" s="45"/>
      <c r="M155" s="2"/>
      <c r="N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2"/>
      <c r="B156" s="1"/>
      <c r="C156" s="1"/>
      <c r="D156" s="45"/>
      <c r="E156" s="45"/>
      <c r="F156" s="45"/>
      <c r="G156" s="45"/>
      <c r="H156" s="98"/>
      <c r="I156" s="45"/>
      <c r="J156" s="45"/>
      <c r="K156" s="45"/>
      <c r="L156" s="45"/>
      <c r="M156" s="2"/>
      <c r="N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2"/>
      <c r="B157" s="1"/>
      <c r="C157" s="1"/>
      <c r="D157" s="45"/>
      <c r="E157" s="45"/>
      <c r="F157" s="45"/>
      <c r="G157" s="45"/>
      <c r="H157" s="98"/>
      <c r="I157" s="45"/>
      <c r="J157" s="45"/>
      <c r="K157" s="45"/>
      <c r="L157" s="45"/>
      <c r="M157" s="2"/>
      <c r="N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2"/>
      <c r="B158" s="1"/>
      <c r="C158" s="1"/>
      <c r="D158" s="45"/>
      <c r="E158" s="45"/>
      <c r="F158" s="45"/>
      <c r="G158" s="45"/>
      <c r="H158" s="98"/>
      <c r="I158" s="45"/>
      <c r="J158" s="45"/>
      <c r="K158" s="45"/>
      <c r="L158" s="45"/>
      <c r="M158" s="2"/>
      <c r="N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2"/>
      <c r="B159" s="1"/>
      <c r="C159" s="1"/>
      <c r="D159" s="45"/>
      <c r="E159" s="45"/>
      <c r="F159" s="45"/>
      <c r="G159" s="45"/>
      <c r="H159" s="98"/>
      <c r="I159" s="45"/>
      <c r="J159" s="45"/>
      <c r="K159" s="45"/>
      <c r="L159" s="45"/>
      <c r="M159" s="2"/>
      <c r="N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2"/>
      <c r="B160" s="1"/>
      <c r="C160" s="1"/>
      <c r="D160" s="45"/>
      <c r="E160" s="45"/>
      <c r="F160" s="45"/>
      <c r="G160" s="45"/>
      <c r="H160" s="98"/>
      <c r="I160" s="45"/>
      <c r="J160" s="45"/>
      <c r="K160" s="45"/>
      <c r="L160" s="45"/>
      <c r="M160" s="2"/>
      <c r="N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2"/>
      <c r="B161" s="1"/>
      <c r="C161" s="1"/>
      <c r="D161" s="45"/>
      <c r="E161" s="45"/>
      <c r="F161" s="45"/>
      <c r="G161" s="45"/>
      <c r="H161" s="98"/>
      <c r="I161" s="45"/>
      <c r="J161" s="45"/>
      <c r="K161" s="45"/>
      <c r="L161" s="45"/>
      <c r="M161" s="2"/>
      <c r="N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2"/>
      <c r="B162" s="1"/>
      <c r="C162" s="1"/>
      <c r="D162" s="45"/>
      <c r="E162" s="45"/>
      <c r="F162" s="45"/>
      <c r="G162" s="45"/>
      <c r="H162" s="98"/>
      <c r="I162" s="45"/>
      <c r="J162" s="45"/>
      <c r="K162" s="45"/>
      <c r="L162" s="45"/>
      <c r="M162" s="2"/>
      <c r="N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2"/>
      <c r="B163" s="1"/>
      <c r="C163" s="1"/>
      <c r="D163" s="45"/>
      <c r="E163" s="45"/>
      <c r="F163" s="45"/>
      <c r="G163" s="45"/>
      <c r="H163" s="98"/>
      <c r="I163" s="45"/>
      <c r="J163" s="45"/>
      <c r="K163" s="45"/>
      <c r="L163" s="45"/>
      <c r="M163" s="2"/>
      <c r="N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2"/>
      <c r="B164" s="1"/>
      <c r="C164" s="1"/>
      <c r="D164" s="45"/>
      <c r="E164" s="45"/>
      <c r="F164" s="45"/>
      <c r="G164" s="45"/>
      <c r="H164" s="98"/>
      <c r="I164" s="45"/>
      <c r="J164" s="45"/>
      <c r="K164" s="45"/>
      <c r="L164" s="45"/>
      <c r="M164" s="2"/>
      <c r="N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2"/>
      <c r="B165" s="1"/>
      <c r="C165" s="1"/>
      <c r="D165" s="45"/>
      <c r="E165" s="45"/>
      <c r="F165" s="45"/>
      <c r="G165" s="45"/>
      <c r="H165" s="98"/>
      <c r="I165" s="45"/>
      <c r="J165" s="45"/>
      <c r="K165" s="45"/>
      <c r="L165" s="45"/>
      <c r="M165" s="2"/>
      <c r="N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2"/>
      <c r="B166" s="1"/>
      <c r="C166" s="1"/>
      <c r="D166" s="45"/>
      <c r="E166" s="45"/>
      <c r="F166" s="45"/>
      <c r="G166" s="45"/>
      <c r="H166" s="98"/>
      <c r="I166" s="45"/>
      <c r="J166" s="45"/>
      <c r="K166" s="45"/>
      <c r="L166" s="45"/>
      <c r="M166" s="2"/>
      <c r="N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2"/>
      <c r="B167" s="1"/>
      <c r="C167" s="1"/>
      <c r="D167" s="45"/>
      <c r="E167" s="45"/>
      <c r="F167" s="45"/>
      <c r="G167" s="45"/>
      <c r="H167" s="98"/>
      <c r="I167" s="45"/>
      <c r="J167" s="45"/>
      <c r="K167" s="45"/>
      <c r="L167" s="45"/>
      <c r="M167" s="2"/>
      <c r="N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2"/>
      <c r="B168" s="1"/>
      <c r="C168" s="1"/>
      <c r="D168" s="45"/>
      <c r="E168" s="45"/>
      <c r="F168" s="45"/>
      <c r="G168" s="45"/>
      <c r="H168" s="98"/>
      <c r="I168" s="45"/>
      <c r="J168" s="45"/>
      <c r="K168" s="45"/>
      <c r="L168" s="45"/>
      <c r="M168" s="2"/>
      <c r="N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2"/>
      <c r="B169" s="1"/>
      <c r="C169" s="1"/>
      <c r="D169" s="45"/>
      <c r="E169" s="45"/>
      <c r="F169" s="45"/>
      <c r="G169" s="45"/>
      <c r="H169" s="98"/>
      <c r="I169" s="45"/>
      <c r="J169" s="45"/>
      <c r="K169" s="45"/>
      <c r="L169" s="45"/>
      <c r="M169" s="2"/>
      <c r="N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2"/>
      <c r="B170" s="1"/>
      <c r="C170" s="1"/>
      <c r="D170" s="45"/>
      <c r="E170" s="45"/>
      <c r="F170" s="45"/>
      <c r="G170" s="45"/>
      <c r="H170" s="98"/>
      <c r="I170" s="45"/>
      <c r="J170" s="45"/>
      <c r="K170" s="45"/>
      <c r="L170" s="45"/>
      <c r="M170" s="2"/>
      <c r="N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2"/>
      <c r="B171" s="1"/>
      <c r="C171" s="1"/>
      <c r="D171" s="45"/>
      <c r="E171" s="45"/>
      <c r="F171" s="45"/>
      <c r="G171" s="45"/>
      <c r="H171" s="98"/>
      <c r="I171" s="45"/>
      <c r="J171" s="45"/>
      <c r="K171" s="45"/>
      <c r="L171" s="45"/>
      <c r="M171" s="2"/>
      <c r="N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2"/>
      <c r="B172" s="1"/>
      <c r="C172" s="1"/>
      <c r="D172" s="45"/>
      <c r="E172" s="45"/>
      <c r="F172" s="45"/>
      <c r="G172" s="45"/>
      <c r="H172" s="98"/>
      <c r="I172" s="45"/>
      <c r="J172" s="45"/>
      <c r="K172" s="45"/>
      <c r="L172" s="45"/>
      <c r="M172" s="2"/>
      <c r="N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2"/>
      <c r="B173" s="1"/>
      <c r="C173" s="1"/>
      <c r="D173" s="45"/>
      <c r="E173" s="45"/>
      <c r="F173" s="45"/>
      <c r="G173" s="45"/>
      <c r="H173" s="98"/>
      <c r="I173" s="45"/>
      <c r="J173" s="45"/>
      <c r="K173" s="45"/>
      <c r="L173" s="45"/>
      <c r="M173" s="2"/>
      <c r="N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2"/>
      <c r="B174" s="1"/>
      <c r="C174" s="1"/>
      <c r="D174" s="45"/>
      <c r="E174" s="45"/>
      <c r="F174" s="45"/>
      <c r="G174" s="45"/>
      <c r="H174" s="98"/>
      <c r="I174" s="45"/>
      <c r="J174" s="45"/>
      <c r="K174" s="45"/>
      <c r="L174" s="45"/>
      <c r="M174" s="2"/>
      <c r="N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2"/>
      <c r="B175" s="1"/>
      <c r="C175" s="1"/>
      <c r="D175" s="45"/>
      <c r="E175" s="45"/>
      <c r="F175" s="45"/>
      <c r="G175" s="45"/>
      <c r="H175" s="98"/>
      <c r="I175" s="45"/>
      <c r="J175" s="45"/>
      <c r="K175" s="45"/>
      <c r="L175" s="45"/>
      <c r="M175" s="2"/>
      <c r="N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2"/>
      <c r="B176" s="1"/>
      <c r="C176" s="1"/>
      <c r="D176" s="45"/>
      <c r="E176" s="45"/>
      <c r="F176" s="45"/>
      <c r="G176" s="45"/>
      <c r="H176" s="98"/>
      <c r="I176" s="45"/>
      <c r="J176" s="45"/>
      <c r="K176" s="45"/>
      <c r="L176" s="45"/>
      <c r="M176" s="2"/>
      <c r="N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2"/>
      <c r="B177" s="1"/>
      <c r="C177" s="1"/>
      <c r="D177" s="45"/>
      <c r="E177" s="45"/>
      <c r="F177" s="45"/>
      <c r="G177" s="45"/>
      <c r="H177" s="98"/>
      <c r="I177" s="45"/>
      <c r="J177" s="45"/>
      <c r="K177" s="45"/>
      <c r="L177" s="45"/>
      <c r="M177" s="2"/>
      <c r="N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2"/>
      <c r="B178" s="1"/>
      <c r="C178" s="1"/>
      <c r="D178" s="45"/>
      <c r="E178" s="45"/>
      <c r="F178" s="45"/>
      <c r="G178" s="45"/>
      <c r="H178" s="98"/>
      <c r="I178" s="45"/>
      <c r="J178" s="45"/>
      <c r="K178" s="45"/>
      <c r="L178" s="45"/>
      <c r="M178" s="2"/>
      <c r="N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2"/>
      <c r="B179" s="1"/>
      <c r="C179" s="1"/>
      <c r="D179" s="45"/>
      <c r="E179" s="45"/>
      <c r="F179" s="45"/>
      <c r="G179" s="45"/>
      <c r="H179" s="98"/>
      <c r="I179" s="45"/>
      <c r="J179" s="45"/>
      <c r="K179" s="45"/>
      <c r="L179" s="45"/>
      <c r="M179" s="2"/>
      <c r="N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2"/>
      <c r="B180" s="1"/>
      <c r="C180" s="1"/>
      <c r="D180" s="45"/>
      <c r="E180" s="45"/>
      <c r="F180" s="45"/>
      <c r="G180" s="45"/>
      <c r="H180" s="98"/>
      <c r="I180" s="45"/>
      <c r="J180" s="45"/>
      <c r="K180" s="45"/>
      <c r="L180" s="45"/>
      <c r="M180" s="2"/>
      <c r="N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2"/>
      <c r="B181" s="1"/>
      <c r="C181" s="1"/>
      <c r="D181" s="45"/>
      <c r="E181" s="45"/>
      <c r="F181" s="45"/>
      <c r="G181" s="45"/>
      <c r="H181" s="98"/>
      <c r="I181" s="45"/>
      <c r="J181" s="45"/>
      <c r="K181" s="45"/>
      <c r="L181" s="45"/>
      <c r="M181" s="2"/>
      <c r="N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2"/>
      <c r="B182" s="1"/>
      <c r="C182" s="1"/>
      <c r="D182" s="45"/>
      <c r="E182" s="45"/>
      <c r="F182" s="45"/>
      <c r="G182" s="45"/>
      <c r="H182" s="98"/>
      <c r="I182" s="45"/>
      <c r="J182" s="45"/>
      <c r="K182" s="45"/>
      <c r="L182" s="45"/>
      <c r="M182" s="2"/>
      <c r="N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2"/>
      <c r="B183" s="1"/>
      <c r="C183" s="1"/>
      <c r="D183" s="45"/>
      <c r="E183" s="45"/>
      <c r="F183" s="45"/>
      <c r="G183" s="45"/>
      <c r="H183" s="98"/>
      <c r="I183" s="45"/>
      <c r="J183" s="45"/>
      <c r="K183" s="45"/>
      <c r="L183" s="45"/>
      <c r="M183" s="2"/>
      <c r="N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2"/>
      <c r="B184" s="1"/>
      <c r="C184" s="1"/>
      <c r="D184" s="45"/>
      <c r="E184" s="45"/>
      <c r="F184" s="45"/>
      <c r="G184" s="45"/>
      <c r="H184" s="98"/>
      <c r="I184" s="45"/>
      <c r="J184" s="45"/>
      <c r="K184" s="45"/>
      <c r="L184" s="45"/>
      <c r="M184" s="2"/>
      <c r="N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2"/>
      <c r="B185" s="1"/>
      <c r="C185" s="1"/>
      <c r="D185" s="45"/>
      <c r="E185" s="45"/>
      <c r="F185" s="45"/>
      <c r="G185" s="45"/>
      <c r="H185" s="98"/>
      <c r="I185" s="45"/>
      <c r="J185" s="45"/>
      <c r="K185" s="45"/>
      <c r="L185" s="45"/>
      <c r="M185" s="2"/>
      <c r="N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2"/>
      <c r="B186" s="1"/>
      <c r="C186" s="1"/>
      <c r="D186" s="45"/>
      <c r="E186" s="45"/>
      <c r="F186" s="45"/>
      <c r="G186" s="45"/>
      <c r="H186" s="98"/>
      <c r="I186" s="45"/>
      <c r="J186" s="45"/>
      <c r="K186" s="45"/>
      <c r="L186" s="45"/>
      <c r="M186" s="2"/>
      <c r="N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2"/>
      <c r="B187" s="1"/>
      <c r="C187" s="1"/>
      <c r="D187" s="45"/>
      <c r="E187" s="45"/>
      <c r="F187" s="45"/>
      <c r="G187" s="45"/>
      <c r="H187" s="98"/>
      <c r="I187" s="45"/>
      <c r="J187" s="45"/>
      <c r="K187" s="45"/>
      <c r="L187" s="45"/>
      <c r="M187" s="2"/>
      <c r="N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2"/>
      <c r="B188" s="1"/>
      <c r="C188" s="1"/>
      <c r="D188" s="45"/>
      <c r="E188" s="45"/>
      <c r="F188" s="45"/>
      <c r="G188" s="45"/>
      <c r="H188" s="98"/>
      <c r="I188" s="45"/>
      <c r="J188" s="45"/>
      <c r="K188" s="45"/>
      <c r="L188" s="45"/>
      <c r="M188" s="2"/>
      <c r="N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2"/>
      <c r="B189" s="1"/>
      <c r="C189" s="1"/>
      <c r="D189" s="45"/>
      <c r="E189" s="45"/>
      <c r="F189" s="45"/>
      <c r="G189" s="45"/>
      <c r="H189" s="98"/>
      <c r="I189" s="45"/>
      <c r="J189" s="45"/>
      <c r="K189" s="45"/>
      <c r="L189" s="45"/>
      <c r="M189" s="2"/>
      <c r="N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2"/>
      <c r="B190" s="1"/>
      <c r="C190" s="1"/>
      <c r="D190" s="45"/>
      <c r="E190" s="45"/>
      <c r="F190" s="45"/>
      <c r="G190" s="45"/>
      <c r="H190" s="98"/>
      <c r="I190" s="45"/>
      <c r="J190" s="45"/>
      <c r="K190" s="45"/>
      <c r="L190" s="45"/>
      <c r="M190" s="2"/>
      <c r="N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2"/>
      <c r="B191" s="1"/>
      <c r="C191" s="1"/>
      <c r="D191" s="45"/>
      <c r="E191" s="45"/>
      <c r="F191" s="45"/>
      <c r="G191" s="45"/>
      <c r="H191" s="98"/>
      <c r="I191" s="45"/>
      <c r="J191" s="45"/>
      <c r="K191" s="45"/>
      <c r="L191" s="45"/>
      <c r="M191" s="2"/>
      <c r="N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2"/>
      <c r="B192" s="1"/>
      <c r="C192" s="1"/>
      <c r="D192" s="45"/>
      <c r="E192" s="45"/>
      <c r="F192" s="45"/>
      <c r="G192" s="45"/>
      <c r="H192" s="98"/>
      <c r="I192" s="45"/>
      <c r="J192" s="45"/>
      <c r="K192" s="45"/>
      <c r="L192" s="45"/>
      <c r="M192" s="2"/>
      <c r="N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2"/>
      <c r="B193" s="1"/>
      <c r="C193" s="1"/>
      <c r="D193" s="45"/>
      <c r="E193" s="45"/>
      <c r="F193" s="45"/>
      <c r="G193" s="45"/>
      <c r="H193" s="98"/>
      <c r="I193" s="45"/>
      <c r="J193" s="45"/>
      <c r="K193" s="45"/>
      <c r="L193" s="45"/>
      <c r="M193" s="2"/>
      <c r="N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2"/>
      <c r="B194" s="1"/>
      <c r="C194" s="1"/>
      <c r="D194" s="45"/>
      <c r="E194" s="45"/>
      <c r="F194" s="45"/>
      <c r="G194" s="45"/>
      <c r="H194" s="98"/>
      <c r="I194" s="45"/>
      <c r="J194" s="45"/>
      <c r="K194" s="45"/>
      <c r="L194" s="45"/>
      <c r="M194" s="2"/>
      <c r="N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2"/>
      <c r="B195" s="1"/>
      <c r="C195" s="1"/>
      <c r="D195" s="45"/>
      <c r="E195" s="45"/>
      <c r="F195" s="45"/>
      <c r="G195" s="45"/>
      <c r="H195" s="98"/>
      <c r="I195" s="45"/>
      <c r="J195" s="45"/>
      <c r="K195" s="45"/>
      <c r="L195" s="45"/>
      <c r="M195" s="2"/>
      <c r="N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2"/>
      <c r="B196" s="1"/>
      <c r="C196" s="1"/>
      <c r="D196" s="45"/>
      <c r="E196" s="45"/>
      <c r="F196" s="45"/>
      <c r="G196" s="45"/>
      <c r="H196" s="98"/>
      <c r="I196" s="45"/>
      <c r="J196" s="45"/>
      <c r="K196" s="45"/>
      <c r="L196" s="45"/>
      <c r="M196" s="2"/>
      <c r="N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2"/>
      <c r="B197" s="1"/>
      <c r="C197" s="1"/>
      <c r="D197" s="45"/>
      <c r="E197" s="45"/>
      <c r="F197" s="45"/>
      <c r="G197" s="45"/>
      <c r="H197" s="98"/>
      <c r="I197" s="45"/>
      <c r="J197" s="45"/>
      <c r="K197" s="45"/>
      <c r="L197" s="45"/>
      <c r="M197" s="2"/>
      <c r="N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2"/>
      <c r="B198" s="1"/>
      <c r="C198" s="1"/>
      <c r="D198" s="45"/>
      <c r="E198" s="45"/>
      <c r="F198" s="45"/>
      <c r="G198" s="45"/>
      <c r="H198" s="98"/>
      <c r="I198" s="45"/>
      <c r="J198" s="45"/>
      <c r="K198" s="45"/>
      <c r="L198" s="45"/>
      <c r="M198" s="2"/>
      <c r="N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2"/>
      <c r="B199" s="1"/>
      <c r="C199" s="1"/>
      <c r="D199" s="45"/>
      <c r="E199" s="45"/>
      <c r="F199" s="45"/>
      <c r="G199" s="45"/>
      <c r="H199" s="45"/>
      <c r="I199" s="45"/>
      <c r="J199" s="45"/>
      <c r="K199" s="45"/>
      <c r="L199" s="45"/>
      <c r="M199" s="2"/>
      <c r="N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2"/>
      <c r="B200" s="1"/>
      <c r="C200" s="1"/>
      <c r="D200" s="45"/>
      <c r="E200" s="45"/>
      <c r="F200" s="45"/>
      <c r="G200" s="45"/>
      <c r="H200" s="45"/>
      <c r="I200" s="45"/>
      <c r="J200" s="45"/>
      <c r="K200" s="45"/>
      <c r="L200" s="45"/>
      <c r="M200" s="2"/>
      <c r="N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2"/>
      <c r="B201" s="1"/>
      <c r="C201" s="1"/>
      <c r="D201" s="45"/>
      <c r="E201" s="45"/>
      <c r="F201" s="45"/>
      <c r="G201" s="45"/>
      <c r="H201" s="45"/>
      <c r="I201" s="45"/>
      <c r="J201" s="45"/>
      <c r="K201" s="45"/>
      <c r="L201" s="45"/>
      <c r="M201" s="2"/>
      <c r="N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2"/>
      <c r="B202" s="1"/>
      <c r="C202" s="1"/>
      <c r="D202" s="45"/>
      <c r="E202" s="45"/>
      <c r="F202" s="45"/>
      <c r="G202" s="45"/>
      <c r="H202" s="45"/>
      <c r="I202" s="45"/>
      <c r="J202" s="45"/>
      <c r="K202" s="45"/>
      <c r="L202" s="45"/>
      <c r="M202" s="2"/>
      <c r="N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2"/>
      <c r="B203" s="1"/>
      <c r="C203" s="1"/>
      <c r="D203" s="45"/>
      <c r="E203" s="45"/>
      <c r="F203" s="45"/>
      <c r="G203" s="45"/>
      <c r="H203" s="45"/>
      <c r="I203" s="45"/>
      <c r="J203" s="45"/>
      <c r="K203" s="45"/>
      <c r="L203" s="45"/>
      <c r="M203" s="2"/>
      <c r="N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2"/>
      <c r="B204" s="1"/>
      <c r="C204" s="1"/>
      <c r="D204" s="45"/>
      <c r="E204" s="45"/>
      <c r="F204" s="45"/>
      <c r="G204" s="45"/>
      <c r="H204" s="45"/>
      <c r="I204" s="45"/>
      <c r="J204" s="45"/>
      <c r="K204" s="45"/>
      <c r="L204" s="45"/>
      <c r="M204" s="2"/>
      <c r="N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2"/>
      <c r="B205" s="1"/>
      <c r="C205" s="1"/>
      <c r="D205" s="45"/>
      <c r="E205" s="45"/>
      <c r="F205" s="45"/>
      <c r="G205" s="45"/>
      <c r="H205" s="45"/>
      <c r="I205" s="45"/>
      <c r="J205" s="45"/>
      <c r="K205" s="45"/>
      <c r="L205" s="45"/>
      <c r="M205" s="2"/>
      <c r="N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2"/>
      <c r="B206" s="1"/>
      <c r="C206" s="1"/>
      <c r="D206" s="45"/>
      <c r="E206" s="45"/>
      <c r="F206" s="45"/>
      <c r="G206" s="45"/>
      <c r="H206" s="45"/>
      <c r="I206" s="45"/>
      <c r="J206" s="45"/>
      <c r="K206" s="45"/>
      <c r="L206" s="45"/>
      <c r="M206" s="2"/>
      <c r="N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2"/>
      <c r="B207" s="1"/>
      <c r="C207" s="1"/>
      <c r="D207" s="45"/>
      <c r="E207" s="45"/>
      <c r="F207" s="45"/>
      <c r="G207" s="45"/>
      <c r="H207" s="45"/>
      <c r="I207" s="45"/>
      <c r="J207" s="45"/>
      <c r="K207" s="45"/>
      <c r="L207" s="45"/>
      <c r="M207" s="2"/>
      <c r="N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2"/>
      <c r="B208" s="1"/>
      <c r="C208" s="1"/>
      <c r="D208" s="45"/>
      <c r="E208" s="45"/>
      <c r="F208" s="45"/>
      <c r="G208" s="45"/>
      <c r="H208" s="45"/>
      <c r="I208" s="45"/>
      <c r="J208" s="45"/>
      <c r="K208" s="45"/>
      <c r="L208" s="45"/>
      <c r="M208" s="2"/>
      <c r="N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2"/>
      <c r="B209" s="1"/>
      <c r="C209" s="1"/>
      <c r="D209" s="45"/>
      <c r="E209" s="45"/>
      <c r="F209" s="45"/>
      <c r="G209" s="45"/>
      <c r="H209" s="45"/>
      <c r="I209" s="45"/>
      <c r="J209" s="45"/>
      <c r="K209" s="45"/>
      <c r="L209" s="45"/>
      <c r="M209" s="2"/>
      <c r="N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2"/>
      <c r="B210" s="1"/>
      <c r="C210" s="1"/>
      <c r="D210" s="45"/>
      <c r="E210" s="45"/>
      <c r="F210" s="45"/>
      <c r="G210" s="45"/>
      <c r="H210" s="45"/>
      <c r="I210" s="45"/>
      <c r="J210" s="45"/>
      <c r="K210" s="45"/>
      <c r="L210" s="45"/>
      <c r="M210" s="2"/>
      <c r="N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2"/>
      <c r="B211" s="1"/>
      <c r="C211" s="1"/>
      <c r="D211" s="45"/>
      <c r="E211" s="45"/>
      <c r="F211" s="45"/>
      <c r="G211" s="45"/>
      <c r="H211" s="45"/>
      <c r="I211" s="45"/>
      <c r="J211" s="45"/>
      <c r="K211" s="45"/>
      <c r="L211" s="45"/>
      <c r="M211" s="2"/>
      <c r="N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2"/>
      <c r="B212" s="1"/>
      <c r="C212" s="1"/>
      <c r="D212" s="45"/>
      <c r="E212" s="45"/>
      <c r="F212" s="45"/>
      <c r="G212" s="45"/>
      <c r="H212" s="45"/>
      <c r="I212" s="45"/>
      <c r="J212" s="45"/>
      <c r="K212" s="45"/>
      <c r="L212" s="45"/>
      <c r="M212" s="2"/>
      <c r="N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2"/>
      <c r="B213" s="1"/>
      <c r="C213" s="1"/>
      <c r="D213" s="45"/>
      <c r="E213" s="45"/>
      <c r="F213" s="45"/>
      <c r="G213" s="45"/>
      <c r="H213" s="45"/>
      <c r="I213" s="45"/>
      <c r="J213" s="45"/>
      <c r="K213" s="45"/>
      <c r="L213" s="45"/>
      <c r="M213" s="2"/>
      <c r="N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2"/>
      <c r="B214" s="1"/>
      <c r="C214" s="1"/>
      <c r="D214" s="45"/>
      <c r="E214" s="45"/>
      <c r="F214" s="45"/>
      <c r="G214" s="45"/>
      <c r="H214" s="45"/>
      <c r="I214" s="45"/>
      <c r="J214" s="45"/>
      <c r="K214" s="45"/>
      <c r="L214" s="45"/>
      <c r="M214" s="2"/>
      <c r="N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2"/>
      <c r="B215" s="1"/>
      <c r="C215" s="1"/>
      <c r="D215" s="45"/>
      <c r="E215" s="45"/>
      <c r="F215" s="45"/>
      <c r="G215" s="45"/>
      <c r="H215" s="45"/>
      <c r="I215" s="45"/>
      <c r="J215" s="45"/>
      <c r="K215" s="45"/>
      <c r="L215" s="45"/>
      <c r="M215" s="2"/>
      <c r="N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2"/>
      <c r="B216" s="1"/>
      <c r="C216" s="1"/>
      <c r="D216" s="45"/>
      <c r="E216" s="45"/>
      <c r="F216" s="45"/>
      <c r="G216" s="45"/>
      <c r="H216" s="45"/>
      <c r="I216" s="45"/>
      <c r="J216" s="45"/>
      <c r="K216" s="45"/>
      <c r="L216" s="45"/>
      <c r="M216" s="2"/>
      <c r="N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2"/>
      <c r="B217" s="1"/>
      <c r="C217" s="1"/>
      <c r="D217" s="45"/>
      <c r="E217" s="45"/>
      <c r="F217" s="45"/>
      <c r="G217" s="45"/>
      <c r="H217" s="45"/>
      <c r="I217" s="45"/>
      <c r="J217" s="45"/>
      <c r="K217" s="45"/>
      <c r="L217" s="45"/>
      <c r="M217" s="2"/>
      <c r="N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2"/>
      <c r="B218" s="1"/>
      <c r="C218" s="1"/>
      <c r="D218" s="45"/>
      <c r="E218" s="45"/>
      <c r="F218" s="45"/>
      <c r="G218" s="45"/>
      <c r="H218" s="45"/>
      <c r="I218" s="45"/>
      <c r="J218" s="45"/>
      <c r="K218" s="45"/>
      <c r="L218" s="45"/>
      <c r="M218" s="2"/>
      <c r="N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2"/>
      <c r="B219" s="1"/>
      <c r="C219" s="1"/>
      <c r="D219" s="45"/>
      <c r="E219" s="45"/>
      <c r="F219" s="45"/>
      <c r="G219" s="45"/>
      <c r="H219" s="45"/>
      <c r="I219" s="45"/>
      <c r="J219" s="45"/>
      <c r="K219" s="45"/>
      <c r="L219" s="45"/>
      <c r="M219" s="2"/>
      <c r="N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2"/>
      <c r="B220" s="1"/>
      <c r="C220" s="1"/>
      <c r="D220" s="45"/>
      <c r="E220" s="45"/>
      <c r="F220" s="45"/>
      <c r="G220" s="45"/>
      <c r="H220" s="45"/>
      <c r="I220" s="45"/>
      <c r="J220" s="45"/>
      <c r="K220" s="45"/>
      <c r="L220" s="45"/>
      <c r="M220" s="2"/>
      <c r="N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2"/>
      <c r="B221" s="1"/>
      <c r="C221" s="1"/>
      <c r="D221" s="45"/>
      <c r="E221" s="45"/>
      <c r="F221" s="45"/>
      <c r="G221" s="45"/>
      <c r="H221" s="45"/>
      <c r="I221" s="45"/>
      <c r="J221" s="45"/>
      <c r="K221" s="45"/>
      <c r="L221" s="45"/>
      <c r="M221" s="2"/>
      <c r="N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2"/>
      <c r="B222" s="1"/>
      <c r="C222" s="1"/>
      <c r="D222" s="45"/>
      <c r="E222" s="45"/>
      <c r="F222" s="45"/>
      <c r="G222" s="45"/>
      <c r="H222" s="45"/>
      <c r="I222" s="45"/>
      <c r="J222" s="45"/>
      <c r="K222" s="45"/>
      <c r="L222" s="45"/>
      <c r="M222" s="2"/>
      <c r="N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2"/>
      <c r="B223" s="1"/>
      <c r="C223" s="1"/>
      <c r="D223" s="45"/>
      <c r="E223" s="45"/>
      <c r="F223" s="45"/>
      <c r="G223" s="45"/>
      <c r="H223" s="45"/>
      <c r="I223" s="45"/>
      <c r="J223" s="45"/>
      <c r="K223" s="45"/>
      <c r="L223" s="45"/>
      <c r="M223" s="2"/>
      <c r="N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2"/>
      <c r="B224" s="1"/>
      <c r="C224" s="1"/>
      <c r="D224" s="45"/>
      <c r="E224" s="45"/>
      <c r="F224" s="45"/>
      <c r="G224" s="45"/>
      <c r="H224" s="45"/>
      <c r="I224" s="45"/>
      <c r="J224" s="45"/>
      <c r="K224" s="45"/>
      <c r="L224" s="45"/>
      <c r="M224" s="2"/>
      <c r="N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2"/>
      <c r="B225" s="1"/>
      <c r="C225" s="1"/>
      <c r="D225" s="45"/>
      <c r="E225" s="45"/>
      <c r="F225" s="45"/>
      <c r="G225" s="45"/>
      <c r="H225" s="45"/>
      <c r="I225" s="45"/>
      <c r="J225" s="45"/>
      <c r="K225" s="45"/>
      <c r="L225" s="45"/>
      <c r="M225" s="2"/>
      <c r="N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2"/>
      <c r="B226" s="1"/>
      <c r="C226" s="1"/>
      <c r="D226" s="45"/>
      <c r="E226" s="45"/>
      <c r="F226" s="45"/>
      <c r="G226" s="45"/>
      <c r="H226" s="45"/>
      <c r="I226" s="45"/>
      <c r="J226" s="45"/>
      <c r="K226" s="45"/>
      <c r="L226" s="45"/>
      <c r="M226" s="2"/>
      <c r="N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2"/>
      <c r="B227" s="1"/>
      <c r="C227" s="1"/>
      <c r="D227" s="45"/>
      <c r="E227" s="45"/>
      <c r="F227" s="45"/>
      <c r="G227" s="45"/>
      <c r="H227" s="45"/>
      <c r="I227" s="45"/>
      <c r="J227" s="45"/>
      <c r="K227" s="45"/>
      <c r="L227" s="45"/>
      <c r="M227" s="2"/>
      <c r="N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2"/>
      <c r="B228" s="1"/>
      <c r="C228" s="1"/>
      <c r="D228" s="45"/>
      <c r="E228" s="45"/>
      <c r="F228" s="45"/>
      <c r="G228" s="45"/>
      <c r="H228" s="45"/>
      <c r="I228" s="45"/>
      <c r="J228" s="45"/>
      <c r="K228" s="45"/>
      <c r="L228" s="45"/>
      <c r="M228" s="2"/>
      <c r="N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2"/>
      <c r="B229" s="1"/>
      <c r="C229" s="1"/>
      <c r="D229" s="45"/>
      <c r="E229" s="45"/>
      <c r="F229" s="45"/>
      <c r="G229" s="45"/>
      <c r="H229" s="45"/>
      <c r="I229" s="45"/>
      <c r="J229" s="45"/>
      <c r="K229" s="45"/>
      <c r="L229" s="45"/>
      <c r="M229" s="2"/>
      <c r="N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2"/>
      <c r="B230" s="1"/>
      <c r="C230" s="1"/>
      <c r="D230" s="45"/>
      <c r="E230" s="45"/>
      <c r="F230" s="45"/>
      <c r="G230" s="45"/>
      <c r="H230" s="45"/>
      <c r="I230" s="45"/>
      <c r="J230" s="45"/>
      <c r="K230" s="45"/>
      <c r="L230" s="45"/>
      <c r="M230" s="2"/>
      <c r="N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2"/>
      <c r="B231" s="1"/>
      <c r="C231" s="1"/>
      <c r="D231" s="45"/>
      <c r="E231" s="45"/>
      <c r="F231" s="45"/>
      <c r="G231" s="45"/>
      <c r="H231" s="45"/>
      <c r="I231" s="45"/>
      <c r="J231" s="45"/>
      <c r="K231" s="45"/>
      <c r="L231" s="45"/>
      <c r="M231" s="2"/>
      <c r="N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2"/>
      <c r="B232" s="1"/>
      <c r="C232" s="1"/>
      <c r="D232" s="45"/>
      <c r="E232" s="45"/>
      <c r="F232" s="45"/>
      <c r="G232" s="45"/>
      <c r="H232" s="45"/>
      <c r="I232" s="45"/>
      <c r="J232" s="45"/>
      <c r="K232" s="45"/>
      <c r="L232" s="45"/>
      <c r="M232" s="2"/>
      <c r="N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2"/>
      <c r="B233" s="1"/>
      <c r="C233" s="1"/>
      <c r="D233" s="45"/>
      <c r="E233" s="45"/>
      <c r="F233" s="45"/>
      <c r="G233" s="45"/>
      <c r="H233" s="45"/>
      <c r="I233" s="45"/>
      <c r="J233" s="45"/>
      <c r="K233" s="45"/>
      <c r="L233" s="45"/>
      <c r="M233" s="2"/>
      <c r="N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2"/>
      <c r="B234" s="1"/>
      <c r="C234" s="1"/>
      <c r="D234" s="45"/>
      <c r="E234" s="45"/>
      <c r="F234" s="45"/>
      <c r="G234" s="45"/>
      <c r="H234" s="45"/>
      <c r="I234" s="45"/>
      <c r="J234" s="45"/>
      <c r="K234" s="45"/>
      <c r="L234" s="45"/>
      <c r="M234" s="2"/>
      <c r="N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2"/>
      <c r="B235" s="1"/>
      <c r="C235" s="1"/>
      <c r="D235" s="45"/>
      <c r="E235" s="45"/>
      <c r="F235" s="45"/>
      <c r="G235" s="45"/>
      <c r="H235" s="45"/>
      <c r="I235" s="45"/>
      <c r="J235" s="45"/>
      <c r="K235" s="45"/>
      <c r="L235" s="45"/>
      <c r="M235" s="2"/>
      <c r="N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2"/>
      <c r="B236" s="1"/>
      <c r="C236" s="1"/>
      <c r="D236" s="45"/>
      <c r="E236" s="45"/>
      <c r="F236" s="45"/>
      <c r="G236" s="45"/>
      <c r="H236" s="45"/>
      <c r="I236" s="45"/>
      <c r="J236" s="45"/>
      <c r="K236" s="45"/>
      <c r="L236" s="45"/>
      <c r="M236" s="2"/>
      <c r="N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2"/>
      <c r="B237" s="1"/>
      <c r="C237" s="1"/>
      <c r="D237" s="45"/>
      <c r="E237" s="45"/>
      <c r="F237" s="45"/>
      <c r="G237" s="45"/>
      <c r="H237" s="45"/>
      <c r="I237" s="45"/>
      <c r="J237" s="45"/>
      <c r="K237" s="45"/>
      <c r="L237" s="45"/>
      <c r="M237" s="2"/>
      <c r="N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2"/>
      <c r="B238" s="1"/>
      <c r="C238" s="1"/>
      <c r="D238" s="45"/>
      <c r="E238" s="45"/>
      <c r="F238" s="45"/>
      <c r="G238" s="45"/>
      <c r="H238" s="45"/>
      <c r="I238" s="45"/>
      <c r="J238" s="45"/>
      <c r="K238" s="45"/>
      <c r="L238" s="45"/>
      <c r="M238" s="2"/>
      <c r="N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2"/>
      <c r="B239" s="1"/>
      <c r="C239" s="1"/>
      <c r="D239" s="45"/>
      <c r="E239" s="45"/>
      <c r="F239" s="45"/>
      <c r="G239" s="45"/>
      <c r="H239" s="45"/>
      <c r="I239" s="45"/>
      <c r="J239" s="45"/>
      <c r="K239" s="45"/>
      <c r="L239" s="45"/>
      <c r="M239" s="2"/>
      <c r="N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2"/>
      <c r="B240" s="1"/>
      <c r="C240" s="1"/>
      <c r="D240" s="45"/>
      <c r="E240" s="45"/>
      <c r="F240" s="45"/>
      <c r="G240" s="45"/>
      <c r="H240" s="45"/>
      <c r="I240" s="45"/>
      <c r="J240" s="45"/>
      <c r="K240" s="45"/>
      <c r="L240" s="45"/>
      <c r="M240" s="2"/>
      <c r="N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2"/>
      <c r="B241" s="1"/>
      <c r="C241" s="1"/>
      <c r="D241" s="45"/>
      <c r="E241" s="45"/>
      <c r="F241" s="45"/>
      <c r="G241" s="45"/>
      <c r="H241" s="45"/>
      <c r="I241" s="45"/>
      <c r="J241" s="45"/>
      <c r="K241" s="45"/>
      <c r="L241" s="45"/>
      <c r="M241" s="2"/>
      <c r="N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2"/>
      <c r="B242" s="1"/>
      <c r="C242" s="1"/>
      <c r="D242" s="45"/>
      <c r="E242" s="45"/>
      <c r="F242" s="45"/>
      <c r="G242" s="45"/>
      <c r="H242" s="45"/>
      <c r="I242" s="45"/>
      <c r="J242" s="45"/>
      <c r="K242" s="45"/>
      <c r="L242" s="45"/>
      <c r="M242" s="2"/>
      <c r="N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2"/>
      <c r="B243" s="1"/>
      <c r="C243" s="1"/>
      <c r="D243" s="45"/>
      <c r="E243" s="45"/>
      <c r="F243" s="45"/>
      <c r="G243" s="45"/>
      <c r="H243" s="45"/>
      <c r="I243" s="45"/>
      <c r="J243" s="45"/>
      <c r="K243" s="45"/>
      <c r="L243" s="45"/>
      <c r="M243" s="2"/>
      <c r="N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2"/>
      <c r="B244" s="1"/>
      <c r="C244" s="1"/>
      <c r="D244" s="45"/>
      <c r="E244" s="45"/>
      <c r="F244" s="45"/>
      <c r="G244" s="45"/>
      <c r="H244" s="45"/>
      <c r="I244" s="45"/>
      <c r="J244" s="45"/>
      <c r="K244" s="45"/>
      <c r="L244" s="45"/>
      <c r="M244" s="2"/>
      <c r="N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2"/>
      <c r="B245" s="1"/>
      <c r="C245" s="1"/>
      <c r="D245" s="45"/>
      <c r="E245" s="45"/>
      <c r="F245" s="45"/>
      <c r="G245" s="45"/>
      <c r="H245" s="45"/>
      <c r="I245" s="45"/>
      <c r="J245" s="45"/>
      <c r="K245" s="45"/>
      <c r="L245" s="45"/>
      <c r="M245" s="2"/>
      <c r="N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2"/>
      <c r="B246" s="1"/>
      <c r="C246" s="1"/>
      <c r="D246" s="45"/>
      <c r="E246" s="45"/>
      <c r="F246" s="45"/>
      <c r="G246" s="45"/>
      <c r="H246" s="45"/>
      <c r="I246" s="45"/>
      <c r="J246" s="45"/>
      <c r="K246" s="45"/>
      <c r="L246" s="45"/>
      <c r="M246" s="2"/>
      <c r="N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2"/>
      <c r="B247" s="1"/>
      <c r="C247" s="1"/>
      <c r="D247" s="45"/>
      <c r="E247" s="45"/>
      <c r="F247" s="45"/>
      <c r="G247" s="45"/>
      <c r="H247" s="45"/>
      <c r="I247" s="45"/>
      <c r="J247" s="45"/>
      <c r="K247" s="45"/>
      <c r="L247" s="45"/>
      <c r="M247" s="2"/>
      <c r="N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2"/>
      <c r="B248" s="1"/>
      <c r="C248" s="1"/>
      <c r="D248" s="45"/>
      <c r="E248" s="45"/>
      <c r="F248" s="45"/>
      <c r="G248" s="45"/>
      <c r="H248" s="45"/>
      <c r="I248" s="45"/>
      <c r="J248" s="45"/>
      <c r="K248" s="45"/>
      <c r="L248" s="45"/>
      <c r="M248" s="2"/>
      <c r="N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2"/>
      <c r="B249" s="1"/>
      <c r="C249" s="1"/>
      <c r="D249" s="45"/>
      <c r="E249" s="45"/>
      <c r="F249" s="45"/>
      <c r="G249" s="45"/>
      <c r="H249" s="45"/>
      <c r="I249" s="45"/>
      <c r="J249" s="45"/>
      <c r="K249" s="45"/>
      <c r="L249" s="45"/>
      <c r="M249" s="2"/>
      <c r="N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2"/>
      <c r="B250" s="1"/>
      <c r="C250" s="1"/>
      <c r="D250" s="45"/>
      <c r="E250" s="45"/>
      <c r="F250" s="45"/>
      <c r="G250" s="45"/>
      <c r="H250" s="45"/>
      <c r="I250" s="45"/>
      <c r="J250" s="45"/>
      <c r="K250" s="45"/>
      <c r="L250" s="45"/>
      <c r="M250" s="2"/>
      <c r="N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2"/>
      <c r="B251" s="1"/>
      <c r="C251" s="1"/>
      <c r="D251" s="45"/>
      <c r="E251" s="45"/>
      <c r="F251" s="45"/>
      <c r="G251" s="45"/>
      <c r="H251" s="45"/>
      <c r="I251" s="45"/>
      <c r="J251" s="45"/>
      <c r="K251" s="45"/>
      <c r="L251" s="45"/>
      <c r="M251" s="2"/>
      <c r="N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2"/>
      <c r="B252" s="1"/>
      <c r="C252" s="1"/>
      <c r="D252" s="45"/>
      <c r="E252" s="45"/>
      <c r="F252" s="45"/>
      <c r="G252" s="45"/>
      <c r="H252" s="45"/>
      <c r="I252" s="45"/>
      <c r="J252" s="45"/>
      <c r="K252" s="45"/>
      <c r="L252" s="45"/>
      <c r="M252" s="2"/>
      <c r="N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2"/>
      <c r="B253" s="1"/>
      <c r="C253" s="1"/>
      <c r="D253" s="45"/>
      <c r="E253" s="45"/>
      <c r="F253" s="45"/>
      <c r="G253" s="45"/>
      <c r="H253" s="45"/>
      <c r="I253" s="45"/>
      <c r="J253" s="45"/>
      <c r="K253" s="45"/>
      <c r="L253" s="45"/>
      <c r="M253" s="2"/>
      <c r="N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2"/>
      <c r="B254" s="1"/>
      <c r="C254" s="1"/>
      <c r="D254" s="45"/>
      <c r="E254" s="45"/>
      <c r="F254" s="45"/>
      <c r="G254" s="45"/>
      <c r="H254" s="45"/>
      <c r="I254" s="45"/>
      <c r="J254" s="45"/>
      <c r="K254" s="45"/>
      <c r="L254" s="45"/>
      <c r="M254" s="2"/>
      <c r="N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2"/>
      <c r="B255" s="1"/>
      <c r="C255" s="1"/>
      <c r="D255" s="45"/>
      <c r="E255" s="45"/>
      <c r="F255" s="45"/>
      <c r="G255" s="45"/>
      <c r="H255" s="45"/>
      <c r="I255" s="45"/>
      <c r="J255" s="45"/>
      <c r="K255" s="45"/>
      <c r="L255" s="45"/>
      <c r="M255" s="2"/>
      <c r="N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2"/>
      <c r="B256" s="1"/>
      <c r="C256" s="1"/>
      <c r="D256" s="45"/>
      <c r="E256" s="45"/>
      <c r="F256" s="45"/>
      <c r="G256" s="45"/>
      <c r="H256" s="45"/>
      <c r="I256" s="45"/>
      <c r="J256" s="45"/>
      <c r="K256" s="45"/>
      <c r="L256" s="45"/>
      <c r="M256" s="2"/>
      <c r="N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2"/>
      <c r="B257" s="1"/>
      <c r="C257" s="1"/>
      <c r="D257" s="45"/>
      <c r="E257" s="45"/>
      <c r="F257" s="45"/>
      <c r="G257" s="45"/>
      <c r="H257" s="45"/>
      <c r="I257" s="45"/>
      <c r="J257" s="45"/>
      <c r="K257" s="45"/>
      <c r="L257" s="45"/>
      <c r="M257" s="2"/>
      <c r="N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2"/>
      <c r="B258" s="1"/>
      <c r="C258" s="1"/>
      <c r="D258" s="45"/>
      <c r="E258" s="45"/>
      <c r="F258" s="45"/>
      <c r="G258" s="45"/>
      <c r="H258" s="45"/>
      <c r="I258" s="45"/>
      <c r="J258" s="45"/>
      <c r="K258" s="45"/>
      <c r="L258" s="45"/>
      <c r="M258" s="2"/>
      <c r="N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2"/>
      <c r="B259" s="1"/>
      <c r="C259" s="1"/>
      <c r="D259" s="45"/>
      <c r="E259" s="45"/>
      <c r="F259" s="45"/>
      <c r="G259" s="45"/>
      <c r="H259" s="45"/>
      <c r="I259" s="45"/>
      <c r="J259" s="45"/>
      <c r="K259" s="45"/>
      <c r="L259" s="45"/>
      <c r="M259" s="2"/>
      <c r="N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2"/>
      <c r="B260" s="1"/>
      <c r="C260" s="1"/>
      <c r="D260" s="45"/>
      <c r="E260" s="45"/>
      <c r="F260" s="45"/>
      <c r="G260" s="45"/>
      <c r="H260" s="45"/>
      <c r="I260" s="45"/>
      <c r="J260" s="45"/>
      <c r="K260" s="45"/>
      <c r="L260" s="45"/>
      <c r="M260" s="2"/>
      <c r="N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1"/>
      <c r="C261" s="1"/>
      <c r="D261" s="45"/>
      <c r="E261" s="45"/>
      <c r="F261" s="45"/>
      <c r="G261" s="45"/>
      <c r="H261" s="45"/>
      <c r="I261" s="45"/>
      <c r="J261" s="45"/>
      <c r="K261" s="45"/>
      <c r="L261" s="45"/>
      <c r="M261" s="2"/>
      <c r="N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1"/>
      <c r="C262" s="1"/>
      <c r="D262" s="45"/>
      <c r="E262" s="45"/>
      <c r="F262" s="45"/>
      <c r="G262" s="45"/>
      <c r="H262" s="45"/>
      <c r="I262" s="45"/>
      <c r="J262" s="45"/>
      <c r="K262" s="45"/>
      <c r="L262" s="45"/>
      <c r="M262" s="2"/>
      <c r="N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1"/>
      <c r="C263" s="1"/>
      <c r="D263" s="45"/>
      <c r="E263" s="45"/>
      <c r="F263" s="45"/>
      <c r="G263" s="45"/>
      <c r="H263" s="45"/>
      <c r="I263" s="45"/>
      <c r="J263" s="45"/>
      <c r="K263" s="45"/>
      <c r="L263" s="45"/>
      <c r="M263" s="2"/>
      <c r="N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1"/>
      <c r="C264" s="1"/>
      <c r="D264" s="45"/>
      <c r="E264" s="45"/>
      <c r="F264" s="45"/>
      <c r="G264" s="45"/>
      <c r="H264" s="45"/>
      <c r="I264" s="45"/>
      <c r="J264" s="45"/>
      <c r="K264" s="45"/>
      <c r="L264" s="45"/>
      <c r="M264" s="2"/>
      <c r="N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1"/>
      <c r="C265" s="1"/>
      <c r="D265" s="45"/>
      <c r="E265" s="45"/>
      <c r="F265" s="45"/>
      <c r="G265" s="45"/>
      <c r="H265" s="45"/>
      <c r="I265" s="45"/>
      <c r="J265" s="45"/>
      <c r="K265" s="45"/>
      <c r="L265" s="45"/>
      <c r="M265" s="2"/>
      <c r="N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1"/>
      <c r="C266" s="1"/>
      <c r="D266" s="45"/>
      <c r="E266" s="45"/>
      <c r="F266" s="45"/>
      <c r="G266" s="45"/>
      <c r="H266" s="45"/>
      <c r="I266" s="45"/>
      <c r="J266" s="45"/>
      <c r="K266" s="45"/>
      <c r="L266" s="45"/>
      <c r="M266" s="2"/>
      <c r="N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1"/>
      <c r="C267" s="1"/>
      <c r="D267" s="45"/>
      <c r="E267" s="45"/>
      <c r="F267" s="45"/>
      <c r="G267" s="45"/>
      <c r="H267" s="45"/>
      <c r="I267" s="45"/>
      <c r="J267" s="45"/>
      <c r="K267" s="45"/>
      <c r="L267" s="45"/>
      <c r="M267" s="2"/>
      <c r="N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1"/>
      <c r="C268" s="1"/>
      <c r="D268" s="45"/>
      <c r="E268" s="45"/>
      <c r="F268" s="45"/>
      <c r="G268" s="45"/>
      <c r="H268" s="45"/>
      <c r="I268" s="45"/>
      <c r="J268" s="45"/>
      <c r="K268" s="45"/>
      <c r="L268" s="45"/>
      <c r="M268" s="2"/>
      <c r="N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1"/>
      <c r="C269" s="1"/>
      <c r="D269" s="45"/>
      <c r="E269" s="45"/>
      <c r="F269" s="45"/>
      <c r="G269" s="45"/>
      <c r="H269" s="45"/>
      <c r="I269" s="45"/>
      <c r="J269" s="45"/>
      <c r="K269" s="45"/>
      <c r="L269" s="45"/>
      <c r="M269" s="2"/>
      <c r="N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1"/>
      <c r="C270" s="1"/>
      <c r="D270" s="45"/>
      <c r="E270" s="45"/>
      <c r="F270" s="45"/>
      <c r="G270" s="45"/>
      <c r="H270" s="45"/>
      <c r="I270" s="45"/>
      <c r="J270" s="45"/>
      <c r="K270" s="45"/>
      <c r="L270" s="45"/>
      <c r="M270" s="2"/>
      <c r="N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1"/>
      <c r="C271" s="1"/>
      <c r="D271" s="45"/>
      <c r="E271" s="45"/>
      <c r="F271" s="45"/>
      <c r="G271" s="45"/>
      <c r="H271" s="45"/>
      <c r="I271" s="45"/>
      <c r="J271" s="45"/>
      <c r="K271" s="45"/>
      <c r="L271" s="45"/>
      <c r="M271" s="2"/>
      <c r="N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1"/>
      <c r="C272" s="1"/>
      <c r="D272" s="45"/>
      <c r="E272" s="45"/>
      <c r="F272" s="45"/>
      <c r="G272" s="45"/>
      <c r="H272" s="45"/>
      <c r="I272" s="45"/>
      <c r="J272" s="45"/>
      <c r="K272" s="45"/>
      <c r="L272" s="45"/>
      <c r="M272" s="2"/>
      <c r="N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1"/>
      <c r="C273" s="1"/>
      <c r="D273" s="45"/>
      <c r="E273" s="45"/>
      <c r="F273" s="45"/>
      <c r="G273" s="45"/>
      <c r="H273" s="45"/>
      <c r="I273" s="45"/>
      <c r="J273" s="45"/>
      <c r="K273" s="45"/>
      <c r="L273" s="45"/>
      <c r="M273" s="2"/>
      <c r="N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1"/>
      <c r="C274" s="1"/>
      <c r="D274" s="45"/>
      <c r="E274" s="45"/>
      <c r="F274" s="45"/>
      <c r="G274" s="45"/>
      <c r="H274" s="45"/>
      <c r="I274" s="45"/>
      <c r="J274" s="45"/>
      <c r="K274" s="45"/>
      <c r="L274" s="45"/>
      <c r="M274" s="2"/>
      <c r="N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1"/>
      <c r="C275" s="1"/>
      <c r="D275" s="45"/>
      <c r="E275" s="45"/>
      <c r="F275" s="45"/>
      <c r="G275" s="45"/>
      <c r="H275" s="45"/>
      <c r="I275" s="45"/>
      <c r="J275" s="45"/>
      <c r="K275" s="45"/>
      <c r="L275" s="45"/>
      <c r="M275" s="2"/>
      <c r="N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1"/>
      <c r="C276" s="1"/>
      <c r="D276" s="45"/>
      <c r="E276" s="45"/>
      <c r="F276" s="45"/>
      <c r="G276" s="45"/>
      <c r="H276" s="45"/>
      <c r="I276" s="45"/>
      <c r="J276" s="45"/>
      <c r="K276" s="45"/>
      <c r="L276" s="45"/>
      <c r="M276" s="2"/>
      <c r="N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1"/>
      <c r="C277" s="1"/>
      <c r="D277" s="45"/>
      <c r="E277" s="45"/>
      <c r="F277" s="45"/>
      <c r="G277" s="45"/>
      <c r="H277" s="45"/>
      <c r="I277" s="45"/>
      <c r="J277" s="45"/>
      <c r="K277" s="45"/>
      <c r="L277" s="45"/>
      <c r="M277" s="2"/>
      <c r="N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1"/>
      <c r="C278" s="1"/>
      <c r="D278" s="45"/>
      <c r="E278" s="45"/>
      <c r="F278" s="45"/>
      <c r="G278" s="45"/>
      <c r="H278" s="45"/>
      <c r="I278" s="45"/>
      <c r="J278" s="45"/>
      <c r="K278" s="45"/>
      <c r="L278" s="45"/>
      <c r="M278" s="2"/>
      <c r="N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1"/>
      <c r="C279" s="1"/>
      <c r="D279" s="45"/>
      <c r="E279" s="45"/>
      <c r="F279" s="45"/>
      <c r="G279" s="45"/>
      <c r="H279" s="45"/>
      <c r="I279" s="45"/>
      <c r="J279" s="45"/>
      <c r="K279" s="45"/>
      <c r="L279" s="45"/>
      <c r="M279" s="2"/>
      <c r="N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1"/>
      <c r="C280" s="1"/>
      <c r="D280" s="45"/>
      <c r="E280" s="45"/>
      <c r="F280" s="45"/>
      <c r="G280" s="45"/>
      <c r="H280" s="45"/>
      <c r="I280" s="45"/>
      <c r="J280" s="45"/>
      <c r="K280" s="45"/>
      <c r="L280" s="45"/>
      <c r="M280" s="2"/>
      <c r="N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1"/>
      <c r="C281" s="1"/>
      <c r="D281" s="45"/>
      <c r="E281" s="45"/>
      <c r="F281" s="45"/>
      <c r="G281" s="45"/>
      <c r="H281" s="45"/>
      <c r="I281" s="45"/>
      <c r="J281" s="45"/>
      <c r="K281" s="45"/>
      <c r="L281" s="45"/>
      <c r="M281" s="2"/>
      <c r="N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1"/>
      <c r="C282" s="1"/>
      <c r="D282" s="45"/>
      <c r="E282" s="45"/>
      <c r="F282" s="45"/>
      <c r="G282" s="45"/>
      <c r="H282" s="45"/>
      <c r="I282" s="45"/>
      <c r="J282" s="45"/>
      <c r="K282" s="45"/>
      <c r="L282" s="45"/>
      <c r="M282" s="2"/>
      <c r="N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1"/>
      <c r="C283" s="1"/>
      <c r="D283" s="45"/>
      <c r="E283" s="45"/>
      <c r="F283" s="45"/>
      <c r="G283" s="45"/>
      <c r="H283" s="45"/>
      <c r="I283" s="45"/>
      <c r="J283" s="45"/>
      <c r="K283" s="45"/>
      <c r="L283" s="45"/>
      <c r="M283" s="2"/>
      <c r="N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1"/>
      <c r="C284" s="1"/>
      <c r="D284" s="45"/>
      <c r="E284" s="45"/>
      <c r="F284" s="45"/>
      <c r="G284" s="45"/>
      <c r="H284" s="45"/>
      <c r="I284" s="45"/>
      <c r="J284" s="45"/>
      <c r="K284" s="45"/>
      <c r="L284" s="45"/>
      <c r="M284" s="2"/>
      <c r="N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1"/>
      <c r="C285" s="1"/>
      <c r="D285" s="45"/>
      <c r="E285" s="45"/>
      <c r="F285" s="45"/>
      <c r="G285" s="45"/>
      <c r="H285" s="45"/>
      <c r="I285" s="45"/>
      <c r="J285" s="45"/>
      <c r="K285" s="45"/>
      <c r="L285" s="45"/>
      <c r="M285" s="2"/>
      <c r="N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1"/>
      <c r="C286" s="1"/>
      <c r="D286" s="45"/>
      <c r="E286" s="45"/>
      <c r="F286" s="45"/>
      <c r="G286" s="45"/>
      <c r="H286" s="45"/>
      <c r="I286" s="45"/>
      <c r="J286" s="45"/>
      <c r="K286" s="45"/>
      <c r="L286" s="45"/>
      <c r="M286" s="2"/>
      <c r="N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1"/>
      <c r="C287" s="1"/>
      <c r="D287" s="45"/>
      <c r="E287" s="45"/>
      <c r="F287" s="45"/>
      <c r="G287" s="45"/>
      <c r="H287" s="45"/>
      <c r="I287" s="45"/>
      <c r="J287" s="45"/>
      <c r="K287" s="45"/>
      <c r="L287" s="45"/>
      <c r="M287" s="2"/>
      <c r="N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1"/>
      <c r="C288" s="1"/>
      <c r="D288" s="45"/>
      <c r="E288" s="45"/>
      <c r="F288" s="45"/>
      <c r="G288" s="45"/>
      <c r="H288" s="45"/>
      <c r="I288" s="45"/>
      <c r="J288" s="45"/>
      <c r="K288" s="45"/>
      <c r="L288" s="45"/>
      <c r="M288" s="2"/>
      <c r="N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1"/>
      <c r="C289" s="1"/>
      <c r="D289" s="45"/>
      <c r="E289" s="45"/>
      <c r="F289" s="45"/>
      <c r="G289" s="45"/>
      <c r="H289" s="45"/>
      <c r="I289" s="45"/>
      <c r="J289" s="45"/>
      <c r="K289" s="45"/>
      <c r="L289" s="45"/>
      <c r="M289" s="2"/>
      <c r="N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1"/>
      <c r="C290" s="1"/>
      <c r="D290" s="45"/>
      <c r="E290" s="45"/>
      <c r="F290" s="45"/>
      <c r="G290" s="45"/>
      <c r="H290" s="45"/>
      <c r="I290" s="45"/>
      <c r="J290" s="45"/>
      <c r="K290" s="45"/>
      <c r="L290" s="45"/>
      <c r="M290" s="2"/>
      <c r="N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1"/>
      <c r="C291" s="1"/>
      <c r="D291" s="45"/>
      <c r="E291" s="45"/>
      <c r="F291" s="45"/>
      <c r="G291" s="45"/>
      <c r="H291" s="45"/>
      <c r="I291" s="45"/>
      <c r="J291" s="45"/>
      <c r="K291" s="45"/>
      <c r="L291" s="45"/>
      <c r="M291" s="2"/>
      <c r="N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1"/>
      <c r="C292" s="1"/>
      <c r="D292" s="45"/>
      <c r="E292" s="45"/>
      <c r="F292" s="45"/>
      <c r="G292" s="45"/>
      <c r="H292" s="45"/>
      <c r="I292" s="45"/>
      <c r="J292" s="45"/>
      <c r="K292" s="45"/>
      <c r="L292" s="45"/>
      <c r="M292" s="2"/>
      <c r="N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1"/>
      <c r="C293" s="1"/>
      <c r="D293" s="45"/>
      <c r="E293" s="45"/>
      <c r="F293" s="45"/>
      <c r="G293" s="45"/>
      <c r="H293" s="45"/>
      <c r="I293" s="45"/>
      <c r="J293" s="45"/>
      <c r="K293" s="45"/>
      <c r="L293" s="45"/>
      <c r="M293" s="2"/>
      <c r="N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1"/>
      <c r="C294" s="1"/>
      <c r="D294" s="45"/>
      <c r="E294" s="45"/>
      <c r="F294" s="45"/>
      <c r="G294" s="45"/>
      <c r="H294" s="45"/>
      <c r="I294" s="45"/>
      <c r="J294" s="45"/>
      <c r="K294" s="45"/>
      <c r="L294" s="45"/>
      <c r="M294" s="2"/>
      <c r="N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1"/>
      <c r="C295" s="1"/>
      <c r="D295" s="45"/>
      <c r="E295" s="45"/>
      <c r="F295" s="45"/>
      <c r="G295" s="45"/>
      <c r="H295" s="45"/>
      <c r="I295" s="45"/>
      <c r="J295" s="45"/>
      <c r="K295" s="45"/>
      <c r="L295" s="45"/>
      <c r="M295" s="2"/>
      <c r="N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1"/>
      <c r="C296" s="1"/>
      <c r="D296" s="45"/>
      <c r="E296" s="45"/>
      <c r="F296" s="45"/>
      <c r="G296" s="45"/>
      <c r="H296" s="45"/>
      <c r="I296" s="45"/>
      <c r="J296" s="45"/>
      <c r="K296" s="45"/>
      <c r="L296" s="45"/>
      <c r="M296" s="2"/>
      <c r="N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1"/>
      <c r="C297" s="1"/>
      <c r="D297" s="45"/>
      <c r="E297" s="45"/>
      <c r="F297" s="45"/>
      <c r="G297" s="45"/>
      <c r="H297" s="45"/>
      <c r="I297" s="45"/>
      <c r="J297" s="45"/>
      <c r="K297" s="45"/>
      <c r="L297" s="45"/>
      <c r="M297" s="2"/>
      <c r="N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1"/>
      <c r="C298" s="1"/>
      <c r="D298" s="45"/>
      <c r="E298" s="45"/>
      <c r="F298" s="45"/>
      <c r="G298" s="45"/>
      <c r="H298" s="45"/>
      <c r="I298" s="45"/>
      <c r="J298" s="45"/>
      <c r="K298" s="45"/>
      <c r="L298" s="45"/>
      <c r="M298" s="2"/>
      <c r="N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1"/>
      <c r="C299" s="1"/>
      <c r="D299" s="45"/>
      <c r="E299" s="45"/>
      <c r="F299" s="45"/>
      <c r="G299" s="45"/>
      <c r="H299" s="45"/>
      <c r="I299" s="45"/>
      <c r="J299" s="45"/>
      <c r="K299" s="45"/>
      <c r="L299" s="45"/>
      <c r="M299" s="2"/>
      <c r="N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1"/>
      <c r="C300" s="1"/>
      <c r="D300" s="45"/>
      <c r="E300" s="45"/>
      <c r="F300" s="45"/>
      <c r="G300" s="45"/>
      <c r="H300" s="45"/>
      <c r="I300" s="45"/>
      <c r="J300" s="45"/>
      <c r="K300" s="45"/>
      <c r="L300" s="45"/>
      <c r="M300" s="2"/>
      <c r="N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1"/>
      <c r="C301" s="1"/>
      <c r="D301" s="45"/>
      <c r="E301" s="45"/>
      <c r="F301" s="45"/>
      <c r="G301" s="45"/>
      <c r="H301" s="45"/>
      <c r="I301" s="45"/>
      <c r="J301" s="45"/>
      <c r="K301" s="45"/>
      <c r="L301" s="45"/>
      <c r="M301" s="2"/>
      <c r="N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1"/>
      <c r="C302" s="1"/>
      <c r="D302" s="45"/>
      <c r="E302" s="45"/>
      <c r="F302" s="45"/>
      <c r="G302" s="45"/>
      <c r="H302" s="45"/>
      <c r="I302" s="45"/>
      <c r="J302" s="45"/>
      <c r="K302" s="45"/>
      <c r="L302" s="45"/>
      <c r="M302" s="2"/>
      <c r="N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1"/>
      <c r="C303" s="1"/>
      <c r="D303" s="45"/>
      <c r="E303" s="45"/>
      <c r="F303" s="45"/>
      <c r="G303" s="45"/>
      <c r="H303" s="45"/>
      <c r="I303" s="45"/>
      <c r="J303" s="45"/>
      <c r="K303" s="45"/>
      <c r="L303" s="45"/>
      <c r="M303" s="2"/>
      <c r="N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1"/>
      <c r="C304" s="1"/>
      <c r="D304" s="45"/>
      <c r="E304" s="45"/>
      <c r="F304" s="45"/>
      <c r="G304" s="45"/>
      <c r="H304" s="45"/>
      <c r="I304" s="45"/>
      <c r="J304" s="45"/>
      <c r="K304" s="45"/>
      <c r="L304" s="45"/>
      <c r="M304" s="2"/>
      <c r="N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1"/>
      <c r="C305" s="1"/>
      <c r="D305" s="45"/>
      <c r="E305" s="45"/>
      <c r="F305" s="45"/>
      <c r="G305" s="45"/>
      <c r="H305" s="45"/>
      <c r="I305" s="45"/>
      <c r="J305" s="45"/>
      <c r="K305" s="45"/>
      <c r="L305" s="45"/>
      <c r="M305" s="2"/>
      <c r="N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1"/>
      <c r="C306" s="1"/>
      <c r="D306" s="45"/>
      <c r="E306" s="45"/>
      <c r="F306" s="45"/>
      <c r="G306" s="45"/>
      <c r="H306" s="45"/>
      <c r="I306" s="45"/>
      <c r="J306" s="45"/>
      <c r="K306" s="45"/>
      <c r="L306" s="45"/>
      <c r="M306" s="2"/>
      <c r="N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1"/>
      <c r="C307" s="1"/>
      <c r="D307" s="45"/>
      <c r="E307" s="45"/>
      <c r="F307" s="45"/>
      <c r="G307" s="45"/>
      <c r="H307" s="45"/>
      <c r="I307" s="45"/>
      <c r="J307" s="45"/>
      <c r="K307" s="45"/>
      <c r="L307" s="45"/>
      <c r="M307" s="2"/>
      <c r="N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1"/>
      <c r="C308" s="1"/>
      <c r="D308" s="45"/>
      <c r="E308" s="45"/>
      <c r="F308" s="45"/>
      <c r="G308" s="45"/>
      <c r="H308" s="45"/>
      <c r="I308" s="45"/>
      <c r="J308" s="45"/>
      <c r="K308" s="45"/>
      <c r="L308" s="45"/>
      <c r="M308" s="2"/>
      <c r="N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1"/>
      <c r="C309" s="1"/>
      <c r="D309" s="45"/>
      <c r="E309" s="45"/>
      <c r="F309" s="45"/>
      <c r="G309" s="45"/>
      <c r="H309" s="45"/>
      <c r="I309" s="45"/>
      <c r="J309" s="45"/>
      <c r="K309" s="45"/>
      <c r="L309" s="45"/>
      <c r="M309" s="2"/>
      <c r="N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1"/>
      <c r="C310" s="1"/>
      <c r="D310" s="45"/>
      <c r="E310" s="45"/>
      <c r="F310" s="45"/>
      <c r="G310" s="45"/>
      <c r="H310" s="45"/>
      <c r="I310" s="45"/>
      <c r="J310" s="45"/>
      <c r="K310" s="45"/>
      <c r="L310" s="45"/>
      <c r="M310" s="2"/>
      <c r="N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1"/>
      <c r="C311" s="1"/>
      <c r="D311" s="45"/>
      <c r="E311" s="45"/>
      <c r="F311" s="45"/>
      <c r="G311" s="45"/>
      <c r="H311" s="45"/>
      <c r="I311" s="45"/>
      <c r="J311" s="45"/>
      <c r="K311" s="45"/>
      <c r="L311" s="45"/>
      <c r="M311" s="2"/>
      <c r="N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1"/>
      <c r="C312" s="1"/>
      <c r="D312" s="45"/>
      <c r="E312" s="45"/>
      <c r="F312" s="45"/>
      <c r="G312" s="45"/>
      <c r="H312" s="45"/>
      <c r="I312" s="45"/>
      <c r="J312" s="45"/>
      <c r="K312" s="45"/>
      <c r="L312" s="45"/>
      <c r="M312" s="2"/>
      <c r="N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1"/>
      <c r="C313" s="1"/>
      <c r="D313" s="45"/>
      <c r="E313" s="45"/>
      <c r="F313" s="45"/>
      <c r="G313" s="45"/>
      <c r="H313" s="45"/>
      <c r="I313" s="45"/>
      <c r="J313" s="45"/>
      <c r="K313" s="45"/>
      <c r="L313" s="45"/>
      <c r="M313" s="2"/>
      <c r="N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1"/>
      <c r="C314" s="1"/>
      <c r="D314" s="45"/>
      <c r="E314" s="45"/>
      <c r="F314" s="45"/>
      <c r="G314" s="45"/>
      <c r="H314" s="45"/>
      <c r="I314" s="45"/>
      <c r="J314" s="45"/>
      <c r="K314" s="45"/>
      <c r="L314" s="45"/>
      <c r="M314" s="2"/>
      <c r="N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1"/>
      <c r="C315" s="1"/>
      <c r="D315" s="45"/>
      <c r="E315" s="45"/>
      <c r="F315" s="45"/>
      <c r="G315" s="45"/>
      <c r="H315" s="45"/>
      <c r="I315" s="45"/>
      <c r="J315" s="45"/>
      <c r="K315" s="45"/>
      <c r="L315" s="45"/>
      <c r="M315" s="2"/>
      <c r="N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1"/>
      <c r="C316" s="1"/>
      <c r="D316" s="45"/>
      <c r="E316" s="45"/>
      <c r="F316" s="45"/>
      <c r="G316" s="45"/>
      <c r="H316" s="45"/>
      <c r="I316" s="45"/>
      <c r="J316" s="45"/>
      <c r="K316" s="45"/>
      <c r="L316" s="45"/>
      <c r="M316" s="2"/>
      <c r="N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1"/>
      <c r="C317" s="1"/>
      <c r="D317" s="45"/>
      <c r="E317" s="45"/>
      <c r="F317" s="45"/>
      <c r="G317" s="45"/>
      <c r="H317" s="45"/>
      <c r="I317" s="45"/>
      <c r="J317" s="45"/>
      <c r="K317" s="45"/>
      <c r="L317" s="45"/>
      <c r="M317" s="2"/>
      <c r="N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1"/>
      <c r="C318" s="1"/>
      <c r="D318" s="45"/>
      <c r="E318" s="45"/>
      <c r="F318" s="45"/>
      <c r="G318" s="45"/>
      <c r="H318" s="45"/>
      <c r="I318" s="45"/>
      <c r="J318" s="45"/>
      <c r="K318" s="45"/>
      <c r="L318" s="45"/>
      <c r="M318" s="2"/>
      <c r="N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1"/>
      <c r="C319" s="1"/>
      <c r="D319" s="45"/>
      <c r="E319" s="45"/>
      <c r="F319" s="45"/>
      <c r="G319" s="45"/>
      <c r="H319" s="45"/>
      <c r="I319" s="45"/>
      <c r="J319" s="45"/>
      <c r="K319" s="45"/>
      <c r="L319" s="45"/>
      <c r="M319" s="2"/>
      <c r="N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1"/>
      <c r="C320" s="1"/>
      <c r="D320" s="45"/>
      <c r="E320" s="45"/>
      <c r="F320" s="45"/>
      <c r="G320" s="45"/>
      <c r="H320" s="45"/>
      <c r="I320" s="45"/>
      <c r="J320" s="45"/>
      <c r="K320" s="45"/>
      <c r="L320" s="45"/>
      <c r="M320" s="2"/>
      <c r="N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1"/>
      <c r="C321" s="1"/>
      <c r="D321" s="45"/>
      <c r="E321" s="45"/>
      <c r="F321" s="45"/>
      <c r="G321" s="45"/>
      <c r="H321" s="45"/>
      <c r="I321" s="45"/>
      <c r="J321" s="45"/>
      <c r="K321" s="45"/>
      <c r="L321" s="45"/>
      <c r="M321" s="2"/>
      <c r="N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1"/>
      <c r="C322" s="1"/>
      <c r="D322" s="45"/>
      <c r="E322" s="45"/>
      <c r="F322" s="45"/>
      <c r="G322" s="45"/>
      <c r="H322" s="45"/>
      <c r="I322" s="45"/>
      <c r="J322" s="45"/>
      <c r="K322" s="45"/>
      <c r="L322" s="45"/>
      <c r="M322" s="2"/>
      <c r="N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4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4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4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4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4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4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4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4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4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4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4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4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4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4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4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4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4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4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4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4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4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4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4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4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4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4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4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4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4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4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4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4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4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4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4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4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4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4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4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4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4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4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4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4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4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4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4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4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4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4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4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4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4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4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4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4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4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4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4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4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4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4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4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4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4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4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4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4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4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4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4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4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4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4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4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4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4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4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4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4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4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4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4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4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4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4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4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4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4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4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4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4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4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4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4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4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4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4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4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4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4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4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4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4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4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4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4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4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4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4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4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4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4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4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4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4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4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4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4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4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4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4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4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4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4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4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4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4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4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4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4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4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4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4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4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4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4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4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4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4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4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4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4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4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4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4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4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4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4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4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4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4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4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4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4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4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4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4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4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4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4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4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4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4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4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4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4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4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4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4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4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4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4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4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4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4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4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4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4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4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4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4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4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4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4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4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4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4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4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4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4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4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4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4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4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4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4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4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4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4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4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4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4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4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4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4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4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4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4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4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4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4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4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4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4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4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4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4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4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4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4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4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4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4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4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4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4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4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4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4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4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4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4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4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4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4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4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4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4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4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4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4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4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4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4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4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4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4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4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4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4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4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4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4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4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4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4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4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4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4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4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4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4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4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4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4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4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4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4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4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4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4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4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4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4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4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4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4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4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4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4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4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4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4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4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4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4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4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4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4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4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4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4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4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4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4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4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4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4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4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4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4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4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4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4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4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4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4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4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4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4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4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4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4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4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4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4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4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4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4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4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4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4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4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4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4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4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4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4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4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4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4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4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4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4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4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4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4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4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4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4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4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4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4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4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4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4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4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4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4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4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4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4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4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4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4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4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4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4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4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4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4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4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4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4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4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4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4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4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4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4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4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4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4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4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4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4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4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4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4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4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4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4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4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4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4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4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4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4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4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4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4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4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4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4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4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4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4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4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4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4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4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4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4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4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4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4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4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4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4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4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4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4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4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4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4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4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4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4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4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4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4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4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4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4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4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4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4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4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4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4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4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4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4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4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4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4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4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4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4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4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4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4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4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4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4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4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4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4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4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4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4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4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4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4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4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4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4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4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4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4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4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4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4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4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4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4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4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4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4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4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4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4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4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4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4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4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4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4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4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4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4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4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4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4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4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4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4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4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4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4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4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4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4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4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4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4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4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4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4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4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4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4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4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4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4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4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4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4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4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4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4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4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4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4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4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4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4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4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4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4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4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4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4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4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4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4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4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4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4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4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4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4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4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4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4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4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4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4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4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4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4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4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4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4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4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4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4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4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4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4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4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4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4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4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4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4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4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4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4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4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4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4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4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4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4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4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4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4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4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4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4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4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4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4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4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4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4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4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4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4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4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4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4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4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4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4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4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4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4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4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4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4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4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4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4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4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4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4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4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4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4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4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4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4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4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4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4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4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4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4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4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4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4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4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4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4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4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4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4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4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4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4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4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4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4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4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4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4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4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4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4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4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4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4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4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4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4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4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4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4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4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4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4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4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4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4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4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4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4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4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4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4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4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4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4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4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4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4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4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4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4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4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4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4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4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4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4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4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4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75" customHeight="1">
      <c r="A993" s="2"/>
      <c r="B993" s="4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75" customHeight="1">
      <c r="A994" s="2"/>
      <c r="B994" s="4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75" customHeight="1">
      <c r="A995" s="2"/>
      <c r="B995" s="4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75" customHeight="1">
      <c r="A996" s="2"/>
      <c r="B996" s="4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75" customHeight="1">
      <c r="A997" s="2"/>
      <c r="B997" s="4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75" customHeight="1">
      <c r="A998" s="2"/>
      <c r="B998" s="4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75" customHeight="1">
      <c r="A999" s="2"/>
      <c r="B999" s="4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75" customHeight="1">
      <c r="A1000" s="2"/>
      <c r="B1000" s="4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75" customHeight="1">
      <c r="A1001" s="2"/>
      <c r="B1001" s="4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75" customHeight="1">
      <c r="A1002" s="2"/>
      <c r="B1002" s="44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5.75" customHeight="1">
      <c r="A1003" s="2"/>
      <c r="B1003" s="44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.75" customHeight="1">
      <c r="A1004" s="2"/>
      <c r="B1004" s="44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5.75" customHeight="1">
      <c r="A1005" s="2"/>
      <c r="B1005" s="44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5.75" customHeight="1">
      <c r="A1006" s="2"/>
      <c r="B1006" s="44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5.75" customHeight="1">
      <c r="A1007" s="2"/>
      <c r="B1007" s="44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5.75" customHeight="1">
      <c r="A1008" s="2"/>
      <c r="B1008" s="44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15.75" customHeight="1">
      <c r="A1009" s="2"/>
      <c r="B1009" s="44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15.75" customHeight="1">
      <c r="A1010" s="2"/>
      <c r="B1010" s="44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15.75" customHeight="1">
      <c r="A1011" s="2"/>
      <c r="B1011" s="44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15.75" customHeight="1">
      <c r="A1012" s="2"/>
      <c r="B1012" s="44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15.75" customHeight="1">
      <c r="A1013" s="2"/>
      <c r="B1013" s="44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15.75" customHeight="1">
      <c r="A1014" s="2"/>
      <c r="B1014" s="44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15.75" customHeight="1">
      <c r="A1015" s="2"/>
      <c r="B1015" s="44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15.75" customHeight="1">
      <c r="A1016" s="2"/>
      <c r="B1016" s="44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15.75" customHeight="1">
      <c r="A1017" s="2"/>
      <c r="B1017" s="44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ht="15.75" customHeight="1">
      <c r="A1018" s="2"/>
      <c r="B1018" s="44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ht="15.75" customHeight="1">
      <c r="A1019" s="2"/>
      <c r="B1019" s="44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ht="15.75" customHeight="1">
      <c r="A1020" s="2"/>
      <c r="B1020" s="44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ht="15.75" customHeight="1">
      <c r="A1021" s="2"/>
      <c r="B1021" s="44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ht="15.75" customHeight="1">
      <c r="A1022" s="2"/>
      <c r="B1022" s="44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ht="15.75" customHeight="1">
      <c r="A1023" s="2"/>
      <c r="B1023" s="44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ht="15.75" customHeight="1">
      <c r="A1024" s="2"/>
      <c r="B1024" s="44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ht="15.75" customHeight="1">
      <c r="A1025" s="2"/>
      <c r="B1025" s="44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ht="15.75" customHeight="1">
      <c r="A1026" s="2"/>
      <c r="B1026" s="44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ht="15.75" customHeight="1">
      <c r="A1027" s="2"/>
      <c r="B1027" s="44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ht="15.75" customHeight="1">
      <c r="A1028" s="2"/>
      <c r="B1028" s="44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ht="15.75" customHeight="1">
      <c r="A1029" s="2"/>
      <c r="B1029" s="44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ht="15.75" customHeight="1">
      <c r="A1030" s="2"/>
      <c r="B1030" s="44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ht="15.75" customHeight="1">
      <c r="A1031" s="2"/>
      <c r="B1031" s="44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ht="15.75" customHeight="1">
      <c r="A1032" s="2"/>
      <c r="B1032" s="44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ht="15.75" customHeight="1">
      <c r="A1033" s="2"/>
      <c r="B1033" s="44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ht="15.75" customHeight="1">
      <c r="A1034" s="2"/>
      <c r="B1034" s="44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ht="15.75" customHeight="1">
      <c r="A1035" s="2"/>
      <c r="B1035" s="44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ht="15.75" customHeight="1">
      <c r="A1036" s="2"/>
      <c r="B1036" s="44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ht="15.75" customHeight="1">
      <c r="A1037" s="2"/>
      <c r="B1037" s="44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ht="15.75" customHeight="1">
      <c r="A1038" s="2"/>
      <c r="B1038" s="44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ht="15.75" customHeight="1">
      <c r="A1039" s="2"/>
      <c r="B1039" s="44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ht="15.75" customHeight="1">
      <c r="A1040" s="2"/>
      <c r="B1040" s="44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ht="15.75" customHeight="1">
      <c r="A1041" s="2"/>
      <c r="B1041" s="44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ht="15.75" customHeight="1">
      <c r="A1042" s="2"/>
      <c r="B1042" s="44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1:30" ht="15.75" customHeight="1">
      <c r="A1043" s="2"/>
      <c r="B1043" s="44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ht="15.75" customHeight="1">
      <c r="A1044" s="2"/>
      <c r="B1044" s="44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</sheetData>
  <mergeCells count="2">
    <mergeCell ref="D1:F1"/>
    <mergeCell ref="J1:L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theme="7" tint="0.39997558519241921"/>
    <pageSetUpPr fitToPage="1"/>
  </sheetPr>
  <dimension ref="A1:Z1000"/>
  <sheetViews>
    <sheetView topLeftCell="B596" zoomScale="85" zoomScaleNormal="85" workbookViewId="0">
      <selection activeCell="G1" sqref="G1:G1048576"/>
    </sheetView>
  </sheetViews>
  <sheetFormatPr defaultColWidth="11" defaultRowHeight="15" customHeight="1"/>
  <cols>
    <col min="1" max="4" width="10.85546875"/>
    <col min="5" max="5" width="43.28515625" bestFit="1" customWidth="1"/>
    <col min="6" max="6" width="17.140625" style="514" bestFit="1" customWidth="1"/>
    <col min="7" max="7" width="15.5703125" style="514" bestFit="1" customWidth="1"/>
    <col min="8" max="8" width="6.42578125" style="289" bestFit="1" customWidth="1"/>
    <col min="9" max="9" width="33.85546875" style="289" bestFit="1" customWidth="1"/>
    <col min="10" max="10" width="21.42578125" style="289" bestFit="1" customWidth="1"/>
    <col min="11" max="11" width="7.42578125" style="289" customWidth="1"/>
    <col min="12" max="12" width="11" style="289"/>
    <col min="13" max="13" width="2.140625" style="289" bestFit="1" customWidth="1"/>
    <col min="14" max="16384" width="11" style="289"/>
  </cols>
  <sheetData>
    <row r="1" spans="1:26" ht="16.5" customHeight="1">
      <c r="A1" t="s">
        <v>44</v>
      </c>
      <c r="B1" t="s">
        <v>45</v>
      </c>
      <c r="C1" t="s">
        <v>46</v>
      </c>
      <c r="D1" t="s">
        <v>47</v>
      </c>
      <c r="E1" t="s">
        <v>275</v>
      </c>
      <c r="F1" s="514" t="s">
        <v>276</v>
      </c>
      <c r="G1" s="514" t="s">
        <v>277</v>
      </c>
      <c r="H1" s="437" t="s">
        <v>278</v>
      </c>
      <c r="I1" s="437" t="s">
        <v>279</v>
      </c>
      <c r="J1" s="437" t="s">
        <v>280</v>
      </c>
      <c r="K1" s="437"/>
      <c r="L1" s="437"/>
      <c r="M1" s="437"/>
      <c r="N1" s="437"/>
      <c r="O1" s="437"/>
      <c r="P1" s="438"/>
      <c r="Q1" s="438"/>
      <c r="R1" s="438"/>
      <c r="S1" s="438"/>
      <c r="T1" s="437"/>
      <c r="U1" s="437"/>
      <c r="V1" s="437"/>
      <c r="W1" s="437"/>
      <c r="X1" s="437"/>
      <c r="Y1" s="437"/>
      <c r="Z1" s="437"/>
    </row>
    <row r="2" spans="1:26" ht="16.5">
      <c r="A2" t="s">
        <v>1308</v>
      </c>
      <c r="B2" t="s">
        <v>1309</v>
      </c>
      <c r="C2" t="s">
        <v>1310</v>
      </c>
      <c r="D2" s="516">
        <v>10000</v>
      </c>
      <c r="E2" t="s">
        <v>1311</v>
      </c>
      <c r="F2" s="514">
        <v>4069321.52</v>
      </c>
      <c r="G2" s="514">
        <v>1156385.77</v>
      </c>
      <c r="H2" s="437" t="str">
        <f>VLOOKUP(D2,'COA LTD'!A:F,3,0)</f>
        <v>BS</v>
      </c>
      <c r="I2" s="437" t="str">
        <f>VLOOKUP(D2,'COA LTD'!A:F,4,0)</f>
        <v xml:space="preserve">cash </v>
      </c>
      <c r="J2" s="437">
        <f>VLOOKUP(D2,'COA LTD'!A:F,5,0)</f>
        <v>0</v>
      </c>
      <c r="K2" s="439">
        <f t="shared" ref="K2:K256" si="0">F2/G2</f>
        <v>3.518999995996146</v>
      </c>
      <c r="L2" s="437"/>
      <c r="M2" s="437">
        <v>1</v>
      </c>
      <c r="N2" s="437"/>
      <c r="O2" s="437"/>
      <c r="P2" s="438"/>
      <c r="Q2" s="438"/>
      <c r="R2" s="438"/>
      <c r="S2" s="438"/>
      <c r="T2" s="437"/>
      <c r="U2" s="437"/>
      <c r="V2" s="437"/>
      <c r="W2" s="437"/>
      <c r="X2" s="437"/>
      <c r="Y2" s="437"/>
      <c r="Z2" s="437"/>
    </row>
    <row r="3" spans="1:26" ht="16.5">
      <c r="A3" t="s">
        <v>1308</v>
      </c>
      <c r="B3" t="s">
        <v>1309</v>
      </c>
      <c r="C3" t="s">
        <v>1310</v>
      </c>
      <c r="D3" s="516">
        <v>10001</v>
      </c>
      <c r="E3" t="s">
        <v>1312</v>
      </c>
      <c r="F3" s="514">
        <v>5712873.25</v>
      </c>
      <c r="G3" s="514">
        <v>1623436.56</v>
      </c>
      <c r="H3" s="437" t="str">
        <f>VLOOKUP(D3,'COA LTD'!A:F,3,0)</f>
        <v>BS</v>
      </c>
      <c r="I3" s="437" t="str">
        <f>VLOOKUP(D3,'COA LTD'!A:F,4,0)</f>
        <v xml:space="preserve">cash </v>
      </c>
      <c r="J3" s="437">
        <f>VLOOKUP(D3,'COA LTD'!A:F,5,0)</f>
        <v>0</v>
      </c>
      <c r="K3" s="439">
        <f t="shared" si="0"/>
        <v>3.5189999971418655</v>
      </c>
      <c r="L3" s="437"/>
      <c r="M3" s="437"/>
      <c r="N3" s="437"/>
      <c r="O3" s="437"/>
      <c r="P3" s="438"/>
      <c r="Q3" s="438"/>
      <c r="R3" s="438"/>
      <c r="S3" s="438"/>
      <c r="T3" s="437"/>
      <c r="U3" s="437"/>
      <c r="V3" s="437"/>
      <c r="W3" s="437"/>
      <c r="X3" s="437"/>
      <c r="Y3" s="437"/>
      <c r="Z3" s="437"/>
    </row>
    <row r="4" spans="1:26" ht="16.5">
      <c r="A4" t="s">
        <v>1308</v>
      </c>
      <c r="B4" t="s">
        <v>1309</v>
      </c>
      <c r="C4" t="s">
        <v>1310</v>
      </c>
      <c r="D4" s="516">
        <v>10002</v>
      </c>
      <c r="E4" t="s">
        <v>1313</v>
      </c>
      <c r="F4" s="514">
        <v>3949.53</v>
      </c>
      <c r="G4" s="514">
        <v>1122.3399999999999</v>
      </c>
      <c r="H4" s="437" t="str">
        <f>VLOOKUP(D4,'COA LTD'!A:F,3,0)</f>
        <v>BS</v>
      </c>
      <c r="I4" s="437" t="str">
        <f>VLOOKUP(D4,'COA LTD'!A:F,4,0)</f>
        <v xml:space="preserve">cash </v>
      </c>
      <c r="J4" s="437">
        <f>VLOOKUP(D4,'COA LTD'!A:F,5,0)</f>
        <v>0</v>
      </c>
      <c r="K4" s="439">
        <f t="shared" si="0"/>
        <v>3.5190138460716009</v>
      </c>
      <c r="L4" s="437"/>
      <c r="M4" s="437"/>
      <c r="N4" s="437"/>
      <c r="O4" s="437"/>
      <c r="P4" s="438"/>
      <c r="Q4" s="438"/>
      <c r="R4" s="438"/>
      <c r="S4" s="438"/>
      <c r="T4" s="437"/>
      <c r="U4" s="437"/>
      <c r="V4" s="437"/>
      <c r="W4" s="437"/>
      <c r="X4" s="437"/>
      <c r="Y4" s="437"/>
      <c r="Z4" s="437"/>
    </row>
    <row r="5" spans="1:26" ht="16.5">
      <c r="A5" t="s">
        <v>1308</v>
      </c>
      <c r="B5" t="s">
        <v>1309</v>
      </c>
      <c r="C5" t="s">
        <v>1310</v>
      </c>
      <c r="D5" s="516">
        <v>10004</v>
      </c>
      <c r="E5" t="s">
        <v>1314</v>
      </c>
      <c r="F5" s="514">
        <v>2900219.32</v>
      </c>
      <c r="G5" s="514">
        <v>824160.08</v>
      </c>
      <c r="H5" s="437" t="str">
        <f>VLOOKUP(D5,'COA LTD'!A:F,3,0)</f>
        <v>BS</v>
      </c>
      <c r="I5" s="437" t="str">
        <f>VLOOKUP(D5,'COA LTD'!A:F,4,0)</f>
        <v xml:space="preserve">cash </v>
      </c>
      <c r="J5" s="437">
        <f>VLOOKUP(D5,'COA LTD'!A:F,5,0)</f>
        <v>0</v>
      </c>
      <c r="K5" s="439">
        <f t="shared" si="0"/>
        <v>3.5189999981556981</v>
      </c>
      <c r="L5" s="437"/>
      <c r="M5" s="437"/>
      <c r="N5" s="437"/>
      <c r="O5" s="437"/>
      <c r="P5" s="438"/>
      <c r="Q5" s="438"/>
      <c r="R5" s="438"/>
      <c r="S5" s="438"/>
      <c r="T5" s="437"/>
      <c r="U5" s="437"/>
      <c r="V5" s="437"/>
      <c r="W5" s="437"/>
      <c r="X5" s="437"/>
      <c r="Y5" s="437"/>
      <c r="Z5" s="437"/>
    </row>
    <row r="6" spans="1:26" ht="16.5">
      <c r="A6" t="s">
        <v>1308</v>
      </c>
      <c r="B6" t="s">
        <v>1309</v>
      </c>
      <c r="C6" t="s">
        <v>1310</v>
      </c>
      <c r="D6" s="516">
        <v>10005</v>
      </c>
      <c r="E6" t="s">
        <v>1315</v>
      </c>
      <c r="F6" s="514">
        <v>68199313.459999993</v>
      </c>
      <c r="G6" s="514">
        <v>19380310.73</v>
      </c>
      <c r="H6" s="437" t="str">
        <f>VLOOKUP(D6,'COA LTD'!A:F,3,0)</f>
        <v>BS</v>
      </c>
      <c r="I6" s="437" t="str">
        <f>VLOOKUP(D6,'COA LTD'!A:F,4,0)</f>
        <v xml:space="preserve">cash </v>
      </c>
      <c r="J6" s="437">
        <f>VLOOKUP(D6,'COA LTD'!A:F,5,0)</f>
        <v>0</v>
      </c>
      <c r="K6" s="439">
        <f t="shared" si="0"/>
        <v>3.5190000000583064</v>
      </c>
      <c r="L6" s="437"/>
      <c r="M6" s="437"/>
      <c r="N6" s="437"/>
      <c r="O6" s="437"/>
      <c r="P6" s="438"/>
      <c r="Q6" s="438"/>
      <c r="R6" s="438"/>
      <c r="S6" s="438"/>
      <c r="T6" s="437"/>
      <c r="U6" s="437"/>
      <c r="V6" s="437"/>
      <c r="W6" s="437"/>
      <c r="X6" s="437"/>
      <c r="Y6" s="437"/>
      <c r="Z6" s="437"/>
    </row>
    <row r="7" spans="1:26" ht="16.5">
      <c r="A7" t="s">
        <v>1308</v>
      </c>
      <c r="B7" t="s">
        <v>1309</v>
      </c>
      <c r="C7" t="s">
        <v>1310</v>
      </c>
      <c r="D7" s="516">
        <v>10006</v>
      </c>
      <c r="E7" t="s">
        <v>1171</v>
      </c>
      <c r="F7" s="514">
        <v>4962669.75</v>
      </c>
      <c r="G7" s="514">
        <v>1410250</v>
      </c>
      <c r="H7" s="665" t="str">
        <f>VLOOKUP(D7,'COA LTD'!A:F,3,0)</f>
        <v>BS</v>
      </c>
      <c r="I7" s="437" t="str">
        <f>VLOOKUP(D7,'COA LTD'!A:F,4,0)</f>
        <v xml:space="preserve"> Restricted LT deposit  </v>
      </c>
      <c r="J7" s="437">
        <f>VLOOKUP(D7,'COA LTD'!A:F,5,0)</f>
        <v>0</v>
      </c>
      <c r="K7" s="439">
        <f t="shared" si="0"/>
        <v>3.5190000000000001</v>
      </c>
      <c r="L7" s="437"/>
      <c r="M7" s="437"/>
      <c r="N7" s="437"/>
      <c r="O7" s="437"/>
      <c r="P7" s="438"/>
      <c r="Q7" s="438"/>
      <c r="R7" s="438"/>
      <c r="S7" s="438"/>
      <c r="T7" s="437"/>
      <c r="U7" s="437"/>
      <c r="V7" s="437"/>
      <c r="W7" s="437"/>
      <c r="X7" s="437"/>
      <c r="Y7" s="437"/>
      <c r="Z7" s="437"/>
    </row>
    <row r="8" spans="1:26" ht="16.5">
      <c r="A8" t="s">
        <v>1308</v>
      </c>
      <c r="B8" t="s">
        <v>1309</v>
      </c>
      <c r="C8" t="s">
        <v>1316</v>
      </c>
      <c r="D8" s="516">
        <v>10102</v>
      </c>
      <c r="E8" t="s">
        <v>1629</v>
      </c>
      <c r="F8" s="514">
        <v>106520419</v>
      </c>
      <c r="G8" s="514">
        <v>30270082</v>
      </c>
      <c r="H8" s="437" t="str">
        <f>VLOOKUP(D8,'COA LTD'!A:F,3,0)</f>
        <v>BS</v>
      </c>
      <c r="I8" s="437" t="str">
        <f>VLOOKUP(D8,'COA LTD'!A:F,4,0)</f>
        <v xml:space="preserve">Short term deposit </v>
      </c>
      <c r="J8" s="437">
        <f>VLOOKUP(D8,'COA LTD'!A:F,5,0)</f>
        <v>0</v>
      </c>
      <c r="K8" s="439">
        <f t="shared" si="0"/>
        <v>3.5190000146018767</v>
      </c>
      <c r="L8" s="437"/>
      <c r="M8" s="437"/>
      <c r="N8" s="437"/>
      <c r="O8" s="437"/>
      <c r="P8" s="438"/>
      <c r="Q8" s="438"/>
      <c r="R8" s="438"/>
      <c r="S8" s="438"/>
      <c r="T8" s="437"/>
      <c r="U8" s="437"/>
      <c r="V8" s="437"/>
      <c r="W8" s="437"/>
      <c r="X8" s="437"/>
      <c r="Y8" s="437"/>
      <c r="Z8" s="437"/>
    </row>
    <row r="9" spans="1:26" ht="16.5">
      <c r="A9" t="s">
        <v>1308</v>
      </c>
      <c r="B9" t="s">
        <v>1309</v>
      </c>
      <c r="C9" t="s">
        <v>1316</v>
      </c>
      <c r="D9" s="516">
        <v>10103</v>
      </c>
      <c r="E9" t="s">
        <v>1272</v>
      </c>
      <c r="F9" s="514">
        <v>3719430</v>
      </c>
      <c r="G9" s="514">
        <v>1056956.52</v>
      </c>
      <c r="H9" s="437" t="str">
        <f>VLOOKUP(D9,'COA LTD'!A:F,3,0)</f>
        <v>BS</v>
      </c>
      <c r="I9" s="437" t="str">
        <f>VLOOKUP(D9,'COA LTD'!A:F,4,0)</f>
        <v xml:space="preserve"> Restricted LT deposit  </v>
      </c>
      <c r="J9" s="437">
        <f>VLOOKUP(D9,'COA LTD'!A:F,5,0)</f>
        <v>0</v>
      </c>
      <c r="K9" s="439">
        <f t="shared" si="0"/>
        <v>3.5190000057902098</v>
      </c>
      <c r="L9" s="437"/>
      <c r="M9" s="437"/>
      <c r="N9" s="437"/>
      <c r="O9" s="437"/>
      <c r="P9" s="438"/>
      <c r="Q9" s="438"/>
      <c r="R9" s="438"/>
      <c r="S9" s="438"/>
      <c r="T9" s="437"/>
      <c r="U9" s="437"/>
      <c r="V9" s="437"/>
      <c r="W9" s="437"/>
      <c r="X9" s="437"/>
      <c r="Y9" s="437"/>
      <c r="Z9" s="437"/>
    </row>
    <row r="10" spans="1:26" ht="16.5">
      <c r="A10" t="s">
        <v>1308</v>
      </c>
      <c r="B10" t="s">
        <v>1309</v>
      </c>
      <c r="C10" t="s">
        <v>1317</v>
      </c>
      <c r="D10" s="516">
        <v>10200</v>
      </c>
      <c r="E10" t="s">
        <v>524</v>
      </c>
      <c r="F10" s="514">
        <v>1825547.16</v>
      </c>
      <c r="G10" s="514">
        <v>518768.73</v>
      </c>
      <c r="H10" s="437" t="str">
        <f>VLOOKUP(D10,'COA LTD'!A:F,3,0)</f>
        <v>BS</v>
      </c>
      <c r="I10" s="437" t="str">
        <f>VLOOKUP(D10,'COA LTD'!A:F,4,0)</f>
        <v xml:space="preserve">cash </v>
      </c>
      <c r="J10" s="437">
        <f>VLOOKUP(D10,'COA LTD'!A:F,5,0)</f>
        <v>0</v>
      </c>
      <c r="K10" s="439">
        <f t="shared" si="0"/>
        <v>3.5189999983229523</v>
      </c>
      <c r="L10" s="437"/>
      <c r="M10" s="437"/>
      <c r="N10" s="437"/>
      <c r="O10" s="437"/>
      <c r="P10" s="438"/>
      <c r="Q10" s="438"/>
      <c r="R10" s="438"/>
      <c r="S10" s="438"/>
      <c r="T10" s="437"/>
      <c r="U10" s="437"/>
      <c r="V10" s="437"/>
      <c r="W10" s="437"/>
      <c r="X10" s="437"/>
      <c r="Y10" s="437"/>
      <c r="Z10" s="437"/>
    </row>
    <row r="11" spans="1:26" ht="16.5">
      <c r="A11" t="s">
        <v>1308</v>
      </c>
      <c r="B11" t="s">
        <v>1309</v>
      </c>
      <c r="C11" t="s">
        <v>1317</v>
      </c>
      <c r="D11" s="516">
        <v>10201</v>
      </c>
      <c r="E11" t="s">
        <v>1072</v>
      </c>
      <c r="F11" s="514">
        <v>-948573.72</v>
      </c>
      <c r="G11" s="514">
        <v>-269557.75</v>
      </c>
      <c r="H11" s="437" t="str">
        <f>VLOOKUP(D11,'COA LTD'!A:F,3,0)</f>
        <v>BS</v>
      </c>
      <c r="I11" s="437" t="str">
        <f>VLOOKUP(D11,'COA LTD'!A:F,4,0)</f>
        <v>Accrued Expenses</v>
      </c>
      <c r="J11" s="437">
        <f>VLOOKUP(D11,'COA LTD'!A:F,5,0)</f>
        <v>0</v>
      </c>
      <c r="K11" s="439">
        <f t="shared" ref="K11:K42" si="1">F11/G11</f>
        <v>3.5189999916529944</v>
      </c>
      <c r="L11" s="437"/>
      <c r="M11" s="437"/>
      <c r="N11" s="437"/>
      <c r="O11" s="437"/>
      <c r="P11" s="438"/>
      <c r="Q11" s="438"/>
      <c r="R11" s="438"/>
      <c r="S11" s="438"/>
      <c r="T11" s="437"/>
      <c r="U11" s="437"/>
      <c r="V11" s="437"/>
      <c r="W11" s="437"/>
      <c r="X11" s="437"/>
      <c r="Y11" s="437"/>
      <c r="Z11" s="437"/>
    </row>
    <row r="12" spans="1:26" ht="16.5">
      <c r="A12" t="s">
        <v>1308</v>
      </c>
      <c r="B12" t="s">
        <v>1318</v>
      </c>
      <c r="C12" t="s">
        <v>1319</v>
      </c>
      <c r="D12" s="516">
        <v>11100</v>
      </c>
      <c r="E12" t="s">
        <v>51</v>
      </c>
      <c r="F12" s="514">
        <v>9389531.6899999995</v>
      </c>
      <c r="G12" s="514">
        <v>2668238.65</v>
      </c>
      <c r="H12" s="437" t="str">
        <f>VLOOKUP(D12,'COA LTD'!A:F,3,0)</f>
        <v>BS</v>
      </c>
      <c r="I12" s="437" t="str">
        <f>VLOOKUP(D12,'COA LTD'!A:F,4,0)</f>
        <v>Account receivable</v>
      </c>
      <c r="J12" s="437">
        <f>VLOOKUP(D12,'COA LTD'!A:F,5,0)</f>
        <v>0</v>
      </c>
      <c r="K12" s="439">
        <f t="shared" si="1"/>
        <v>3.5189999552701181</v>
      </c>
      <c r="L12" s="437"/>
      <c r="M12" s="437"/>
      <c r="N12" s="437"/>
      <c r="O12" s="437"/>
      <c r="P12" s="438"/>
      <c r="Q12" s="438"/>
      <c r="R12" s="438"/>
      <c r="S12" s="438"/>
      <c r="T12" s="437"/>
      <c r="U12" s="437"/>
      <c r="V12" s="437"/>
      <c r="W12" s="437"/>
      <c r="X12" s="437"/>
      <c r="Y12" s="437"/>
      <c r="Z12" s="437"/>
    </row>
    <row r="13" spans="1:26" ht="16.5">
      <c r="A13" t="s">
        <v>1308</v>
      </c>
      <c r="B13" t="s">
        <v>1320</v>
      </c>
      <c r="C13" t="s">
        <v>1321</v>
      </c>
      <c r="D13" s="516">
        <v>12000</v>
      </c>
      <c r="E13" t="s">
        <v>184</v>
      </c>
      <c r="F13" s="514">
        <v>1853915235.1800001</v>
      </c>
      <c r="G13" s="514">
        <v>526830132.19</v>
      </c>
      <c r="H13" s="437" t="str">
        <f>VLOOKUP(D13,'COA LTD'!A:F,3,0)</f>
        <v>BS</v>
      </c>
      <c r="I13" s="437" t="str">
        <f>VLOOKUP(D13,'COA LTD'!A:F,4,0)</f>
        <v>Related Party</v>
      </c>
      <c r="J13" s="437">
        <f>VLOOKUP(D13,'COA LTD'!A:F,5,0)</f>
        <v>0</v>
      </c>
      <c r="K13" s="439">
        <f t="shared" si="1"/>
        <v>3.519000000006435</v>
      </c>
      <c r="L13" s="437"/>
      <c r="M13" s="437"/>
      <c r="N13" s="437"/>
      <c r="O13" s="437"/>
      <c r="P13" s="438"/>
      <c r="Q13" s="438"/>
      <c r="R13" s="438"/>
      <c r="S13" s="438"/>
      <c r="T13" s="437"/>
      <c r="U13" s="437"/>
      <c r="V13" s="437"/>
      <c r="W13" s="437"/>
      <c r="X13" s="437"/>
      <c r="Y13" s="437"/>
      <c r="Z13" s="437"/>
    </row>
    <row r="14" spans="1:26" ht="16.5" customHeight="1">
      <c r="A14" t="s">
        <v>1308</v>
      </c>
      <c r="B14" t="s">
        <v>1322</v>
      </c>
      <c r="C14" t="s">
        <v>1323</v>
      </c>
      <c r="D14" s="516">
        <v>13000</v>
      </c>
      <c r="E14" t="s">
        <v>1625</v>
      </c>
      <c r="F14" s="514">
        <v>4717224.82</v>
      </c>
      <c r="G14" s="514">
        <v>1340501.51</v>
      </c>
      <c r="H14" s="437" t="str">
        <f>VLOOKUP(D14,'COA LTD'!A:F,3,0)</f>
        <v>BS</v>
      </c>
      <c r="I14" s="437" t="str">
        <f>VLOOKUP(D14,'COA LTD'!A:F,4,0)</f>
        <v>Other accounts receivable</v>
      </c>
      <c r="J14" s="437">
        <f>VLOOKUP(D14,'COA LTD'!A:F,5,0)</f>
        <v>0</v>
      </c>
      <c r="K14" s="439">
        <f t="shared" si="1"/>
        <v>3.5190000047071939</v>
      </c>
      <c r="L14" s="437"/>
      <c r="M14" s="437"/>
      <c r="N14" s="437"/>
      <c r="O14" s="437"/>
      <c r="P14" s="438"/>
      <c r="Q14" s="438"/>
      <c r="R14" s="438"/>
      <c r="S14" s="438"/>
      <c r="T14" s="437"/>
      <c r="U14" s="437"/>
      <c r="V14" s="437"/>
      <c r="W14" s="437"/>
      <c r="X14" s="437"/>
      <c r="Y14" s="437"/>
      <c r="Z14" s="437"/>
    </row>
    <row r="15" spans="1:26" ht="16.5">
      <c r="A15" t="s">
        <v>1308</v>
      </c>
      <c r="B15" t="s">
        <v>1322</v>
      </c>
      <c r="C15" t="s">
        <v>1323</v>
      </c>
      <c r="D15" s="516">
        <v>13002</v>
      </c>
      <c r="E15" t="s">
        <v>1626</v>
      </c>
      <c r="F15" s="514">
        <v>-428805.14</v>
      </c>
      <c r="G15" s="514">
        <v>-121854.26</v>
      </c>
      <c r="H15" s="437" t="str">
        <f>VLOOKUP(D15,'COA LTD'!A:F,3,0)</f>
        <v>BS</v>
      </c>
      <c r="I15" s="437" t="str">
        <f>VLOOKUP(D15,'COA LTD'!A:F,4,0)</f>
        <v>Other accounts receivable</v>
      </c>
      <c r="J15" s="437">
        <f>VLOOKUP(D15,'COA LTD'!A:F,5,0)</f>
        <v>0</v>
      </c>
      <c r="K15" s="439">
        <f t="shared" si="1"/>
        <v>3.5189999922858668</v>
      </c>
      <c r="L15" s="437"/>
      <c r="M15" s="437"/>
      <c r="N15" s="437"/>
      <c r="O15" s="437"/>
      <c r="P15" s="438"/>
      <c r="Q15" s="438"/>
      <c r="R15" s="438"/>
      <c r="S15" s="438"/>
      <c r="T15" s="437"/>
      <c r="U15" s="437"/>
      <c r="V15" s="437"/>
      <c r="W15" s="437"/>
      <c r="X15" s="437"/>
      <c r="Y15" s="437"/>
      <c r="Z15" s="437"/>
    </row>
    <row r="16" spans="1:26" ht="16.5">
      <c r="A16" t="s">
        <v>1308</v>
      </c>
      <c r="B16" t="s">
        <v>1322</v>
      </c>
      <c r="C16" t="s">
        <v>1323</v>
      </c>
      <c r="D16" s="516">
        <v>13003</v>
      </c>
      <c r="E16" t="s">
        <v>1627</v>
      </c>
      <c r="F16" s="514">
        <v>85467.28</v>
      </c>
      <c r="G16" s="514">
        <v>24287.38</v>
      </c>
      <c r="H16" s="437" t="str">
        <f>VLOOKUP(D16,'COA LTD'!A:F,3,0)</f>
        <v>BS</v>
      </c>
      <c r="I16" s="437" t="str">
        <f>VLOOKUP(D16,'COA LTD'!A:F,4,0)</f>
        <v>Other accounts receivable</v>
      </c>
      <c r="J16" s="437">
        <f>VLOOKUP(D16,'COA LTD'!A:F,5,0)</f>
        <v>0</v>
      </c>
      <c r="K16" s="439">
        <f t="shared" si="1"/>
        <v>3.5189995792053321</v>
      </c>
      <c r="L16" s="437"/>
      <c r="M16" s="437"/>
      <c r="N16" s="437"/>
      <c r="O16" s="437"/>
      <c r="P16" s="438"/>
      <c r="Q16" s="438"/>
      <c r="R16" s="438"/>
      <c r="S16" s="438"/>
      <c r="T16" s="437"/>
      <c r="U16" s="437"/>
      <c r="V16" s="437"/>
      <c r="W16" s="437"/>
      <c r="X16" s="437"/>
      <c r="Y16" s="437"/>
      <c r="Z16" s="437"/>
    </row>
    <row r="17" spans="1:26" ht="16.5">
      <c r="A17" t="s">
        <v>1308</v>
      </c>
      <c r="B17" t="s">
        <v>1322</v>
      </c>
      <c r="C17" t="s">
        <v>1324</v>
      </c>
      <c r="D17" s="516">
        <v>13101</v>
      </c>
      <c r="E17" t="s">
        <v>529</v>
      </c>
      <c r="F17" s="514">
        <v>4679851.84</v>
      </c>
      <c r="G17" s="514">
        <v>1329881.17</v>
      </c>
      <c r="H17" s="437" t="str">
        <f>VLOOKUP(D17,'COA LTD'!A:F,3,0)</f>
        <v>BS</v>
      </c>
      <c r="I17" s="437" t="str">
        <f>VLOOKUP(D17,'COA LTD'!A:F,4,0)</f>
        <v>Other accounts receivable</v>
      </c>
      <c r="J17" s="437">
        <f>VLOOKUP(D17,'COA LTD'!A:F,5,0)</f>
        <v>0</v>
      </c>
      <c r="K17" s="439">
        <f t="shared" si="1"/>
        <v>3.5190000020828931</v>
      </c>
      <c r="L17" s="437"/>
      <c r="M17" s="437"/>
      <c r="N17" s="437"/>
      <c r="O17" s="437"/>
      <c r="P17" s="438"/>
      <c r="Q17" s="438"/>
      <c r="R17" s="438"/>
      <c r="S17" s="438"/>
      <c r="T17" s="437"/>
      <c r="U17" s="437"/>
      <c r="V17" s="437"/>
      <c r="W17" s="437"/>
      <c r="X17" s="437"/>
      <c r="Y17" s="437"/>
      <c r="Z17" s="437"/>
    </row>
    <row r="18" spans="1:26" ht="16.5">
      <c r="A18" t="s">
        <v>1308</v>
      </c>
      <c r="B18" t="s">
        <v>1322</v>
      </c>
      <c r="C18" t="s">
        <v>1324</v>
      </c>
      <c r="D18" s="516">
        <v>13102</v>
      </c>
      <c r="E18" t="s">
        <v>530</v>
      </c>
      <c r="F18" s="514">
        <v>16356.41</v>
      </c>
      <c r="G18" s="514">
        <v>4648.03</v>
      </c>
      <c r="H18" s="437" t="str">
        <f>VLOOKUP(D18,'COA LTD'!A:F,3,0)</f>
        <v>BS</v>
      </c>
      <c r="I18" s="437" t="str">
        <f>VLOOKUP(D18,'COA LTD'!A:F,4,0)</f>
        <v>Trade payables</v>
      </c>
      <c r="J18" s="437">
        <f>VLOOKUP(D18,'COA LTD'!A:F,5,0)</f>
        <v>0</v>
      </c>
      <c r="K18" s="439">
        <f t="shared" si="1"/>
        <v>3.5189983713530251</v>
      </c>
      <c r="L18" s="437"/>
      <c r="M18" s="437"/>
      <c r="N18" s="437"/>
      <c r="O18" s="437"/>
      <c r="P18" s="438"/>
      <c r="Q18" s="438"/>
      <c r="R18" s="438"/>
      <c r="S18" s="438"/>
      <c r="T18" s="437"/>
      <c r="U18" s="437"/>
      <c r="V18" s="437"/>
      <c r="W18" s="437"/>
      <c r="X18" s="437"/>
      <c r="Y18" s="437"/>
      <c r="Z18" s="437"/>
    </row>
    <row r="19" spans="1:26" ht="16.5">
      <c r="A19" t="s">
        <v>1308</v>
      </c>
      <c r="B19" t="s">
        <v>1322</v>
      </c>
      <c r="C19" t="s">
        <v>1324</v>
      </c>
      <c r="D19" s="516">
        <v>13103</v>
      </c>
      <c r="E19" t="s">
        <v>531</v>
      </c>
      <c r="F19" s="514">
        <v>2000.01</v>
      </c>
      <c r="G19" s="514">
        <v>568.35</v>
      </c>
      <c r="H19" s="437" t="str">
        <f>VLOOKUP(D19,'COA LTD'!A:F,3,0)</f>
        <v>BS</v>
      </c>
      <c r="I19" s="437" t="str">
        <f>VLOOKUP(D19,'COA LTD'!A:F,4,0)</f>
        <v>Employees payables</v>
      </c>
      <c r="J19" s="437">
        <f>VLOOKUP(D19,'COA LTD'!A:F,5,0)</f>
        <v>0</v>
      </c>
      <c r="K19" s="439">
        <f t="shared" si="1"/>
        <v>3.5189759831089997</v>
      </c>
      <c r="L19" s="437"/>
      <c r="M19" s="437"/>
      <c r="N19" s="437"/>
      <c r="O19" s="437"/>
      <c r="P19" s="438"/>
      <c r="Q19" s="438"/>
      <c r="R19" s="438"/>
      <c r="S19" s="438"/>
      <c r="T19" s="437"/>
      <c r="U19" s="437"/>
      <c r="V19" s="437"/>
      <c r="W19" s="437"/>
      <c r="X19" s="437"/>
      <c r="Y19" s="437"/>
      <c r="Z19" s="437"/>
    </row>
    <row r="20" spans="1:26" ht="16.5">
      <c r="A20" t="s">
        <v>1308</v>
      </c>
      <c r="B20" t="s">
        <v>1325</v>
      </c>
      <c r="C20" t="s">
        <v>1326</v>
      </c>
      <c r="D20" s="516">
        <v>14000</v>
      </c>
      <c r="E20" t="s">
        <v>532</v>
      </c>
      <c r="F20" s="514">
        <v>846752.04</v>
      </c>
      <c r="G20" s="514">
        <v>240622.92</v>
      </c>
      <c r="H20" s="437" t="str">
        <f>VLOOKUP(D20,'COA LTD'!A:F,3,0)</f>
        <v>BS</v>
      </c>
      <c r="I20" s="437" t="str">
        <f>VLOOKUP(D20,'COA LTD'!A:F,4,0)</f>
        <v>Prepaid Expenses</v>
      </c>
      <c r="J20" s="437">
        <f>VLOOKUP(D20,'COA LTD'!A:F,5,0)</f>
        <v>0</v>
      </c>
      <c r="K20" s="439">
        <f t="shared" si="1"/>
        <v>3.5189999356669763</v>
      </c>
      <c r="L20" s="437"/>
      <c r="M20" s="437"/>
      <c r="N20" s="437"/>
      <c r="O20" s="437"/>
      <c r="P20" s="438"/>
      <c r="Q20" s="438"/>
      <c r="R20" s="438"/>
      <c r="S20" s="438"/>
      <c r="T20" s="437"/>
      <c r="U20" s="437"/>
      <c r="V20" s="437"/>
      <c r="W20" s="437"/>
      <c r="X20" s="437"/>
      <c r="Y20" s="437"/>
      <c r="Z20" s="437"/>
    </row>
    <row r="21" spans="1:26" ht="15.75" customHeight="1">
      <c r="A21" t="s">
        <v>1308</v>
      </c>
      <c r="B21" t="s">
        <v>1325</v>
      </c>
      <c r="C21" t="s">
        <v>1326</v>
      </c>
      <c r="D21" s="516">
        <v>14001</v>
      </c>
      <c r="E21" t="s">
        <v>533</v>
      </c>
      <c r="F21" s="514">
        <v>8553.25</v>
      </c>
      <c r="G21" s="514">
        <v>2430.59</v>
      </c>
      <c r="H21" s="437" t="str">
        <f>VLOOKUP(D21,'COA LTD'!A:F,3,0)</f>
        <v>BS</v>
      </c>
      <c r="I21" s="437" t="str">
        <f>VLOOKUP(D21,'COA LTD'!A:F,4,0)</f>
        <v>Accrued Expenses</v>
      </c>
      <c r="J21" s="437">
        <f>VLOOKUP(D21,'COA LTD'!A:F,5,0)</f>
        <v>0</v>
      </c>
      <c r="K21" s="439">
        <f t="shared" si="1"/>
        <v>3.5190015592921879</v>
      </c>
      <c r="L21" s="437"/>
      <c r="M21" s="437"/>
      <c r="N21" s="437"/>
      <c r="O21" s="437"/>
      <c r="P21" s="438"/>
      <c r="Q21" s="438"/>
      <c r="R21" s="438"/>
      <c r="S21" s="438"/>
      <c r="T21" s="437"/>
      <c r="U21" s="437"/>
      <c r="V21" s="437"/>
      <c r="W21" s="437"/>
      <c r="X21" s="437"/>
      <c r="Y21" s="437"/>
      <c r="Z21" s="437"/>
    </row>
    <row r="22" spans="1:26" ht="15.75" customHeight="1">
      <c r="A22" t="s">
        <v>1308</v>
      </c>
      <c r="B22" t="s">
        <v>1325</v>
      </c>
      <c r="C22" t="s">
        <v>1326</v>
      </c>
      <c r="D22" s="516">
        <v>14002</v>
      </c>
      <c r="E22" t="s">
        <v>534</v>
      </c>
      <c r="F22" s="514">
        <v>7678.07</v>
      </c>
      <c r="G22" s="514">
        <v>2181.89</v>
      </c>
      <c r="H22" s="437" t="str">
        <f>VLOOKUP(D22,'COA LTD'!A:F,3,0)</f>
        <v>BS</v>
      </c>
      <c r="I22" s="437" t="str">
        <f>VLOOKUP(D22,'COA LTD'!A:F,4,0)</f>
        <v>Trade payables</v>
      </c>
      <c r="J22" s="437">
        <f>VLOOKUP(D22,'COA LTD'!A:F,5,0)</f>
        <v>0</v>
      </c>
      <c r="K22" s="439">
        <f t="shared" si="1"/>
        <v>3.5189995829303955</v>
      </c>
      <c r="L22" s="437"/>
      <c r="M22" s="437"/>
      <c r="N22" s="437"/>
      <c r="O22" s="437"/>
      <c r="P22" s="438"/>
      <c r="Q22" s="438"/>
      <c r="R22" s="438"/>
      <c r="S22" s="438"/>
      <c r="T22" s="437"/>
      <c r="U22" s="437"/>
      <c r="V22" s="437"/>
      <c r="W22" s="437"/>
      <c r="X22" s="437"/>
      <c r="Y22" s="437"/>
      <c r="Z22" s="437"/>
    </row>
    <row r="23" spans="1:26" ht="15.75" customHeight="1">
      <c r="A23" t="s">
        <v>1308</v>
      </c>
      <c r="B23" t="s">
        <v>1325</v>
      </c>
      <c r="C23" t="s">
        <v>1326</v>
      </c>
      <c r="D23" s="516">
        <v>14003</v>
      </c>
      <c r="E23" t="s">
        <v>990</v>
      </c>
      <c r="F23" s="514">
        <v>474.77</v>
      </c>
      <c r="G23" s="514">
        <v>134.91999999999999</v>
      </c>
      <c r="H23" s="437" t="str">
        <f>VLOOKUP(D23,'COA LTD'!A:F,3,0)</f>
        <v>BS</v>
      </c>
      <c r="I23" s="437" t="str">
        <f>VLOOKUP(D23,'COA LTD'!A:F,4,0)</f>
        <v>Trade payables</v>
      </c>
      <c r="J23" s="437">
        <f>VLOOKUP(D23,'COA LTD'!A:F,5,0)</f>
        <v>0</v>
      </c>
      <c r="K23" s="439">
        <f t="shared" si="1"/>
        <v>3.5189000889415953</v>
      </c>
      <c r="L23" s="437"/>
      <c r="M23" s="437"/>
      <c r="N23" s="437"/>
      <c r="O23" s="437"/>
      <c r="P23" s="438"/>
      <c r="Q23" s="438"/>
      <c r="R23" s="438"/>
      <c r="S23" s="438"/>
      <c r="T23" s="437"/>
      <c r="U23" s="437"/>
      <c r="V23" s="437"/>
      <c r="W23" s="437"/>
      <c r="X23" s="437"/>
      <c r="Y23" s="437"/>
      <c r="Z23" s="437"/>
    </row>
    <row r="24" spans="1:26" ht="15.75" customHeight="1">
      <c r="A24" t="s">
        <v>1308</v>
      </c>
      <c r="B24" t="s">
        <v>1569</v>
      </c>
      <c r="C24" t="s">
        <v>1727</v>
      </c>
      <c r="D24" s="516">
        <v>15001</v>
      </c>
      <c r="E24" t="s">
        <v>473</v>
      </c>
      <c r="F24" s="514">
        <v>-66126121</v>
      </c>
      <c r="G24" s="514">
        <v>-18791168.23</v>
      </c>
      <c r="H24" s="437" t="str">
        <f>VLOOKUP(D24,'COA LTD'!A:F,3,0)</f>
        <v>BS</v>
      </c>
      <c r="I24" s="437" t="str">
        <f>VLOOKUP(D24,'COA LTD'!A:F,4,0)</f>
        <v>ROA Liability ST</v>
      </c>
      <c r="J24" s="437">
        <f>VLOOKUP(D24,'COA LTD'!A:F,5,0)</f>
        <v>0</v>
      </c>
      <c r="K24" s="439">
        <f t="shared" si="1"/>
        <v>3.5189999999270931</v>
      </c>
      <c r="L24" s="437"/>
      <c r="M24" s="437"/>
      <c r="N24" s="437"/>
      <c r="O24" s="437"/>
      <c r="P24" s="438"/>
      <c r="Q24" s="438"/>
      <c r="R24" s="438"/>
      <c r="S24" s="438"/>
      <c r="T24" s="437"/>
      <c r="U24" s="437"/>
      <c r="V24" s="437"/>
      <c r="W24" s="437"/>
      <c r="X24" s="437"/>
      <c r="Y24" s="437"/>
      <c r="Z24" s="437"/>
    </row>
    <row r="25" spans="1:26" ht="15.75" customHeight="1">
      <c r="A25" t="s">
        <v>1308</v>
      </c>
      <c r="B25" t="s">
        <v>1569</v>
      </c>
      <c r="C25" t="s">
        <v>1570</v>
      </c>
      <c r="D25" s="516">
        <v>15002</v>
      </c>
      <c r="E25" t="s">
        <v>517</v>
      </c>
      <c r="F25" s="514">
        <v>-4966566.8099999996</v>
      </c>
      <c r="G25" s="514">
        <v>-1411357.43</v>
      </c>
      <c r="H25" s="437" t="str">
        <f>VLOOKUP(D25,'COA LTD'!A:F,3,0)</f>
        <v>BS</v>
      </c>
      <c r="I25" s="437" t="str">
        <f>VLOOKUP(D25,'COA LTD'!A:F,4,0)</f>
        <v>Warrant liability</v>
      </c>
      <c r="J25" s="437">
        <f>VLOOKUP(D25,'COA LTD'!A:F,5,0)</f>
        <v>0</v>
      </c>
      <c r="K25" s="439">
        <f t="shared" si="1"/>
        <v>3.5190000097990768</v>
      </c>
      <c r="L25" s="437"/>
      <c r="M25" s="437"/>
      <c r="N25" s="437"/>
      <c r="O25" s="437"/>
      <c r="P25" s="438"/>
      <c r="Q25" s="438"/>
      <c r="R25" s="438"/>
      <c r="S25" s="438"/>
      <c r="T25" s="437"/>
      <c r="U25" s="437"/>
      <c r="V25" s="437"/>
      <c r="W25" s="437"/>
      <c r="X25" s="437"/>
      <c r="Y25" s="437"/>
      <c r="Z25" s="437"/>
    </row>
    <row r="26" spans="1:26" ht="15.75" customHeight="1">
      <c r="A26" t="s">
        <v>1327</v>
      </c>
      <c r="B26" t="s">
        <v>1328</v>
      </c>
      <c r="C26" t="s">
        <v>1329</v>
      </c>
      <c r="D26" s="516">
        <v>25000</v>
      </c>
      <c r="E26" t="s">
        <v>535</v>
      </c>
      <c r="F26" s="514">
        <v>970500.41</v>
      </c>
      <c r="G26" s="514">
        <v>297519.03999999998</v>
      </c>
      <c r="H26" s="437" t="str">
        <f>VLOOKUP(D26,'COA LTD'!A:F,3,0)</f>
        <v>BS</v>
      </c>
      <c r="I26" s="437" t="str">
        <f>VLOOKUP(D26,'COA LTD'!A:F,4,0)</f>
        <v>Investment</v>
      </c>
      <c r="J26" s="437">
        <f>VLOOKUP(D26,'COA LTD'!A:F,5,0)</f>
        <v>0</v>
      </c>
      <c r="K26" s="439">
        <f t="shared" si="1"/>
        <v>3.2619774855417658</v>
      </c>
      <c r="L26" s="437"/>
      <c r="M26" s="437"/>
      <c r="N26" s="437"/>
      <c r="O26" s="437"/>
      <c r="P26" s="438"/>
      <c r="Q26" s="438"/>
      <c r="R26" s="438"/>
      <c r="S26" s="438"/>
      <c r="T26" s="437"/>
      <c r="U26" s="437"/>
      <c r="V26" s="437"/>
      <c r="W26" s="437"/>
      <c r="X26" s="437"/>
      <c r="Y26" s="437"/>
      <c r="Z26" s="437"/>
    </row>
    <row r="27" spans="1:26" ht="15.75" customHeight="1">
      <c r="A27" t="s">
        <v>1327</v>
      </c>
      <c r="B27" t="s">
        <v>1330</v>
      </c>
      <c r="C27" t="s">
        <v>1331</v>
      </c>
      <c r="D27" s="516">
        <v>27000</v>
      </c>
      <c r="E27" t="s">
        <v>1618</v>
      </c>
      <c r="F27" s="514">
        <v>170145.85</v>
      </c>
      <c r="G27" s="514">
        <v>48869.760000000002</v>
      </c>
      <c r="H27" s="437" t="str">
        <f>VLOOKUP(D27,'COA LTD'!A:F,3,0)</f>
        <v>BS</v>
      </c>
      <c r="I27" s="437" t="str">
        <f>VLOOKUP(D27,'COA LTD'!A:F,4,0)</f>
        <v>Fixed assets, net</v>
      </c>
      <c r="J27" s="437">
        <f>VLOOKUP(D27,'COA LTD'!A:F,5,0)</f>
        <v>0</v>
      </c>
      <c r="K27" s="439">
        <f t="shared" si="1"/>
        <v>3.4816182850089707</v>
      </c>
      <c r="L27" s="437"/>
      <c r="M27" s="437"/>
      <c r="N27" s="437"/>
      <c r="O27" s="437"/>
      <c r="P27" s="438"/>
      <c r="Q27" s="438"/>
      <c r="R27" s="438"/>
      <c r="S27" s="438"/>
      <c r="T27" s="437"/>
      <c r="U27" s="437"/>
      <c r="V27" s="437"/>
      <c r="W27" s="437"/>
      <c r="X27" s="437"/>
      <c r="Y27" s="437"/>
      <c r="Z27" s="437"/>
    </row>
    <row r="28" spans="1:26" ht="15.75" customHeight="1">
      <c r="A28" t="s">
        <v>1327</v>
      </c>
      <c r="B28" t="s">
        <v>1330</v>
      </c>
      <c r="C28" t="s">
        <v>1331</v>
      </c>
      <c r="D28" s="516">
        <v>27001</v>
      </c>
      <c r="E28" t="s">
        <v>1619</v>
      </c>
      <c r="F28" s="514">
        <v>2647169.23</v>
      </c>
      <c r="G28" s="514">
        <v>773622.78</v>
      </c>
      <c r="H28" s="437" t="str">
        <f>VLOOKUP(D28,'COA LTD'!A:F,3,0)</f>
        <v>BS</v>
      </c>
      <c r="I28" s="437" t="str">
        <f>VLOOKUP(D28,'COA LTD'!A:F,4,0)</f>
        <v>Fixed assets, net</v>
      </c>
      <c r="J28" s="437">
        <f>VLOOKUP(D28,'COA LTD'!A:F,5,0)</f>
        <v>0</v>
      </c>
      <c r="K28" s="439">
        <f t="shared" si="1"/>
        <v>3.4217829392252384</v>
      </c>
      <c r="L28" s="437"/>
      <c r="M28" s="437"/>
      <c r="N28" s="437"/>
      <c r="O28" s="437"/>
      <c r="P28" s="438"/>
      <c r="Q28" s="438"/>
      <c r="R28" s="438"/>
      <c r="S28" s="438"/>
      <c r="T28" s="437"/>
      <c r="U28" s="437"/>
      <c r="V28" s="437"/>
      <c r="W28" s="437"/>
      <c r="X28" s="437"/>
      <c r="Y28" s="437"/>
      <c r="Z28" s="437"/>
    </row>
    <row r="29" spans="1:26" ht="15.75" customHeight="1">
      <c r="A29" t="s">
        <v>1327</v>
      </c>
      <c r="B29" t="s">
        <v>1330</v>
      </c>
      <c r="C29" t="s">
        <v>1331</v>
      </c>
      <c r="D29" s="516">
        <v>27002</v>
      </c>
      <c r="E29" t="s">
        <v>1620</v>
      </c>
      <c r="F29" s="514">
        <v>758769.23</v>
      </c>
      <c r="G29" s="514">
        <v>225807.35</v>
      </c>
      <c r="H29" s="437" t="str">
        <f>VLOOKUP(D29,'COA LTD'!A:F,3,0)</f>
        <v>BS</v>
      </c>
      <c r="I29" s="437" t="str">
        <f>VLOOKUP(D29,'COA LTD'!A:F,4,0)</f>
        <v>Fixed assets, net</v>
      </c>
      <c r="J29" s="437">
        <f>VLOOKUP(D29,'COA LTD'!A:F,5,0)</f>
        <v>0</v>
      </c>
      <c r="K29" s="439">
        <f t="shared" si="1"/>
        <v>3.3602503638610521</v>
      </c>
      <c r="L29" s="437"/>
      <c r="M29" s="437"/>
      <c r="N29" s="437"/>
      <c r="O29" s="437"/>
      <c r="P29" s="438"/>
      <c r="Q29" s="438"/>
      <c r="R29" s="438"/>
      <c r="S29" s="438"/>
      <c r="T29" s="437"/>
      <c r="U29" s="437"/>
      <c r="V29" s="437"/>
      <c r="W29" s="437"/>
      <c r="X29" s="437"/>
      <c r="Y29" s="437"/>
      <c r="Z29" s="437"/>
    </row>
    <row r="30" spans="1:26" ht="15.75" customHeight="1">
      <c r="A30" t="s">
        <v>1327</v>
      </c>
      <c r="B30" t="s">
        <v>1330</v>
      </c>
      <c r="C30" t="s">
        <v>1331</v>
      </c>
      <c r="D30" s="516">
        <v>27003</v>
      </c>
      <c r="E30" t="s">
        <v>1621</v>
      </c>
      <c r="F30" s="514">
        <v>655159.78</v>
      </c>
      <c r="G30" s="514">
        <v>192852.66</v>
      </c>
      <c r="H30" s="437" t="str">
        <f>VLOOKUP(D30,'COA LTD'!A:F,3,0)</f>
        <v>BS</v>
      </c>
      <c r="I30" s="437" t="str">
        <f>VLOOKUP(D30,'COA LTD'!A:F,4,0)</f>
        <v>Fixed assets, net</v>
      </c>
      <c r="J30" s="437">
        <f>VLOOKUP(D30,'COA LTD'!A:F,5,0)</f>
        <v>0</v>
      </c>
      <c r="K30" s="439">
        <f t="shared" si="1"/>
        <v>3.3972037512990489</v>
      </c>
      <c r="L30" s="437"/>
      <c r="M30" s="437"/>
      <c r="N30" s="437"/>
      <c r="O30" s="437"/>
      <c r="P30" s="438"/>
      <c r="Q30" s="438"/>
      <c r="R30" s="438"/>
      <c r="S30" s="438"/>
      <c r="T30" s="437"/>
      <c r="U30" s="437"/>
      <c r="V30" s="437"/>
      <c r="W30" s="437"/>
      <c r="X30" s="437"/>
      <c r="Y30" s="437"/>
      <c r="Z30" s="437"/>
    </row>
    <row r="31" spans="1:26" ht="15.75" customHeight="1">
      <c r="A31" t="s">
        <v>1327</v>
      </c>
      <c r="B31" t="s">
        <v>1330</v>
      </c>
      <c r="C31" t="s">
        <v>1331</v>
      </c>
      <c r="D31" s="516">
        <v>27004</v>
      </c>
      <c r="E31" t="s">
        <v>1622</v>
      </c>
      <c r="F31" s="514">
        <v>2438110.31</v>
      </c>
      <c r="G31" s="514">
        <v>743038.46</v>
      </c>
      <c r="H31" s="437" t="str">
        <f>VLOOKUP(D31,'COA LTD'!A:F,3,0)</f>
        <v>BS</v>
      </c>
      <c r="I31" s="437" t="str">
        <f>VLOOKUP(D31,'COA LTD'!A:F,4,0)</f>
        <v>Fixed assets, net</v>
      </c>
      <c r="J31" s="437">
        <f>VLOOKUP(D31,'COA LTD'!A:F,5,0)</f>
        <v>0</v>
      </c>
      <c r="K31" s="439">
        <f t="shared" si="1"/>
        <v>3.2812706760831736</v>
      </c>
      <c r="L31" s="437"/>
      <c r="M31" s="437"/>
      <c r="N31" s="437"/>
      <c r="O31" s="437"/>
      <c r="P31" s="438"/>
      <c r="Q31" s="438"/>
      <c r="R31" s="438"/>
      <c r="S31" s="438"/>
      <c r="T31" s="437"/>
      <c r="U31" s="437"/>
      <c r="V31" s="437"/>
      <c r="W31" s="437"/>
      <c r="X31" s="437"/>
      <c r="Y31" s="437"/>
      <c r="Z31" s="437"/>
    </row>
    <row r="32" spans="1:26" ht="15.75" customHeight="1">
      <c r="A32" t="s">
        <v>1327</v>
      </c>
      <c r="B32" t="s">
        <v>1330</v>
      </c>
      <c r="C32" t="s">
        <v>1331</v>
      </c>
      <c r="D32" s="516">
        <v>27005</v>
      </c>
      <c r="E32" t="s">
        <v>1728</v>
      </c>
      <c r="F32" s="514">
        <v>71364452</v>
      </c>
      <c r="G32" s="514">
        <v>20186267</v>
      </c>
      <c r="H32" s="437" t="str">
        <f>VLOOKUP(D32,'COA LTD'!A:F,3,0)</f>
        <v>BS</v>
      </c>
      <c r="I32" s="437" t="str">
        <f>VLOOKUP(D32,'COA LTD'!A:F,4,0)</f>
        <v xml:space="preserve">ROA Assets </v>
      </c>
      <c r="J32" s="437">
        <f>VLOOKUP(D32,'COA LTD'!A:F,5,0)</f>
        <v>0</v>
      </c>
      <c r="K32" s="439">
        <f t="shared" si="1"/>
        <v>3.5352971403776636</v>
      </c>
      <c r="L32" s="437"/>
      <c r="M32" s="437"/>
      <c r="N32" s="437"/>
      <c r="O32" s="437"/>
      <c r="P32" s="438"/>
      <c r="Q32" s="438"/>
      <c r="R32" s="438"/>
      <c r="S32" s="438"/>
      <c r="T32" s="437"/>
      <c r="U32" s="437"/>
      <c r="V32" s="437"/>
      <c r="W32" s="437"/>
      <c r="X32" s="437"/>
      <c r="Y32" s="437"/>
      <c r="Z32" s="437"/>
    </row>
    <row r="33" spans="1:26" ht="15.75" customHeight="1">
      <c r="A33" t="s">
        <v>1327</v>
      </c>
      <c r="B33" t="s">
        <v>1330</v>
      </c>
      <c r="C33" t="s">
        <v>1332</v>
      </c>
      <c r="D33" s="516">
        <v>27100</v>
      </c>
      <c r="E33" t="s">
        <v>1333</v>
      </c>
      <c r="F33" s="514">
        <v>-8478.2000000000007</v>
      </c>
      <c r="G33" s="514">
        <v>-2381.7800000000002</v>
      </c>
      <c r="H33" s="437" t="str">
        <f>VLOOKUP(D33,'COA LTD'!A:F,3,0)</f>
        <v>BS</v>
      </c>
      <c r="I33" s="437" t="str">
        <f>VLOOKUP(D33,'COA LTD'!A:F,4,0)</f>
        <v>Fixed assets, net</v>
      </c>
      <c r="J33" s="437">
        <f>VLOOKUP(D33,'COA LTD'!A:F,5,0)</f>
        <v>0</v>
      </c>
      <c r="K33" s="439">
        <f t="shared" si="1"/>
        <v>3.5596066807177826</v>
      </c>
      <c r="L33" s="437"/>
      <c r="M33" s="437"/>
      <c r="N33" s="437"/>
      <c r="O33" s="437"/>
      <c r="P33" s="438"/>
      <c r="Q33" s="438"/>
      <c r="R33" s="438"/>
      <c r="S33" s="438"/>
      <c r="T33" s="437"/>
      <c r="U33" s="437"/>
      <c r="V33" s="437"/>
      <c r="W33" s="437"/>
      <c r="X33" s="437"/>
      <c r="Y33" s="437"/>
      <c r="Z33" s="437"/>
    </row>
    <row r="34" spans="1:26" ht="15.75" customHeight="1">
      <c r="A34" t="s">
        <v>1327</v>
      </c>
      <c r="B34" t="s">
        <v>1330</v>
      </c>
      <c r="C34" t="s">
        <v>1332</v>
      </c>
      <c r="D34" s="516">
        <v>27101</v>
      </c>
      <c r="E34" t="s">
        <v>541</v>
      </c>
      <c r="F34" s="514">
        <v>-80918.89</v>
      </c>
      <c r="G34" s="514">
        <v>-24391.95</v>
      </c>
      <c r="H34" s="437" t="str">
        <f>VLOOKUP(D34,'COA LTD'!A:F,3,0)</f>
        <v>BS</v>
      </c>
      <c r="I34" s="437" t="str">
        <f>VLOOKUP(D34,'COA LTD'!A:F,4,0)</f>
        <v>Fixed assets, net</v>
      </c>
      <c r="J34" s="437">
        <f>VLOOKUP(D34,'COA LTD'!A:F,5,0)</f>
        <v>0</v>
      </c>
      <c r="K34" s="439">
        <f t="shared" si="1"/>
        <v>3.3174424349016784</v>
      </c>
      <c r="L34" s="437"/>
      <c r="M34" s="437"/>
      <c r="N34" s="437"/>
      <c r="O34" s="437"/>
      <c r="P34" s="438"/>
      <c r="Q34" s="438"/>
      <c r="R34" s="438"/>
      <c r="S34" s="438"/>
      <c r="T34" s="437"/>
      <c r="U34" s="437"/>
      <c r="V34" s="437"/>
      <c r="W34" s="437"/>
      <c r="X34" s="437"/>
      <c r="Y34" s="437"/>
      <c r="Z34" s="437"/>
    </row>
    <row r="35" spans="1:26" ht="15.75" customHeight="1">
      <c r="A35" t="s">
        <v>1327</v>
      </c>
      <c r="B35" t="s">
        <v>1330</v>
      </c>
      <c r="C35" t="s">
        <v>1332</v>
      </c>
      <c r="D35" s="516">
        <v>27102</v>
      </c>
      <c r="E35" t="s">
        <v>542</v>
      </c>
      <c r="F35" s="514">
        <v>-27260.04</v>
      </c>
      <c r="G35" s="514">
        <v>-8273.93</v>
      </c>
      <c r="H35" s="437" t="str">
        <f>VLOOKUP(D35,'COA LTD'!A:F,3,0)</f>
        <v>BS</v>
      </c>
      <c r="I35" s="437" t="str">
        <f>VLOOKUP(D35,'COA LTD'!A:F,4,0)</f>
        <v>Fixed assets, net</v>
      </c>
      <c r="J35" s="437">
        <f>VLOOKUP(D35,'COA LTD'!A:F,5,0)</f>
        <v>0</v>
      </c>
      <c r="K35" s="439">
        <f t="shared" si="1"/>
        <v>3.294690672993366</v>
      </c>
      <c r="L35" s="437"/>
      <c r="M35" s="437"/>
      <c r="N35" s="437"/>
      <c r="O35" s="437"/>
      <c r="P35" s="438"/>
      <c r="Q35" s="438"/>
      <c r="R35" s="438"/>
      <c r="S35" s="438"/>
      <c r="T35" s="437"/>
      <c r="U35" s="437"/>
      <c r="V35" s="437"/>
      <c r="W35" s="437"/>
      <c r="X35" s="437"/>
      <c r="Y35" s="437"/>
      <c r="Z35" s="437"/>
    </row>
    <row r="36" spans="1:26" ht="15.75" customHeight="1">
      <c r="A36" t="s">
        <v>1327</v>
      </c>
      <c r="B36" t="s">
        <v>1330</v>
      </c>
      <c r="C36" t="s">
        <v>1332</v>
      </c>
      <c r="D36" s="516">
        <v>27103</v>
      </c>
      <c r="E36" t="s">
        <v>543</v>
      </c>
      <c r="F36" s="514">
        <v>-34907.46</v>
      </c>
      <c r="G36" s="514">
        <v>-10633.71</v>
      </c>
      <c r="H36" s="437" t="str">
        <f>VLOOKUP(D36,'COA LTD'!A:F,3,0)</f>
        <v>BS</v>
      </c>
      <c r="I36" s="437" t="str">
        <f>VLOOKUP(D36,'COA LTD'!A:F,4,0)</f>
        <v>Fixed assets, net</v>
      </c>
      <c r="J36" s="437">
        <f>VLOOKUP(D36,'COA LTD'!A:F,5,0)</f>
        <v>0</v>
      </c>
      <c r="K36" s="439">
        <f t="shared" si="1"/>
        <v>3.2827169445094895</v>
      </c>
      <c r="L36" s="437"/>
      <c r="M36" s="437"/>
      <c r="N36" s="437"/>
      <c r="O36" s="437"/>
      <c r="P36" s="438"/>
      <c r="Q36" s="438"/>
      <c r="R36" s="438"/>
      <c r="S36" s="438"/>
      <c r="T36" s="437"/>
      <c r="U36" s="437"/>
      <c r="V36" s="437"/>
      <c r="W36" s="437"/>
      <c r="X36" s="437"/>
      <c r="Y36" s="437"/>
      <c r="Z36" s="437"/>
    </row>
    <row r="37" spans="1:26" ht="15.75" customHeight="1">
      <c r="A37" t="s">
        <v>1327</v>
      </c>
      <c r="B37" t="s">
        <v>1330</v>
      </c>
      <c r="C37" t="s">
        <v>1332</v>
      </c>
      <c r="D37" s="516">
        <v>27104</v>
      </c>
      <c r="E37" t="s">
        <v>544</v>
      </c>
      <c r="F37" s="514">
        <v>-921372.56</v>
      </c>
      <c r="G37" s="514">
        <v>-279434.74</v>
      </c>
      <c r="H37" s="667" t="str">
        <f>VLOOKUP(D37,'COA LTD'!A:F,3,0)</f>
        <v>BS</v>
      </c>
      <c r="I37" s="437" t="str">
        <f>VLOOKUP(D37,'COA LTD'!A:F,4,0)</f>
        <v>Fixed assets, net</v>
      </c>
      <c r="J37" s="437">
        <f>VLOOKUP(D37,'COA LTD'!A:F,5,0)</f>
        <v>0</v>
      </c>
      <c r="K37" s="439">
        <f t="shared" si="1"/>
        <v>3.2972727728842881</v>
      </c>
      <c r="L37" s="437"/>
      <c r="M37" s="437"/>
      <c r="N37" s="437"/>
      <c r="O37" s="437"/>
      <c r="P37" s="438"/>
      <c r="Q37" s="438"/>
      <c r="R37" s="438"/>
      <c r="S37" s="438"/>
      <c r="T37" s="437"/>
      <c r="U37" s="437"/>
      <c r="V37" s="437"/>
      <c r="W37" s="437"/>
      <c r="X37" s="437"/>
      <c r="Y37" s="437"/>
      <c r="Z37" s="437"/>
    </row>
    <row r="38" spans="1:26" ht="15.75" customHeight="1">
      <c r="A38" t="s">
        <v>1334</v>
      </c>
      <c r="B38" t="s">
        <v>1335</v>
      </c>
      <c r="C38" t="s">
        <v>1336</v>
      </c>
      <c r="D38" s="516">
        <v>30000</v>
      </c>
      <c r="E38" t="s">
        <v>1456</v>
      </c>
      <c r="F38" s="514">
        <v>-5995098</v>
      </c>
      <c r="G38" s="514">
        <v>-1703636.83</v>
      </c>
      <c r="H38" s="437" t="str">
        <f>VLOOKUP(D38,'COA LTD'!A:F,3,0)</f>
        <v>BS</v>
      </c>
      <c r="I38" s="437" t="str">
        <f>VLOOKUP(D38,'COA LTD'!A:F,4,0)</f>
        <v>Tax provision</v>
      </c>
      <c r="J38" s="437">
        <f>VLOOKUP(D38,'COA LTD'!A:F,5,0)</f>
        <v>0</v>
      </c>
      <c r="K38" s="439">
        <f t="shared" si="1"/>
        <v>3.5189999972001074</v>
      </c>
      <c r="L38" s="437"/>
      <c r="M38" s="437"/>
      <c r="N38" s="437"/>
      <c r="O38" s="437"/>
      <c r="P38" s="438"/>
      <c r="Q38" s="438"/>
      <c r="R38" s="438"/>
      <c r="S38" s="438"/>
      <c r="T38" s="437"/>
      <c r="U38" s="437"/>
      <c r="V38" s="437"/>
      <c r="W38" s="437"/>
      <c r="X38" s="437"/>
      <c r="Y38" s="437"/>
      <c r="Z38" s="437"/>
    </row>
    <row r="39" spans="1:26" ht="15.75" customHeight="1">
      <c r="A39" t="s">
        <v>1334</v>
      </c>
      <c r="B39" t="s">
        <v>1335</v>
      </c>
      <c r="C39" t="s">
        <v>1336</v>
      </c>
      <c r="D39" s="516">
        <v>30001</v>
      </c>
      <c r="E39" t="s">
        <v>545</v>
      </c>
      <c r="F39" s="514">
        <v>-16348213.880000001</v>
      </c>
      <c r="G39" s="514">
        <v>-4645698.74</v>
      </c>
      <c r="H39" s="437" t="str">
        <f>VLOOKUP(D39,'COA LTD'!A:F,3,0)</f>
        <v>BS</v>
      </c>
      <c r="I39" s="437" t="str">
        <f>VLOOKUP(D39,'COA LTD'!A:F,4,0)</f>
        <v>Tax provision</v>
      </c>
      <c r="J39" s="437">
        <f>VLOOKUP(D39,'COA LTD'!A:F,5,0)</f>
        <v>0</v>
      </c>
      <c r="K39" s="439">
        <f t="shared" si="1"/>
        <v>3.5190000030006252</v>
      </c>
      <c r="L39" s="437"/>
      <c r="M39" s="437"/>
      <c r="N39" s="437"/>
      <c r="O39" s="437"/>
      <c r="P39" s="438"/>
      <c r="Q39" s="438"/>
      <c r="R39" s="438"/>
      <c r="S39" s="438"/>
      <c r="T39" s="437"/>
      <c r="U39" s="437"/>
      <c r="V39" s="437"/>
      <c r="W39" s="437"/>
      <c r="X39" s="437"/>
      <c r="Y39" s="437"/>
      <c r="Z39" s="437"/>
    </row>
    <row r="40" spans="1:26" ht="15.75" customHeight="1">
      <c r="A40" t="s">
        <v>1334</v>
      </c>
      <c r="B40" t="s">
        <v>1335</v>
      </c>
      <c r="C40" t="s">
        <v>1336</v>
      </c>
      <c r="D40" s="516">
        <v>30003</v>
      </c>
      <c r="E40" t="s">
        <v>1704</v>
      </c>
      <c r="F40" s="514">
        <v>-160000</v>
      </c>
      <c r="G40" s="514">
        <v>-45467.46</v>
      </c>
      <c r="H40" s="437" t="str">
        <f>VLOOKUP(D40,'COA LTD'!A:F,3,0)</f>
        <v>BS</v>
      </c>
      <c r="I40" s="437" t="str">
        <f>VLOOKUP(D40,'COA LTD'!A:F,4,0)</f>
        <v>Tax provision</v>
      </c>
      <c r="J40" s="437">
        <f>VLOOKUP(D40,'COA LTD'!A:F,5,0)</f>
        <v>0</v>
      </c>
      <c r="K40" s="439">
        <f t="shared" si="1"/>
        <v>3.5190001816683845</v>
      </c>
      <c r="L40" s="437"/>
      <c r="M40" s="437"/>
      <c r="N40" s="437"/>
      <c r="O40" s="437"/>
      <c r="P40" s="438"/>
      <c r="Q40" s="438"/>
      <c r="R40" s="438"/>
      <c r="S40" s="438"/>
      <c r="T40" s="437"/>
      <c r="U40" s="437"/>
      <c r="V40" s="437"/>
      <c r="W40" s="437"/>
      <c r="X40" s="437"/>
      <c r="Y40" s="437"/>
      <c r="Z40" s="437"/>
    </row>
    <row r="41" spans="1:26" ht="15.75" customHeight="1">
      <c r="A41" t="s">
        <v>1334</v>
      </c>
      <c r="B41" t="s">
        <v>1337</v>
      </c>
      <c r="C41" t="s">
        <v>1338</v>
      </c>
      <c r="D41" s="516">
        <v>31000</v>
      </c>
      <c r="E41" t="s">
        <v>546</v>
      </c>
      <c r="F41" s="514">
        <v>8467</v>
      </c>
      <c r="G41" s="514">
        <v>2406.08</v>
      </c>
      <c r="H41" s="437" t="str">
        <f>VLOOKUP(D41,'COA LTD'!A:F,3,0)</f>
        <v>BS</v>
      </c>
      <c r="I41" s="437" t="str">
        <f>VLOOKUP(D41,'COA LTD'!A:F,4,0)</f>
        <v>Tax provision</v>
      </c>
      <c r="J41" s="437">
        <f>VLOOKUP(D41,'COA LTD'!A:F,5,0)</f>
        <v>0</v>
      </c>
      <c r="K41" s="439">
        <f t="shared" si="1"/>
        <v>3.5190018619497274</v>
      </c>
      <c r="L41" s="437"/>
      <c r="M41" s="437"/>
      <c r="N41" s="437"/>
      <c r="O41" s="437"/>
      <c r="P41" s="438"/>
      <c r="Q41" s="438"/>
      <c r="R41" s="438"/>
      <c r="S41" s="438"/>
      <c r="T41" s="437"/>
      <c r="U41" s="437"/>
      <c r="V41" s="437"/>
      <c r="W41" s="437"/>
      <c r="X41" s="437"/>
      <c r="Y41" s="437"/>
      <c r="Z41" s="437"/>
    </row>
    <row r="42" spans="1:26" ht="15.75" customHeight="1">
      <c r="A42" t="s">
        <v>1334</v>
      </c>
      <c r="B42" t="s">
        <v>1337</v>
      </c>
      <c r="C42" t="s">
        <v>1338</v>
      </c>
      <c r="D42" s="516">
        <v>31001</v>
      </c>
      <c r="E42" t="s">
        <v>547</v>
      </c>
      <c r="F42" s="514">
        <v>33750</v>
      </c>
      <c r="G42" s="514">
        <v>9590.7900000000009</v>
      </c>
      <c r="H42" s="437" t="str">
        <f>VLOOKUP(D42,'COA LTD'!A:F,3,0)</f>
        <v>BS</v>
      </c>
      <c r="I42" s="437" t="str">
        <f>VLOOKUP(D42,'COA LTD'!A:F,4,0)</f>
        <v>Tax provision</v>
      </c>
      <c r="J42" s="437">
        <f>VLOOKUP(D42,'COA LTD'!A:F,5,0)</f>
        <v>0</v>
      </c>
      <c r="K42" s="439">
        <f t="shared" si="1"/>
        <v>3.5190010416243078</v>
      </c>
      <c r="L42" s="437"/>
      <c r="M42" s="437"/>
      <c r="N42" s="437"/>
      <c r="O42" s="437"/>
      <c r="P42" s="438"/>
      <c r="Q42" s="438"/>
      <c r="R42" s="438"/>
      <c r="S42" s="438"/>
      <c r="T42" s="437"/>
      <c r="U42" s="437"/>
      <c r="V42" s="437"/>
      <c r="W42" s="437"/>
      <c r="X42" s="437"/>
      <c r="Y42" s="437"/>
      <c r="Z42" s="437"/>
    </row>
    <row r="43" spans="1:26" ht="15.75" customHeight="1">
      <c r="A43" t="s">
        <v>1334</v>
      </c>
      <c r="B43" t="s">
        <v>1337</v>
      </c>
      <c r="C43" t="s">
        <v>1338</v>
      </c>
      <c r="D43" s="516">
        <v>31002</v>
      </c>
      <c r="E43" t="s">
        <v>548</v>
      </c>
      <c r="F43" s="514">
        <v>38723</v>
      </c>
      <c r="G43" s="514">
        <v>11003.98</v>
      </c>
      <c r="H43" s="667" t="str">
        <f>VLOOKUP(D43,'COA LTD'!A:F,3,0)</f>
        <v>BS</v>
      </c>
      <c r="I43" s="437" t="str">
        <f>VLOOKUP(D43,'COA LTD'!A:F,4,0)</f>
        <v>Tax provision</v>
      </c>
      <c r="J43" s="437">
        <f>VLOOKUP(D43,'COA LTD'!A:F,5,0)</f>
        <v>0</v>
      </c>
      <c r="K43" s="439">
        <f t="shared" ref="K43:K74" si="2">F43/G43</f>
        <v>3.5189994892756986</v>
      </c>
      <c r="L43" s="437"/>
      <c r="M43" s="437"/>
      <c r="N43" s="437"/>
      <c r="O43" s="437"/>
      <c r="P43" s="438"/>
      <c r="Q43" s="438"/>
      <c r="R43" s="438"/>
      <c r="S43" s="438"/>
      <c r="T43" s="437"/>
      <c r="U43" s="437"/>
      <c r="V43" s="437"/>
      <c r="W43" s="437"/>
      <c r="X43" s="437"/>
      <c r="Y43" s="437"/>
      <c r="Z43" s="437"/>
    </row>
    <row r="44" spans="1:26" ht="15.75" customHeight="1">
      <c r="A44" t="s">
        <v>1334</v>
      </c>
      <c r="B44" t="s">
        <v>1337</v>
      </c>
      <c r="C44" t="s">
        <v>1338</v>
      </c>
      <c r="D44" s="516">
        <v>31003</v>
      </c>
      <c r="E44" t="s">
        <v>549</v>
      </c>
      <c r="F44" s="514">
        <v>45000</v>
      </c>
      <c r="G44" s="514">
        <v>12787.72</v>
      </c>
      <c r="H44" s="437" t="str">
        <f>VLOOKUP(D44,'COA LTD'!A:F,3,0)</f>
        <v>BS</v>
      </c>
      <c r="I44" s="437" t="str">
        <f>VLOOKUP(D44,'COA LTD'!A:F,4,0)</f>
        <v>Tax provision</v>
      </c>
      <c r="J44" s="437">
        <f>VLOOKUP(D44,'COA LTD'!A:F,5,0)</f>
        <v>0</v>
      </c>
      <c r="K44" s="439">
        <f t="shared" si="2"/>
        <v>3.5190010416243087</v>
      </c>
      <c r="L44" s="437"/>
      <c r="M44" s="437"/>
      <c r="N44" s="437"/>
      <c r="O44" s="437"/>
      <c r="P44" s="438"/>
      <c r="Q44" s="438"/>
      <c r="R44" s="438"/>
      <c r="S44" s="438"/>
      <c r="T44" s="437"/>
      <c r="U44" s="437"/>
      <c r="V44" s="437"/>
      <c r="W44" s="437"/>
      <c r="X44" s="437"/>
      <c r="Y44" s="437"/>
      <c r="Z44" s="437"/>
    </row>
    <row r="45" spans="1:26" ht="15.75" customHeight="1">
      <c r="A45" t="s">
        <v>1334</v>
      </c>
      <c r="B45" t="s">
        <v>1337</v>
      </c>
      <c r="C45" t="s">
        <v>1338</v>
      </c>
      <c r="D45" s="516">
        <v>31004</v>
      </c>
      <c r="E45" t="s">
        <v>550</v>
      </c>
      <c r="F45" s="514">
        <v>95303</v>
      </c>
      <c r="G45" s="514">
        <v>27082.41</v>
      </c>
      <c r="H45" s="437" t="str">
        <f>VLOOKUP(D45,'COA LTD'!A:F,3,0)</f>
        <v>BS</v>
      </c>
      <c r="I45" s="437" t="str">
        <f>VLOOKUP(D45,'COA LTD'!A:F,4,0)</f>
        <v>Tax provision</v>
      </c>
      <c r="J45" s="437">
        <f>VLOOKUP(D45,'COA LTD'!A:F,5,0)</f>
        <v>0</v>
      </c>
      <c r="K45" s="439">
        <f t="shared" si="2"/>
        <v>3.5189999708297748</v>
      </c>
      <c r="L45" s="437"/>
      <c r="M45" s="437"/>
      <c r="N45" s="437"/>
      <c r="O45" s="437"/>
      <c r="P45" s="438"/>
      <c r="Q45" s="438"/>
      <c r="R45" s="438"/>
      <c r="S45" s="438"/>
      <c r="T45" s="437"/>
      <c r="U45" s="437"/>
      <c r="V45" s="437"/>
      <c r="W45" s="437"/>
      <c r="X45" s="437"/>
      <c r="Y45" s="437"/>
      <c r="Z45" s="437"/>
    </row>
    <row r="46" spans="1:26" ht="15.75" customHeight="1">
      <c r="A46" t="s">
        <v>1334</v>
      </c>
      <c r="B46" t="s">
        <v>1337</v>
      </c>
      <c r="C46" t="s">
        <v>1338</v>
      </c>
      <c r="D46" s="516">
        <v>31006</v>
      </c>
      <c r="E46" t="s">
        <v>551</v>
      </c>
      <c r="F46" s="514">
        <v>7522200</v>
      </c>
      <c r="G46" s="514">
        <v>2137595.91</v>
      </c>
      <c r="H46" s="437" t="str">
        <f>VLOOKUP(D46,'COA LTD'!A:F,3,0)</f>
        <v>BS</v>
      </c>
      <c r="I46" s="437" t="str">
        <f>VLOOKUP(D46,'COA LTD'!A:F,4,0)</f>
        <v>Tax provision</v>
      </c>
      <c r="J46" s="437">
        <f>VLOOKUP(D46,'COA LTD'!A:F,5,0)</f>
        <v>0</v>
      </c>
      <c r="K46" s="439">
        <f t="shared" si="2"/>
        <v>3.5189999965896264</v>
      </c>
      <c r="L46" s="437"/>
      <c r="M46" s="437"/>
      <c r="N46" s="437"/>
      <c r="O46" s="437"/>
      <c r="P46" s="438"/>
      <c r="Q46" s="438"/>
      <c r="R46" s="438"/>
      <c r="S46" s="438"/>
      <c r="T46" s="437"/>
      <c r="U46" s="437"/>
      <c r="V46" s="437"/>
      <c r="W46" s="437"/>
      <c r="X46" s="437"/>
      <c r="Y46" s="437"/>
      <c r="Z46" s="437"/>
    </row>
    <row r="47" spans="1:26" ht="15.75" customHeight="1">
      <c r="A47" t="s">
        <v>1334</v>
      </c>
      <c r="B47" t="s">
        <v>1337</v>
      </c>
      <c r="C47" t="s">
        <v>1338</v>
      </c>
      <c r="D47" s="516">
        <v>31007</v>
      </c>
      <c r="E47" t="s">
        <v>1571</v>
      </c>
      <c r="F47" s="514">
        <v>-57420227.700000003</v>
      </c>
      <c r="G47" s="514">
        <v>-16317200.390000001</v>
      </c>
      <c r="H47" s="437" t="str">
        <f>VLOOKUP(D47,'COA LTD'!A:F,3,0)</f>
        <v>BS</v>
      </c>
      <c r="I47" s="437" t="str">
        <f>VLOOKUP(D47,'COA LTD'!A:F,4,0)</f>
        <v xml:space="preserve">Sales tax Provision </v>
      </c>
      <c r="J47" s="437">
        <f>VLOOKUP(D47,'COA LTD'!A:F,5,0)</f>
        <v>0</v>
      </c>
      <c r="K47" s="439">
        <f t="shared" si="2"/>
        <v>3.5189999710483422</v>
      </c>
      <c r="L47" s="437"/>
      <c r="M47" s="437"/>
      <c r="N47" s="437"/>
      <c r="O47" s="437"/>
      <c r="P47" s="438"/>
      <c r="Q47" s="438"/>
      <c r="R47" s="438"/>
      <c r="S47" s="438"/>
      <c r="T47" s="437"/>
      <c r="U47" s="437"/>
      <c r="V47" s="437"/>
      <c r="W47" s="437"/>
      <c r="X47" s="437"/>
      <c r="Y47" s="437"/>
      <c r="Z47" s="437"/>
    </row>
    <row r="48" spans="1:26" ht="15.75" customHeight="1">
      <c r="A48" t="s">
        <v>1334</v>
      </c>
      <c r="B48" t="s">
        <v>1337</v>
      </c>
      <c r="C48" t="s">
        <v>1338</v>
      </c>
      <c r="D48" s="516">
        <v>31008</v>
      </c>
      <c r="E48" t="s">
        <v>1215</v>
      </c>
      <c r="F48" s="514">
        <v>1695737.79</v>
      </c>
      <c r="G48" s="514">
        <v>481880.59</v>
      </c>
      <c r="H48" s="437" t="str">
        <f>VLOOKUP(D48,'COA LTD'!A:F,3,0)</f>
        <v>BS</v>
      </c>
      <c r="I48" s="437" t="str">
        <f>VLOOKUP(D48,'COA LTD'!A:F,4,0)</f>
        <v xml:space="preserve">Sales tax Provision </v>
      </c>
      <c r="J48" s="437">
        <f>VLOOKUP(D48,'COA LTD'!A:F,5,0)</f>
        <v>0</v>
      </c>
      <c r="K48" s="439">
        <f t="shared" si="2"/>
        <v>3.51899998711299</v>
      </c>
      <c r="L48" s="437"/>
      <c r="M48" s="437"/>
      <c r="N48" s="437"/>
      <c r="O48" s="437"/>
      <c r="P48" s="438"/>
      <c r="Q48" s="438"/>
      <c r="R48" s="438"/>
      <c r="S48" s="438"/>
      <c r="T48" s="437"/>
      <c r="U48" s="437"/>
      <c r="V48" s="437"/>
      <c r="W48" s="437"/>
      <c r="X48" s="437"/>
      <c r="Y48" s="437"/>
      <c r="Z48" s="437"/>
    </row>
    <row r="49" spans="1:26" ht="15.75" customHeight="1">
      <c r="A49" t="s">
        <v>1334</v>
      </c>
      <c r="B49" t="s">
        <v>1337</v>
      </c>
      <c r="C49" t="s">
        <v>1339</v>
      </c>
      <c r="D49" s="516">
        <v>31103</v>
      </c>
      <c r="E49" t="s">
        <v>1340</v>
      </c>
      <c r="F49" s="514">
        <v>-3519000</v>
      </c>
      <c r="G49" s="514">
        <v>-1000000</v>
      </c>
      <c r="H49" s="437" t="str">
        <f>VLOOKUP(D49,'COA LTD'!A:F,3,0)</f>
        <v>BS</v>
      </c>
      <c r="I49" s="437" t="str">
        <f>VLOOKUP(D49,'COA LTD'!A:F,4,0)</f>
        <v>Trade payables</v>
      </c>
      <c r="J49" s="437">
        <f>VLOOKUP(D49,'COA LTD'!A:F,5,0)</f>
        <v>0</v>
      </c>
      <c r="K49" s="439">
        <f t="shared" si="2"/>
        <v>3.5190000000000001</v>
      </c>
      <c r="L49" s="437"/>
      <c r="M49" s="437"/>
      <c r="N49" s="437"/>
      <c r="O49" s="437"/>
      <c r="P49" s="438"/>
      <c r="Q49" s="438"/>
      <c r="R49" s="438"/>
      <c r="S49" s="438"/>
      <c r="T49" s="437"/>
      <c r="U49" s="437"/>
      <c r="V49" s="437"/>
      <c r="W49" s="437"/>
      <c r="X49" s="437"/>
      <c r="Y49" s="437"/>
      <c r="Z49" s="437"/>
    </row>
    <row r="50" spans="1:26" ht="15.75" customHeight="1">
      <c r="A50" t="s">
        <v>1334</v>
      </c>
      <c r="B50" t="s">
        <v>1341</v>
      </c>
      <c r="C50" t="s">
        <v>1342</v>
      </c>
      <c r="D50" s="516">
        <v>32000</v>
      </c>
      <c r="E50" t="s">
        <v>1343</v>
      </c>
      <c r="F50" s="514">
        <v>-29293123.18</v>
      </c>
      <c r="G50" s="514">
        <v>-8324281.8200000003</v>
      </c>
      <c r="H50" s="437" t="str">
        <f>VLOOKUP(D50,'COA LTD'!A:F,3,0)</f>
        <v>BS</v>
      </c>
      <c r="I50" s="437" t="str">
        <f>VLOOKUP(D50,'COA LTD'!A:F,4,0)</f>
        <v>Contract liability</v>
      </c>
      <c r="J50" s="437">
        <f>VLOOKUP(D50,'COA LTD'!A:F,5,0)</f>
        <v>0</v>
      </c>
      <c r="K50" s="439">
        <f t="shared" si="2"/>
        <v>3.5189970514477364</v>
      </c>
      <c r="L50" s="437"/>
      <c r="M50" s="437"/>
      <c r="N50" s="437"/>
      <c r="O50" s="437"/>
      <c r="P50" s="438"/>
      <c r="Q50" s="438"/>
      <c r="R50" s="438"/>
      <c r="S50" s="438"/>
      <c r="T50" s="437"/>
      <c r="U50" s="437"/>
      <c r="V50" s="437"/>
      <c r="W50" s="437"/>
      <c r="X50" s="437"/>
      <c r="Y50" s="437"/>
      <c r="Z50" s="437"/>
    </row>
    <row r="51" spans="1:26" ht="15.75" customHeight="1">
      <c r="A51" t="s">
        <v>1334</v>
      </c>
      <c r="B51" t="s">
        <v>1341</v>
      </c>
      <c r="C51" t="s">
        <v>1342</v>
      </c>
      <c r="D51" s="516">
        <v>32001</v>
      </c>
      <c r="E51" t="s">
        <v>1161</v>
      </c>
      <c r="F51" s="514">
        <v>-2238193.96</v>
      </c>
      <c r="G51" s="514">
        <v>-636031.24</v>
      </c>
      <c r="H51" s="437" t="str">
        <f>VLOOKUP(D51,'COA LTD'!A:F,3,0)</f>
        <v>BS</v>
      </c>
      <c r="I51" s="437" t="str">
        <f>VLOOKUP(D51,'COA LTD'!A:F,4,0)</f>
        <v>Contract liability</v>
      </c>
      <c r="J51" s="437">
        <f>VLOOKUP(D51,'COA LTD'!A:F,5,0)</f>
        <v>0</v>
      </c>
      <c r="K51" s="439">
        <f t="shared" si="2"/>
        <v>3.5190000415702851</v>
      </c>
      <c r="L51" s="437"/>
      <c r="M51" s="437"/>
      <c r="N51" s="437"/>
      <c r="O51" s="437"/>
      <c r="P51" s="438"/>
      <c r="Q51" s="438"/>
      <c r="R51" s="438"/>
      <c r="S51" s="438"/>
      <c r="T51" s="437"/>
      <c r="U51" s="437"/>
      <c r="V51" s="437"/>
      <c r="W51" s="437"/>
      <c r="X51" s="437"/>
      <c r="Y51" s="437"/>
      <c r="Z51" s="437"/>
    </row>
    <row r="52" spans="1:26" ht="15.75" customHeight="1">
      <c r="A52" t="s">
        <v>1334</v>
      </c>
      <c r="B52" t="s">
        <v>1344</v>
      </c>
      <c r="C52" t="s">
        <v>1345</v>
      </c>
      <c r="D52" s="516">
        <v>340009</v>
      </c>
      <c r="E52" t="s">
        <v>61</v>
      </c>
      <c r="F52" s="514">
        <v>-30763</v>
      </c>
      <c r="G52" s="514">
        <v>-8741.9699999999993</v>
      </c>
      <c r="H52" s="437" t="str">
        <f>VLOOKUP(D52,'COA LTD'!A:F,3,0)</f>
        <v>BS</v>
      </c>
      <c r="I52" s="437" t="str">
        <f>VLOOKUP(D52,'COA LTD'!A:F,4,0)</f>
        <v>Trade payables</v>
      </c>
      <c r="J52" s="437">
        <f>VLOOKUP(D52,'COA LTD'!A:F,5,0)</f>
        <v>0</v>
      </c>
      <c r="K52" s="439">
        <f t="shared" si="2"/>
        <v>3.5190008659375405</v>
      </c>
      <c r="L52" s="437"/>
      <c r="M52" s="437"/>
      <c r="N52" s="437"/>
      <c r="O52" s="437"/>
      <c r="P52" s="438"/>
      <c r="Q52" s="438"/>
      <c r="R52" s="438"/>
      <c r="S52" s="438"/>
      <c r="T52" s="437"/>
      <c r="U52" s="437"/>
      <c r="V52" s="437"/>
      <c r="W52" s="437"/>
      <c r="X52" s="437"/>
      <c r="Y52" s="437"/>
      <c r="Z52" s="437"/>
    </row>
    <row r="53" spans="1:26" ht="15.75" customHeight="1">
      <c r="A53" t="s">
        <v>1334</v>
      </c>
      <c r="B53" t="s">
        <v>1344</v>
      </c>
      <c r="C53" t="s">
        <v>1345</v>
      </c>
      <c r="D53" s="516">
        <v>340036</v>
      </c>
      <c r="E53" t="s">
        <v>187</v>
      </c>
      <c r="F53" s="514">
        <v>-35</v>
      </c>
      <c r="G53" s="514">
        <v>-9.9499999999999993</v>
      </c>
      <c r="H53" s="437" t="str">
        <f>VLOOKUP(D53,'COA LTD'!A:F,3,0)</f>
        <v>BS</v>
      </c>
      <c r="I53" s="437" t="str">
        <f>VLOOKUP(D53,'COA LTD'!A:F,4,0)</f>
        <v>Trade payables</v>
      </c>
      <c r="J53" s="437">
        <f>VLOOKUP(D53,'COA LTD'!A:F,5,0)</f>
        <v>0</v>
      </c>
      <c r="K53" s="439">
        <f t="shared" si="2"/>
        <v>3.5175879396984926</v>
      </c>
      <c r="L53" s="437"/>
      <c r="M53" s="437"/>
      <c r="N53" s="437"/>
      <c r="O53" s="437"/>
      <c r="P53" s="438"/>
      <c r="Q53" s="438"/>
      <c r="R53" s="438"/>
      <c r="S53" s="438"/>
      <c r="T53" s="437"/>
      <c r="U53" s="437"/>
      <c r="V53" s="437"/>
      <c r="W53" s="437"/>
      <c r="X53" s="437"/>
      <c r="Y53" s="437"/>
      <c r="Z53" s="437"/>
    </row>
    <row r="54" spans="1:26" ht="15.75" customHeight="1">
      <c r="A54" t="s">
        <v>1334</v>
      </c>
      <c r="B54" t="s">
        <v>1344</v>
      </c>
      <c r="C54" t="s">
        <v>1345</v>
      </c>
      <c r="D54" s="516">
        <v>340058</v>
      </c>
      <c r="E54" t="s">
        <v>195</v>
      </c>
      <c r="F54" s="514">
        <v>-5695.9</v>
      </c>
      <c r="G54" s="514">
        <v>-1618.61</v>
      </c>
      <c r="H54" s="437" t="str">
        <f>VLOOKUP(D54,'COA LTD'!A:F,3,0)</f>
        <v>BS</v>
      </c>
      <c r="I54" s="437" t="str">
        <f>VLOOKUP(D54,'COA LTD'!A:F,4,0)</f>
        <v>Trade payables</v>
      </c>
      <c r="J54" s="437">
        <f>VLOOKUP(D54,'COA LTD'!A:F,5,0)</f>
        <v>0</v>
      </c>
      <c r="K54" s="439">
        <f t="shared" si="2"/>
        <v>3.5190070492583141</v>
      </c>
      <c r="L54" s="437"/>
      <c r="M54" s="437"/>
      <c r="N54" s="437"/>
      <c r="O54" s="437"/>
      <c r="P54" s="438"/>
      <c r="Q54" s="438"/>
      <c r="R54" s="438"/>
      <c r="S54" s="438"/>
      <c r="T54" s="437"/>
      <c r="U54" s="437"/>
      <c r="V54" s="437"/>
      <c r="W54" s="437"/>
      <c r="X54" s="437"/>
      <c r="Y54" s="437"/>
      <c r="Z54" s="437"/>
    </row>
    <row r="55" spans="1:26" ht="15.75" customHeight="1">
      <c r="A55" t="s">
        <v>1334</v>
      </c>
      <c r="B55" t="s">
        <v>1344</v>
      </c>
      <c r="C55" t="s">
        <v>1345</v>
      </c>
      <c r="D55" s="516">
        <v>340084</v>
      </c>
      <c r="E55" t="s">
        <v>72</v>
      </c>
      <c r="F55" s="514">
        <v>-764182.52</v>
      </c>
      <c r="G55" s="514">
        <v>-217159</v>
      </c>
      <c r="H55" s="437" t="str">
        <f>VLOOKUP(D55,'COA LTD'!A:F,3,0)</f>
        <v>BS</v>
      </c>
      <c r="I55" s="437" t="str">
        <f>VLOOKUP(D55,'COA LTD'!A:F,4,0)</f>
        <v>Trade payables</v>
      </c>
      <c r="J55" s="437">
        <f>VLOOKUP(D55,'COA LTD'!A:F,5,0)</f>
        <v>0</v>
      </c>
      <c r="K55" s="439">
        <f t="shared" si="2"/>
        <v>3.5189999953950792</v>
      </c>
      <c r="L55" s="437"/>
      <c r="M55" s="437"/>
      <c r="N55" s="437"/>
      <c r="O55" s="437"/>
      <c r="P55" s="438"/>
      <c r="Q55" s="438"/>
      <c r="R55" s="438"/>
      <c r="S55" s="438"/>
      <c r="T55" s="437"/>
      <c r="U55" s="437"/>
      <c r="V55" s="437"/>
      <c r="W55" s="437"/>
      <c r="X55" s="437"/>
      <c r="Y55" s="437"/>
      <c r="Z55" s="437"/>
    </row>
    <row r="56" spans="1:26" ht="15.75" customHeight="1">
      <c r="A56" t="s">
        <v>1334</v>
      </c>
      <c r="B56" t="s">
        <v>1344</v>
      </c>
      <c r="C56" t="s">
        <v>1345</v>
      </c>
      <c r="D56" s="516">
        <v>340095</v>
      </c>
      <c r="E56" t="s">
        <v>73</v>
      </c>
      <c r="F56" s="514">
        <v>2493504.64</v>
      </c>
      <c r="G56" s="514">
        <v>708583.3</v>
      </c>
      <c r="H56" s="437" t="str">
        <f>VLOOKUP(D56,'COA LTD'!A:F,3,0)</f>
        <v>BS</v>
      </c>
      <c r="I56" s="437" t="str">
        <f>VLOOKUP(D56,'COA LTD'!A:F,4,0)</f>
        <v>Accrued Expenses</v>
      </c>
      <c r="J56" s="437">
        <f>VLOOKUP(D56,'COA LTD'!A:F,5,0)</f>
        <v>0</v>
      </c>
      <c r="K56" s="439">
        <f t="shared" si="2"/>
        <v>3.5190000103022467</v>
      </c>
      <c r="L56" s="437"/>
      <c r="M56" s="437"/>
      <c r="N56" s="437"/>
      <c r="O56" s="437"/>
      <c r="P56" s="438"/>
      <c r="Q56" s="438"/>
      <c r="R56" s="438"/>
      <c r="S56" s="438"/>
      <c r="T56" s="437"/>
      <c r="U56" s="437"/>
      <c r="V56" s="437"/>
      <c r="W56" s="437"/>
      <c r="X56" s="437"/>
      <c r="Y56" s="437"/>
      <c r="Z56" s="437"/>
    </row>
    <row r="57" spans="1:26" ht="15.75" customHeight="1">
      <c r="A57" t="s">
        <v>1334</v>
      </c>
      <c r="B57" t="s">
        <v>1344</v>
      </c>
      <c r="C57" t="s">
        <v>1345</v>
      </c>
      <c r="D57" s="516">
        <v>340108</v>
      </c>
      <c r="E57" t="s">
        <v>76</v>
      </c>
      <c r="F57" s="514">
        <v>-60819</v>
      </c>
      <c r="G57" s="514">
        <v>-17283.03</v>
      </c>
      <c r="H57" s="437" t="str">
        <f>VLOOKUP(D57,'COA LTD'!A:F,3,0)</f>
        <v>BS</v>
      </c>
      <c r="I57" s="437" t="str">
        <f>VLOOKUP(D57,'COA LTD'!A:F,4,0)</f>
        <v>Trade payables</v>
      </c>
      <c r="J57" s="437">
        <f>VLOOKUP(D57,'COA LTD'!A:F,5,0)</f>
        <v>0</v>
      </c>
      <c r="K57" s="439">
        <f t="shared" si="2"/>
        <v>3.5190010085037176</v>
      </c>
      <c r="L57" s="437"/>
      <c r="M57" s="437"/>
      <c r="N57" s="437"/>
      <c r="O57" s="437"/>
      <c r="P57" s="438"/>
      <c r="Q57" s="438"/>
      <c r="R57" s="438"/>
      <c r="S57" s="438"/>
      <c r="T57" s="437"/>
      <c r="U57" s="437"/>
      <c r="V57" s="437"/>
      <c r="W57" s="437"/>
      <c r="X57" s="437"/>
      <c r="Y57" s="437"/>
      <c r="Z57" s="437"/>
    </row>
    <row r="58" spans="1:26" ht="15.75" customHeight="1">
      <c r="A58" t="s">
        <v>1334</v>
      </c>
      <c r="B58" t="s">
        <v>1344</v>
      </c>
      <c r="C58" t="s">
        <v>1345</v>
      </c>
      <c r="D58" s="516">
        <v>340147</v>
      </c>
      <c r="E58" t="s">
        <v>85</v>
      </c>
      <c r="F58" s="514">
        <v>11589</v>
      </c>
      <c r="G58" s="514">
        <v>3293.27</v>
      </c>
      <c r="H58" s="437" t="str">
        <f>VLOOKUP(D58,'COA LTD'!A:F,3,0)</f>
        <v>BS</v>
      </c>
      <c r="I58" s="437" t="str">
        <f>VLOOKUP(D58,'COA LTD'!A:F,4,0)</f>
        <v>Trade payables</v>
      </c>
      <c r="J58" s="437">
        <f>VLOOKUP(D58,'COA LTD'!A:F,5,0)</f>
        <v>0</v>
      </c>
      <c r="K58" s="439">
        <f t="shared" si="2"/>
        <v>3.5189947984829666</v>
      </c>
      <c r="L58" s="437"/>
      <c r="M58" s="437"/>
      <c r="N58" s="437"/>
      <c r="O58" s="437"/>
      <c r="P58" s="438"/>
      <c r="Q58" s="438"/>
      <c r="R58" s="438"/>
      <c r="S58" s="438"/>
      <c r="T58" s="437"/>
      <c r="U58" s="437"/>
      <c r="V58" s="437"/>
      <c r="W58" s="437"/>
      <c r="X58" s="437"/>
      <c r="Y58" s="437"/>
      <c r="Z58" s="437"/>
    </row>
    <row r="59" spans="1:26" ht="15.75" customHeight="1">
      <c r="A59" t="s">
        <v>1334</v>
      </c>
      <c r="B59" t="s">
        <v>1344</v>
      </c>
      <c r="C59" t="s">
        <v>1345</v>
      </c>
      <c r="D59" s="516">
        <v>340155</v>
      </c>
      <c r="E59" t="s">
        <v>88</v>
      </c>
      <c r="F59" s="514">
        <v>-25</v>
      </c>
      <c r="G59" s="514">
        <v>-7.1</v>
      </c>
      <c r="H59" s="437" t="str">
        <f>VLOOKUP(D59,'COA LTD'!A:F,3,0)</f>
        <v>BS</v>
      </c>
      <c r="I59" s="437" t="str">
        <f>VLOOKUP(D59,'COA LTD'!A:F,4,0)</f>
        <v>Trade payables</v>
      </c>
      <c r="J59" s="437">
        <f>VLOOKUP(D59,'COA LTD'!A:F,5,0)</f>
        <v>0</v>
      </c>
      <c r="K59" s="439">
        <f t="shared" si="2"/>
        <v>3.5211267605633805</v>
      </c>
      <c r="L59" s="437"/>
      <c r="M59" s="437"/>
      <c r="N59" s="437"/>
      <c r="O59" s="437"/>
      <c r="P59" s="438"/>
      <c r="Q59" s="438"/>
      <c r="R59" s="438"/>
      <c r="S59" s="438"/>
      <c r="T59" s="437"/>
      <c r="U59" s="437"/>
      <c r="V59" s="437"/>
      <c r="W59" s="437"/>
      <c r="X59" s="437"/>
      <c r="Y59" s="437"/>
      <c r="Z59" s="437"/>
    </row>
    <row r="60" spans="1:26" ht="15.75" customHeight="1">
      <c r="A60" t="s">
        <v>1334</v>
      </c>
      <c r="B60" t="s">
        <v>1344</v>
      </c>
      <c r="C60" t="s">
        <v>1345</v>
      </c>
      <c r="D60" s="516">
        <v>340159</v>
      </c>
      <c r="E60" t="s">
        <v>90</v>
      </c>
      <c r="F60" s="514">
        <v>-98175</v>
      </c>
      <c r="G60" s="514">
        <v>-27898.55</v>
      </c>
      <c r="H60" s="437" t="str">
        <f>VLOOKUP(D60,'COA LTD'!A:F,3,0)</f>
        <v>BS</v>
      </c>
      <c r="I60" s="437" t="str">
        <f>VLOOKUP(D60,'COA LTD'!A:F,4,0)</f>
        <v>Trade payables</v>
      </c>
      <c r="J60" s="437">
        <f>VLOOKUP(D60,'COA LTD'!A:F,5,0)</f>
        <v>0</v>
      </c>
      <c r="K60" s="439">
        <f t="shared" si="2"/>
        <v>3.5190000914025998</v>
      </c>
      <c r="L60" s="437"/>
      <c r="M60" s="437"/>
      <c r="N60" s="437"/>
      <c r="O60" s="437"/>
      <c r="P60" s="438"/>
      <c r="Q60" s="438"/>
      <c r="R60" s="438"/>
      <c r="S60" s="438"/>
      <c r="T60" s="437"/>
      <c r="U60" s="437"/>
      <c r="V60" s="437"/>
      <c r="W60" s="437"/>
      <c r="X60" s="437"/>
      <c r="Y60" s="437"/>
      <c r="Z60" s="437"/>
    </row>
    <row r="61" spans="1:26" ht="15.75" customHeight="1">
      <c r="A61" t="s">
        <v>1334</v>
      </c>
      <c r="B61" t="s">
        <v>1344</v>
      </c>
      <c r="C61" t="s">
        <v>1345</v>
      </c>
      <c r="D61" s="516">
        <v>340189</v>
      </c>
      <c r="E61" t="s">
        <v>1346</v>
      </c>
      <c r="F61" s="514">
        <v>-852935.01</v>
      </c>
      <c r="G61" s="514">
        <v>-242379.94</v>
      </c>
      <c r="H61" s="437" t="str">
        <f>VLOOKUP(D61,'COA LTD'!A:F,3,0)</f>
        <v>BS</v>
      </c>
      <c r="I61" s="437" t="str">
        <f>VLOOKUP(D61,'COA LTD'!A:F,4,0)</f>
        <v>Trade payables</v>
      </c>
      <c r="J61" s="437">
        <f>VLOOKUP(D61,'COA LTD'!A:F,5,0)</f>
        <v>0</v>
      </c>
      <c r="K61" s="439">
        <f t="shared" si="2"/>
        <v>3.5190000047033596</v>
      </c>
      <c r="L61" s="437"/>
      <c r="M61" s="437"/>
      <c r="N61" s="437"/>
      <c r="O61" s="437"/>
      <c r="P61" s="438"/>
      <c r="Q61" s="438"/>
      <c r="R61" s="438"/>
      <c r="S61" s="438"/>
      <c r="T61" s="437"/>
      <c r="U61" s="437"/>
      <c r="V61" s="437"/>
      <c r="W61" s="437"/>
      <c r="X61" s="437"/>
      <c r="Y61" s="437"/>
      <c r="Z61" s="437"/>
    </row>
    <row r="62" spans="1:26" ht="15.75" customHeight="1">
      <c r="A62" t="s">
        <v>1334</v>
      </c>
      <c r="B62" t="s">
        <v>1344</v>
      </c>
      <c r="C62" t="s">
        <v>1345</v>
      </c>
      <c r="D62" s="516">
        <v>340192</v>
      </c>
      <c r="E62" t="s">
        <v>198</v>
      </c>
      <c r="F62" s="514">
        <v>312</v>
      </c>
      <c r="G62" s="514">
        <v>88.66</v>
      </c>
      <c r="H62" s="437" t="str">
        <f>VLOOKUP(D62,'COA LTD'!A:F,3,0)</f>
        <v>BS</v>
      </c>
      <c r="I62" s="437" t="str">
        <f>VLOOKUP(D62,'COA LTD'!A:F,4,0)</f>
        <v>Trade payables</v>
      </c>
      <c r="J62" s="437">
        <f>VLOOKUP(D62,'COA LTD'!A:F,5,0)</f>
        <v>0</v>
      </c>
      <c r="K62" s="439">
        <f t="shared" si="2"/>
        <v>3.5190615835777126</v>
      </c>
      <c r="L62" s="437"/>
      <c r="M62" s="437"/>
      <c r="N62" s="437"/>
      <c r="O62" s="437"/>
      <c r="P62" s="438"/>
      <c r="Q62" s="438"/>
      <c r="R62" s="438"/>
      <c r="S62" s="438"/>
      <c r="T62" s="437"/>
      <c r="U62" s="437"/>
      <c r="V62" s="437"/>
      <c r="W62" s="437"/>
      <c r="X62" s="437"/>
      <c r="Y62" s="437"/>
      <c r="Z62" s="437"/>
    </row>
    <row r="63" spans="1:26" ht="15.75" customHeight="1">
      <c r="A63" t="s">
        <v>1334</v>
      </c>
      <c r="B63" t="s">
        <v>1344</v>
      </c>
      <c r="C63" t="s">
        <v>1345</v>
      </c>
      <c r="D63" s="516">
        <v>340198</v>
      </c>
      <c r="E63" t="s">
        <v>96</v>
      </c>
      <c r="F63" s="514">
        <v>-16380</v>
      </c>
      <c r="G63" s="514">
        <v>-4654.7299999999996</v>
      </c>
      <c r="H63" s="437" t="str">
        <f>VLOOKUP(D63,'COA LTD'!A:F,3,0)</f>
        <v>BS</v>
      </c>
      <c r="I63" s="437" t="str">
        <f>VLOOKUP(D63,'COA LTD'!A:F,4,0)</f>
        <v>Trade payables</v>
      </c>
      <c r="J63" s="437">
        <f>VLOOKUP(D63,'COA LTD'!A:F,5,0)</f>
        <v>0</v>
      </c>
      <c r="K63" s="439">
        <f t="shared" si="2"/>
        <v>3.5190011021047409</v>
      </c>
      <c r="L63" s="437"/>
      <c r="M63" s="437"/>
      <c r="N63" s="437"/>
      <c r="O63" s="437"/>
      <c r="P63" s="438"/>
      <c r="Q63" s="438"/>
      <c r="R63" s="438"/>
      <c r="S63" s="438"/>
      <c r="T63" s="437"/>
      <c r="U63" s="437"/>
      <c r="V63" s="437"/>
      <c r="W63" s="437"/>
      <c r="X63" s="437"/>
      <c r="Y63" s="437"/>
      <c r="Z63" s="437"/>
    </row>
    <row r="64" spans="1:26" ht="15.75" customHeight="1">
      <c r="A64" t="s">
        <v>1334</v>
      </c>
      <c r="B64" t="s">
        <v>1344</v>
      </c>
      <c r="C64" t="s">
        <v>1345</v>
      </c>
      <c r="D64" s="516">
        <v>340207</v>
      </c>
      <c r="E64" t="s">
        <v>175</v>
      </c>
      <c r="F64" s="514">
        <v>-30806</v>
      </c>
      <c r="G64" s="514">
        <v>-8754.19</v>
      </c>
      <c r="H64" s="437" t="str">
        <f>VLOOKUP(D64,'COA LTD'!A:F,3,0)</f>
        <v>BS</v>
      </c>
      <c r="I64" s="437" t="str">
        <f>VLOOKUP(D64,'COA LTD'!A:F,4,0)</f>
        <v>Trade payables</v>
      </c>
      <c r="J64" s="437">
        <f>VLOOKUP(D64,'COA LTD'!A:F,5,0)</f>
        <v>0</v>
      </c>
      <c r="K64" s="439">
        <f t="shared" si="2"/>
        <v>3.5190006157051648</v>
      </c>
      <c r="L64" s="437"/>
      <c r="M64" s="437"/>
      <c r="N64" s="437"/>
      <c r="O64" s="437"/>
      <c r="P64" s="438"/>
      <c r="Q64" s="438"/>
      <c r="R64" s="438"/>
      <c r="S64" s="438"/>
      <c r="T64" s="437"/>
      <c r="U64" s="437"/>
      <c r="V64" s="437"/>
      <c r="W64" s="437"/>
      <c r="X64" s="437"/>
      <c r="Y64" s="437"/>
      <c r="Z64" s="437"/>
    </row>
    <row r="65" spans="1:26" ht="15.75" customHeight="1">
      <c r="A65" t="s">
        <v>1334</v>
      </c>
      <c r="B65" t="s">
        <v>1344</v>
      </c>
      <c r="C65" t="s">
        <v>1345</v>
      </c>
      <c r="D65" s="516">
        <v>340209</v>
      </c>
      <c r="E65" t="s">
        <v>188</v>
      </c>
      <c r="F65" s="514">
        <v>135756.24</v>
      </c>
      <c r="G65" s="514">
        <v>38578.07</v>
      </c>
      <c r="H65" s="437" t="str">
        <f>VLOOKUP(D65,'COA LTD'!A:F,3,0)</f>
        <v>BS</v>
      </c>
      <c r="I65" s="437" t="str">
        <f>VLOOKUP(D65,'COA LTD'!A:F,4,0)</f>
        <v>Accrued Expenses</v>
      </c>
      <c r="J65" s="437">
        <f>VLOOKUP(D65,'COA LTD'!A:F,5,0)</f>
        <v>0</v>
      </c>
      <c r="K65" s="439">
        <f t="shared" si="2"/>
        <v>3.5190003025034686</v>
      </c>
      <c r="L65" s="437"/>
      <c r="M65" s="437"/>
      <c r="N65" s="437"/>
      <c r="O65" s="437"/>
      <c r="P65" s="438"/>
      <c r="Q65" s="438"/>
      <c r="R65" s="438"/>
      <c r="S65" s="438"/>
      <c r="T65" s="437"/>
      <c r="U65" s="437"/>
      <c r="V65" s="437"/>
      <c r="W65" s="437"/>
      <c r="X65" s="437"/>
      <c r="Y65" s="437"/>
      <c r="Z65" s="437"/>
    </row>
    <row r="66" spans="1:26" ht="15.75" customHeight="1">
      <c r="A66" t="s">
        <v>1334</v>
      </c>
      <c r="B66" t="s">
        <v>1344</v>
      </c>
      <c r="C66" t="s">
        <v>1345</v>
      </c>
      <c r="D66" s="516">
        <v>340225</v>
      </c>
      <c r="E66" t="s">
        <v>233</v>
      </c>
      <c r="F66" s="514">
        <v>-1404</v>
      </c>
      <c r="G66" s="514">
        <v>-398.98</v>
      </c>
      <c r="H66" s="437" t="str">
        <f>VLOOKUP(D66,'COA LTD'!A:F,3,0)</f>
        <v>BS</v>
      </c>
      <c r="I66" s="437" t="str">
        <f>VLOOKUP(D66,'COA LTD'!A:F,4,0)</f>
        <v>Trade payables</v>
      </c>
      <c r="J66" s="437">
        <f>VLOOKUP(D66,'COA LTD'!A:F,5,0)</f>
        <v>0</v>
      </c>
      <c r="K66" s="439">
        <f t="shared" si="2"/>
        <v>3.5189733821244169</v>
      </c>
      <c r="L66" s="437"/>
      <c r="M66" s="437"/>
      <c r="N66" s="437"/>
      <c r="O66" s="437"/>
      <c r="P66" s="438"/>
      <c r="Q66" s="438"/>
      <c r="R66" s="438"/>
      <c r="S66" s="438"/>
      <c r="T66" s="437"/>
      <c r="U66" s="437"/>
      <c r="V66" s="437"/>
      <c r="W66" s="437"/>
      <c r="X66" s="437"/>
      <c r="Y66" s="437"/>
      <c r="Z66" s="437"/>
    </row>
    <row r="67" spans="1:26" ht="15.75" customHeight="1">
      <c r="A67" t="s">
        <v>1334</v>
      </c>
      <c r="B67" t="s">
        <v>1344</v>
      </c>
      <c r="C67" t="s">
        <v>1345</v>
      </c>
      <c r="D67" s="516">
        <v>340235</v>
      </c>
      <c r="E67" t="s">
        <v>1013</v>
      </c>
      <c r="F67" s="514">
        <v>-184436</v>
      </c>
      <c r="G67" s="514">
        <v>-52411.48</v>
      </c>
      <c r="H67" s="437" t="str">
        <f>VLOOKUP(D67,'COA LTD'!A:F,3,0)</f>
        <v>BS</v>
      </c>
      <c r="I67" s="437" t="str">
        <f>VLOOKUP(D67,'COA LTD'!A:F,4,0)</f>
        <v>Trade payables</v>
      </c>
      <c r="J67" s="437">
        <f>VLOOKUP(D67,'COA LTD'!A:F,5,0)</f>
        <v>0</v>
      </c>
      <c r="K67" s="439">
        <f t="shared" si="2"/>
        <v>3.519000035870004</v>
      </c>
      <c r="L67" s="437"/>
      <c r="M67" s="437"/>
      <c r="N67" s="437"/>
      <c r="O67" s="437"/>
      <c r="P67" s="438"/>
      <c r="Q67" s="438"/>
      <c r="R67" s="438"/>
      <c r="S67" s="438"/>
      <c r="T67" s="437"/>
      <c r="U67" s="437"/>
      <c r="V67" s="437"/>
      <c r="W67" s="437"/>
      <c r="X67" s="437"/>
      <c r="Y67" s="437"/>
      <c r="Z67" s="437"/>
    </row>
    <row r="68" spans="1:26" ht="15.75" customHeight="1">
      <c r="A68" t="s">
        <v>1334</v>
      </c>
      <c r="B68" t="s">
        <v>1344</v>
      </c>
      <c r="C68" t="s">
        <v>1345</v>
      </c>
      <c r="D68" s="516">
        <v>340250</v>
      </c>
      <c r="E68" t="s">
        <v>200</v>
      </c>
      <c r="F68" s="514">
        <v>-1111.77</v>
      </c>
      <c r="G68" s="514">
        <v>-315.93</v>
      </c>
      <c r="H68" s="437" t="str">
        <f>VLOOKUP(D68,'COA LTD'!A:F,3,0)</f>
        <v>BS</v>
      </c>
      <c r="I68" s="437" t="str">
        <f>VLOOKUP(D68,'COA LTD'!A:F,4,0)</f>
        <v>Trade payables</v>
      </c>
      <c r="J68" s="437">
        <f>VLOOKUP(D68,'COA LTD'!A:F,5,0)</f>
        <v>0</v>
      </c>
      <c r="K68" s="439">
        <f t="shared" si="2"/>
        <v>3.5190390276327035</v>
      </c>
      <c r="L68" s="437"/>
      <c r="M68" s="437"/>
      <c r="N68" s="437"/>
      <c r="O68" s="437"/>
      <c r="P68" s="438"/>
      <c r="Q68" s="438"/>
      <c r="R68" s="438"/>
      <c r="S68" s="438"/>
      <c r="T68" s="437"/>
      <c r="U68" s="437"/>
      <c r="V68" s="437"/>
      <c r="W68" s="437"/>
      <c r="X68" s="437"/>
      <c r="Y68" s="437"/>
      <c r="Z68" s="437"/>
    </row>
    <row r="69" spans="1:26" ht="15.75" customHeight="1">
      <c r="A69" t="s">
        <v>1334</v>
      </c>
      <c r="B69" t="s">
        <v>1344</v>
      </c>
      <c r="C69" t="s">
        <v>1345</v>
      </c>
      <c r="D69" s="516">
        <v>340262</v>
      </c>
      <c r="E69" t="s">
        <v>261</v>
      </c>
      <c r="F69" s="514">
        <v>1303935</v>
      </c>
      <c r="G69" s="514">
        <v>370541.35</v>
      </c>
      <c r="H69" s="437" t="str">
        <f>VLOOKUP(D69,'COA LTD'!A:F,3,0)</f>
        <v>BS</v>
      </c>
      <c r="I69" s="437" t="str">
        <f>VLOOKUP(D69,'COA LTD'!A:F,4,0)</f>
        <v>Prepaid Expenses</v>
      </c>
      <c r="J69" s="437">
        <f>VLOOKUP(D69,'COA LTD'!A:F,5,0)</f>
        <v>0</v>
      </c>
      <c r="K69" s="439">
        <f t="shared" si="2"/>
        <v>3.5189999712582689</v>
      </c>
      <c r="L69" s="437"/>
      <c r="M69" s="437"/>
      <c r="N69" s="437"/>
      <c r="O69" s="437"/>
      <c r="P69" s="438"/>
      <c r="Q69" s="438"/>
      <c r="R69" s="438"/>
      <c r="S69" s="438"/>
      <c r="T69" s="437"/>
      <c r="U69" s="437"/>
      <c r="V69" s="437"/>
      <c r="W69" s="437"/>
      <c r="X69" s="437"/>
      <c r="Y69" s="437"/>
      <c r="Z69" s="437"/>
    </row>
    <row r="70" spans="1:26" ht="15.75" customHeight="1">
      <c r="A70" t="s">
        <v>1334</v>
      </c>
      <c r="B70" t="s">
        <v>1344</v>
      </c>
      <c r="C70" t="s">
        <v>1345</v>
      </c>
      <c r="D70" s="516">
        <v>340305</v>
      </c>
      <c r="E70" t="s">
        <v>894</v>
      </c>
      <c r="F70" s="514">
        <v>-146510</v>
      </c>
      <c r="G70" s="514">
        <v>-41633.99</v>
      </c>
      <c r="H70" s="437" t="str">
        <f>VLOOKUP(D70,'COA LTD'!A:F,3,0)</f>
        <v>BS</v>
      </c>
      <c r="I70" s="437" t="str">
        <f>VLOOKUP(D70,'COA LTD'!A:F,4,0)</f>
        <v>Trade payables</v>
      </c>
      <c r="J70" s="437">
        <f>VLOOKUP(D70,'COA LTD'!A:F,5,0)</f>
        <v>0</v>
      </c>
      <c r="K70" s="439">
        <f t="shared" si="2"/>
        <v>3.5189997403563771</v>
      </c>
      <c r="L70" s="437"/>
      <c r="M70" s="437"/>
      <c r="N70" s="437"/>
      <c r="O70" s="437"/>
      <c r="P70" s="438"/>
      <c r="Q70" s="438"/>
      <c r="R70" s="438"/>
      <c r="S70" s="438"/>
      <c r="T70" s="437"/>
      <c r="U70" s="437"/>
      <c r="V70" s="437"/>
      <c r="W70" s="437"/>
      <c r="X70" s="437"/>
      <c r="Y70" s="437"/>
      <c r="Z70" s="437"/>
    </row>
    <row r="71" spans="1:26" ht="15.75" customHeight="1">
      <c r="A71" t="s">
        <v>1334</v>
      </c>
      <c r="B71" t="s">
        <v>1344</v>
      </c>
      <c r="C71" t="s">
        <v>1345</v>
      </c>
      <c r="D71" s="516">
        <v>340377</v>
      </c>
      <c r="E71" t="s">
        <v>1066</v>
      </c>
      <c r="F71" s="514">
        <v>-1104220</v>
      </c>
      <c r="G71" s="514">
        <v>-313788.01</v>
      </c>
      <c r="H71" s="437" t="str">
        <f>VLOOKUP(D71,'COA LTD'!A:F,3,0)</f>
        <v>BS</v>
      </c>
      <c r="I71" s="437" t="str">
        <f>VLOOKUP(D71,'COA LTD'!A:F,4,0)</f>
        <v>Trade payables</v>
      </c>
      <c r="J71" s="437">
        <f>VLOOKUP(D71,'COA LTD'!A:F,5,0)</f>
        <v>0</v>
      </c>
      <c r="K71" s="439">
        <f t="shared" si="2"/>
        <v>3.5189999770864411</v>
      </c>
      <c r="L71" s="437"/>
      <c r="M71" s="437"/>
      <c r="N71" s="437"/>
      <c r="O71" s="437"/>
      <c r="P71" s="438"/>
      <c r="Q71" s="438"/>
      <c r="R71" s="438"/>
      <c r="S71" s="438"/>
      <c r="T71" s="437"/>
      <c r="U71" s="437"/>
      <c r="V71" s="437"/>
      <c r="W71" s="437"/>
      <c r="X71" s="437"/>
      <c r="Y71" s="437"/>
      <c r="Z71" s="437"/>
    </row>
    <row r="72" spans="1:26" ht="15.75" customHeight="1">
      <c r="A72" t="s">
        <v>1334</v>
      </c>
      <c r="B72" t="s">
        <v>1344</v>
      </c>
      <c r="C72" t="s">
        <v>1345</v>
      </c>
      <c r="D72" s="516">
        <v>340378</v>
      </c>
      <c r="E72" t="s">
        <v>1090</v>
      </c>
      <c r="F72" s="514">
        <v>-7020</v>
      </c>
      <c r="G72" s="514">
        <v>-1994.88</v>
      </c>
      <c r="H72" s="437" t="str">
        <f>VLOOKUP(D72,'COA LTD'!A:F,3,0)</f>
        <v>BS</v>
      </c>
      <c r="I72" s="437" t="str">
        <f>VLOOKUP(D72,'COA LTD'!A:F,4,0)</f>
        <v>Trade payables</v>
      </c>
      <c r="J72" s="437">
        <f>VLOOKUP(D72,'COA LTD'!A:F,5,0)</f>
        <v>0</v>
      </c>
      <c r="K72" s="439">
        <f t="shared" si="2"/>
        <v>3.5190086621751684</v>
      </c>
      <c r="L72" s="437"/>
      <c r="M72" s="437"/>
      <c r="N72" s="437"/>
      <c r="O72" s="437"/>
      <c r="P72" s="438"/>
      <c r="Q72" s="438"/>
      <c r="R72" s="438"/>
      <c r="S72" s="438"/>
      <c r="T72" s="437"/>
      <c r="U72" s="437"/>
      <c r="V72" s="437"/>
      <c r="W72" s="437"/>
      <c r="X72" s="437"/>
      <c r="Y72" s="437"/>
      <c r="Z72" s="437"/>
    </row>
    <row r="73" spans="1:26" ht="15.75" customHeight="1">
      <c r="A73" t="s">
        <v>1334</v>
      </c>
      <c r="B73" t="s">
        <v>1344</v>
      </c>
      <c r="C73" t="s">
        <v>1345</v>
      </c>
      <c r="D73" s="516">
        <v>340379</v>
      </c>
      <c r="E73" t="s">
        <v>1078</v>
      </c>
      <c r="F73" s="514">
        <v>-2319.4</v>
      </c>
      <c r="G73" s="514">
        <v>-659.11</v>
      </c>
      <c r="H73" s="437" t="str">
        <f>VLOOKUP(D73,'COA LTD'!A:F,3,0)</f>
        <v>BS</v>
      </c>
      <c r="I73" s="437" t="str">
        <f>VLOOKUP(D73,'COA LTD'!A:F,4,0)</f>
        <v>Trade payables</v>
      </c>
      <c r="J73" s="437">
        <f>VLOOKUP(D73,'COA LTD'!A:F,5,0)</f>
        <v>0</v>
      </c>
      <c r="K73" s="439">
        <f t="shared" si="2"/>
        <v>3.5189877258727678</v>
      </c>
      <c r="L73" s="437"/>
      <c r="M73" s="437"/>
      <c r="N73" s="437"/>
      <c r="O73" s="437"/>
      <c r="P73" s="438"/>
      <c r="Q73" s="438"/>
      <c r="R73" s="438"/>
      <c r="S73" s="438"/>
      <c r="T73" s="437"/>
      <c r="U73" s="437"/>
      <c r="V73" s="437"/>
      <c r="W73" s="437"/>
      <c r="X73" s="437"/>
      <c r="Y73" s="437"/>
      <c r="Z73" s="437"/>
    </row>
    <row r="74" spans="1:26" ht="15.75" customHeight="1">
      <c r="A74" t="s">
        <v>1334</v>
      </c>
      <c r="B74" t="s">
        <v>1344</v>
      </c>
      <c r="C74" t="s">
        <v>1345</v>
      </c>
      <c r="D74" s="516">
        <v>340385</v>
      </c>
      <c r="E74" t="s">
        <v>1262</v>
      </c>
      <c r="F74" s="514">
        <v>-16959.990000000002</v>
      </c>
      <c r="G74" s="514">
        <v>-4819.55</v>
      </c>
      <c r="H74" s="437" t="str">
        <f>VLOOKUP(D74,'COA LTD'!A:F,3,0)</f>
        <v>BS</v>
      </c>
      <c r="I74" s="437" t="str">
        <f>VLOOKUP(D74,'COA LTD'!A:F,4,0)</f>
        <v>Trade payables</v>
      </c>
      <c r="J74" s="437">
        <f>VLOOKUP(D74,'COA LTD'!A:F,5,0)</f>
        <v>0</v>
      </c>
      <c r="K74" s="439">
        <f t="shared" si="2"/>
        <v>3.5189986617007816</v>
      </c>
      <c r="L74" s="437"/>
      <c r="M74" s="437"/>
      <c r="N74" s="437"/>
      <c r="O74" s="437"/>
      <c r="P74" s="438"/>
      <c r="Q74" s="438"/>
      <c r="R74" s="438"/>
      <c r="S74" s="438"/>
      <c r="T74" s="437"/>
      <c r="U74" s="437"/>
      <c r="V74" s="437"/>
      <c r="W74" s="437"/>
      <c r="X74" s="437"/>
      <c r="Y74" s="437"/>
      <c r="Z74" s="437"/>
    </row>
    <row r="75" spans="1:26" ht="15.75" customHeight="1">
      <c r="A75" t="s">
        <v>1334</v>
      </c>
      <c r="B75" t="s">
        <v>1344</v>
      </c>
      <c r="C75" t="s">
        <v>1345</v>
      </c>
      <c r="D75" s="516">
        <v>340386</v>
      </c>
      <c r="E75" t="s">
        <v>1202</v>
      </c>
      <c r="F75" s="514">
        <v>-791281</v>
      </c>
      <c r="G75" s="514">
        <v>-224859.62</v>
      </c>
      <c r="H75" s="437" t="str">
        <f>VLOOKUP(D75,'COA LTD'!A:F,3,0)</f>
        <v>BS</v>
      </c>
      <c r="I75" s="437" t="str">
        <f>VLOOKUP(D75,'COA LTD'!A:F,4,0)</f>
        <v>Trade payables</v>
      </c>
      <c r="J75" s="437">
        <f>VLOOKUP(D75,'COA LTD'!A:F,5,0)</f>
        <v>0</v>
      </c>
      <c r="K75" s="439">
        <f t="shared" ref="K75:K106" si="3">F75/G75</f>
        <v>3.5189999876367311</v>
      </c>
      <c r="L75" s="437"/>
      <c r="M75" s="437"/>
      <c r="N75" s="437"/>
      <c r="O75" s="437"/>
      <c r="P75" s="438"/>
      <c r="Q75" s="438"/>
      <c r="R75" s="438"/>
      <c r="S75" s="438"/>
      <c r="T75" s="437"/>
      <c r="U75" s="437"/>
      <c r="V75" s="437"/>
      <c r="W75" s="437"/>
      <c r="X75" s="437"/>
      <c r="Y75" s="437"/>
      <c r="Z75" s="437"/>
    </row>
    <row r="76" spans="1:26" ht="15.75" customHeight="1">
      <c r="A76" t="s">
        <v>1334</v>
      </c>
      <c r="B76" t="s">
        <v>1344</v>
      </c>
      <c r="C76" t="s">
        <v>1345</v>
      </c>
      <c r="D76" s="516">
        <v>340410</v>
      </c>
      <c r="E76" t="s">
        <v>1146</v>
      </c>
      <c r="F76" s="514">
        <v>-60875</v>
      </c>
      <c r="G76" s="514">
        <v>-17298.95</v>
      </c>
      <c r="H76" s="437" t="str">
        <f>VLOOKUP(D76,'COA LTD'!A:F,3,0)</f>
        <v>BS</v>
      </c>
      <c r="I76" s="437" t="str">
        <f>VLOOKUP(D76,'COA LTD'!A:F,4,0)</f>
        <v>Trade payables</v>
      </c>
      <c r="J76" s="437">
        <f>VLOOKUP(D76,'COA LTD'!A:F,5,0)</f>
        <v>0</v>
      </c>
      <c r="K76" s="439">
        <f t="shared" si="3"/>
        <v>3.5189997080747673</v>
      </c>
      <c r="L76" s="437"/>
      <c r="M76" s="437"/>
      <c r="N76" s="437"/>
      <c r="O76" s="437"/>
      <c r="P76" s="438"/>
      <c r="Q76" s="438"/>
      <c r="R76" s="438"/>
      <c r="S76" s="438"/>
      <c r="T76" s="437"/>
      <c r="U76" s="437"/>
      <c r="V76" s="437"/>
      <c r="W76" s="437"/>
      <c r="X76" s="437"/>
      <c r="Y76" s="437"/>
      <c r="Z76" s="437"/>
    </row>
    <row r="77" spans="1:26" ht="15.75" customHeight="1">
      <c r="A77" t="s">
        <v>1334</v>
      </c>
      <c r="B77" t="s">
        <v>1344</v>
      </c>
      <c r="C77" t="s">
        <v>1345</v>
      </c>
      <c r="D77" s="516">
        <v>340414</v>
      </c>
      <c r="E77" t="s">
        <v>1165</v>
      </c>
      <c r="F77" s="514">
        <v>-12074.4</v>
      </c>
      <c r="G77" s="514">
        <v>-3431.2</v>
      </c>
      <c r="H77" s="437" t="str">
        <f>VLOOKUP(D77,'COA LTD'!A:F,3,0)</f>
        <v>BS</v>
      </c>
      <c r="I77" s="437" t="str">
        <f>VLOOKUP(D77,'COA LTD'!A:F,4,0)</f>
        <v>Trade payables</v>
      </c>
      <c r="J77" s="437">
        <f>VLOOKUP(D77,'COA LTD'!A:F,5,0)</f>
        <v>0</v>
      </c>
      <c r="K77" s="439">
        <f t="shared" si="3"/>
        <v>3.5190020983912333</v>
      </c>
      <c r="L77" s="437"/>
      <c r="M77" s="437"/>
      <c r="N77" s="437"/>
      <c r="O77" s="437"/>
      <c r="P77" s="438"/>
      <c r="Q77" s="438"/>
      <c r="R77" s="438"/>
      <c r="S77" s="438"/>
      <c r="T77" s="437"/>
      <c r="U77" s="437"/>
      <c r="V77" s="437"/>
      <c r="W77" s="437"/>
      <c r="X77" s="437"/>
      <c r="Y77" s="437"/>
      <c r="Z77" s="437"/>
    </row>
    <row r="78" spans="1:26" ht="15.75" customHeight="1">
      <c r="A78" t="s">
        <v>1334</v>
      </c>
      <c r="B78" t="s">
        <v>1344</v>
      </c>
      <c r="C78" t="s">
        <v>1345</v>
      </c>
      <c r="D78" s="516">
        <v>340432</v>
      </c>
      <c r="E78" t="s">
        <v>1205</v>
      </c>
      <c r="F78" s="514">
        <v>-7020</v>
      </c>
      <c r="G78" s="514">
        <v>-1994.88</v>
      </c>
      <c r="H78" s="437" t="str">
        <f>VLOOKUP(D78,'COA LTD'!A:F,3,0)</f>
        <v>BS</v>
      </c>
      <c r="I78" s="437" t="str">
        <f>VLOOKUP(D78,'COA LTD'!A:F,4,0)</f>
        <v>Trade payables</v>
      </c>
      <c r="J78" s="437">
        <f>VLOOKUP(D78,'COA LTD'!A:F,5,0)</f>
        <v>0</v>
      </c>
      <c r="K78" s="439">
        <f t="shared" si="3"/>
        <v>3.5190086621751684</v>
      </c>
      <c r="L78" s="437"/>
      <c r="M78" s="437"/>
      <c r="N78" s="437"/>
      <c r="O78" s="437"/>
      <c r="P78" s="438"/>
      <c r="Q78" s="438"/>
      <c r="R78" s="438"/>
      <c r="S78" s="438"/>
      <c r="T78" s="437"/>
      <c r="U78" s="437"/>
      <c r="V78" s="437"/>
      <c r="W78" s="437"/>
      <c r="X78" s="437"/>
      <c r="Y78" s="437"/>
      <c r="Z78" s="437"/>
    </row>
    <row r="79" spans="1:26" ht="15.75" customHeight="1">
      <c r="A79" t="s">
        <v>1334</v>
      </c>
      <c r="B79" t="s">
        <v>1344</v>
      </c>
      <c r="C79" t="s">
        <v>1345</v>
      </c>
      <c r="D79" s="516">
        <v>340434</v>
      </c>
      <c r="E79" t="s">
        <v>1220</v>
      </c>
      <c r="F79" s="514">
        <v>-3949</v>
      </c>
      <c r="G79" s="514">
        <v>-1122.19</v>
      </c>
      <c r="H79" s="437" t="str">
        <f>VLOOKUP(D79,'COA LTD'!A:F,3,0)</f>
        <v>BS</v>
      </c>
      <c r="I79" s="437" t="str">
        <f>VLOOKUP(D79,'COA LTD'!A:F,4,0)</f>
        <v>Trade payables</v>
      </c>
      <c r="J79" s="437">
        <f>VLOOKUP(D79,'COA LTD'!A:F,5,0)</f>
        <v>0</v>
      </c>
      <c r="K79" s="439">
        <f t="shared" si="3"/>
        <v>3.5190119320257707</v>
      </c>
      <c r="L79" s="437"/>
      <c r="M79" s="437"/>
      <c r="N79" s="437"/>
      <c r="O79" s="437"/>
      <c r="P79" s="438"/>
      <c r="Q79" s="438"/>
      <c r="R79" s="438"/>
      <c r="S79" s="438"/>
      <c r="T79" s="437"/>
      <c r="U79" s="437"/>
      <c r="V79" s="437"/>
      <c r="W79" s="437"/>
      <c r="X79" s="437"/>
      <c r="Y79" s="437"/>
      <c r="Z79" s="437"/>
    </row>
    <row r="80" spans="1:26" ht="15.75" customHeight="1">
      <c r="A80" t="s">
        <v>1334</v>
      </c>
      <c r="B80" t="s">
        <v>1344</v>
      </c>
      <c r="C80" t="s">
        <v>1345</v>
      </c>
      <c r="D80" s="516">
        <v>340435</v>
      </c>
      <c r="E80" t="s">
        <v>1221</v>
      </c>
      <c r="F80" s="514">
        <v>-10687.03</v>
      </c>
      <c r="G80" s="514">
        <v>-3036.95</v>
      </c>
      <c r="H80" s="437" t="str">
        <f>VLOOKUP(D80,'COA LTD'!A:F,3,0)</f>
        <v>BS</v>
      </c>
      <c r="I80" s="437" t="str">
        <f>VLOOKUP(D80,'COA LTD'!A:F,4,0)</f>
        <v>Trade payables</v>
      </c>
      <c r="J80" s="437">
        <f>VLOOKUP(D80,'COA LTD'!A:F,5,0)</f>
        <v>0</v>
      </c>
      <c r="K80" s="439">
        <f t="shared" si="3"/>
        <v>3.519000971369302</v>
      </c>
      <c r="L80" s="437"/>
      <c r="M80" s="437"/>
      <c r="N80" s="437"/>
      <c r="O80" s="437"/>
      <c r="P80" s="438"/>
      <c r="Q80" s="438"/>
      <c r="R80" s="438"/>
      <c r="S80" s="438"/>
      <c r="T80" s="437"/>
      <c r="U80" s="437"/>
      <c r="V80" s="437"/>
      <c r="W80" s="437"/>
      <c r="X80" s="437"/>
      <c r="Y80" s="437"/>
      <c r="Z80" s="437"/>
    </row>
    <row r="81" spans="1:26" ht="15.75" customHeight="1">
      <c r="A81" t="s">
        <v>1334</v>
      </c>
      <c r="B81" t="s">
        <v>1344</v>
      </c>
      <c r="C81" t="s">
        <v>1345</v>
      </c>
      <c r="D81" s="516">
        <v>340442</v>
      </c>
      <c r="E81" t="s">
        <v>1229</v>
      </c>
      <c r="F81" s="514">
        <v>-1182</v>
      </c>
      <c r="G81" s="514">
        <v>-335.89</v>
      </c>
      <c r="H81" s="437" t="str">
        <f>VLOOKUP(D81,'COA LTD'!A:F,3,0)</f>
        <v>BS</v>
      </c>
      <c r="I81" s="437" t="str">
        <f>VLOOKUP(D81,'COA LTD'!A:F,4,0)</f>
        <v>Trade payables</v>
      </c>
      <c r="J81" s="437">
        <f>VLOOKUP(D81,'COA LTD'!A:F,5,0)</f>
        <v>0</v>
      </c>
      <c r="K81" s="439">
        <f t="shared" si="3"/>
        <v>3.5190091994402932</v>
      </c>
      <c r="L81" s="437"/>
      <c r="M81" s="437"/>
      <c r="N81" s="437"/>
      <c r="O81" s="437"/>
      <c r="P81" s="438"/>
      <c r="Q81" s="438"/>
      <c r="R81" s="438"/>
      <c r="S81" s="438"/>
      <c r="T81" s="437"/>
      <c r="U81" s="437"/>
      <c r="V81" s="437"/>
      <c r="W81" s="437"/>
      <c r="X81" s="437"/>
      <c r="Y81" s="437"/>
      <c r="Z81" s="437"/>
    </row>
    <row r="82" spans="1:26" ht="15.75" customHeight="1">
      <c r="A82" t="s">
        <v>1334</v>
      </c>
      <c r="B82" t="s">
        <v>1344</v>
      </c>
      <c r="C82" t="s">
        <v>1345</v>
      </c>
      <c r="D82" s="516">
        <v>340455</v>
      </c>
      <c r="E82" t="s">
        <v>1574</v>
      </c>
      <c r="F82" s="514">
        <v>1475</v>
      </c>
      <c r="G82" s="514">
        <v>419.15</v>
      </c>
      <c r="H82" s="437" t="str">
        <f>VLOOKUP(D82,'COA LTD'!A:F,3,0)</f>
        <v>BS</v>
      </c>
      <c r="I82" s="437" t="str">
        <f>VLOOKUP(D82,'COA LTD'!A:F,4,0)</f>
        <v>Trade payables</v>
      </c>
      <c r="J82" s="437">
        <f>VLOOKUP(D82,'COA LTD'!A:F,5,0)</f>
        <v>0</v>
      </c>
      <c r="K82" s="439">
        <f t="shared" si="3"/>
        <v>3.5190266014553266</v>
      </c>
      <c r="L82" s="437"/>
      <c r="M82" s="437"/>
      <c r="N82" s="437"/>
      <c r="O82" s="437"/>
      <c r="P82" s="438"/>
      <c r="Q82" s="438"/>
      <c r="R82" s="438"/>
      <c r="S82" s="438"/>
      <c r="T82" s="437"/>
      <c r="U82" s="437"/>
      <c r="V82" s="437"/>
      <c r="W82" s="437"/>
      <c r="X82" s="437"/>
      <c r="Y82" s="437"/>
      <c r="Z82" s="437"/>
    </row>
    <row r="83" spans="1:26" ht="15.75" customHeight="1">
      <c r="A83" t="s">
        <v>1334</v>
      </c>
      <c r="B83" t="s">
        <v>1344</v>
      </c>
      <c r="C83" t="s">
        <v>1345</v>
      </c>
      <c r="D83" s="516">
        <v>340501</v>
      </c>
      <c r="E83" t="s">
        <v>1281</v>
      </c>
      <c r="F83" s="514">
        <v>-813</v>
      </c>
      <c r="G83" s="514">
        <v>-231.03</v>
      </c>
      <c r="H83" s="437" t="str">
        <f>VLOOKUP(D83,'COA LTD'!A:F,3,0)</f>
        <v>BS</v>
      </c>
      <c r="I83" s="437" t="str">
        <f>VLOOKUP(D83,'COA LTD'!A:F,4,0)</f>
        <v>Trade payables</v>
      </c>
      <c r="J83" s="437">
        <f>VLOOKUP(D83,'COA LTD'!A:F,5,0)</f>
        <v>0</v>
      </c>
      <c r="K83" s="439">
        <f t="shared" si="3"/>
        <v>3.5190235034411117</v>
      </c>
      <c r="L83" s="437"/>
      <c r="M83" s="437"/>
      <c r="N83" s="437"/>
      <c r="O83" s="437"/>
      <c r="P83" s="438"/>
      <c r="Q83" s="438"/>
      <c r="R83" s="438"/>
      <c r="S83" s="438"/>
      <c r="T83" s="437"/>
      <c r="U83" s="437"/>
      <c r="V83" s="437"/>
      <c r="W83" s="437"/>
      <c r="X83" s="437"/>
      <c r="Y83" s="437"/>
      <c r="Z83" s="437"/>
    </row>
    <row r="84" spans="1:26" ht="15.75" customHeight="1">
      <c r="A84" t="s">
        <v>1334</v>
      </c>
      <c r="B84" t="s">
        <v>1344</v>
      </c>
      <c r="C84" t="s">
        <v>1345</v>
      </c>
      <c r="D84" s="516">
        <v>340502</v>
      </c>
      <c r="E84" t="s">
        <v>1347</v>
      </c>
      <c r="F84" s="514">
        <v>6984</v>
      </c>
      <c r="G84" s="514">
        <v>1984.65</v>
      </c>
      <c r="H84" s="437" t="str">
        <f>VLOOKUP(D84,'COA LTD'!A:F,3,0)</f>
        <v>BS</v>
      </c>
      <c r="I84" s="437" t="str">
        <f>VLOOKUP(D84,'COA LTD'!A:F,4,0)</f>
        <v>Trade payables</v>
      </c>
      <c r="J84" s="437">
        <f>VLOOKUP(D84,'COA LTD'!A:F,5,0)</f>
        <v>0</v>
      </c>
      <c r="K84" s="439">
        <f t="shared" si="3"/>
        <v>3.5190083893885569</v>
      </c>
      <c r="L84" s="437"/>
      <c r="M84" s="437"/>
      <c r="N84" s="437"/>
      <c r="O84" s="437"/>
      <c r="P84" s="438"/>
      <c r="Q84" s="438"/>
      <c r="R84" s="438"/>
      <c r="S84" s="438"/>
      <c r="T84" s="437"/>
      <c r="U84" s="437"/>
      <c r="V84" s="437"/>
      <c r="W84" s="437"/>
      <c r="X84" s="437"/>
      <c r="Y84" s="437"/>
      <c r="Z84" s="437"/>
    </row>
    <row r="85" spans="1:26" ht="15.75" customHeight="1">
      <c r="A85" t="s">
        <v>1334</v>
      </c>
      <c r="B85" t="s">
        <v>1344</v>
      </c>
      <c r="C85" t="s">
        <v>1345</v>
      </c>
      <c r="D85" s="516">
        <v>340513</v>
      </c>
      <c r="E85" t="s">
        <v>1617</v>
      </c>
      <c r="F85" s="514">
        <v>-15607.8</v>
      </c>
      <c r="G85" s="514">
        <v>-4435.29</v>
      </c>
      <c r="H85" s="437" t="str">
        <f>VLOOKUP(D85,'COA LTD'!A:F,3,0)</f>
        <v>BS</v>
      </c>
      <c r="I85" s="437" t="str">
        <f>VLOOKUP(D85,'COA LTD'!A:F,4,0)</f>
        <v>Trade payables</v>
      </c>
      <c r="J85" s="437">
        <f>VLOOKUP(D85,'COA LTD'!A:F,5,0)</f>
        <v>0</v>
      </c>
      <c r="K85" s="439">
        <f t="shared" si="3"/>
        <v>3.5190032669791602</v>
      </c>
      <c r="L85" s="437"/>
      <c r="M85" s="437"/>
      <c r="N85" s="437"/>
      <c r="O85" s="437"/>
      <c r="P85" s="438"/>
      <c r="Q85" s="438"/>
      <c r="R85" s="438"/>
      <c r="S85" s="438"/>
      <c r="T85" s="437"/>
      <c r="U85" s="437"/>
      <c r="V85" s="437"/>
      <c r="W85" s="437"/>
      <c r="X85" s="437"/>
      <c r="Y85" s="437"/>
      <c r="Z85" s="437"/>
    </row>
    <row r="86" spans="1:26" ht="15.75" customHeight="1">
      <c r="A86" t="s">
        <v>1334</v>
      </c>
      <c r="B86" t="s">
        <v>1344</v>
      </c>
      <c r="C86" t="s">
        <v>1348</v>
      </c>
      <c r="D86" s="516">
        <v>341003</v>
      </c>
      <c r="E86" t="s">
        <v>205</v>
      </c>
      <c r="F86" s="514">
        <v>-1172.28</v>
      </c>
      <c r="G86" s="514">
        <v>-333.13</v>
      </c>
      <c r="H86" s="437" t="str">
        <f>VLOOKUP(D86,'COA LTD'!A:F,3,0)</f>
        <v>BS</v>
      </c>
      <c r="I86" s="437" t="str">
        <f>VLOOKUP(D86,'COA LTD'!A:F,4,0)</f>
        <v>Trade payables</v>
      </c>
      <c r="J86" s="437">
        <f>VLOOKUP(D86,'COA LTD'!A:F,5,0)</f>
        <v>0</v>
      </c>
      <c r="K86" s="439">
        <f t="shared" si="3"/>
        <v>3.5189865818149069</v>
      </c>
      <c r="L86" s="437"/>
      <c r="M86" s="437"/>
      <c r="N86" s="437"/>
      <c r="O86" s="437"/>
      <c r="P86" s="438"/>
      <c r="Q86" s="438"/>
      <c r="R86" s="438"/>
      <c r="S86" s="438"/>
      <c r="T86" s="437"/>
      <c r="U86" s="437"/>
      <c r="V86" s="437"/>
      <c r="W86" s="437"/>
      <c r="X86" s="437"/>
      <c r="Y86" s="437"/>
      <c r="Z86" s="437"/>
    </row>
    <row r="87" spans="1:26" ht="15.75" customHeight="1">
      <c r="A87" t="s">
        <v>1334</v>
      </c>
      <c r="B87" t="s">
        <v>1344</v>
      </c>
      <c r="C87" t="s">
        <v>1348</v>
      </c>
      <c r="D87" s="516">
        <v>341019</v>
      </c>
      <c r="E87" t="s">
        <v>282</v>
      </c>
      <c r="F87" s="514">
        <v>-6658697.4000000004</v>
      </c>
      <c r="G87" s="514">
        <v>-1892212.96</v>
      </c>
      <c r="H87" s="437" t="str">
        <f>VLOOKUP(D87,'COA LTD'!A:F,3,0)</f>
        <v>BS</v>
      </c>
      <c r="I87" s="437" t="str">
        <f>VLOOKUP(D87,'COA LTD'!A:F,4,0)</f>
        <v>Trade payables</v>
      </c>
      <c r="J87" s="437">
        <f>VLOOKUP(D87,'COA LTD'!A:F,5,0)</f>
        <v>0</v>
      </c>
      <c r="K87" s="439">
        <f t="shared" si="3"/>
        <v>3.518999996702274</v>
      </c>
      <c r="L87" s="437"/>
      <c r="M87" s="437"/>
      <c r="N87" s="437"/>
      <c r="O87" s="437"/>
      <c r="P87" s="438"/>
      <c r="Q87" s="438"/>
      <c r="R87" s="438"/>
      <c r="S87" s="438"/>
      <c r="T87" s="437"/>
      <c r="U87" s="437"/>
      <c r="V87" s="437"/>
      <c r="W87" s="437"/>
      <c r="X87" s="437"/>
      <c r="Y87" s="437"/>
      <c r="Z87" s="437"/>
    </row>
    <row r="88" spans="1:26" ht="15.75" customHeight="1">
      <c r="A88" t="s">
        <v>1334</v>
      </c>
      <c r="B88" t="s">
        <v>1344</v>
      </c>
      <c r="C88" t="s">
        <v>1348</v>
      </c>
      <c r="D88" s="516">
        <v>341028</v>
      </c>
      <c r="E88" t="s">
        <v>1680</v>
      </c>
      <c r="F88" s="514">
        <v>-351449.57</v>
      </c>
      <c r="G88" s="514">
        <v>-99872</v>
      </c>
      <c r="H88" s="437" t="str">
        <f>VLOOKUP(D88,'COA LTD'!A:F,3,0)</f>
        <v>BS</v>
      </c>
      <c r="I88" s="437" t="str">
        <f>VLOOKUP(D88,'COA LTD'!A:F,4,0)</f>
        <v>Trade payables</v>
      </c>
      <c r="J88" s="437">
        <f>VLOOKUP(D88,'COA LTD'!A:F,5,0)</f>
        <v>0</v>
      </c>
      <c r="K88" s="439">
        <f t="shared" si="3"/>
        <v>3.5190000200256328</v>
      </c>
      <c r="L88" s="437"/>
      <c r="M88" s="437"/>
      <c r="N88" s="437"/>
      <c r="O88" s="437"/>
      <c r="P88" s="438"/>
      <c r="Q88" s="438"/>
      <c r="R88" s="438"/>
      <c r="S88" s="438"/>
      <c r="T88" s="437"/>
      <c r="U88" s="437"/>
      <c r="V88" s="437"/>
      <c r="W88" s="437"/>
      <c r="X88" s="437"/>
      <c r="Y88" s="437"/>
      <c r="Z88" s="437"/>
    </row>
    <row r="89" spans="1:26" ht="15.75" customHeight="1">
      <c r="A89" t="s">
        <v>1334</v>
      </c>
      <c r="B89" t="s">
        <v>1344</v>
      </c>
      <c r="C89" t="s">
        <v>1348</v>
      </c>
      <c r="D89" s="516">
        <v>341055</v>
      </c>
      <c r="E89" t="s">
        <v>1198</v>
      </c>
      <c r="F89" s="514">
        <v>2069.17</v>
      </c>
      <c r="G89" s="514">
        <v>588</v>
      </c>
      <c r="H89" s="437" t="str">
        <f>VLOOKUP(D89,'COA LTD'!A:F,3,0)</f>
        <v>BS</v>
      </c>
      <c r="I89" s="437" t="str">
        <f>VLOOKUP(D89,'COA LTD'!A:F,4,0)</f>
        <v>Trade payables</v>
      </c>
      <c r="J89" s="437">
        <f>VLOOKUP(D89,'COA LTD'!A:F,5,0)</f>
        <v>0</v>
      </c>
      <c r="K89" s="439">
        <f t="shared" si="3"/>
        <v>3.5189965986394558</v>
      </c>
      <c r="L89" s="437"/>
      <c r="M89" s="437"/>
      <c r="N89" s="437"/>
      <c r="O89" s="437"/>
      <c r="P89" s="438"/>
      <c r="Q89" s="438"/>
      <c r="R89" s="438"/>
      <c r="S89" s="438"/>
      <c r="T89" s="437"/>
      <c r="U89" s="437"/>
      <c r="V89" s="437"/>
      <c r="W89" s="437"/>
      <c r="X89" s="437"/>
      <c r="Y89" s="437"/>
      <c r="Z89" s="437"/>
    </row>
    <row r="90" spans="1:26" ht="15.75" customHeight="1">
      <c r="A90" t="s">
        <v>1334</v>
      </c>
      <c r="B90" t="s">
        <v>1344</v>
      </c>
      <c r="C90" t="s">
        <v>1348</v>
      </c>
      <c r="D90" s="516">
        <v>341086</v>
      </c>
      <c r="E90" t="s">
        <v>239</v>
      </c>
      <c r="F90" s="514">
        <v>-1171.83</v>
      </c>
      <c r="G90" s="514">
        <v>-333</v>
      </c>
      <c r="H90" s="437" t="str">
        <f>VLOOKUP(D90,'COA LTD'!A:F,3,0)</f>
        <v>BS</v>
      </c>
      <c r="I90" s="437" t="str">
        <f>VLOOKUP(D90,'COA LTD'!A:F,4,0)</f>
        <v>Trade payables</v>
      </c>
      <c r="J90" s="437">
        <f>VLOOKUP(D90,'COA LTD'!A:F,5,0)</f>
        <v>0</v>
      </c>
      <c r="K90" s="439">
        <f t="shared" si="3"/>
        <v>3.5190090090090087</v>
      </c>
      <c r="L90" s="437"/>
      <c r="M90" s="437"/>
      <c r="N90" s="437"/>
      <c r="O90" s="437"/>
      <c r="P90" s="438"/>
      <c r="Q90" s="438"/>
      <c r="R90" s="438"/>
      <c r="S90" s="438"/>
      <c r="T90" s="437"/>
      <c r="U90" s="437"/>
      <c r="V90" s="437"/>
      <c r="W90" s="437"/>
      <c r="X90" s="437"/>
      <c r="Y90" s="437"/>
      <c r="Z90" s="437"/>
    </row>
    <row r="91" spans="1:26" ht="15.75" customHeight="1">
      <c r="A91" t="s">
        <v>1334</v>
      </c>
      <c r="B91" t="s">
        <v>1344</v>
      </c>
      <c r="C91" t="s">
        <v>1348</v>
      </c>
      <c r="D91" s="516">
        <v>341093</v>
      </c>
      <c r="E91" t="s">
        <v>240</v>
      </c>
      <c r="F91" s="514">
        <v>-14264.28</v>
      </c>
      <c r="G91" s="514">
        <v>-4053.5</v>
      </c>
      <c r="H91" s="437" t="str">
        <f>VLOOKUP(D91,'COA LTD'!A:F,3,0)</f>
        <v>BS</v>
      </c>
      <c r="I91" s="437" t="str">
        <f>VLOOKUP(D91,'COA LTD'!A:F,4,0)</f>
        <v>Trade payables</v>
      </c>
      <c r="J91" s="437">
        <f>VLOOKUP(D91,'COA LTD'!A:F,5,0)</f>
        <v>0</v>
      </c>
      <c r="K91" s="439">
        <f t="shared" si="3"/>
        <v>3.5190033304551624</v>
      </c>
      <c r="L91" s="437"/>
      <c r="M91" s="437"/>
      <c r="N91" s="437"/>
      <c r="O91" s="437"/>
      <c r="P91" s="438"/>
      <c r="Q91" s="438"/>
      <c r="R91" s="438"/>
      <c r="S91" s="438"/>
      <c r="T91" s="437"/>
      <c r="U91" s="437"/>
      <c r="V91" s="437"/>
      <c r="W91" s="437"/>
      <c r="X91" s="437"/>
      <c r="Y91" s="437"/>
      <c r="Z91" s="437"/>
    </row>
    <row r="92" spans="1:26" ht="15.75" customHeight="1">
      <c r="A92" t="s">
        <v>1334</v>
      </c>
      <c r="B92" t="s">
        <v>1344</v>
      </c>
      <c r="C92" t="s">
        <v>1348</v>
      </c>
      <c r="D92" s="516">
        <v>341119</v>
      </c>
      <c r="E92" t="s">
        <v>1349</v>
      </c>
      <c r="F92" s="514">
        <v>-2699819.34</v>
      </c>
      <c r="G92" s="514">
        <v>-767212.09</v>
      </c>
      <c r="H92" s="437" t="str">
        <f>VLOOKUP(D92,'COA LTD'!A:F,3,0)</f>
        <v>BS</v>
      </c>
      <c r="I92" s="437" t="str">
        <f>VLOOKUP(D92,'COA LTD'!A:F,4,0)</f>
        <v>Trade payables</v>
      </c>
      <c r="J92" s="437">
        <f>VLOOKUP(D92,'COA LTD'!A:F,5,0)</f>
        <v>0</v>
      </c>
      <c r="K92" s="439">
        <f t="shared" si="3"/>
        <v>3.5189999938608891</v>
      </c>
      <c r="L92" s="437"/>
      <c r="M92" s="437"/>
      <c r="N92" s="437"/>
      <c r="O92" s="437"/>
      <c r="P92" s="440"/>
      <c r="Q92" s="440"/>
      <c r="R92" s="440"/>
      <c r="S92" s="440"/>
      <c r="T92" s="437"/>
      <c r="U92" s="437"/>
      <c r="V92" s="437"/>
      <c r="W92" s="437"/>
      <c r="X92" s="437"/>
      <c r="Y92" s="437"/>
      <c r="Z92" s="437"/>
    </row>
    <row r="93" spans="1:26" ht="15.75" customHeight="1">
      <c r="A93" t="s">
        <v>1334</v>
      </c>
      <c r="B93" t="s">
        <v>1344</v>
      </c>
      <c r="C93" t="s">
        <v>1348</v>
      </c>
      <c r="D93" s="516">
        <v>341127</v>
      </c>
      <c r="E93" t="s">
        <v>178</v>
      </c>
      <c r="F93" s="514">
        <v>7999</v>
      </c>
      <c r="G93" s="514">
        <v>2273.09</v>
      </c>
      <c r="H93" s="437" t="str">
        <f>VLOOKUP(D93,'COA LTD'!A:F,3,0)</f>
        <v>BS</v>
      </c>
      <c r="I93" s="437" t="str">
        <f>VLOOKUP(D93,'COA LTD'!A:F,4,0)</f>
        <v>Trade payables</v>
      </c>
      <c r="J93" s="437">
        <f>VLOOKUP(D93,'COA LTD'!A:F,5,0)</f>
        <v>0</v>
      </c>
      <c r="K93" s="439">
        <f t="shared" si="3"/>
        <v>3.518998367860489</v>
      </c>
      <c r="L93" s="437"/>
      <c r="M93" s="437"/>
      <c r="N93" s="437"/>
      <c r="O93" s="437"/>
      <c r="P93" s="438"/>
      <c r="Q93" s="438"/>
      <c r="R93" s="438"/>
      <c r="S93" s="438"/>
      <c r="T93" s="437"/>
      <c r="U93" s="437"/>
      <c r="V93" s="437"/>
      <c r="W93" s="437"/>
      <c r="X93" s="437"/>
      <c r="Y93" s="437"/>
      <c r="Z93" s="437"/>
    </row>
    <row r="94" spans="1:26" ht="15.75" customHeight="1">
      <c r="A94" t="s">
        <v>1334</v>
      </c>
      <c r="B94" t="s">
        <v>1344</v>
      </c>
      <c r="C94" t="s">
        <v>1348</v>
      </c>
      <c r="D94" s="516">
        <v>341133</v>
      </c>
      <c r="E94" t="s">
        <v>258</v>
      </c>
      <c r="F94" s="514">
        <v>-6061754.6200000001</v>
      </c>
      <c r="G94" s="514">
        <v>-1722578.75</v>
      </c>
      <c r="H94" s="437" t="str">
        <f>VLOOKUP(D94,'COA LTD'!A:F,3,0)</f>
        <v>BS</v>
      </c>
      <c r="I94" s="437" t="str">
        <f>VLOOKUP(D94,'COA LTD'!A:F,4,0)</f>
        <v>Trade payables</v>
      </c>
      <c r="J94" s="437">
        <f>VLOOKUP(D94,'COA LTD'!A:F,5,0)</f>
        <v>0</v>
      </c>
      <c r="K94" s="439">
        <f t="shared" si="3"/>
        <v>3.5189999992743437</v>
      </c>
      <c r="L94" s="437"/>
      <c r="M94" s="437"/>
      <c r="N94" s="437"/>
      <c r="O94" s="437"/>
      <c r="P94" s="438"/>
      <c r="Q94" s="438"/>
      <c r="R94" s="438"/>
      <c r="S94" s="438"/>
      <c r="T94" s="437"/>
      <c r="U94" s="437"/>
      <c r="V94" s="437"/>
      <c r="W94" s="437"/>
      <c r="X94" s="437"/>
      <c r="Y94" s="437"/>
      <c r="Z94" s="437"/>
    </row>
    <row r="95" spans="1:26" ht="15.75" customHeight="1">
      <c r="A95" t="s">
        <v>1334</v>
      </c>
      <c r="B95" t="s">
        <v>1344</v>
      </c>
      <c r="C95" t="s">
        <v>1348</v>
      </c>
      <c r="D95" s="516">
        <v>341146</v>
      </c>
      <c r="E95" t="s">
        <v>222</v>
      </c>
      <c r="F95" s="514">
        <v>-3547868.4</v>
      </c>
      <c r="G95" s="514">
        <v>-1008203.58</v>
      </c>
      <c r="H95" s="437" t="str">
        <f>VLOOKUP(D95,'COA LTD'!A:F,3,0)</f>
        <v>BS</v>
      </c>
      <c r="I95" s="437" t="str">
        <f>VLOOKUP(D95,'COA LTD'!A:F,4,0)</f>
        <v>Trade payables</v>
      </c>
      <c r="J95" s="437">
        <f>VLOOKUP(D95,'COA LTD'!A:F,5,0)</f>
        <v>0</v>
      </c>
      <c r="K95" s="439">
        <f t="shared" si="3"/>
        <v>3.5190000019638892</v>
      </c>
      <c r="L95" s="437"/>
      <c r="M95" s="437"/>
      <c r="N95" s="437"/>
      <c r="O95" s="437"/>
      <c r="P95" s="438"/>
      <c r="Q95" s="438"/>
      <c r="R95" s="438"/>
      <c r="S95" s="438"/>
      <c r="T95" s="437"/>
      <c r="U95" s="437"/>
      <c r="V95" s="437"/>
      <c r="W95" s="437"/>
      <c r="X95" s="437"/>
      <c r="Y95" s="437"/>
      <c r="Z95" s="437"/>
    </row>
    <row r="96" spans="1:26" ht="15.75" customHeight="1">
      <c r="A96" t="s">
        <v>1334</v>
      </c>
      <c r="B96" t="s">
        <v>1344</v>
      </c>
      <c r="C96" t="s">
        <v>1348</v>
      </c>
      <c r="D96" s="516">
        <v>341185</v>
      </c>
      <c r="E96" t="s">
        <v>987</v>
      </c>
      <c r="F96" s="514">
        <v>-5331.81</v>
      </c>
      <c r="G96" s="514">
        <v>-1515.15</v>
      </c>
      <c r="H96" s="437" t="str">
        <f>VLOOKUP(D96,'COA LTD'!A:F,3,0)</f>
        <v>BS</v>
      </c>
      <c r="I96" s="437" t="str">
        <f>VLOOKUP(D96,'COA LTD'!A:F,4,0)</f>
        <v>Trade payables</v>
      </c>
      <c r="J96" s="437">
        <f>VLOOKUP(D96,'COA LTD'!A:F,5,0)</f>
        <v>0</v>
      </c>
      <c r="K96" s="439">
        <f t="shared" si="3"/>
        <v>3.5189981189981192</v>
      </c>
      <c r="L96" s="437"/>
      <c r="M96" s="437"/>
      <c r="N96" s="437"/>
      <c r="O96" s="437"/>
      <c r="P96" s="438"/>
      <c r="Q96" s="438"/>
      <c r="R96" s="438"/>
      <c r="S96" s="438"/>
      <c r="T96" s="437"/>
      <c r="U96" s="437"/>
      <c r="V96" s="437"/>
      <c r="W96" s="437"/>
      <c r="X96" s="437"/>
      <c r="Y96" s="437"/>
      <c r="Z96" s="437"/>
    </row>
    <row r="97" spans="1:26" ht="15.75" customHeight="1">
      <c r="A97" t="s">
        <v>1334</v>
      </c>
      <c r="B97" t="s">
        <v>1344</v>
      </c>
      <c r="C97" t="s">
        <v>1348</v>
      </c>
      <c r="D97" s="516">
        <v>341203</v>
      </c>
      <c r="E97" t="s">
        <v>1350</v>
      </c>
      <c r="F97" s="514">
        <v>-156595.5</v>
      </c>
      <c r="G97" s="514">
        <v>-44500</v>
      </c>
      <c r="H97" s="437" t="str">
        <f>VLOOKUP(D97,'COA LTD'!A:F,3,0)</f>
        <v>BS</v>
      </c>
      <c r="I97" s="437" t="str">
        <f>VLOOKUP(D97,'COA LTD'!A:F,4,0)</f>
        <v>Trade payables</v>
      </c>
      <c r="J97" s="437">
        <f>VLOOKUP(D97,'COA LTD'!A:F,5,0)</f>
        <v>0</v>
      </c>
      <c r="K97" s="439">
        <f t="shared" si="3"/>
        <v>3.5190000000000001</v>
      </c>
      <c r="L97" s="437"/>
      <c r="M97" s="437"/>
      <c r="N97" s="437"/>
      <c r="O97" s="437"/>
      <c r="P97" s="438"/>
      <c r="Q97" s="438"/>
      <c r="R97" s="438"/>
      <c r="S97" s="438"/>
      <c r="T97" s="437"/>
      <c r="U97" s="437"/>
      <c r="V97" s="437"/>
      <c r="W97" s="437"/>
      <c r="X97" s="437"/>
      <c r="Y97" s="437"/>
      <c r="Z97" s="437"/>
    </row>
    <row r="98" spans="1:26" ht="15.75" customHeight="1">
      <c r="A98" t="s">
        <v>1334</v>
      </c>
      <c r="B98" t="s">
        <v>1344</v>
      </c>
      <c r="C98" t="s">
        <v>1348</v>
      </c>
      <c r="D98" s="516">
        <v>341238</v>
      </c>
      <c r="E98" t="s">
        <v>1283</v>
      </c>
      <c r="F98" s="514">
        <v>-36956.11</v>
      </c>
      <c r="G98" s="514">
        <v>-10501.88</v>
      </c>
      <c r="H98" s="437" t="str">
        <f>VLOOKUP(D98,'COA LTD'!A:F,3,0)</f>
        <v>BS</v>
      </c>
      <c r="I98" s="437" t="str">
        <f>VLOOKUP(D98,'COA LTD'!A:F,4,0)</f>
        <v>Trade payables</v>
      </c>
      <c r="J98" s="437">
        <f>VLOOKUP(D98,'COA LTD'!A:F,5,0)</f>
        <v>0</v>
      </c>
      <c r="K98" s="439">
        <f t="shared" si="3"/>
        <v>3.5189994553356163</v>
      </c>
      <c r="L98" s="437"/>
      <c r="M98" s="437"/>
      <c r="N98" s="437"/>
      <c r="O98" s="437"/>
      <c r="P98" s="438"/>
      <c r="Q98" s="438"/>
      <c r="R98" s="438"/>
      <c r="S98" s="438"/>
      <c r="T98" s="437"/>
      <c r="U98" s="437"/>
      <c r="V98" s="437"/>
      <c r="W98" s="437"/>
      <c r="X98" s="437"/>
      <c r="Y98" s="437"/>
      <c r="Z98" s="437"/>
    </row>
    <row r="99" spans="1:26" ht="15.75" customHeight="1">
      <c r="A99" t="s">
        <v>1334</v>
      </c>
      <c r="B99" t="s">
        <v>1344</v>
      </c>
      <c r="C99" t="s">
        <v>1348</v>
      </c>
      <c r="D99" s="516">
        <v>341245</v>
      </c>
      <c r="E99" t="s">
        <v>1301</v>
      </c>
      <c r="F99" s="514">
        <v>-11542.32</v>
      </c>
      <c r="G99" s="514">
        <v>-3280</v>
      </c>
      <c r="H99" s="437" t="str">
        <f>VLOOKUP(D99,'COA LTD'!A:F,3,0)</f>
        <v>BS</v>
      </c>
      <c r="I99" s="437" t="str">
        <f>VLOOKUP(D99,'COA LTD'!A:F,4,0)</f>
        <v>Trade payables</v>
      </c>
      <c r="J99" s="437">
        <f>VLOOKUP(D99,'COA LTD'!A:F,5,0)</f>
        <v>0</v>
      </c>
      <c r="K99" s="439">
        <f t="shared" si="3"/>
        <v>3.5190000000000001</v>
      </c>
      <c r="L99" s="437"/>
      <c r="M99" s="437"/>
      <c r="N99" s="437"/>
      <c r="O99" s="437"/>
      <c r="P99" s="438"/>
      <c r="Q99" s="438"/>
      <c r="R99" s="438"/>
      <c r="S99" s="438"/>
      <c r="T99" s="437"/>
      <c r="U99" s="437"/>
      <c r="V99" s="437"/>
      <c r="W99" s="437"/>
      <c r="X99" s="437"/>
      <c r="Y99" s="437"/>
      <c r="Z99" s="437"/>
    </row>
    <row r="100" spans="1:26" ht="15.75" customHeight="1">
      <c r="A100" t="s">
        <v>1334</v>
      </c>
      <c r="B100" t="s">
        <v>1344</v>
      </c>
      <c r="C100" t="s">
        <v>1348</v>
      </c>
      <c r="D100" s="516">
        <v>341246</v>
      </c>
      <c r="E100" t="s">
        <v>1284</v>
      </c>
      <c r="F100" s="514">
        <v>-64010.61</v>
      </c>
      <c r="G100" s="514">
        <v>-18190</v>
      </c>
      <c r="H100" s="437" t="str">
        <f>VLOOKUP(D100,'COA LTD'!A:F,3,0)</f>
        <v>BS</v>
      </c>
      <c r="I100" s="437" t="str">
        <f>VLOOKUP(D100,'COA LTD'!A:F,4,0)</f>
        <v>Trade payables</v>
      </c>
      <c r="J100" s="437">
        <f>VLOOKUP(D100,'COA LTD'!A:F,5,0)</f>
        <v>0</v>
      </c>
      <c r="K100" s="439">
        <f t="shared" si="3"/>
        <v>3.5190000000000001</v>
      </c>
      <c r="L100" s="437"/>
      <c r="M100" s="437"/>
      <c r="N100" s="437"/>
      <c r="O100" s="437"/>
      <c r="P100" s="438"/>
      <c r="Q100" s="438"/>
      <c r="R100" s="438"/>
      <c r="S100" s="438"/>
      <c r="T100" s="437"/>
      <c r="U100" s="437"/>
      <c r="V100" s="437"/>
      <c r="W100" s="437"/>
      <c r="X100" s="437"/>
      <c r="Y100" s="437"/>
      <c r="Z100" s="437"/>
    </row>
    <row r="101" spans="1:26" ht="15.75" customHeight="1">
      <c r="A101" t="s">
        <v>1334</v>
      </c>
      <c r="B101" t="s">
        <v>1344</v>
      </c>
      <c r="C101" t="s">
        <v>1348</v>
      </c>
      <c r="D101" s="516">
        <v>341247</v>
      </c>
      <c r="E101" t="s">
        <v>1285</v>
      </c>
      <c r="F101" s="514">
        <v>-7038</v>
      </c>
      <c r="G101" s="514">
        <v>-2000</v>
      </c>
      <c r="H101" s="437" t="str">
        <f>VLOOKUP(D101,'COA LTD'!A:F,3,0)</f>
        <v>BS</v>
      </c>
      <c r="I101" s="437" t="str">
        <f>VLOOKUP(D101,'COA LTD'!A:F,4,0)</f>
        <v>Trade payables</v>
      </c>
      <c r="J101" s="437">
        <f>VLOOKUP(D101,'COA LTD'!A:F,5,0)</f>
        <v>0</v>
      </c>
      <c r="K101" s="439">
        <f t="shared" si="3"/>
        <v>3.5190000000000001</v>
      </c>
      <c r="L101" s="437"/>
      <c r="M101" s="437"/>
      <c r="N101" s="437"/>
      <c r="O101" s="437"/>
      <c r="P101" s="438"/>
      <c r="Q101" s="438"/>
      <c r="R101" s="438"/>
      <c r="S101" s="438"/>
      <c r="T101" s="437"/>
      <c r="U101" s="437"/>
      <c r="V101" s="437"/>
      <c r="W101" s="437"/>
      <c r="X101" s="437"/>
      <c r="Y101" s="437"/>
      <c r="Z101" s="437"/>
    </row>
    <row r="102" spans="1:26" ht="15.75" customHeight="1">
      <c r="A102" t="s">
        <v>1334</v>
      </c>
      <c r="B102" t="s">
        <v>1344</v>
      </c>
      <c r="C102" t="s">
        <v>1348</v>
      </c>
      <c r="D102" s="516">
        <v>341252</v>
      </c>
      <c r="E102" t="s">
        <v>1286</v>
      </c>
      <c r="F102" s="514">
        <v>-44691.3</v>
      </c>
      <c r="G102" s="514">
        <v>-12700</v>
      </c>
      <c r="H102" s="437" t="str">
        <f>VLOOKUP(D102,'COA LTD'!A:F,3,0)</f>
        <v>BS</v>
      </c>
      <c r="I102" s="437" t="str">
        <f>VLOOKUP(D102,'COA LTD'!A:F,4,0)</f>
        <v>Trade payables</v>
      </c>
      <c r="J102" s="437">
        <f>VLOOKUP(D102,'COA LTD'!A:F,5,0)</f>
        <v>0</v>
      </c>
      <c r="K102" s="439">
        <f t="shared" si="3"/>
        <v>3.5190000000000001</v>
      </c>
      <c r="L102" s="437"/>
      <c r="M102" s="437"/>
      <c r="N102" s="437"/>
      <c r="O102" s="437"/>
      <c r="P102" s="438"/>
      <c r="Q102" s="438"/>
      <c r="R102" s="438"/>
      <c r="S102" s="438"/>
      <c r="T102" s="437"/>
      <c r="U102" s="437"/>
      <c r="V102" s="437"/>
      <c r="W102" s="437"/>
      <c r="X102" s="437"/>
      <c r="Y102" s="437"/>
      <c r="Z102" s="437"/>
    </row>
    <row r="103" spans="1:26" ht="15.75" customHeight="1">
      <c r="A103" t="s">
        <v>1334</v>
      </c>
      <c r="B103" t="s">
        <v>1344</v>
      </c>
      <c r="C103" t="s">
        <v>1348</v>
      </c>
      <c r="D103" s="516">
        <v>341255</v>
      </c>
      <c r="E103" t="s">
        <v>1288</v>
      </c>
      <c r="F103" s="514">
        <v>-26946.54</v>
      </c>
      <c r="G103" s="514">
        <v>-7657.44</v>
      </c>
      <c r="H103" s="437" t="str">
        <f>VLOOKUP(D103,'COA LTD'!A:F,3,0)</f>
        <v>BS</v>
      </c>
      <c r="I103" s="437" t="str">
        <f>VLOOKUP(D103,'COA LTD'!A:F,4,0)</f>
        <v>Trade payables</v>
      </c>
      <c r="J103" s="437">
        <f>VLOOKUP(D103,'COA LTD'!A:F,5,0)</f>
        <v>0</v>
      </c>
      <c r="K103" s="439">
        <f t="shared" si="3"/>
        <v>3.5190011283144238</v>
      </c>
      <c r="L103" s="437"/>
      <c r="M103" s="437"/>
      <c r="N103" s="437"/>
      <c r="O103" s="437"/>
      <c r="P103" s="438"/>
      <c r="Q103" s="438"/>
      <c r="R103" s="438"/>
      <c r="S103" s="438"/>
      <c r="T103" s="437"/>
      <c r="U103" s="437"/>
      <c r="V103" s="437"/>
      <c r="W103" s="437"/>
      <c r="X103" s="437"/>
      <c r="Y103" s="437"/>
      <c r="Z103" s="437"/>
    </row>
    <row r="104" spans="1:26" ht="15.75" customHeight="1">
      <c r="A104" t="s">
        <v>1334</v>
      </c>
      <c r="B104" t="s">
        <v>1344</v>
      </c>
      <c r="C104" t="s">
        <v>1348</v>
      </c>
      <c r="D104" s="516">
        <v>341256</v>
      </c>
      <c r="E104" t="s">
        <v>1289</v>
      </c>
      <c r="F104" s="514">
        <v>-13365.16</v>
      </c>
      <c r="G104" s="514">
        <v>-3798</v>
      </c>
      <c r="H104" s="437" t="str">
        <f>VLOOKUP(D104,'COA LTD'!A:F,3,0)</f>
        <v>BS</v>
      </c>
      <c r="I104" s="437" t="str">
        <f>VLOOKUP(D104,'COA LTD'!A:F,4,0)</f>
        <v>Trade payables</v>
      </c>
      <c r="J104" s="437">
        <f>VLOOKUP(D104,'COA LTD'!A:F,5,0)</f>
        <v>0</v>
      </c>
      <c r="K104" s="439">
        <f t="shared" si="3"/>
        <v>3.5189994734070562</v>
      </c>
      <c r="L104" s="437"/>
      <c r="M104" s="437"/>
      <c r="N104" s="437"/>
      <c r="O104" s="437"/>
      <c r="P104" s="438"/>
      <c r="Q104" s="438"/>
      <c r="R104" s="438"/>
      <c r="S104" s="438"/>
      <c r="T104" s="437"/>
      <c r="U104" s="437"/>
      <c r="V104" s="437"/>
      <c r="W104" s="437"/>
      <c r="X104" s="437"/>
      <c r="Y104" s="437"/>
      <c r="Z104" s="437"/>
    </row>
    <row r="105" spans="1:26" ht="15.75" customHeight="1">
      <c r="A105" t="s">
        <v>1334</v>
      </c>
      <c r="B105" t="s">
        <v>1352</v>
      </c>
      <c r="C105" t="s">
        <v>1353</v>
      </c>
      <c r="D105" s="516">
        <v>35000</v>
      </c>
      <c r="E105" t="s">
        <v>570</v>
      </c>
      <c r="F105" s="514">
        <v>-261241589.81999999</v>
      </c>
      <c r="G105" s="514">
        <v>-74237450.930000007</v>
      </c>
      <c r="H105" s="437" t="str">
        <f>VLOOKUP(D105,'COA LTD'!A:F,3,0)</f>
        <v>BS</v>
      </c>
      <c r="I105" s="437" t="str">
        <f>VLOOKUP(D105,'COA LTD'!A:F,4,0)</f>
        <v>Related Party</v>
      </c>
      <c r="J105" s="437">
        <f>VLOOKUP(D105,'COA LTD'!A:F,5,0)</f>
        <v>0</v>
      </c>
      <c r="K105" s="439">
        <f t="shared" si="3"/>
        <v>3.5189999999640338</v>
      </c>
      <c r="L105" s="437"/>
      <c r="M105" s="437"/>
      <c r="N105" s="437"/>
      <c r="O105" s="437"/>
      <c r="P105" s="438"/>
      <c r="Q105" s="438"/>
      <c r="R105" s="438"/>
      <c r="S105" s="438"/>
      <c r="T105" s="437"/>
      <c r="U105" s="437"/>
      <c r="V105" s="437"/>
      <c r="W105" s="437"/>
      <c r="X105" s="437"/>
      <c r="Y105" s="437"/>
      <c r="Z105" s="437"/>
    </row>
    <row r="106" spans="1:26" ht="15.75" customHeight="1">
      <c r="A106" t="s">
        <v>1334</v>
      </c>
      <c r="B106" t="s">
        <v>1352</v>
      </c>
      <c r="C106" t="s">
        <v>1353</v>
      </c>
      <c r="D106" s="516">
        <v>35002</v>
      </c>
      <c r="E106" t="s">
        <v>571</v>
      </c>
      <c r="F106" s="514">
        <v>-1506438425.6900001</v>
      </c>
      <c r="G106" s="514">
        <v>-428087077.49000001</v>
      </c>
      <c r="H106" s="437" t="str">
        <f>VLOOKUP(D106,'COA LTD'!A:F,3,0)</f>
        <v>BS</v>
      </c>
      <c r="I106" s="437" t="str">
        <f>VLOOKUP(D106,'COA LTD'!A:F,4,0)</f>
        <v>Related Party</v>
      </c>
      <c r="J106" s="437">
        <f>VLOOKUP(D106,'COA LTD'!A:F,5,0)</f>
        <v>0</v>
      </c>
      <c r="K106" s="439">
        <f t="shared" si="3"/>
        <v>3.519000000006284</v>
      </c>
      <c r="L106" s="437"/>
      <c r="M106" s="437"/>
      <c r="N106" s="437"/>
      <c r="O106" s="437"/>
      <c r="P106" s="438"/>
      <c r="Q106" s="438"/>
      <c r="R106" s="438"/>
      <c r="S106" s="438"/>
      <c r="T106" s="437"/>
      <c r="U106" s="437"/>
      <c r="V106" s="437"/>
      <c r="W106" s="437"/>
      <c r="X106" s="437"/>
      <c r="Y106" s="437"/>
      <c r="Z106" s="437"/>
    </row>
    <row r="107" spans="1:26" ht="15.75" customHeight="1">
      <c r="A107" t="s">
        <v>1334</v>
      </c>
      <c r="B107" t="s">
        <v>1352</v>
      </c>
      <c r="C107" t="s">
        <v>1353</v>
      </c>
      <c r="D107" s="516">
        <v>35003</v>
      </c>
      <c r="E107" t="s">
        <v>991</v>
      </c>
      <c r="F107" s="514">
        <v>103399.2</v>
      </c>
      <c r="G107" s="514">
        <v>29383.119999999999</v>
      </c>
      <c r="H107" s="437" t="str">
        <f>VLOOKUP(D107,'COA LTD'!A:F,3,0)</f>
        <v>BS</v>
      </c>
      <c r="I107" s="437" t="str">
        <f>VLOOKUP(D107,'COA LTD'!A:F,4,0)</f>
        <v>Related Party India</v>
      </c>
      <c r="J107" s="437">
        <f>VLOOKUP(D107,'COA LTD'!A:F,5,0)</f>
        <v>0</v>
      </c>
      <c r="K107" s="439">
        <f t="shared" ref="K107:K112" si="4">F107/G107</f>
        <v>3.5190000245038648</v>
      </c>
      <c r="L107" s="437"/>
      <c r="M107" s="437"/>
      <c r="N107" s="437"/>
      <c r="O107" s="437"/>
      <c r="P107" s="438"/>
      <c r="Q107" s="438"/>
      <c r="R107" s="438"/>
      <c r="S107" s="438"/>
      <c r="T107" s="437"/>
      <c r="U107" s="437"/>
      <c r="V107" s="437"/>
      <c r="W107" s="437"/>
      <c r="X107" s="437"/>
      <c r="Y107" s="437"/>
      <c r="Z107" s="437"/>
    </row>
    <row r="108" spans="1:26" ht="15.75" customHeight="1">
      <c r="A108" t="s">
        <v>1334</v>
      </c>
      <c r="B108" t="s">
        <v>1354</v>
      </c>
      <c r="C108" t="s">
        <v>1355</v>
      </c>
      <c r="D108" s="516">
        <v>36000</v>
      </c>
      <c r="E108" t="s">
        <v>572</v>
      </c>
      <c r="F108" s="514">
        <v>-4843.5200000000004</v>
      </c>
      <c r="G108" s="514">
        <v>-1376.39</v>
      </c>
      <c r="H108" s="437" t="str">
        <f>VLOOKUP(D108,'COA LTD'!A:F,3,0)</f>
        <v>BS</v>
      </c>
      <c r="I108" s="437" t="str">
        <f>VLOOKUP(D108,'COA LTD'!A:F,4,0)</f>
        <v>Trade payables</v>
      </c>
      <c r="J108" s="437">
        <f>VLOOKUP(D108,'COA LTD'!A:F,5,0)</f>
        <v>0</v>
      </c>
      <c r="K108" s="439">
        <f t="shared" si="4"/>
        <v>3.5190026082723649</v>
      </c>
      <c r="L108" s="437"/>
      <c r="M108" s="437"/>
      <c r="N108" s="437"/>
      <c r="O108" s="437"/>
      <c r="P108" s="438"/>
      <c r="Q108" s="438"/>
      <c r="R108" s="438"/>
      <c r="S108" s="438"/>
      <c r="T108" s="437"/>
      <c r="U108" s="437"/>
      <c r="V108" s="437"/>
      <c r="W108" s="437"/>
      <c r="X108" s="437"/>
      <c r="Y108" s="437"/>
      <c r="Z108" s="437"/>
    </row>
    <row r="109" spans="1:26" ht="15.75" customHeight="1">
      <c r="A109" t="s">
        <v>1334</v>
      </c>
      <c r="B109" t="s">
        <v>1354</v>
      </c>
      <c r="C109" t="s">
        <v>1355</v>
      </c>
      <c r="D109" s="516">
        <v>36001</v>
      </c>
      <c r="E109" t="s">
        <v>573</v>
      </c>
      <c r="F109" s="514">
        <v>-1999.49</v>
      </c>
      <c r="G109" s="514">
        <v>-568.20000000000005</v>
      </c>
      <c r="H109" s="437" t="str">
        <f>VLOOKUP(D109,'COA LTD'!A:F,3,0)</f>
        <v>BS</v>
      </c>
      <c r="I109" s="437" t="str">
        <f>VLOOKUP(D109,'COA LTD'!A:F,4,0)</f>
        <v>Trade payables</v>
      </c>
      <c r="J109" s="437">
        <f>VLOOKUP(D109,'COA LTD'!A:F,5,0)</f>
        <v>0</v>
      </c>
      <c r="K109" s="439">
        <f t="shared" si="4"/>
        <v>3.5189897923266451</v>
      </c>
      <c r="L109" s="437"/>
      <c r="M109" s="437"/>
      <c r="N109" s="437"/>
      <c r="O109" s="437"/>
      <c r="P109" s="438"/>
      <c r="Q109" s="438"/>
      <c r="R109" s="438"/>
      <c r="S109" s="438"/>
      <c r="T109" s="437"/>
      <c r="U109" s="437"/>
      <c r="V109" s="437"/>
      <c r="W109" s="437"/>
      <c r="X109" s="437"/>
      <c r="Y109" s="437"/>
      <c r="Z109" s="437"/>
    </row>
    <row r="110" spans="1:26" ht="15.75" customHeight="1">
      <c r="A110" t="s">
        <v>1334</v>
      </c>
      <c r="B110" t="s">
        <v>1354</v>
      </c>
      <c r="C110" t="s">
        <v>1355</v>
      </c>
      <c r="D110" s="516">
        <v>36002</v>
      </c>
      <c r="E110" t="s">
        <v>574</v>
      </c>
      <c r="F110" s="514">
        <v>-17185.18</v>
      </c>
      <c r="G110" s="514">
        <v>-4883.54</v>
      </c>
      <c r="H110" s="437" t="str">
        <f>VLOOKUP(D110,'COA LTD'!A:F,3,0)</f>
        <v>BS</v>
      </c>
      <c r="I110" s="437" t="str">
        <f>VLOOKUP(D110,'COA LTD'!A:F,4,0)</f>
        <v>Trade payables</v>
      </c>
      <c r="J110" s="437">
        <f>VLOOKUP(D110,'COA LTD'!A:F,5,0)</f>
        <v>0</v>
      </c>
      <c r="K110" s="439">
        <f t="shared" si="4"/>
        <v>3.5190005610684052</v>
      </c>
      <c r="L110" s="437"/>
      <c r="M110" s="437"/>
      <c r="N110" s="437"/>
      <c r="O110" s="437"/>
      <c r="P110" s="438"/>
      <c r="Q110" s="438"/>
      <c r="R110" s="438"/>
      <c r="S110" s="438"/>
      <c r="T110" s="437"/>
      <c r="U110" s="437"/>
      <c r="V110" s="437"/>
      <c r="W110" s="437"/>
      <c r="X110" s="437"/>
      <c r="Y110" s="437"/>
      <c r="Z110" s="437"/>
    </row>
    <row r="111" spans="1:26" ht="15.75" customHeight="1">
      <c r="A111" t="s">
        <v>1334</v>
      </c>
      <c r="B111" t="s">
        <v>1354</v>
      </c>
      <c r="C111" t="s">
        <v>1355</v>
      </c>
      <c r="D111" s="516">
        <v>36003</v>
      </c>
      <c r="E111" t="s">
        <v>575</v>
      </c>
      <c r="F111" s="514">
        <v>-19488.189999999999</v>
      </c>
      <c r="G111" s="514">
        <v>-5537.99</v>
      </c>
      <c r="H111" s="437" t="str">
        <f>VLOOKUP(D111,'COA LTD'!A:F,3,0)</f>
        <v>BS</v>
      </c>
      <c r="I111" s="437" t="str">
        <f>VLOOKUP(D111,'COA LTD'!A:F,4,0)</f>
        <v>Trade payables</v>
      </c>
      <c r="J111" s="437">
        <f>VLOOKUP(D111,'COA LTD'!A:F,5,0)</f>
        <v>0</v>
      </c>
      <c r="K111" s="439">
        <f t="shared" si="4"/>
        <v>3.5190005760212641</v>
      </c>
      <c r="L111" s="437"/>
      <c r="M111" s="437"/>
      <c r="N111" s="437"/>
      <c r="O111" s="437"/>
      <c r="P111" s="438"/>
      <c r="Q111" s="438"/>
      <c r="R111" s="438"/>
      <c r="S111" s="438"/>
      <c r="T111" s="437"/>
      <c r="U111" s="437"/>
      <c r="V111" s="437"/>
      <c r="W111" s="437"/>
      <c r="X111" s="437"/>
      <c r="Y111" s="437"/>
      <c r="Z111" s="437"/>
    </row>
    <row r="112" spans="1:26" ht="15.75" customHeight="1">
      <c r="A112" t="s">
        <v>1334</v>
      </c>
      <c r="B112" t="s">
        <v>1354</v>
      </c>
      <c r="C112" t="s">
        <v>1355</v>
      </c>
      <c r="D112" s="516">
        <v>36004</v>
      </c>
      <c r="E112" t="s">
        <v>576</v>
      </c>
      <c r="F112" s="514">
        <v>-10125.5</v>
      </c>
      <c r="G112" s="514">
        <v>-2877.38</v>
      </c>
      <c r="H112" s="437" t="str">
        <f>VLOOKUP(D112,'COA LTD'!A:F,3,0)</f>
        <v>BS</v>
      </c>
      <c r="I112" s="437" t="str">
        <f>VLOOKUP(D112,'COA LTD'!A:F,4,0)</f>
        <v>Trade payables</v>
      </c>
      <c r="J112" s="437">
        <f>VLOOKUP(D112,'COA LTD'!A:F,5,0)</f>
        <v>0</v>
      </c>
      <c r="K112" s="439">
        <f t="shared" si="4"/>
        <v>3.5189999235415552</v>
      </c>
      <c r="L112" s="437"/>
      <c r="M112" s="437"/>
      <c r="N112" s="437"/>
      <c r="O112" s="437"/>
      <c r="P112" s="438"/>
      <c r="Q112" s="438"/>
      <c r="R112" s="438"/>
      <c r="S112" s="438"/>
      <c r="T112" s="437"/>
      <c r="U112" s="437"/>
      <c r="V112" s="437"/>
      <c r="W112" s="437"/>
      <c r="X112" s="437"/>
      <c r="Y112" s="437"/>
      <c r="Z112" s="437"/>
    </row>
    <row r="113" spans="1:26" ht="15.75" customHeight="1">
      <c r="A113" t="s">
        <v>1334</v>
      </c>
      <c r="B113" t="s">
        <v>1354</v>
      </c>
      <c r="C113" t="s">
        <v>1356</v>
      </c>
      <c r="D113" s="516">
        <v>36101</v>
      </c>
      <c r="E113" t="s">
        <v>578</v>
      </c>
      <c r="F113" s="514">
        <v>-918205.53</v>
      </c>
      <c r="G113" s="514">
        <v>-260927.97</v>
      </c>
      <c r="H113" s="437" t="str">
        <f>VLOOKUP(D113,'COA LTD'!A:F,3,0)</f>
        <v>BS</v>
      </c>
      <c r="I113" s="437" t="str">
        <f>VLOOKUP(D113,'COA LTD'!A:F,4,0)</f>
        <v>Employees payables</v>
      </c>
      <c r="J113" s="437">
        <f>VLOOKUP(D113,'COA LTD'!A:F,5,0)</f>
        <v>0</v>
      </c>
      <c r="K113" s="439">
        <f t="shared" si="0"/>
        <v>3.519000013681937</v>
      </c>
      <c r="L113" s="437"/>
      <c r="M113" s="437"/>
      <c r="N113" s="437"/>
      <c r="O113" s="437"/>
      <c r="P113" s="438"/>
      <c r="Q113" s="438"/>
      <c r="R113" s="438"/>
      <c r="S113" s="438"/>
      <c r="T113" s="437"/>
      <c r="U113" s="437"/>
      <c r="V113" s="437"/>
      <c r="W113" s="437"/>
      <c r="X113" s="437"/>
      <c r="Y113" s="437"/>
      <c r="Z113" s="437"/>
    </row>
    <row r="114" spans="1:26" ht="15.75" customHeight="1">
      <c r="A114" t="s">
        <v>1334</v>
      </c>
      <c r="B114" t="s">
        <v>1354</v>
      </c>
      <c r="C114" t="s">
        <v>1356</v>
      </c>
      <c r="D114" s="516">
        <v>36102</v>
      </c>
      <c r="E114" t="s">
        <v>579</v>
      </c>
      <c r="F114" s="514">
        <v>-32262.48</v>
      </c>
      <c r="G114" s="514">
        <v>-9168.08</v>
      </c>
      <c r="H114" s="437" t="str">
        <f>VLOOKUP(D114,'COA LTD'!A:F,3,0)</f>
        <v>BS</v>
      </c>
      <c r="I114" s="437" t="str">
        <f>VLOOKUP(D114,'COA LTD'!A:F,4,0)</f>
        <v>Tax provision</v>
      </c>
      <c r="J114" s="437">
        <f>VLOOKUP(D114,'COA LTD'!A:F,5,0)</f>
        <v>0</v>
      </c>
      <c r="K114" s="439">
        <f t="shared" si="0"/>
        <v>3.519000706800115</v>
      </c>
      <c r="L114" s="437"/>
      <c r="M114" s="437"/>
      <c r="N114" s="437"/>
      <c r="O114" s="437"/>
      <c r="P114" s="438"/>
      <c r="Q114" s="438"/>
      <c r="R114" s="438"/>
      <c r="S114" s="438"/>
      <c r="T114" s="437"/>
      <c r="U114" s="437"/>
      <c r="V114" s="437"/>
      <c r="W114" s="437"/>
      <c r="X114" s="437"/>
      <c r="Y114" s="437"/>
      <c r="Z114" s="437"/>
    </row>
    <row r="115" spans="1:26" ht="15.75" customHeight="1">
      <c r="A115" t="s">
        <v>1334</v>
      </c>
      <c r="B115" t="s">
        <v>1357</v>
      </c>
      <c r="C115" t="s">
        <v>1358</v>
      </c>
      <c r="D115" s="516">
        <v>37100</v>
      </c>
      <c r="E115" t="s">
        <v>581</v>
      </c>
      <c r="F115" s="514">
        <v>-2730310.57</v>
      </c>
      <c r="G115" s="514">
        <v>-775876.82</v>
      </c>
      <c r="H115" s="437" t="str">
        <f>VLOOKUP(D115,'COA LTD'!A:F,3,0)</f>
        <v>BS</v>
      </c>
      <c r="I115" s="437" t="str">
        <f>VLOOKUP(D115,'COA LTD'!A:F,4,0)</f>
        <v>Accrued Expenses</v>
      </c>
      <c r="J115" s="437">
        <f>VLOOKUP(D115,'COA LTD'!A:F,5,0)</f>
        <v>0</v>
      </c>
      <c r="K115" s="439">
        <f t="shared" si="0"/>
        <v>3.5190000520958984</v>
      </c>
      <c r="L115" s="437"/>
      <c r="M115" s="437"/>
      <c r="N115" s="437"/>
      <c r="O115" s="437"/>
      <c r="P115" s="438"/>
      <c r="Q115" s="438"/>
      <c r="R115" s="438"/>
      <c r="S115" s="438"/>
      <c r="T115" s="437"/>
      <c r="U115" s="437"/>
      <c r="V115" s="437"/>
      <c r="W115" s="437"/>
      <c r="X115" s="437"/>
      <c r="Y115" s="437"/>
      <c r="Z115" s="437"/>
    </row>
    <row r="116" spans="1:26" ht="15.75" customHeight="1">
      <c r="A116" t="s">
        <v>1334</v>
      </c>
      <c r="B116" t="s">
        <v>1357</v>
      </c>
      <c r="C116" t="s">
        <v>1358</v>
      </c>
      <c r="D116" s="516">
        <v>37101</v>
      </c>
      <c r="E116" t="s">
        <v>582</v>
      </c>
      <c r="F116" s="514">
        <v>-5564383.5</v>
      </c>
      <c r="G116" s="514">
        <v>-1581239.98</v>
      </c>
      <c r="H116" s="437" t="str">
        <f>VLOOKUP(D116,'COA LTD'!A:F,3,0)</f>
        <v>BS</v>
      </c>
      <c r="I116" s="437" t="str">
        <f>VLOOKUP(D116,'COA LTD'!A:F,4,0)</f>
        <v>Accrued Expenses</v>
      </c>
      <c r="J116" s="437">
        <f>VLOOKUP(D116,'COA LTD'!A:F,5,0)</f>
        <v>0</v>
      </c>
      <c r="K116" s="439">
        <f t="shared" si="0"/>
        <v>3.5190000065644687</v>
      </c>
      <c r="L116" s="437"/>
      <c r="M116" s="437"/>
      <c r="N116" s="437"/>
      <c r="O116" s="437"/>
      <c r="P116" s="438"/>
      <c r="Q116" s="438"/>
      <c r="R116" s="438"/>
      <c r="S116" s="438"/>
      <c r="T116" s="437"/>
      <c r="U116" s="437"/>
      <c r="V116" s="437"/>
      <c r="W116" s="437"/>
      <c r="X116" s="437"/>
      <c r="Y116" s="437"/>
      <c r="Z116" s="437"/>
    </row>
    <row r="117" spans="1:26" ht="15.75" customHeight="1">
      <c r="A117" t="s">
        <v>1334</v>
      </c>
      <c r="B117" t="s">
        <v>1357</v>
      </c>
      <c r="C117" t="s">
        <v>1359</v>
      </c>
      <c r="D117" s="516">
        <v>37200</v>
      </c>
      <c r="E117" t="s">
        <v>583</v>
      </c>
      <c r="F117" s="514">
        <v>-43835729.020000003</v>
      </c>
      <c r="G117" s="514">
        <v>-12456862.369999999</v>
      </c>
      <c r="H117" s="437" t="str">
        <f>VLOOKUP(D117,'COA LTD'!A:F,3,0)</f>
        <v>BS</v>
      </c>
      <c r="I117" s="437" t="str">
        <f>VLOOKUP(D117,'COA LTD'!A:F,4,0)</f>
        <v>Accrued Expenses</v>
      </c>
      <c r="J117" s="437">
        <f>VLOOKUP(D117,'COA LTD'!A:F,5,0)</f>
        <v>0</v>
      </c>
      <c r="K117" s="439">
        <f t="shared" si="0"/>
        <v>3.5190024356028915</v>
      </c>
      <c r="L117" s="437"/>
      <c r="M117" s="437"/>
      <c r="N117" s="437"/>
      <c r="O117" s="437"/>
      <c r="P117" s="438"/>
      <c r="Q117" s="438"/>
      <c r="R117" s="438"/>
      <c r="S117" s="438"/>
      <c r="T117" s="437"/>
      <c r="U117" s="437"/>
      <c r="V117" s="437"/>
      <c r="W117" s="437"/>
      <c r="X117" s="437"/>
      <c r="Y117" s="437"/>
      <c r="Z117" s="437"/>
    </row>
    <row r="118" spans="1:26" ht="15.75" customHeight="1">
      <c r="A118" t="s">
        <v>1334</v>
      </c>
      <c r="B118" t="s">
        <v>1360</v>
      </c>
      <c r="C118" t="s">
        <v>1361</v>
      </c>
      <c r="D118" s="516">
        <v>38100</v>
      </c>
      <c r="E118" t="s">
        <v>584</v>
      </c>
      <c r="F118" s="514">
        <v>540</v>
      </c>
      <c r="G118" s="514">
        <v>153.44999999999999</v>
      </c>
      <c r="H118" s="437" t="str">
        <f>VLOOKUP(D118,'COA LTD'!A:F,3,0)</f>
        <v>BS</v>
      </c>
      <c r="I118" s="437" t="str">
        <f>VLOOKUP(D118,'COA LTD'!A:F,4,0)</f>
        <v>Employees payables</v>
      </c>
      <c r="J118" s="437">
        <f>VLOOKUP(D118,'COA LTD'!A:F,5,0)</f>
        <v>0</v>
      </c>
      <c r="K118" s="439">
        <f t="shared" si="0"/>
        <v>3.519061583577713</v>
      </c>
      <c r="L118" s="437"/>
      <c r="M118" s="437"/>
      <c r="N118" s="437"/>
      <c r="O118" s="437"/>
      <c r="P118" s="438"/>
      <c r="Q118" s="438"/>
      <c r="R118" s="438"/>
      <c r="S118" s="438"/>
      <c r="T118" s="437"/>
      <c r="U118" s="437"/>
      <c r="V118" s="437"/>
      <c r="W118" s="437"/>
      <c r="X118" s="437"/>
      <c r="Y118" s="437"/>
      <c r="Z118" s="437"/>
    </row>
    <row r="119" spans="1:26" ht="15.75" customHeight="1">
      <c r="A119" t="s">
        <v>1334</v>
      </c>
      <c r="B119" t="s">
        <v>1360</v>
      </c>
      <c r="C119" t="s">
        <v>1362</v>
      </c>
      <c r="D119" s="516">
        <v>38200</v>
      </c>
      <c r="E119" t="s">
        <v>585</v>
      </c>
      <c r="F119" s="514">
        <v>-726742</v>
      </c>
      <c r="G119" s="514">
        <v>-206519.46</v>
      </c>
      <c r="H119" s="437" t="str">
        <f>VLOOKUP(D119,'COA LTD'!A:F,3,0)</f>
        <v>BS</v>
      </c>
      <c r="I119" s="437" t="str">
        <f>VLOOKUP(D119,'COA LTD'!A:F,4,0)</f>
        <v>Employees payables</v>
      </c>
      <c r="J119" s="437">
        <f>VLOOKUP(D119,'COA LTD'!A:F,5,0)</f>
        <v>0</v>
      </c>
      <c r="K119" s="439">
        <f t="shared" si="0"/>
        <v>3.5190000981021354</v>
      </c>
      <c r="L119" s="437"/>
      <c r="M119" s="437"/>
      <c r="N119" s="437"/>
      <c r="O119" s="437"/>
      <c r="P119" s="438"/>
      <c r="Q119" s="438"/>
      <c r="R119" s="438"/>
      <c r="S119" s="438"/>
      <c r="T119" s="437"/>
      <c r="U119" s="437"/>
      <c r="V119" s="437"/>
      <c r="W119" s="437"/>
      <c r="X119" s="437"/>
      <c r="Y119" s="437"/>
      <c r="Z119" s="437"/>
    </row>
    <row r="120" spans="1:26" ht="15.75" customHeight="1">
      <c r="A120" t="s">
        <v>1334</v>
      </c>
      <c r="B120" t="s">
        <v>1360</v>
      </c>
      <c r="C120" t="s">
        <v>1362</v>
      </c>
      <c r="D120" s="516">
        <v>38201</v>
      </c>
      <c r="E120" t="s">
        <v>586</v>
      </c>
      <c r="F120" s="514">
        <v>-1061268</v>
      </c>
      <c r="G120" s="514">
        <v>-301582.27</v>
      </c>
      <c r="H120" s="437" t="str">
        <f>VLOOKUP(D120,'COA LTD'!A:F,3,0)</f>
        <v>BS</v>
      </c>
      <c r="I120" s="437" t="str">
        <f>VLOOKUP(D120,'COA LTD'!A:F,4,0)</f>
        <v>Employees payables</v>
      </c>
      <c r="J120" s="437">
        <f>VLOOKUP(D120,'COA LTD'!A:F,5,0)</f>
        <v>0</v>
      </c>
      <c r="K120" s="439">
        <f t="shared" si="0"/>
        <v>3.5189999730421815</v>
      </c>
      <c r="L120" s="437"/>
      <c r="M120" s="437"/>
      <c r="N120" s="437"/>
      <c r="O120" s="437"/>
      <c r="P120" s="438"/>
      <c r="Q120" s="438"/>
      <c r="R120" s="438"/>
      <c r="S120" s="438"/>
      <c r="T120" s="437"/>
      <c r="U120" s="437"/>
      <c r="V120" s="437"/>
      <c r="W120" s="437"/>
      <c r="X120" s="437"/>
      <c r="Y120" s="437"/>
      <c r="Z120" s="437"/>
    </row>
    <row r="121" spans="1:26" ht="15.75" customHeight="1">
      <c r="A121" t="s">
        <v>1334</v>
      </c>
      <c r="B121" t="s">
        <v>1360</v>
      </c>
      <c r="C121" t="s">
        <v>1363</v>
      </c>
      <c r="D121" s="516">
        <v>38303</v>
      </c>
      <c r="E121" t="s">
        <v>1129</v>
      </c>
      <c r="F121" s="514">
        <v>17044</v>
      </c>
      <c r="G121" s="514">
        <v>4843.42</v>
      </c>
      <c r="H121" s="437" t="str">
        <f>VLOOKUP(D121,'COA LTD'!A:F,3,0)</f>
        <v>BS</v>
      </c>
      <c r="I121" s="437" t="str">
        <f>VLOOKUP(D121,'COA LTD'!A:F,4,0)</f>
        <v>Employees payables</v>
      </c>
      <c r="J121" s="437">
        <f>VLOOKUP(D121,'COA LTD'!A:F,5,0)</f>
        <v>0</v>
      </c>
      <c r="K121" s="439">
        <f t="shared" si="0"/>
        <v>3.5190010364577096</v>
      </c>
      <c r="L121" s="437"/>
      <c r="M121" s="437"/>
      <c r="N121" s="437"/>
      <c r="O121" s="437"/>
      <c r="P121" s="438"/>
      <c r="Q121" s="438"/>
      <c r="R121" s="438"/>
      <c r="S121" s="438"/>
      <c r="T121" s="437"/>
      <c r="U121" s="437"/>
      <c r="V121" s="437"/>
      <c r="W121" s="437"/>
      <c r="X121" s="437"/>
      <c r="Y121" s="437"/>
      <c r="Z121" s="437"/>
    </row>
    <row r="122" spans="1:26" ht="15.75" customHeight="1">
      <c r="A122" t="s">
        <v>1334</v>
      </c>
      <c r="B122" t="s">
        <v>1360</v>
      </c>
      <c r="C122" t="s">
        <v>1363</v>
      </c>
      <c r="D122" s="516">
        <v>38305</v>
      </c>
      <c r="E122" t="s">
        <v>1172</v>
      </c>
      <c r="F122" s="514">
        <v>7109</v>
      </c>
      <c r="G122" s="514">
        <v>2020.18</v>
      </c>
      <c r="H122" s="437" t="str">
        <f>VLOOKUP(D122,'COA LTD'!A:F,3,0)</f>
        <v>BS</v>
      </c>
      <c r="I122" s="437" t="str">
        <f>VLOOKUP(D122,'COA LTD'!A:F,4,0)</f>
        <v>Employees payables</v>
      </c>
      <c r="J122" s="437">
        <f>VLOOKUP(D122,'COA LTD'!A:F,5,0)</f>
        <v>0</v>
      </c>
      <c r="K122" s="439">
        <f t="shared" si="0"/>
        <v>3.5189933570275915</v>
      </c>
      <c r="L122" s="437"/>
      <c r="M122" s="437"/>
      <c r="N122" s="437"/>
      <c r="O122" s="437"/>
      <c r="P122" s="438"/>
      <c r="Q122" s="438"/>
      <c r="R122" s="438"/>
      <c r="S122" s="438"/>
      <c r="T122" s="437"/>
      <c r="U122" s="437"/>
      <c r="V122" s="437"/>
      <c r="W122" s="437"/>
      <c r="X122" s="437"/>
      <c r="Y122" s="437"/>
      <c r="Z122" s="437"/>
    </row>
    <row r="123" spans="1:26" ht="15.75" customHeight="1">
      <c r="A123" t="s">
        <v>1334</v>
      </c>
      <c r="B123" t="s">
        <v>1360</v>
      </c>
      <c r="C123" t="s">
        <v>1364</v>
      </c>
      <c r="D123" s="516">
        <v>38400</v>
      </c>
      <c r="E123" t="s">
        <v>588</v>
      </c>
      <c r="F123" s="514">
        <v>-2089143.49</v>
      </c>
      <c r="G123" s="514">
        <v>-593675.32999999996</v>
      </c>
      <c r="H123" s="437" t="str">
        <f>VLOOKUP(D123,'COA LTD'!A:F,3,0)</f>
        <v>BS</v>
      </c>
      <c r="I123" s="437" t="str">
        <f>VLOOKUP(D123,'COA LTD'!A:F,4,0)</f>
        <v>Employees payables</v>
      </c>
      <c r="J123" s="437">
        <f>VLOOKUP(D123,'COA LTD'!A:F,5,0)</f>
        <v>0</v>
      </c>
      <c r="K123" s="439">
        <f t="shared" si="0"/>
        <v>3.5190000062828957</v>
      </c>
      <c r="L123" s="437"/>
      <c r="M123" s="437"/>
      <c r="N123" s="437"/>
      <c r="O123" s="437"/>
      <c r="P123" s="438"/>
      <c r="Q123" s="438"/>
      <c r="R123" s="438"/>
      <c r="S123" s="438"/>
      <c r="T123" s="437"/>
      <c r="U123" s="437"/>
      <c r="V123" s="437"/>
      <c r="W123" s="437"/>
      <c r="X123" s="437"/>
      <c r="Y123" s="437"/>
      <c r="Z123" s="437"/>
    </row>
    <row r="124" spans="1:26" ht="15.75" customHeight="1">
      <c r="A124" t="s">
        <v>1334</v>
      </c>
      <c r="B124" t="s">
        <v>1360</v>
      </c>
      <c r="C124" t="s">
        <v>1365</v>
      </c>
      <c r="D124" s="516">
        <v>38500</v>
      </c>
      <c r="E124" t="s">
        <v>589</v>
      </c>
      <c r="F124" s="514">
        <v>-190627.25</v>
      </c>
      <c r="G124" s="514">
        <v>-54170.86</v>
      </c>
      <c r="H124" s="437" t="str">
        <f>VLOOKUP(D124,'COA LTD'!A:F,3,0)</f>
        <v>BS</v>
      </c>
      <c r="I124" s="437" t="str">
        <f>VLOOKUP(D124,'COA LTD'!A:F,4,0)</f>
        <v>Employees payables</v>
      </c>
      <c r="J124" s="437">
        <f>VLOOKUP(D124,'COA LTD'!A:F,5,0)</f>
        <v>0</v>
      </c>
      <c r="K124" s="439">
        <f t="shared" si="0"/>
        <v>3.5189998829629068</v>
      </c>
      <c r="L124" s="437"/>
      <c r="M124" s="437"/>
      <c r="N124" s="437"/>
      <c r="O124" s="437"/>
      <c r="P124" s="438"/>
      <c r="Q124" s="438"/>
      <c r="R124" s="438"/>
      <c r="S124" s="438"/>
      <c r="T124" s="437"/>
      <c r="U124" s="437"/>
      <c r="V124" s="437"/>
      <c r="W124" s="437"/>
      <c r="X124" s="437"/>
      <c r="Y124" s="437"/>
      <c r="Z124" s="437"/>
    </row>
    <row r="125" spans="1:26" ht="15.75" customHeight="1">
      <c r="A125" t="s">
        <v>1334</v>
      </c>
      <c r="B125" t="s">
        <v>1360</v>
      </c>
      <c r="C125" t="s">
        <v>1366</v>
      </c>
      <c r="D125" s="516">
        <v>38600</v>
      </c>
      <c r="E125" t="s">
        <v>590</v>
      </c>
      <c r="F125" s="514">
        <v>-6303051</v>
      </c>
      <c r="G125" s="514">
        <v>-1791148.34</v>
      </c>
      <c r="H125" s="667" t="str">
        <f>VLOOKUP(D125,'COA LTD'!A:F,3,0)</f>
        <v>BS</v>
      </c>
      <c r="I125" s="437" t="str">
        <f>VLOOKUP(D125,'COA LTD'!A:F,4,0)</f>
        <v>Employees payables</v>
      </c>
      <c r="J125" s="437">
        <f>VLOOKUP(D125,'COA LTD'!A:F,5,0)</f>
        <v>0</v>
      </c>
      <c r="K125" s="439">
        <f t="shared" si="0"/>
        <v>3.518999995276773</v>
      </c>
      <c r="L125" s="437"/>
      <c r="M125" s="437"/>
      <c r="N125" s="437"/>
      <c r="O125" s="437"/>
      <c r="P125" s="438"/>
      <c r="Q125" s="438"/>
      <c r="R125" s="438"/>
      <c r="S125" s="438"/>
      <c r="T125" s="437"/>
      <c r="U125" s="437"/>
      <c r="V125" s="437"/>
      <c r="W125" s="437"/>
      <c r="X125" s="437"/>
      <c r="Y125" s="437"/>
      <c r="Z125" s="437"/>
    </row>
    <row r="126" spans="1:26" ht="15.75" customHeight="1">
      <c r="A126" t="s">
        <v>1334</v>
      </c>
      <c r="B126" t="s">
        <v>1360</v>
      </c>
      <c r="C126" t="s">
        <v>1366</v>
      </c>
      <c r="D126" s="516">
        <v>38602</v>
      </c>
      <c r="E126" t="s">
        <v>1032</v>
      </c>
      <c r="F126" s="514">
        <v>-3652718.49</v>
      </c>
      <c r="G126" s="514">
        <v>-1037999.02</v>
      </c>
      <c r="H126" s="437" t="str">
        <f>VLOOKUP(D126,'COA LTD'!A:F,3,0)</f>
        <v>BS</v>
      </c>
      <c r="I126" s="437" t="str">
        <f>VLOOKUP(D126,'COA LTD'!A:F,4,0)</f>
        <v>Employees payables</v>
      </c>
      <c r="J126" s="437">
        <f>VLOOKUP(D126,'COA LTD'!A:F,5,0)</f>
        <v>0</v>
      </c>
      <c r="K126" s="439">
        <f t="shared" si="0"/>
        <v>3.5189999408669963</v>
      </c>
      <c r="L126" s="437"/>
      <c r="M126" s="437"/>
      <c r="N126" s="437"/>
      <c r="O126" s="437"/>
      <c r="P126" s="438"/>
      <c r="Q126" s="438"/>
      <c r="R126" s="438"/>
      <c r="S126" s="438"/>
      <c r="T126" s="437"/>
      <c r="U126" s="437"/>
      <c r="V126" s="437"/>
      <c r="W126" s="437"/>
      <c r="X126" s="437"/>
      <c r="Y126" s="437"/>
      <c r="Z126" s="437"/>
    </row>
    <row r="127" spans="1:26" ht="15.75" customHeight="1">
      <c r="A127" t="s">
        <v>1334</v>
      </c>
      <c r="B127" t="s">
        <v>1367</v>
      </c>
      <c r="C127" t="s">
        <v>1368</v>
      </c>
      <c r="D127" s="516">
        <v>39000</v>
      </c>
      <c r="E127" t="s">
        <v>591</v>
      </c>
      <c r="F127" s="514">
        <v>7144376.96</v>
      </c>
      <c r="G127" s="514">
        <v>2030229.32</v>
      </c>
      <c r="H127" s="437" t="str">
        <f>VLOOKUP(D127,'COA LTD'!A:F,3,0)</f>
        <v>BS</v>
      </c>
      <c r="I127" s="437" t="str">
        <f>VLOOKUP(D127,'COA LTD'!A:F,4,0)</f>
        <v>Deferred tax assets</v>
      </c>
      <c r="J127" s="437">
        <f>VLOOKUP(D127,'COA LTD'!A:F,5,0)</f>
        <v>0</v>
      </c>
      <c r="K127" s="439">
        <f t="shared" si="0"/>
        <v>3.5189999915871573</v>
      </c>
      <c r="L127" s="437"/>
      <c r="M127" s="437"/>
      <c r="N127" s="437"/>
      <c r="O127" s="437"/>
      <c r="P127" s="438"/>
      <c r="Q127" s="438"/>
      <c r="R127" s="438"/>
      <c r="S127" s="438"/>
      <c r="T127" s="437"/>
      <c r="U127" s="437"/>
      <c r="V127" s="437"/>
      <c r="W127" s="437"/>
      <c r="X127" s="437"/>
      <c r="Y127" s="437"/>
      <c r="Z127" s="437"/>
    </row>
    <row r="128" spans="1:26" ht="15.75" customHeight="1">
      <c r="A128" t="s">
        <v>1369</v>
      </c>
      <c r="B128" t="s">
        <v>1370</v>
      </c>
      <c r="C128" t="s">
        <v>1371</v>
      </c>
      <c r="D128" s="516">
        <v>50000</v>
      </c>
      <c r="E128" t="s">
        <v>423</v>
      </c>
      <c r="F128" s="514">
        <v>-2327.5300000000002</v>
      </c>
      <c r="G128" s="514">
        <v>-662.94</v>
      </c>
      <c r="H128" s="437" t="str">
        <f>VLOOKUP(D128,'COA LTD'!A:F,3,0)</f>
        <v>BS</v>
      </c>
      <c r="I128" s="437" t="str">
        <f>VLOOKUP(D128,'COA LTD'!A:F,4,0)</f>
        <v>Share capital - Ordinary Shares</v>
      </c>
      <c r="J128" s="437">
        <f>VLOOKUP(D128,'COA LTD'!A:F,5,0)</f>
        <v>0</v>
      </c>
      <c r="K128" s="439">
        <f t="shared" si="0"/>
        <v>3.5109210486620208</v>
      </c>
      <c r="L128" s="437"/>
      <c r="M128" s="437"/>
      <c r="N128" s="437"/>
      <c r="O128" s="437"/>
      <c r="P128" s="438"/>
      <c r="Q128" s="438"/>
      <c r="R128" s="438"/>
      <c r="S128" s="438"/>
      <c r="T128" s="437"/>
      <c r="U128" s="437"/>
      <c r="V128" s="437"/>
      <c r="W128" s="437"/>
      <c r="X128" s="437"/>
      <c r="Y128" s="437"/>
      <c r="Z128" s="437"/>
    </row>
    <row r="129" spans="1:26" ht="15.75" customHeight="1">
      <c r="A129" t="s">
        <v>1369</v>
      </c>
      <c r="B129" t="s">
        <v>1370</v>
      </c>
      <c r="C129" t="s">
        <v>1371</v>
      </c>
      <c r="D129" s="516">
        <v>50001</v>
      </c>
      <c r="E129" t="s">
        <v>139</v>
      </c>
      <c r="F129" s="514">
        <v>-651</v>
      </c>
      <c r="G129" s="514">
        <v>-191</v>
      </c>
      <c r="H129" s="437" t="str">
        <f>VLOOKUP(D129,'COA LTD'!A:F,3,0)</f>
        <v>BS</v>
      </c>
      <c r="I129" s="437" t="str">
        <f>VLOOKUP(D129,'COA LTD'!A:F,4,0)</f>
        <v>Share capital - Preferred Seed-1</v>
      </c>
      <c r="J129" s="437">
        <f>VLOOKUP(D129,'COA LTD'!A:F,5,0)</f>
        <v>0</v>
      </c>
      <c r="K129" s="439">
        <f t="shared" si="0"/>
        <v>3.4083769633507854</v>
      </c>
      <c r="L129" s="437"/>
      <c r="M129" s="437"/>
      <c r="N129" s="437"/>
      <c r="O129" s="437"/>
      <c r="P129" s="438"/>
      <c r="Q129" s="438"/>
      <c r="R129" s="438"/>
      <c r="S129" s="438"/>
      <c r="T129" s="437"/>
      <c r="U129" s="437"/>
      <c r="V129" s="437"/>
      <c r="W129" s="437"/>
      <c r="X129" s="437"/>
      <c r="Y129" s="437"/>
      <c r="Z129" s="437"/>
    </row>
    <row r="130" spans="1:26" ht="15.75" customHeight="1">
      <c r="A130" t="s">
        <v>1369</v>
      </c>
      <c r="B130" t="s">
        <v>1370</v>
      </c>
      <c r="C130" t="s">
        <v>1371</v>
      </c>
      <c r="D130" s="516">
        <v>50002</v>
      </c>
      <c r="E130" t="s">
        <v>141</v>
      </c>
      <c r="F130" s="514">
        <v>-169.46</v>
      </c>
      <c r="G130" s="514">
        <v>-49.24</v>
      </c>
      <c r="H130" s="437" t="str">
        <f>VLOOKUP(D130,'COA LTD'!A:F,3,0)</f>
        <v>BS</v>
      </c>
      <c r="I130" s="437" t="str">
        <f>VLOOKUP(D130,'COA LTD'!A:F,4,0)</f>
        <v>Share capital - Preferred Seed</v>
      </c>
      <c r="J130" s="437">
        <f>VLOOKUP(D130,'COA LTD'!A:F,5,0)</f>
        <v>0</v>
      </c>
      <c r="K130" s="439">
        <f t="shared" si="0"/>
        <v>3.4415109666937451</v>
      </c>
      <c r="L130" s="437"/>
      <c r="M130" s="437"/>
      <c r="N130" s="437"/>
      <c r="O130" s="437"/>
      <c r="P130" s="438"/>
      <c r="Q130" s="438"/>
      <c r="R130" s="438"/>
      <c r="S130" s="438"/>
      <c r="T130" s="437"/>
      <c r="U130" s="437"/>
      <c r="V130" s="437"/>
      <c r="W130" s="437"/>
      <c r="X130" s="437"/>
      <c r="Y130" s="437"/>
      <c r="Z130" s="437"/>
    </row>
    <row r="131" spans="1:26" ht="15.75" customHeight="1">
      <c r="A131" t="s">
        <v>1369</v>
      </c>
      <c r="B131" t="s">
        <v>1370</v>
      </c>
      <c r="C131" t="s">
        <v>1371</v>
      </c>
      <c r="D131" s="516">
        <v>50003</v>
      </c>
      <c r="E131" t="s">
        <v>136</v>
      </c>
      <c r="F131" s="514">
        <v>-89.49</v>
      </c>
      <c r="G131" s="514">
        <v>-27.28</v>
      </c>
      <c r="H131" s="437" t="str">
        <f>VLOOKUP(D131,'COA LTD'!A:F,3,0)</f>
        <v>BS</v>
      </c>
      <c r="I131" s="437" t="str">
        <f>VLOOKUP(D131,'COA LTD'!A:F,4,0)</f>
        <v>Share capital - Ordinary Shares</v>
      </c>
      <c r="J131" s="437">
        <f>VLOOKUP(D131,'COA LTD'!A:F,5,0)</f>
        <v>0</v>
      </c>
      <c r="K131" s="439">
        <f t="shared" si="0"/>
        <v>3.2804252199413488</v>
      </c>
      <c r="L131" s="437"/>
      <c r="M131" s="437"/>
      <c r="N131" s="437"/>
      <c r="O131" s="437"/>
      <c r="P131" s="438"/>
      <c r="Q131" s="438"/>
      <c r="R131" s="438"/>
      <c r="S131" s="438"/>
      <c r="T131" s="437"/>
      <c r="U131" s="437"/>
      <c r="V131" s="437"/>
      <c r="W131" s="437"/>
      <c r="X131" s="437"/>
      <c r="Y131" s="437"/>
      <c r="Z131" s="437"/>
    </row>
    <row r="132" spans="1:26" ht="15.75" customHeight="1">
      <c r="A132" t="s">
        <v>1369</v>
      </c>
      <c r="B132" t="s">
        <v>1372</v>
      </c>
      <c r="C132" t="s">
        <v>1373</v>
      </c>
      <c r="D132" s="516">
        <v>51000</v>
      </c>
      <c r="E132" t="s">
        <v>112</v>
      </c>
      <c r="F132" s="514">
        <v>-2017140.3</v>
      </c>
      <c r="G132" s="514">
        <v>-599982.25</v>
      </c>
      <c r="H132" s="437" t="str">
        <f>VLOOKUP(D132,'COA LTD'!A:F,3,0)</f>
        <v>BS</v>
      </c>
      <c r="I132" s="437" t="str">
        <f>VLOOKUP(D132,'COA LTD'!A:F,4,0)</f>
        <v>Share premium</v>
      </c>
      <c r="J132" s="437">
        <f>VLOOKUP(D132,'COA LTD'!A:F,5,0)</f>
        <v>0</v>
      </c>
      <c r="K132" s="439">
        <f t="shared" si="0"/>
        <v>3.3619999591654586</v>
      </c>
      <c r="L132" s="437"/>
      <c r="M132" s="437"/>
      <c r="N132" s="437"/>
      <c r="O132" s="437"/>
      <c r="P132" s="438"/>
      <c r="Q132" s="438"/>
      <c r="R132" s="438"/>
      <c r="S132" s="438"/>
      <c r="T132" s="437"/>
      <c r="U132" s="437"/>
      <c r="V132" s="437"/>
      <c r="W132" s="437"/>
      <c r="X132" s="437"/>
      <c r="Y132" s="437"/>
      <c r="Z132" s="437"/>
    </row>
    <row r="133" spans="1:26" ht="15.75" customHeight="1">
      <c r="A133" t="s">
        <v>1369</v>
      </c>
      <c r="B133" t="s">
        <v>1372</v>
      </c>
      <c r="C133" t="s">
        <v>1373</v>
      </c>
      <c r="D133" s="516">
        <v>51001</v>
      </c>
      <c r="E133" t="s">
        <v>114</v>
      </c>
      <c r="F133" s="514">
        <v>-9520690.6400000006</v>
      </c>
      <c r="G133" s="514">
        <v>-2799732.89</v>
      </c>
      <c r="H133" s="437" t="str">
        <f>VLOOKUP(D133,'COA LTD'!A:F,3,0)</f>
        <v>BS</v>
      </c>
      <c r="I133" s="437" t="str">
        <f>VLOOKUP(D133,'COA LTD'!A:F,4,0)</f>
        <v>Share premium</v>
      </c>
      <c r="J133" s="437">
        <f>VLOOKUP(D133,'COA LTD'!A:F,5,0)</f>
        <v>0</v>
      </c>
      <c r="K133" s="439">
        <f t="shared" si="0"/>
        <v>3.4005710594770346</v>
      </c>
      <c r="L133" s="437"/>
      <c r="M133" s="437"/>
      <c r="N133" s="437"/>
      <c r="O133" s="437"/>
      <c r="P133" s="438"/>
      <c r="Q133" s="438"/>
      <c r="R133" s="438"/>
      <c r="S133" s="438"/>
      <c r="T133" s="437"/>
      <c r="U133" s="437"/>
      <c r="V133" s="437"/>
      <c r="W133" s="437"/>
      <c r="X133" s="437"/>
      <c r="Y133" s="437"/>
      <c r="Z133" s="437"/>
    </row>
    <row r="134" spans="1:26" ht="15.75" customHeight="1">
      <c r="A134" t="s">
        <v>1369</v>
      </c>
      <c r="B134" t="s">
        <v>1372</v>
      </c>
      <c r="C134" t="s">
        <v>1373</v>
      </c>
      <c r="D134" s="516">
        <v>51002</v>
      </c>
      <c r="E134" t="s">
        <v>115</v>
      </c>
      <c r="F134" s="514">
        <v>-305068.14</v>
      </c>
      <c r="G134" s="514">
        <v>-89582.01</v>
      </c>
      <c r="H134" s="437" t="str">
        <f>VLOOKUP(D134,'COA LTD'!A:F,3,0)</f>
        <v>BS</v>
      </c>
      <c r="I134" s="437" t="str">
        <f>VLOOKUP(D134,'COA LTD'!A:F,4,0)</f>
        <v>Share premium</v>
      </c>
      <c r="J134" s="437">
        <f>VLOOKUP(D134,'COA LTD'!A:F,5,0)</f>
        <v>0</v>
      </c>
      <c r="K134" s="439">
        <f t="shared" si="0"/>
        <v>3.4054621011517829</v>
      </c>
      <c r="L134" s="437"/>
      <c r="M134" s="437"/>
      <c r="N134" s="437"/>
      <c r="O134" s="437"/>
      <c r="P134" s="438"/>
      <c r="Q134" s="438"/>
      <c r="R134" s="438"/>
      <c r="S134" s="438"/>
      <c r="T134" s="437"/>
      <c r="U134" s="437"/>
      <c r="V134" s="437"/>
      <c r="W134" s="437"/>
      <c r="X134" s="437"/>
      <c r="Y134" s="437"/>
      <c r="Z134" s="437"/>
    </row>
    <row r="135" spans="1:26" ht="15.75" customHeight="1">
      <c r="A135" t="s">
        <v>1369</v>
      </c>
      <c r="B135" t="s">
        <v>1372</v>
      </c>
      <c r="C135" t="s">
        <v>1373</v>
      </c>
      <c r="D135" s="516">
        <v>51003</v>
      </c>
      <c r="E135" t="s">
        <v>116</v>
      </c>
      <c r="F135" s="514">
        <v>-152555.51</v>
      </c>
      <c r="G135" s="514">
        <v>-44796.29</v>
      </c>
      <c r="H135" s="437" t="str">
        <f>VLOOKUP(D135,'COA LTD'!A:F,3,0)</f>
        <v>BS</v>
      </c>
      <c r="I135" s="437" t="str">
        <f>VLOOKUP(D135,'COA LTD'!A:F,4,0)</f>
        <v>Share premium</v>
      </c>
      <c r="J135" s="437">
        <f>VLOOKUP(D135,'COA LTD'!A:F,5,0)</f>
        <v>0</v>
      </c>
      <c r="K135" s="439">
        <f t="shared" si="0"/>
        <v>3.4055389408363954</v>
      </c>
      <c r="L135" s="437"/>
      <c r="M135" s="437"/>
      <c r="N135" s="437"/>
      <c r="O135" s="437"/>
      <c r="P135" s="438"/>
      <c r="Q135" s="438"/>
      <c r="R135" s="438"/>
      <c r="S135" s="438"/>
      <c r="T135" s="437"/>
      <c r="U135" s="437"/>
      <c r="V135" s="437"/>
      <c r="W135" s="437"/>
      <c r="X135" s="437"/>
      <c r="Y135" s="437"/>
      <c r="Z135" s="437"/>
    </row>
    <row r="136" spans="1:26" ht="15.75" customHeight="1">
      <c r="A136" t="s">
        <v>1369</v>
      </c>
      <c r="B136" t="s">
        <v>1372</v>
      </c>
      <c r="C136" t="s">
        <v>1373</v>
      </c>
      <c r="D136" s="516">
        <v>51004</v>
      </c>
      <c r="E136" t="s">
        <v>117</v>
      </c>
      <c r="F136" s="514">
        <v>-52931.57</v>
      </c>
      <c r="G136" s="514">
        <v>-15552.02</v>
      </c>
      <c r="H136" s="437" t="str">
        <f>VLOOKUP(D136,'COA LTD'!A:F,3,0)</f>
        <v>BS</v>
      </c>
      <c r="I136" s="437" t="str">
        <f>VLOOKUP(D136,'COA LTD'!A:F,4,0)</f>
        <v>Share premium</v>
      </c>
      <c r="J136" s="437">
        <f>VLOOKUP(D136,'COA LTD'!A:F,5,0)</f>
        <v>0</v>
      </c>
      <c r="K136" s="439">
        <f t="shared" si="0"/>
        <v>3.4035173565877614</v>
      </c>
      <c r="L136" s="437"/>
      <c r="M136" s="437"/>
      <c r="N136" s="437"/>
      <c r="O136" s="437"/>
      <c r="P136" s="438"/>
      <c r="Q136" s="438"/>
      <c r="R136" s="438"/>
      <c r="S136" s="438"/>
      <c r="T136" s="437"/>
      <c r="U136" s="437"/>
      <c r="V136" s="437"/>
      <c r="W136" s="437"/>
      <c r="X136" s="437"/>
      <c r="Y136" s="437"/>
      <c r="Z136" s="437"/>
    </row>
    <row r="137" spans="1:26" ht="15.75" customHeight="1">
      <c r="A137" t="s">
        <v>1369</v>
      </c>
      <c r="B137" t="s">
        <v>1372</v>
      </c>
      <c r="C137" t="s">
        <v>1373</v>
      </c>
      <c r="D137" s="516">
        <v>51005</v>
      </c>
      <c r="E137" t="s">
        <v>118</v>
      </c>
      <c r="F137" s="514">
        <v>-48278.01</v>
      </c>
      <c r="G137" s="514">
        <v>-14167.44</v>
      </c>
      <c r="H137" s="437" t="str">
        <f>VLOOKUP(D137,'COA LTD'!A:F,3,0)</f>
        <v>BS</v>
      </c>
      <c r="I137" s="437" t="str">
        <f>VLOOKUP(D137,'COA LTD'!A:F,4,0)</f>
        <v>Share premium</v>
      </c>
      <c r="J137" s="437">
        <f>VLOOKUP(D137,'COA LTD'!A:F,5,0)</f>
        <v>0</v>
      </c>
      <c r="K137" s="439">
        <f t="shared" si="0"/>
        <v>3.4076735105283666</v>
      </c>
      <c r="L137" s="437"/>
      <c r="M137" s="437"/>
      <c r="N137" s="437"/>
      <c r="O137" s="437"/>
      <c r="P137" s="438"/>
      <c r="Q137" s="438"/>
      <c r="R137" s="438"/>
      <c r="S137" s="438"/>
      <c r="T137" s="437"/>
      <c r="U137" s="437"/>
      <c r="V137" s="437"/>
      <c r="W137" s="437"/>
      <c r="X137" s="437"/>
      <c r="Y137" s="437"/>
      <c r="Z137" s="437"/>
    </row>
    <row r="138" spans="1:26" ht="15.75" customHeight="1">
      <c r="A138" t="s">
        <v>1369</v>
      </c>
      <c r="B138" t="s">
        <v>1372</v>
      </c>
      <c r="C138" t="s">
        <v>1373</v>
      </c>
      <c r="D138" s="516">
        <v>51006</v>
      </c>
      <c r="E138" t="s">
        <v>119</v>
      </c>
      <c r="F138" s="514">
        <v>-152555.51</v>
      </c>
      <c r="G138" s="514">
        <v>-44796.29</v>
      </c>
      <c r="H138" s="437" t="str">
        <f>VLOOKUP(D138,'COA LTD'!A:F,3,0)</f>
        <v>BS</v>
      </c>
      <c r="I138" s="437" t="str">
        <f>VLOOKUP(D138,'COA LTD'!A:F,4,0)</f>
        <v>Share premium</v>
      </c>
      <c r="J138" s="437">
        <f>VLOOKUP(D138,'COA LTD'!A:F,5,0)</f>
        <v>0</v>
      </c>
      <c r="K138" s="439">
        <f t="shared" si="0"/>
        <v>3.4055389408363954</v>
      </c>
      <c r="L138" s="437"/>
      <c r="M138" s="437"/>
      <c r="N138" s="437"/>
      <c r="O138" s="437"/>
      <c r="P138" s="438"/>
      <c r="Q138" s="438"/>
      <c r="R138" s="438"/>
      <c r="S138" s="438"/>
      <c r="T138" s="437"/>
      <c r="U138" s="437"/>
      <c r="V138" s="437"/>
      <c r="W138" s="437"/>
      <c r="X138" s="437"/>
      <c r="Y138" s="437"/>
      <c r="Z138" s="437"/>
    </row>
    <row r="139" spans="1:26" ht="15.75" customHeight="1">
      <c r="A139" t="s">
        <v>1369</v>
      </c>
      <c r="B139" t="s">
        <v>1372</v>
      </c>
      <c r="C139" t="s">
        <v>1373</v>
      </c>
      <c r="D139" s="516">
        <v>51007</v>
      </c>
      <c r="E139" t="s">
        <v>120</v>
      </c>
      <c r="F139" s="514">
        <v>-152533.71</v>
      </c>
      <c r="G139" s="514">
        <v>-44790.51</v>
      </c>
      <c r="H139" s="437" t="str">
        <f>VLOOKUP(D139,'COA LTD'!A:F,3,0)</f>
        <v>BS</v>
      </c>
      <c r="I139" s="437" t="str">
        <f>VLOOKUP(D139,'COA LTD'!A:F,4,0)</f>
        <v>Share premium</v>
      </c>
      <c r="J139" s="437">
        <f>VLOOKUP(D139,'COA LTD'!A:F,5,0)</f>
        <v>0</v>
      </c>
      <c r="K139" s="439">
        <f t="shared" si="0"/>
        <v>3.4054916990228508</v>
      </c>
      <c r="L139" s="437"/>
      <c r="M139" s="437"/>
      <c r="N139" s="437"/>
      <c r="O139" s="437"/>
      <c r="P139" s="438"/>
      <c r="Q139" s="438"/>
      <c r="R139" s="438"/>
      <c r="S139" s="438"/>
      <c r="T139" s="437"/>
      <c r="U139" s="437"/>
      <c r="V139" s="437"/>
      <c r="W139" s="437"/>
      <c r="X139" s="437"/>
      <c r="Y139" s="437"/>
      <c r="Z139" s="437"/>
    </row>
    <row r="140" spans="1:26" ht="15.75" customHeight="1">
      <c r="A140" t="s">
        <v>1369</v>
      </c>
      <c r="B140" t="s">
        <v>1372</v>
      </c>
      <c r="C140" t="s">
        <v>1373</v>
      </c>
      <c r="D140" s="516">
        <v>51008</v>
      </c>
      <c r="E140" t="s">
        <v>121</v>
      </c>
      <c r="F140" s="514">
        <v>-152524.14000000001</v>
      </c>
      <c r="G140" s="514">
        <v>-44790.51</v>
      </c>
      <c r="H140" s="437" t="str">
        <f>VLOOKUP(D140,'COA LTD'!A:F,3,0)</f>
        <v>BS</v>
      </c>
      <c r="I140" s="437" t="str">
        <f>VLOOKUP(D140,'COA LTD'!A:F,4,0)</f>
        <v>Share premium</v>
      </c>
      <c r="J140" s="437">
        <f>VLOOKUP(D140,'COA LTD'!A:F,5,0)</f>
        <v>0</v>
      </c>
      <c r="K140" s="439">
        <f t="shared" si="0"/>
        <v>3.4052780376914664</v>
      </c>
      <c r="L140" s="437"/>
      <c r="M140" s="437"/>
      <c r="N140" s="437"/>
      <c r="O140" s="437"/>
      <c r="P140" s="438"/>
      <c r="Q140" s="438"/>
      <c r="R140" s="438"/>
      <c r="S140" s="438"/>
      <c r="T140" s="437"/>
      <c r="U140" s="437"/>
      <c r="V140" s="437"/>
      <c r="W140" s="437"/>
      <c r="X140" s="437"/>
      <c r="Y140" s="437"/>
      <c r="Z140" s="437"/>
    </row>
    <row r="141" spans="1:26" ht="15.75" customHeight="1">
      <c r="A141" t="s">
        <v>1369</v>
      </c>
      <c r="B141" t="s">
        <v>1372</v>
      </c>
      <c r="C141" t="s">
        <v>1373</v>
      </c>
      <c r="D141" s="516">
        <v>51009</v>
      </c>
      <c r="E141" t="s">
        <v>122</v>
      </c>
      <c r="F141" s="514">
        <v>-2011925.42</v>
      </c>
      <c r="G141" s="514">
        <v>-599982.25</v>
      </c>
      <c r="H141" s="437" t="str">
        <f>VLOOKUP(D141,'COA LTD'!A:F,3,0)</f>
        <v>BS</v>
      </c>
      <c r="I141" s="437" t="str">
        <f>VLOOKUP(D141,'COA LTD'!A:F,4,0)</f>
        <v>Share premium</v>
      </c>
      <c r="J141" s="437">
        <f>VLOOKUP(D141,'COA LTD'!A:F,5,0)</f>
        <v>0</v>
      </c>
      <c r="K141" s="439">
        <f t="shared" si="0"/>
        <v>3.3533082353686297</v>
      </c>
      <c r="L141" s="437"/>
      <c r="M141" s="437"/>
      <c r="N141" s="437"/>
      <c r="O141" s="437"/>
      <c r="P141" s="438"/>
      <c r="Q141" s="438"/>
      <c r="R141" s="438"/>
      <c r="S141" s="438"/>
      <c r="T141" s="437"/>
      <c r="U141" s="437"/>
      <c r="V141" s="437"/>
      <c r="W141" s="437"/>
      <c r="X141" s="437"/>
      <c r="Y141" s="437"/>
      <c r="Z141" s="437"/>
    </row>
    <row r="142" spans="1:26" ht="15.75" customHeight="1">
      <c r="A142" t="s">
        <v>1369</v>
      </c>
      <c r="B142" t="s">
        <v>1372</v>
      </c>
      <c r="C142" t="s">
        <v>1373</v>
      </c>
      <c r="D142" s="516">
        <v>51010</v>
      </c>
      <c r="E142" t="s">
        <v>123</v>
      </c>
      <c r="F142" s="514">
        <v>-168391.4</v>
      </c>
      <c r="G142" s="514">
        <v>-50086.58</v>
      </c>
      <c r="H142" s="437" t="str">
        <f>VLOOKUP(D142,'COA LTD'!A:F,3,0)</f>
        <v>BS</v>
      </c>
      <c r="I142" s="437" t="str">
        <f>VLOOKUP(D142,'COA LTD'!A:F,4,0)</f>
        <v>Share premium</v>
      </c>
      <c r="J142" s="437">
        <f>VLOOKUP(D142,'COA LTD'!A:F,5,0)</f>
        <v>0</v>
      </c>
      <c r="K142" s="439">
        <f t="shared" si="0"/>
        <v>3.3620063498046782</v>
      </c>
      <c r="L142" s="437"/>
      <c r="M142" s="437"/>
      <c r="N142" s="437"/>
      <c r="O142" s="437"/>
      <c r="P142" s="438"/>
      <c r="Q142" s="438"/>
      <c r="R142" s="438"/>
      <c r="S142" s="438"/>
      <c r="T142" s="437"/>
      <c r="U142" s="437"/>
      <c r="V142" s="437"/>
      <c r="W142" s="437"/>
      <c r="X142" s="437"/>
      <c r="Y142" s="437"/>
      <c r="Z142" s="437"/>
    </row>
    <row r="143" spans="1:26" ht="15.75" customHeight="1">
      <c r="A143" t="s">
        <v>1369</v>
      </c>
      <c r="B143" t="s">
        <v>1372</v>
      </c>
      <c r="C143" t="s">
        <v>1373</v>
      </c>
      <c r="D143" s="516">
        <v>51011</v>
      </c>
      <c r="E143" t="s">
        <v>124</v>
      </c>
      <c r="F143" s="514">
        <v>-2178379.84</v>
      </c>
      <c r="G143" s="514">
        <v>-650068.81999999995</v>
      </c>
      <c r="H143" s="437" t="str">
        <f>VLOOKUP(D143,'COA LTD'!A:F,3,0)</f>
        <v>BS</v>
      </c>
      <c r="I143" s="437" t="str">
        <f>VLOOKUP(D143,'COA LTD'!A:F,4,0)</f>
        <v>Share premium</v>
      </c>
      <c r="J143" s="437">
        <f>VLOOKUP(D143,'COA LTD'!A:F,5,0)</f>
        <v>0</v>
      </c>
      <c r="K143" s="439">
        <f t="shared" si="0"/>
        <v>3.3509988065571275</v>
      </c>
      <c r="L143" s="437"/>
      <c r="M143" s="437"/>
      <c r="N143" s="437"/>
      <c r="O143" s="437"/>
      <c r="P143" s="438"/>
      <c r="Q143" s="438"/>
      <c r="R143" s="438"/>
      <c r="S143" s="438"/>
      <c r="T143" s="437"/>
      <c r="U143" s="437"/>
      <c r="V143" s="437"/>
      <c r="W143" s="437"/>
      <c r="X143" s="437"/>
      <c r="Y143" s="437"/>
      <c r="Z143" s="437"/>
    </row>
    <row r="144" spans="1:26" ht="15.75" customHeight="1">
      <c r="A144" t="s">
        <v>1369</v>
      </c>
      <c r="B144" t="s">
        <v>1372</v>
      </c>
      <c r="C144" t="s">
        <v>1373</v>
      </c>
      <c r="D144" s="516">
        <v>51012</v>
      </c>
      <c r="E144" t="s">
        <v>125</v>
      </c>
      <c r="F144" s="514">
        <v>-335971.35</v>
      </c>
      <c r="G144" s="514">
        <v>-99961.83</v>
      </c>
      <c r="H144" s="437" t="str">
        <f>VLOOKUP(D144,'COA LTD'!A:F,3,0)</f>
        <v>BS</v>
      </c>
      <c r="I144" s="437" t="str">
        <f>VLOOKUP(D144,'COA LTD'!A:F,4,0)</f>
        <v>Share premium</v>
      </c>
      <c r="J144" s="437">
        <f>VLOOKUP(D144,'COA LTD'!A:F,5,0)</f>
        <v>0</v>
      </c>
      <c r="K144" s="439">
        <f t="shared" si="0"/>
        <v>3.3609963923229493</v>
      </c>
      <c r="L144" s="437"/>
      <c r="M144" s="437"/>
      <c r="N144" s="437"/>
      <c r="O144" s="437"/>
      <c r="P144" s="438"/>
      <c r="Q144" s="438"/>
      <c r="R144" s="438"/>
      <c r="S144" s="438"/>
      <c r="T144" s="437"/>
      <c r="U144" s="437"/>
      <c r="V144" s="437"/>
      <c r="W144" s="437"/>
      <c r="X144" s="437"/>
      <c r="Y144" s="437"/>
      <c r="Z144" s="437"/>
    </row>
    <row r="145" spans="1:26" ht="15.75" customHeight="1">
      <c r="A145" t="s">
        <v>1369</v>
      </c>
      <c r="B145" t="s">
        <v>1372</v>
      </c>
      <c r="C145" t="s">
        <v>1373</v>
      </c>
      <c r="D145" s="516">
        <v>51013</v>
      </c>
      <c r="E145" t="s">
        <v>126</v>
      </c>
      <c r="F145" s="514">
        <v>-1519426.68</v>
      </c>
      <c r="G145" s="514">
        <v>-449933.85</v>
      </c>
      <c r="H145" s="437" t="str">
        <f>VLOOKUP(D145,'COA LTD'!A:F,3,0)</f>
        <v>BS</v>
      </c>
      <c r="I145" s="437" t="str">
        <f>VLOOKUP(D145,'COA LTD'!A:F,4,0)</f>
        <v>Share premium</v>
      </c>
      <c r="J145" s="437">
        <f>VLOOKUP(D145,'COA LTD'!A:F,5,0)</f>
        <v>0</v>
      </c>
      <c r="K145" s="439">
        <f t="shared" si="0"/>
        <v>3.3770001523557296</v>
      </c>
      <c r="L145" s="437"/>
      <c r="M145" s="437"/>
      <c r="N145" s="437"/>
      <c r="O145" s="437"/>
      <c r="P145" s="438"/>
      <c r="Q145" s="438"/>
      <c r="R145" s="438"/>
      <c r="S145" s="438"/>
      <c r="T145" s="437"/>
      <c r="U145" s="437"/>
      <c r="V145" s="437"/>
      <c r="W145" s="437"/>
      <c r="X145" s="437"/>
      <c r="Y145" s="437"/>
      <c r="Z145" s="437"/>
    </row>
    <row r="146" spans="1:26" ht="15.75" customHeight="1">
      <c r="A146" t="s">
        <v>1369</v>
      </c>
      <c r="B146" t="s">
        <v>1372</v>
      </c>
      <c r="C146" t="s">
        <v>1373</v>
      </c>
      <c r="D146" s="516">
        <v>51014</v>
      </c>
      <c r="E146" t="s">
        <v>127</v>
      </c>
      <c r="F146" s="514">
        <v>-335971.35</v>
      </c>
      <c r="G146" s="514">
        <v>-99961.65</v>
      </c>
      <c r="H146" s="437" t="str">
        <f>VLOOKUP(D146,'COA LTD'!A:F,3,0)</f>
        <v>BS</v>
      </c>
      <c r="I146" s="437" t="str">
        <f>VLOOKUP(D146,'COA LTD'!A:F,4,0)</f>
        <v>Share premium</v>
      </c>
      <c r="J146" s="437">
        <f>VLOOKUP(D146,'COA LTD'!A:F,5,0)</f>
        <v>0</v>
      </c>
      <c r="K146" s="439">
        <f t="shared" si="0"/>
        <v>3.3610024444374416</v>
      </c>
      <c r="L146" s="437"/>
      <c r="M146" s="437"/>
      <c r="N146" s="437"/>
      <c r="O146" s="437"/>
      <c r="P146" s="438"/>
      <c r="Q146" s="438"/>
      <c r="R146" s="438"/>
      <c r="S146" s="438"/>
      <c r="T146" s="437"/>
      <c r="U146" s="437"/>
      <c r="V146" s="437"/>
      <c r="W146" s="437"/>
      <c r="X146" s="437"/>
      <c r="Y146" s="437"/>
      <c r="Z146" s="437"/>
    </row>
    <row r="147" spans="1:26" ht="15.75" customHeight="1">
      <c r="A147" t="s">
        <v>1369</v>
      </c>
      <c r="B147" t="s">
        <v>1372</v>
      </c>
      <c r="C147" t="s">
        <v>1373</v>
      </c>
      <c r="D147" s="516">
        <v>51015</v>
      </c>
      <c r="E147" t="s">
        <v>128</v>
      </c>
      <c r="F147" s="514">
        <v>-112059.91</v>
      </c>
      <c r="G147" s="514">
        <v>-33391.050000000003</v>
      </c>
      <c r="H147" s="437" t="str">
        <f>VLOOKUP(D147,'COA LTD'!A:F,3,0)</f>
        <v>BS</v>
      </c>
      <c r="I147" s="437" t="str">
        <f>VLOOKUP(D147,'COA LTD'!A:F,4,0)</f>
        <v>Share premium</v>
      </c>
      <c r="J147" s="437">
        <f>VLOOKUP(D147,'COA LTD'!A:F,5,0)</f>
        <v>0</v>
      </c>
      <c r="K147" s="439">
        <f t="shared" si="0"/>
        <v>3.3559864095318952</v>
      </c>
      <c r="L147" s="437"/>
      <c r="M147" s="437"/>
      <c r="N147" s="437"/>
      <c r="O147" s="437"/>
      <c r="P147" s="438"/>
      <c r="Q147" s="438"/>
      <c r="R147" s="438"/>
      <c r="S147" s="438"/>
      <c r="T147" s="437"/>
      <c r="U147" s="437"/>
      <c r="V147" s="437"/>
      <c r="W147" s="437"/>
      <c r="X147" s="437"/>
      <c r="Y147" s="437"/>
      <c r="Z147" s="437"/>
    </row>
    <row r="148" spans="1:26" ht="15.75" customHeight="1">
      <c r="A148" t="s">
        <v>1369</v>
      </c>
      <c r="B148" t="s">
        <v>1372</v>
      </c>
      <c r="C148" t="s">
        <v>1373</v>
      </c>
      <c r="D148" s="516">
        <v>51016</v>
      </c>
      <c r="E148" t="s">
        <v>129</v>
      </c>
      <c r="F148" s="514">
        <v>-112260.26</v>
      </c>
      <c r="G148" s="514">
        <v>-33391.050000000003</v>
      </c>
      <c r="H148" s="437" t="str">
        <f>VLOOKUP(D148,'COA LTD'!A:F,3,0)</f>
        <v>BS</v>
      </c>
      <c r="I148" s="437" t="str">
        <f>VLOOKUP(D148,'COA LTD'!A:F,4,0)</f>
        <v>Share premium</v>
      </c>
      <c r="J148" s="437">
        <f>VLOOKUP(D148,'COA LTD'!A:F,5,0)</f>
        <v>0</v>
      </c>
      <c r="K148" s="439">
        <f t="shared" si="0"/>
        <v>3.361986520340031</v>
      </c>
      <c r="L148" s="437"/>
      <c r="M148" s="437"/>
      <c r="N148" s="437"/>
      <c r="O148" s="437"/>
      <c r="P148" s="438"/>
      <c r="Q148" s="438"/>
      <c r="R148" s="438"/>
      <c r="S148" s="438"/>
      <c r="T148" s="437"/>
      <c r="U148" s="437"/>
      <c r="V148" s="437"/>
      <c r="W148" s="437"/>
      <c r="X148" s="437"/>
      <c r="Y148" s="437"/>
      <c r="Z148" s="437"/>
    </row>
    <row r="149" spans="1:26" ht="15.75" customHeight="1">
      <c r="A149" t="s">
        <v>1369</v>
      </c>
      <c r="B149" t="s">
        <v>1372</v>
      </c>
      <c r="C149" t="s">
        <v>1373</v>
      </c>
      <c r="D149" s="516">
        <v>51017</v>
      </c>
      <c r="E149" t="s">
        <v>130</v>
      </c>
      <c r="F149" s="514">
        <v>-112226.87</v>
      </c>
      <c r="G149" s="514">
        <v>-33391.14</v>
      </c>
      <c r="H149" s="437" t="str">
        <f>VLOOKUP(D149,'COA LTD'!A:F,3,0)</f>
        <v>BS</v>
      </c>
      <c r="I149" s="437" t="str">
        <f>VLOOKUP(D149,'COA LTD'!A:F,4,0)</f>
        <v>Share premium</v>
      </c>
      <c r="J149" s="437">
        <f>VLOOKUP(D149,'COA LTD'!A:F,5,0)</f>
        <v>0</v>
      </c>
      <c r="K149" s="439">
        <f t="shared" si="0"/>
        <v>3.3609774928319309</v>
      </c>
      <c r="L149" s="437"/>
      <c r="M149" s="437"/>
      <c r="N149" s="437"/>
      <c r="O149" s="437"/>
      <c r="P149" s="438"/>
      <c r="Q149" s="438"/>
      <c r="R149" s="438"/>
      <c r="S149" s="438"/>
      <c r="T149" s="437"/>
      <c r="U149" s="437"/>
      <c r="V149" s="437"/>
      <c r="W149" s="437"/>
      <c r="X149" s="437"/>
      <c r="Y149" s="437"/>
      <c r="Z149" s="437"/>
    </row>
    <row r="150" spans="1:26" ht="15.75" customHeight="1">
      <c r="A150" t="s">
        <v>1369</v>
      </c>
      <c r="B150" t="s">
        <v>1372</v>
      </c>
      <c r="C150" t="s">
        <v>1373</v>
      </c>
      <c r="D150" s="516">
        <v>51018</v>
      </c>
      <c r="E150" t="s">
        <v>131</v>
      </c>
      <c r="F150" s="514">
        <v>-169575.28</v>
      </c>
      <c r="G150" s="514">
        <v>-49984.41</v>
      </c>
      <c r="H150" s="437" t="str">
        <f>VLOOKUP(D150,'COA LTD'!A:F,3,0)</f>
        <v>BS</v>
      </c>
      <c r="I150" s="437" t="str">
        <f>VLOOKUP(D150,'COA LTD'!A:F,4,0)</f>
        <v>Share premium</v>
      </c>
      <c r="J150" s="437">
        <f>VLOOKUP(D150,'COA LTD'!A:F,5,0)</f>
        <v>0</v>
      </c>
      <c r="K150" s="439">
        <f t="shared" si="0"/>
        <v>3.3925634012685153</v>
      </c>
      <c r="L150" s="437"/>
      <c r="M150" s="437"/>
      <c r="N150" s="437"/>
      <c r="O150" s="437"/>
      <c r="P150" s="438"/>
      <c r="Q150" s="438"/>
      <c r="R150" s="438"/>
      <c r="S150" s="438"/>
      <c r="T150" s="437"/>
      <c r="U150" s="437"/>
      <c r="V150" s="437"/>
      <c r="W150" s="437"/>
      <c r="X150" s="437"/>
      <c r="Y150" s="437"/>
      <c r="Z150" s="437"/>
    </row>
    <row r="151" spans="1:26" ht="15.75" customHeight="1">
      <c r="A151" t="s">
        <v>1369</v>
      </c>
      <c r="B151" t="s">
        <v>1372</v>
      </c>
      <c r="C151" t="s">
        <v>1373</v>
      </c>
      <c r="D151" s="516">
        <v>51019</v>
      </c>
      <c r="E151" t="s">
        <v>132</v>
      </c>
      <c r="F151" s="514">
        <v>-169576.28</v>
      </c>
      <c r="G151" s="514">
        <v>-49984.41</v>
      </c>
      <c r="H151" s="437" t="str">
        <f>VLOOKUP(D151,'COA LTD'!A:F,3,0)</f>
        <v>BS</v>
      </c>
      <c r="I151" s="437" t="str">
        <f>VLOOKUP(D151,'COA LTD'!A:F,4,0)</f>
        <v>Share premium</v>
      </c>
      <c r="J151" s="437">
        <f>VLOOKUP(D151,'COA LTD'!A:F,5,0)</f>
        <v>0</v>
      </c>
      <c r="K151" s="439">
        <f t="shared" si="0"/>
        <v>3.3925834075064603</v>
      </c>
      <c r="L151" s="437"/>
      <c r="M151" s="437"/>
      <c r="N151" s="437"/>
      <c r="O151" s="437"/>
      <c r="P151" s="438"/>
      <c r="Q151" s="438"/>
      <c r="R151" s="438"/>
      <c r="S151" s="438"/>
      <c r="T151" s="437"/>
      <c r="U151" s="437"/>
      <c r="V151" s="437"/>
      <c r="W151" s="437"/>
      <c r="X151" s="437"/>
      <c r="Y151" s="437"/>
      <c r="Z151" s="437"/>
    </row>
    <row r="152" spans="1:26" ht="15.75" customHeight="1">
      <c r="A152" t="s">
        <v>1369</v>
      </c>
      <c r="B152" t="s">
        <v>1372</v>
      </c>
      <c r="C152" t="s">
        <v>1373</v>
      </c>
      <c r="D152" s="516">
        <v>51020</v>
      </c>
      <c r="E152" t="s">
        <v>133</v>
      </c>
      <c r="F152" s="514">
        <v>-452396.12</v>
      </c>
      <c r="G152" s="514">
        <v>-133332.62</v>
      </c>
      <c r="H152" s="437" t="str">
        <f>VLOOKUP(D152,'COA LTD'!A:F,3,0)</f>
        <v>BS</v>
      </c>
      <c r="I152" s="437" t="str">
        <f>VLOOKUP(D152,'COA LTD'!A:F,4,0)</f>
        <v>Share premium</v>
      </c>
      <c r="J152" s="437">
        <f>VLOOKUP(D152,'COA LTD'!A:F,5,0)</f>
        <v>0</v>
      </c>
      <c r="K152" s="439">
        <f t="shared" si="0"/>
        <v>3.3929890524914308</v>
      </c>
      <c r="L152" s="437"/>
      <c r="M152" s="437"/>
      <c r="N152" s="437"/>
      <c r="O152" s="437"/>
      <c r="P152" s="438"/>
      <c r="Q152" s="438"/>
      <c r="R152" s="438"/>
      <c r="S152" s="438"/>
      <c r="T152" s="437"/>
      <c r="U152" s="437"/>
      <c r="V152" s="437"/>
      <c r="W152" s="437"/>
      <c r="X152" s="437"/>
      <c r="Y152" s="437"/>
      <c r="Z152" s="437"/>
    </row>
    <row r="153" spans="1:26" ht="15.75" customHeight="1">
      <c r="A153" t="s">
        <v>1369</v>
      </c>
      <c r="B153" t="s">
        <v>1372</v>
      </c>
      <c r="C153" t="s">
        <v>1373</v>
      </c>
      <c r="D153" s="516">
        <v>51021</v>
      </c>
      <c r="E153" t="s">
        <v>134</v>
      </c>
      <c r="F153" s="514">
        <v>-452416.12</v>
      </c>
      <c r="G153" s="514">
        <v>-133332.62</v>
      </c>
      <c r="H153" s="437" t="str">
        <f>VLOOKUP(D153,'COA LTD'!A:F,3,0)</f>
        <v>BS</v>
      </c>
      <c r="I153" s="437" t="str">
        <f>VLOOKUP(D153,'COA LTD'!A:F,4,0)</f>
        <v>Share premium</v>
      </c>
      <c r="J153" s="437">
        <f>VLOOKUP(D153,'COA LTD'!A:F,5,0)</f>
        <v>0</v>
      </c>
      <c r="K153" s="439">
        <f t="shared" si="0"/>
        <v>3.3931390532939352</v>
      </c>
      <c r="L153" s="437"/>
      <c r="M153" s="437"/>
      <c r="N153" s="437"/>
      <c r="O153" s="437"/>
      <c r="P153" s="438"/>
      <c r="Q153" s="438"/>
      <c r="R153" s="438"/>
      <c r="S153" s="438"/>
      <c r="T153" s="437"/>
      <c r="U153" s="437"/>
      <c r="V153" s="437"/>
      <c r="W153" s="437"/>
      <c r="X153" s="437"/>
      <c r="Y153" s="437"/>
      <c r="Z153" s="437"/>
    </row>
    <row r="154" spans="1:26" ht="15.75" customHeight="1">
      <c r="A154" t="s">
        <v>1369</v>
      </c>
      <c r="B154" t="s">
        <v>1372</v>
      </c>
      <c r="C154" t="s">
        <v>1373</v>
      </c>
      <c r="D154" s="516">
        <v>51022</v>
      </c>
      <c r="E154" t="s">
        <v>135</v>
      </c>
      <c r="F154" s="514">
        <v>-452416.12</v>
      </c>
      <c r="G154" s="514">
        <v>-133332.62</v>
      </c>
      <c r="H154" s="437" t="str">
        <f>VLOOKUP(D154,'COA LTD'!A:F,3,0)</f>
        <v>BS</v>
      </c>
      <c r="I154" s="437" t="str">
        <f>VLOOKUP(D154,'COA LTD'!A:F,4,0)</f>
        <v>Share premium</v>
      </c>
      <c r="J154" s="437">
        <f>VLOOKUP(D154,'COA LTD'!A:F,5,0)</f>
        <v>0</v>
      </c>
      <c r="K154" s="439">
        <f t="shared" si="0"/>
        <v>3.3931390532939352</v>
      </c>
      <c r="L154" s="437"/>
      <c r="M154" s="437"/>
      <c r="N154" s="437"/>
      <c r="O154" s="437"/>
      <c r="P154" s="438"/>
      <c r="Q154" s="438"/>
      <c r="R154" s="438"/>
      <c r="S154" s="438"/>
      <c r="T154" s="437"/>
      <c r="U154" s="437"/>
      <c r="V154" s="437"/>
      <c r="W154" s="437"/>
      <c r="X154" s="437"/>
      <c r="Y154" s="437"/>
      <c r="Z154" s="437"/>
    </row>
    <row r="155" spans="1:26" ht="15.75" customHeight="1">
      <c r="A155" t="s">
        <v>1369</v>
      </c>
      <c r="B155" t="s">
        <v>1372</v>
      </c>
      <c r="C155" t="s">
        <v>1374</v>
      </c>
      <c r="D155" s="516">
        <v>51100</v>
      </c>
      <c r="E155" t="s">
        <v>140</v>
      </c>
      <c r="F155" s="514">
        <v>-6624113.4900000002</v>
      </c>
      <c r="G155" s="514">
        <v>-2035260.36</v>
      </c>
      <c r="H155" s="437" t="str">
        <f>VLOOKUP(D155,'COA LTD'!A:F,3,0)</f>
        <v>BS</v>
      </c>
      <c r="I155" s="437" t="str">
        <f>VLOOKUP(D155,'COA LTD'!A:F,4,0)</f>
        <v>Share premium</v>
      </c>
      <c r="J155" s="437">
        <f>VLOOKUP(D155,'COA LTD'!A:F,5,0)</f>
        <v>0</v>
      </c>
      <c r="K155" s="439">
        <f t="shared" si="0"/>
        <v>3.2546762174447301</v>
      </c>
      <c r="L155" s="437"/>
      <c r="M155" s="437"/>
      <c r="N155" s="437"/>
      <c r="O155" s="437"/>
      <c r="P155" s="438"/>
      <c r="Q155" s="438"/>
      <c r="R155" s="438"/>
      <c r="S155" s="438"/>
      <c r="T155" s="437"/>
      <c r="U155" s="437"/>
      <c r="V155" s="437"/>
      <c r="W155" s="437"/>
      <c r="X155" s="437"/>
      <c r="Y155" s="437"/>
      <c r="Z155" s="437"/>
    </row>
    <row r="156" spans="1:26" ht="15.75" customHeight="1">
      <c r="A156" t="s">
        <v>1369</v>
      </c>
      <c r="B156" t="s">
        <v>1372</v>
      </c>
      <c r="C156" t="s">
        <v>1375</v>
      </c>
      <c r="D156" s="516">
        <v>51200</v>
      </c>
      <c r="E156" t="s">
        <v>595</v>
      </c>
      <c r="F156" s="514">
        <v>-2026355.96</v>
      </c>
      <c r="G156" s="514">
        <v>-534905.12</v>
      </c>
      <c r="H156" s="437" t="str">
        <f>VLOOKUP(D156,'COA LTD'!A:F,3,0)</f>
        <v>BS</v>
      </c>
      <c r="I156" s="437" t="str">
        <f>VLOOKUP(D156,'COA LTD'!A:F,4,0)</f>
        <v>Share premium</v>
      </c>
      <c r="J156" s="437">
        <f>VLOOKUP(D156,'COA LTD'!A:F,5,0)</f>
        <v>0</v>
      </c>
      <c r="K156" s="439">
        <f t="shared" si="0"/>
        <v>3.7882530643939245</v>
      </c>
      <c r="L156" s="437"/>
      <c r="M156" s="437"/>
      <c r="N156" s="437"/>
      <c r="O156" s="437"/>
      <c r="P156" s="438"/>
      <c r="Q156" s="438"/>
      <c r="R156" s="438"/>
      <c r="S156" s="438"/>
      <c r="T156" s="437"/>
      <c r="U156" s="437"/>
      <c r="V156" s="437"/>
      <c r="W156" s="437"/>
      <c r="X156" s="437"/>
      <c r="Y156" s="437"/>
      <c r="Z156" s="437"/>
    </row>
    <row r="157" spans="1:26" ht="15.75" customHeight="1">
      <c r="A157" t="s">
        <v>1369</v>
      </c>
      <c r="B157" t="s">
        <v>1376</v>
      </c>
      <c r="C157" t="s">
        <v>1377</v>
      </c>
      <c r="D157" s="516">
        <v>53000</v>
      </c>
      <c r="E157" t="s">
        <v>596</v>
      </c>
      <c r="F157" s="514">
        <v>68761.850000000006</v>
      </c>
      <c r="G157" s="514">
        <v>20062.34</v>
      </c>
      <c r="H157" s="437" t="str">
        <f>VLOOKUP(D157,'COA LTD'!A:F,3,0)</f>
        <v>BS</v>
      </c>
      <c r="I157" s="437" t="str">
        <f>VLOOKUP(D157,'COA LTD'!A:F,4,0)</f>
        <v>Other accounts receivable</v>
      </c>
      <c r="J157" s="437">
        <f>VLOOKUP(D157,'COA LTD'!A:F,5,0)</f>
        <v>0</v>
      </c>
      <c r="K157" s="439">
        <f t="shared" si="0"/>
        <v>3.4274092653199979</v>
      </c>
      <c r="L157" s="437"/>
      <c r="M157" s="437"/>
      <c r="N157" s="437"/>
      <c r="O157" s="437"/>
      <c r="P157" s="438"/>
      <c r="Q157" s="438"/>
      <c r="R157" s="438"/>
      <c r="S157" s="438"/>
      <c r="T157" s="437"/>
      <c r="U157" s="437"/>
      <c r="V157" s="437"/>
      <c r="W157" s="437"/>
      <c r="X157" s="437"/>
      <c r="Y157" s="437"/>
      <c r="Z157" s="437"/>
    </row>
    <row r="158" spans="1:26" ht="15.75" customHeight="1">
      <c r="A158" t="s">
        <v>1369</v>
      </c>
      <c r="B158" t="s">
        <v>1378</v>
      </c>
      <c r="C158" t="s">
        <v>1379</v>
      </c>
      <c r="D158" s="516">
        <v>54000</v>
      </c>
      <c r="E158" t="s">
        <v>1645</v>
      </c>
      <c r="F158" s="514">
        <v>-10468187.57</v>
      </c>
      <c r="G158" s="514">
        <v>-4082936.56</v>
      </c>
      <c r="H158" s="437" t="str">
        <f>VLOOKUP(D158,'COA LTD'!A:F,3,0)</f>
        <v>BS</v>
      </c>
      <c r="I158" s="437" t="str">
        <f>VLOOKUP(D158,'COA LTD'!A:F,4,0)</f>
        <v>Accumulated deficit</v>
      </c>
      <c r="J158" s="437">
        <f>VLOOKUP(D158,'COA LTD'!A:F,5,0)</f>
        <v>0</v>
      </c>
      <c r="K158" s="439">
        <f t="shared" si="0"/>
        <v>2.5638869025190045</v>
      </c>
      <c r="L158" s="437"/>
      <c r="M158" s="437"/>
      <c r="N158" s="437"/>
      <c r="O158" s="437"/>
      <c r="P158" s="438"/>
      <c r="Q158" s="438"/>
      <c r="R158" s="438"/>
      <c r="S158" s="438"/>
      <c r="T158" s="437"/>
      <c r="U158" s="437"/>
      <c r="V158" s="437"/>
      <c r="W158" s="437"/>
      <c r="X158" s="437"/>
      <c r="Y158" s="437"/>
      <c r="Z158" s="437"/>
    </row>
    <row r="159" spans="1:26" ht="15.75" customHeight="1">
      <c r="A159" t="s">
        <v>1380</v>
      </c>
      <c r="B159" t="s">
        <v>1381</v>
      </c>
      <c r="C159" t="s">
        <v>1382</v>
      </c>
      <c r="D159" s="516">
        <v>60202000</v>
      </c>
      <c r="E159" t="s">
        <v>597</v>
      </c>
      <c r="F159" s="514">
        <v>-269242377.49000001</v>
      </c>
      <c r="G159" s="776">
        <v>-80067188.010000005</v>
      </c>
      <c r="H159" s="437" t="str">
        <f>VLOOKUP(D159,'COA LTD'!A:F,3,0)</f>
        <v>PL</v>
      </c>
      <c r="I159" s="437" t="str">
        <f>VLOOKUP(D159,'COA LTD'!A:F,4,0)</f>
        <v>Revenues</v>
      </c>
      <c r="J159" s="437" t="str">
        <f>VLOOKUP(D159,'COA LTD'!A:F,5,0)</f>
        <v>Revenues</v>
      </c>
      <c r="K159" s="439">
        <f t="shared" si="0"/>
        <v>3.3627055499485374</v>
      </c>
      <c r="L159" s="437"/>
      <c r="M159" s="437"/>
      <c r="N159" s="437"/>
      <c r="O159" s="437"/>
      <c r="P159" s="438"/>
      <c r="Q159" s="438"/>
      <c r="R159" s="438"/>
      <c r="S159" s="438"/>
      <c r="T159" s="437"/>
      <c r="U159" s="437"/>
      <c r="V159" s="437"/>
      <c r="W159" s="437"/>
      <c r="X159" s="437"/>
      <c r="Y159" s="437"/>
      <c r="Z159" s="437"/>
    </row>
    <row r="160" spans="1:26" ht="15.75" customHeight="1">
      <c r="A160" t="s">
        <v>1380</v>
      </c>
      <c r="B160" t="s">
        <v>1381</v>
      </c>
      <c r="C160" t="s">
        <v>1382</v>
      </c>
      <c r="D160" s="516">
        <v>60202007</v>
      </c>
      <c r="E160" t="s">
        <v>598</v>
      </c>
      <c r="F160" s="514">
        <v>-104385769.42</v>
      </c>
      <c r="G160" s="776">
        <v>-32102278.489999998</v>
      </c>
      <c r="H160" s="437" t="str">
        <f>VLOOKUP(D160,'COA LTD'!A:F,3,0)</f>
        <v>PL</v>
      </c>
      <c r="I160" s="437" t="str">
        <f>VLOOKUP(D160,'COA LTD'!A:F,4,0)</f>
        <v>Revenues</v>
      </c>
      <c r="J160" s="437" t="str">
        <f>VLOOKUP(D160,'COA LTD'!A:F,5,0)</f>
        <v>Revenues</v>
      </c>
      <c r="K160" s="439">
        <f t="shared" si="0"/>
        <v>3.2516623221157537</v>
      </c>
      <c r="L160" s="437"/>
      <c r="M160" s="437"/>
      <c r="N160" s="437"/>
      <c r="O160" s="437"/>
      <c r="P160" s="438"/>
      <c r="Q160" s="438"/>
      <c r="R160" s="438"/>
      <c r="S160" s="438"/>
      <c r="T160" s="437"/>
      <c r="U160" s="437"/>
      <c r="V160" s="437"/>
      <c r="W160" s="437"/>
      <c r="X160" s="437"/>
      <c r="Y160" s="437"/>
      <c r="Z160" s="437"/>
    </row>
    <row r="161" spans="1:26" ht="15.75" customHeight="1">
      <c r="A161" t="s">
        <v>1380</v>
      </c>
      <c r="B161" t="s">
        <v>1381</v>
      </c>
      <c r="C161" t="s">
        <v>1382</v>
      </c>
      <c r="D161" s="516">
        <v>60202009</v>
      </c>
      <c r="E161" t="s">
        <v>599</v>
      </c>
      <c r="F161" s="514">
        <v>-270385973.56</v>
      </c>
      <c r="G161" s="776">
        <v>-78658591.260000005</v>
      </c>
      <c r="H161" s="437" t="str">
        <f>VLOOKUP(D161,'COA LTD'!A:F,3,0)</f>
        <v>PL</v>
      </c>
      <c r="I161" s="437" t="str">
        <f>VLOOKUP(D161,'COA LTD'!A:F,4,0)</f>
        <v>Revenues</v>
      </c>
      <c r="J161" s="437" t="str">
        <f>VLOOKUP(D161,'COA LTD'!A:F,5,0)</f>
        <v>Revenues</v>
      </c>
      <c r="K161" s="439">
        <f t="shared" si="0"/>
        <v>3.4374627008798018</v>
      </c>
      <c r="L161" s="437"/>
      <c r="M161" s="437"/>
      <c r="N161" s="437"/>
      <c r="O161" s="437"/>
      <c r="P161" s="438"/>
      <c r="Q161" s="438"/>
      <c r="R161" s="438"/>
      <c r="S161" s="438"/>
      <c r="T161" s="437"/>
      <c r="U161" s="437"/>
      <c r="V161" s="437"/>
      <c r="W161" s="437"/>
      <c r="X161" s="437"/>
      <c r="Y161" s="437"/>
      <c r="Z161" s="437"/>
    </row>
    <row r="162" spans="1:26" ht="15.75" customHeight="1">
      <c r="A162" t="s">
        <v>1380</v>
      </c>
      <c r="B162" t="s">
        <v>1381</v>
      </c>
      <c r="C162" t="s">
        <v>1382</v>
      </c>
      <c r="D162" s="516">
        <v>60202016</v>
      </c>
      <c r="E162" t="s">
        <v>600</v>
      </c>
      <c r="F162" s="514">
        <v>-462398394.82999998</v>
      </c>
      <c r="G162" s="776">
        <v>-136768008.77000001</v>
      </c>
      <c r="H162" s="437" t="str">
        <f>VLOOKUP(D162,'COA LTD'!A:F,3,0)</f>
        <v>PL</v>
      </c>
      <c r="I162" s="437" t="str">
        <f>VLOOKUP(D162,'COA LTD'!A:F,4,0)</f>
        <v>Revenues</v>
      </c>
      <c r="J162" s="437" t="str">
        <f>VLOOKUP(D162,'COA LTD'!A:F,5,0)</f>
        <v>Revenues</v>
      </c>
      <c r="K162" s="439">
        <f t="shared" si="0"/>
        <v>3.3808958614554809</v>
      </c>
      <c r="L162" s="437"/>
      <c r="M162" s="437"/>
      <c r="N162" s="437"/>
      <c r="O162" s="437"/>
      <c r="P162" s="438"/>
      <c r="Q162" s="438"/>
      <c r="R162" s="438"/>
      <c r="S162" s="438"/>
      <c r="T162" s="437"/>
      <c r="U162" s="437"/>
      <c r="V162" s="437"/>
      <c r="W162" s="437"/>
      <c r="X162" s="437"/>
      <c r="Y162" s="437"/>
      <c r="Z162" s="437"/>
    </row>
    <row r="163" spans="1:26" ht="15.75" customHeight="1">
      <c r="A163" t="s">
        <v>1380</v>
      </c>
      <c r="B163" t="s">
        <v>1381</v>
      </c>
      <c r="C163" t="s">
        <v>1382</v>
      </c>
      <c r="D163" s="516">
        <v>60202023</v>
      </c>
      <c r="E163" t="s">
        <v>601</v>
      </c>
      <c r="F163" s="514">
        <v>-83035296.290000007</v>
      </c>
      <c r="G163" s="776">
        <v>-24386981.960000001</v>
      </c>
      <c r="H163" s="437" t="str">
        <f>VLOOKUP(D163,'COA LTD'!A:F,3,0)</f>
        <v>PL</v>
      </c>
      <c r="I163" s="437" t="str">
        <f>VLOOKUP(D163,'COA LTD'!A:F,4,0)</f>
        <v>Revenues</v>
      </c>
      <c r="J163" s="437" t="str">
        <f>VLOOKUP(D163,'COA LTD'!A:F,5,0)</f>
        <v>Revenues</v>
      </c>
      <c r="K163" s="439">
        <f t="shared" si="0"/>
        <v>3.4049025183270363</v>
      </c>
      <c r="L163" s="437"/>
      <c r="M163" s="437"/>
      <c r="N163" s="437"/>
      <c r="O163" s="437"/>
      <c r="P163" s="438"/>
      <c r="Q163" s="438"/>
      <c r="R163" s="438"/>
      <c r="S163" s="438"/>
      <c r="T163" s="437"/>
      <c r="U163" s="437"/>
      <c r="V163" s="437"/>
      <c r="W163" s="437"/>
      <c r="X163" s="437"/>
      <c r="Y163" s="437"/>
      <c r="Z163" s="437"/>
    </row>
    <row r="164" spans="1:26" ht="15.75" customHeight="1">
      <c r="A164" t="s">
        <v>1380</v>
      </c>
      <c r="B164" t="s">
        <v>1381</v>
      </c>
      <c r="C164" t="s">
        <v>1382</v>
      </c>
      <c r="D164" s="516">
        <v>60202101</v>
      </c>
      <c r="E164" t="s">
        <v>602</v>
      </c>
      <c r="F164" s="514">
        <v>-865809.94</v>
      </c>
      <c r="G164" s="776">
        <v>-254013.85</v>
      </c>
      <c r="H164" s="437" t="str">
        <f>VLOOKUP(D164,'COA LTD'!A:F,3,0)</f>
        <v>PL</v>
      </c>
      <c r="I164" s="437" t="str">
        <f>VLOOKUP(D164,'COA LTD'!A:F,4,0)</f>
        <v>Revenues</v>
      </c>
      <c r="J164" s="437" t="str">
        <f>VLOOKUP(D164,'COA LTD'!A:F,5,0)</f>
        <v>Revenues</v>
      </c>
      <c r="K164" s="439">
        <f t="shared" si="0"/>
        <v>3.4085146931948787</v>
      </c>
      <c r="L164" s="437"/>
      <c r="M164" s="437"/>
      <c r="N164" s="437"/>
      <c r="O164" s="437"/>
      <c r="P164" s="438"/>
      <c r="Q164" s="438"/>
      <c r="R164" s="438"/>
      <c r="S164" s="438"/>
      <c r="T164" s="437"/>
      <c r="U164" s="437"/>
      <c r="V164" s="437"/>
      <c r="W164" s="437"/>
      <c r="X164" s="437"/>
      <c r="Y164" s="437"/>
      <c r="Z164" s="437"/>
    </row>
    <row r="165" spans="1:26" ht="15.75" customHeight="1">
      <c r="A165" t="s">
        <v>1380</v>
      </c>
      <c r="B165" t="s">
        <v>1381</v>
      </c>
      <c r="C165" t="s">
        <v>1383</v>
      </c>
      <c r="D165" s="516">
        <v>60202094</v>
      </c>
      <c r="E165" t="s">
        <v>603</v>
      </c>
      <c r="F165" s="514">
        <v>-4888521.3099999996</v>
      </c>
      <c r="G165" s="776">
        <v>-1463375.61</v>
      </c>
      <c r="H165" s="437" t="str">
        <f>VLOOKUP(D165,'COA LTD'!A:F,3,0)</f>
        <v>PL</v>
      </c>
      <c r="I165" s="437" t="str">
        <f>VLOOKUP(D165,'COA LTD'!A:F,4,0)</f>
        <v>Revenues</v>
      </c>
      <c r="J165" s="437" t="str">
        <f>VLOOKUP(D165,'COA LTD'!A:F,5,0)</f>
        <v xml:space="preserve">ads revenue </v>
      </c>
      <c r="K165" s="439">
        <f t="shared" si="0"/>
        <v>3.3405786433737266</v>
      </c>
      <c r="L165" s="437"/>
      <c r="M165" s="437"/>
      <c r="N165" s="437"/>
      <c r="O165" s="437"/>
      <c r="P165" s="438"/>
      <c r="Q165" s="438"/>
      <c r="R165" s="438"/>
      <c r="S165" s="438"/>
      <c r="T165" s="437"/>
      <c r="U165" s="437"/>
      <c r="V165" s="437"/>
      <c r="W165" s="437"/>
      <c r="X165" s="437"/>
      <c r="Y165" s="437"/>
      <c r="Z165" s="437"/>
    </row>
    <row r="166" spans="1:26" ht="15.75" customHeight="1">
      <c r="A166" t="s">
        <v>1380</v>
      </c>
      <c r="B166" t="s">
        <v>1381</v>
      </c>
      <c r="C166" t="s">
        <v>1383</v>
      </c>
      <c r="D166" s="516">
        <v>60202095</v>
      </c>
      <c r="E166" t="s">
        <v>604</v>
      </c>
      <c r="F166" s="514">
        <v>-3635210.33</v>
      </c>
      <c r="G166" s="776">
        <v>-1079404.8700000001</v>
      </c>
      <c r="H166" s="437" t="str">
        <f>VLOOKUP(D166,'COA LTD'!A:F,3,0)</f>
        <v>PL</v>
      </c>
      <c r="I166" s="437" t="str">
        <f>VLOOKUP(D166,'COA LTD'!A:F,4,0)</f>
        <v>Revenues</v>
      </c>
      <c r="J166" s="437" t="str">
        <f>VLOOKUP(D166,'COA LTD'!A:F,5,0)</f>
        <v xml:space="preserve">ads revenue </v>
      </c>
      <c r="K166" s="439">
        <f t="shared" si="0"/>
        <v>3.3677912996631187</v>
      </c>
      <c r="L166" s="437"/>
      <c r="M166" s="437"/>
      <c r="N166" s="437"/>
      <c r="O166" s="437"/>
      <c r="P166" s="438"/>
      <c r="Q166" s="438"/>
      <c r="R166" s="438"/>
      <c r="S166" s="438"/>
      <c r="T166" s="437"/>
      <c r="U166" s="437"/>
      <c r="V166" s="437"/>
      <c r="W166" s="437"/>
      <c r="X166" s="437"/>
      <c r="Y166" s="437"/>
      <c r="Z166" s="437"/>
    </row>
    <row r="167" spans="1:26" ht="15.75" customHeight="1">
      <c r="A167" t="s">
        <v>1380</v>
      </c>
      <c r="B167" t="s">
        <v>1381</v>
      </c>
      <c r="C167" t="s">
        <v>1383</v>
      </c>
      <c r="D167" s="516">
        <v>60202097</v>
      </c>
      <c r="E167" t="s">
        <v>605</v>
      </c>
      <c r="F167" s="514">
        <v>16699482.02</v>
      </c>
      <c r="G167" s="776">
        <v>4931358.47</v>
      </c>
      <c r="H167" s="437" t="str">
        <f>VLOOKUP(D167,'COA LTD'!A:F,3,0)</f>
        <v>PL</v>
      </c>
      <c r="I167" s="437" t="str">
        <f>VLOOKUP(D167,'COA LTD'!A:F,4,0)</f>
        <v>Revenues</v>
      </c>
      <c r="J167" s="437" t="str">
        <f>VLOOKUP(D167,'COA LTD'!A:F,5,0)</f>
        <v xml:space="preserve">Net cash </v>
      </c>
      <c r="K167" s="439">
        <f t="shared" si="0"/>
        <v>3.3863857437238791</v>
      </c>
      <c r="L167" s="437"/>
      <c r="M167" s="437"/>
      <c r="N167" s="437"/>
      <c r="O167" s="437"/>
      <c r="P167" s="438"/>
      <c r="Q167" s="438"/>
      <c r="R167" s="438"/>
      <c r="S167" s="438"/>
      <c r="T167" s="437"/>
      <c r="U167" s="437"/>
      <c r="V167" s="437"/>
      <c r="W167" s="437"/>
      <c r="X167" s="437"/>
      <c r="Y167" s="437"/>
      <c r="Z167" s="437"/>
    </row>
    <row r="168" spans="1:26" ht="15.75" customHeight="1">
      <c r="A168" t="s">
        <v>1380</v>
      </c>
      <c r="B168" t="s">
        <v>1381</v>
      </c>
      <c r="C168" t="s">
        <v>1383</v>
      </c>
      <c r="D168" s="516">
        <v>60202098</v>
      </c>
      <c r="E168" t="s">
        <v>606</v>
      </c>
      <c r="F168" s="514">
        <v>587701294.47000003</v>
      </c>
      <c r="G168" s="776">
        <v>172907085.34</v>
      </c>
      <c r="H168" s="437" t="str">
        <f>VLOOKUP(D168,'COA LTD'!A:F,3,0)</f>
        <v>PL</v>
      </c>
      <c r="I168" s="437" t="str">
        <f>VLOOKUP(D168,'COA LTD'!A:F,4,0)</f>
        <v>Revenues</v>
      </c>
      <c r="J168" s="437" t="str">
        <f>VLOOKUP(D168,'COA LTD'!A:F,5,0)</f>
        <v>Revenues</v>
      </c>
      <c r="K168" s="439">
        <f t="shared" si="0"/>
        <v>3.3989428097429291</v>
      </c>
      <c r="L168" s="437"/>
      <c r="M168" s="437"/>
      <c r="N168" s="437"/>
      <c r="O168" s="437"/>
      <c r="P168" s="438"/>
      <c r="Q168" s="438"/>
      <c r="R168" s="438"/>
      <c r="S168" s="438"/>
      <c r="T168" s="437"/>
      <c r="U168" s="437"/>
      <c r="V168" s="437"/>
      <c r="W168" s="437"/>
      <c r="X168" s="437"/>
      <c r="Y168" s="437"/>
      <c r="Z168" s="437"/>
    </row>
    <row r="169" spans="1:26" ht="15.75" customHeight="1">
      <c r="A169" t="s">
        <v>1380</v>
      </c>
      <c r="B169" t="s">
        <v>1381</v>
      </c>
      <c r="C169" t="s">
        <v>1383</v>
      </c>
      <c r="D169" s="516">
        <v>60202099</v>
      </c>
      <c r="E169" t="s">
        <v>607</v>
      </c>
      <c r="F169" s="514">
        <v>-587701294.47000003</v>
      </c>
      <c r="G169" s="776">
        <v>-172907085.34</v>
      </c>
      <c r="H169" s="437" t="str">
        <f>VLOOKUP(D169,'COA LTD'!A:F,3,0)</f>
        <v>PL</v>
      </c>
      <c r="I169" s="437" t="str">
        <f>VLOOKUP(D169,'COA LTD'!A:F,4,0)</f>
        <v>Revenues</v>
      </c>
      <c r="J169" s="437" t="str">
        <f>VLOOKUP(D169,'COA LTD'!A:F,5,0)</f>
        <v>Revenues</v>
      </c>
      <c r="K169" s="439">
        <f t="shared" si="0"/>
        <v>3.3989428097429291</v>
      </c>
      <c r="L169" s="437"/>
      <c r="M169" s="437"/>
      <c r="N169" s="437"/>
      <c r="O169" s="437"/>
      <c r="P169" s="438"/>
      <c r="Q169" s="438"/>
      <c r="R169" s="438"/>
      <c r="S169" s="438"/>
      <c r="T169" s="437"/>
      <c r="U169" s="437"/>
      <c r="V169" s="437"/>
      <c r="W169" s="437"/>
      <c r="X169" s="437"/>
      <c r="Y169" s="437"/>
      <c r="Z169" s="437"/>
    </row>
    <row r="170" spans="1:26" ht="15.75" customHeight="1">
      <c r="A170" t="s">
        <v>1380</v>
      </c>
      <c r="B170" t="s">
        <v>1381</v>
      </c>
      <c r="C170" t="s">
        <v>1383</v>
      </c>
      <c r="D170" s="516">
        <v>60202100</v>
      </c>
      <c r="E170" t="s">
        <v>608</v>
      </c>
      <c r="F170" s="514">
        <v>10391329.77</v>
      </c>
      <c r="G170" s="776">
        <v>3066669.95</v>
      </c>
      <c r="H170" s="437" t="str">
        <f>VLOOKUP(D170,'COA LTD'!A:F,3,0)</f>
        <v>PL</v>
      </c>
      <c r="I170" s="437" t="str">
        <f>VLOOKUP(D170,'COA LTD'!A:F,4,0)</f>
        <v>Revenues</v>
      </c>
      <c r="J170" s="437" t="str">
        <f>VLOOKUP(D170,'COA LTD'!A:F,5,0)</f>
        <v>Withdrawals</v>
      </c>
      <c r="K170" s="439">
        <f t="shared" si="0"/>
        <v>3.3884734710365549</v>
      </c>
      <c r="L170" s="437"/>
      <c r="M170" s="437"/>
      <c r="N170" s="437"/>
      <c r="O170" s="437"/>
      <c r="P170" s="438"/>
      <c r="Q170" s="438"/>
      <c r="R170" s="438"/>
      <c r="S170" s="438"/>
      <c r="T170" s="437"/>
      <c r="U170" s="437"/>
      <c r="V170" s="437"/>
      <c r="W170" s="437"/>
      <c r="X170" s="437"/>
      <c r="Y170" s="437"/>
      <c r="Z170" s="437"/>
    </row>
    <row r="171" spans="1:26" ht="15.75" customHeight="1">
      <c r="A171" t="s">
        <v>1380</v>
      </c>
      <c r="B171" t="s">
        <v>1381</v>
      </c>
      <c r="C171" t="s">
        <v>1383</v>
      </c>
      <c r="D171" s="516">
        <v>60202102</v>
      </c>
      <c r="E171" t="s">
        <v>1384</v>
      </c>
      <c r="F171" s="514">
        <v>-9588180.3000000007</v>
      </c>
      <c r="G171" s="776">
        <v>-2800495.18</v>
      </c>
      <c r="H171" s="437" t="str">
        <f>VLOOKUP(D171,'COA LTD'!A:F,3,0)</f>
        <v>PL</v>
      </c>
      <c r="I171" s="437" t="str">
        <f>VLOOKUP(D171,'COA LTD'!A:F,4,0)</f>
        <v>Revenues</v>
      </c>
      <c r="J171" s="437" t="str">
        <f>VLOOKUP(D171,'COA LTD'!A:F,5,0)</f>
        <v>Hekzev</v>
      </c>
      <c r="K171" s="439">
        <f t="shared" si="0"/>
        <v>3.4237446179071802</v>
      </c>
      <c r="L171" s="437"/>
      <c r="M171" s="437"/>
      <c r="N171" s="437"/>
      <c r="O171" s="437"/>
      <c r="P171" s="438"/>
      <c r="Q171" s="438"/>
      <c r="R171" s="438"/>
      <c r="S171" s="438"/>
      <c r="T171" s="437"/>
      <c r="U171" s="437"/>
      <c r="V171" s="437"/>
      <c r="W171" s="437"/>
      <c r="X171" s="437"/>
      <c r="Y171" s="437"/>
      <c r="Z171" s="437"/>
    </row>
    <row r="172" spans="1:26" ht="15.75" customHeight="1">
      <c r="A172" t="s">
        <v>1380</v>
      </c>
      <c r="B172" t="s">
        <v>1381</v>
      </c>
      <c r="C172" t="s">
        <v>1383</v>
      </c>
      <c r="D172" s="516">
        <v>60202103</v>
      </c>
      <c r="E172" t="s">
        <v>1385</v>
      </c>
      <c r="F172" s="514">
        <v>9619897.3000000007</v>
      </c>
      <c r="G172" s="776">
        <v>2809686.77</v>
      </c>
      <c r="H172" s="437" t="str">
        <f>VLOOKUP(D172,'COA LTD'!A:F,3,0)</f>
        <v>PL</v>
      </c>
      <c r="I172" s="437" t="str">
        <f>VLOOKUP(D172,'COA LTD'!A:F,4,0)</f>
        <v>Revenues</v>
      </c>
      <c r="J172" s="437" t="str">
        <f>VLOOKUP(D172,'COA LTD'!A:F,5,0)</f>
        <v>Hekzev</v>
      </c>
      <c r="K172" s="439">
        <f t="shared" si="0"/>
        <v>3.4238326502138885</v>
      </c>
      <c r="L172" s="437"/>
      <c r="M172" s="437"/>
      <c r="N172" s="437"/>
      <c r="O172" s="437"/>
      <c r="P172" s="438"/>
      <c r="Q172" s="438"/>
      <c r="R172" s="438"/>
      <c r="S172" s="438"/>
      <c r="T172" s="437"/>
      <c r="U172" s="437"/>
      <c r="V172" s="437"/>
      <c r="W172" s="437"/>
      <c r="X172" s="437"/>
      <c r="Y172" s="437"/>
      <c r="Z172" s="437"/>
    </row>
    <row r="173" spans="1:26" ht="15.75" customHeight="1">
      <c r="A173" t="s">
        <v>1380</v>
      </c>
      <c r="B173" t="s">
        <v>1381</v>
      </c>
      <c r="C173" t="s">
        <v>1383</v>
      </c>
      <c r="D173" s="516">
        <v>60202104</v>
      </c>
      <c r="E173" t="s">
        <v>993</v>
      </c>
      <c r="F173" s="514">
        <v>-31717</v>
      </c>
      <c r="G173" s="776">
        <v>-9191.58</v>
      </c>
      <c r="H173" s="437" t="str">
        <f>VLOOKUP(D173,'COA LTD'!A:F,3,0)</f>
        <v>PL</v>
      </c>
      <c r="I173" s="437" t="str">
        <f>VLOOKUP(D173,'COA LTD'!A:F,4,0)</f>
        <v>Revenues</v>
      </c>
      <c r="J173" s="437" t="str">
        <f>VLOOKUP(D173,'COA LTD'!A:F,5,0)</f>
        <v>Hekzev</v>
      </c>
      <c r="K173" s="441">
        <f t="shared" si="0"/>
        <v>3.4506581023066762</v>
      </c>
      <c r="L173" s="442"/>
      <c r="M173" s="437"/>
      <c r="N173" s="442"/>
      <c r="O173" s="442"/>
      <c r="P173" s="443"/>
      <c r="Q173" s="443"/>
      <c r="R173" s="443"/>
      <c r="S173" s="443"/>
      <c r="T173" s="437"/>
      <c r="U173" s="437"/>
      <c r="V173" s="437"/>
      <c r="W173" s="437"/>
      <c r="X173" s="437"/>
      <c r="Y173" s="437"/>
      <c r="Z173" s="437"/>
    </row>
    <row r="174" spans="1:26" ht="15.75" customHeight="1">
      <c r="A174" t="s">
        <v>1380</v>
      </c>
      <c r="B174" t="s">
        <v>1381</v>
      </c>
      <c r="C174" t="s">
        <v>1383</v>
      </c>
      <c r="D174" s="516">
        <v>83200411</v>
      </c>
      <c r="E174" t="s">
        <v>1303</v>
      </c>
      <c r="F174" s="514">
        <v>3519000</v>
      </c>
      <c r="G174" s="514">
        <v>1000000</v>
      </c>
      <c r="H174" s="437" t="str">
        <f>VLOOKUP(D174,'COA LTD'!A:F,3,0)</f>
        <v>PL</v>
      </c>
      <c r="I174" s="437" t="str">
        <f>VLOOKUP(D174,'COA LTD'!A:F,4,0)</f>
        <v>General and administrative expenses</v>
      </c>
      <c r="J174" s="437" t="str">
        <f>VLOOKUP(D174,'COA LTD'!A:F,5,0)</f>
        <v>Fees and fines</v>
      </c>
      <c r="K174" s="439">
        <f t="shared" si="0"/>
        <v>3.5190000000000001</v>
      </c>
      <c r="L174" s="437"/>
      <c r="M174" s="437"/>
      <c r="N174" s="437"/>
      <c r="O174" s="437"/>
      <c r="P174" s="438"/>
      <c r="Q174" s="438"/>
      <c r="R174" s="438"/>
      <c r="S174" s="438"/>
      <c r="T174" s="437"/>
      <c r="U174" s="437"/>
      <c r="V174" s="437"/>
      <c r="W174" s="437"/>
      <c r="X174" s="437"/>
      <c r="Y174" s="437"/>
      <c r="Z174" s="437"/>
    </row>
    <row r="175" spans="1:26" ht="15.75" customHeight="1">
      <c r="A175" t="s">
        <v>1380</v>
      </c>
      <c r="B175" t="s">
        <v>1381</v>
      </c>
      <c r="C175" t="s">
        <v>1386</v>
      </c>
      <c r="D175" s="516">
        <v>60203000</v>
      </c>
      <c r="E175" t="s">
        <v>610</v>
      </c>
      <c r="F175" s="514">
        <v>377236.78</v>
      </c>
      <c r="G175" s="776">
        <v>121298</v>
      </c>
      <c r="H175" s="437" t="str">
        <f>VLOOKUP(D175,'COA LTD'!A:F,3,0)</f>
        <v>PL</v>
      </c>
      <c r="I175" s="437" t="str">
        <f>VLOOKUP(D175,'COA LTD'!A:F,4,0)</f>
        <v>Revenues</v>
      </c>
      <c r="J175" s="437" t="str">
        <f>VLOOKUP(D175,'COA LTD'!A:F,5,0)</f>
        <v>Revenues</v>
      </c>
      <c r="K175" s="439">
        <f t="shared" si="0"/>
        <v>3.1100000000000003</v>
      </c>
      <c r="L175" s="437"/>
      <c r="M175" s="437"/>
      <c r="N175" s="437"/>
      <c r="O175" s="437"/>
      <c r="P175" s="438"/>
      <c r="Q175" s="438"/>
      <c r="R175" s="438"/>
      <c r="S175" s="438"/>
      <c r="T175" s="437"/>
      <c r="U175" s="437"/>
      <c r="V175" s="437"/>
      <c r="W175" s="437"/>
      <c r="X175" s="437"/>
      <c r="Y175" s="437"/>
      <c r="Z175" s="437"/>
    </row>
    <row r="176" spans="1:26" ht="15.75" customHeight="1">
      <c r="A176" t="s">
        <v>1380</v>
      </c>
      <c r="B176" t="s">
        <v>1381</v>
      </c>
      <c r="C176" t="s">
        <v>1386</v>
      </c>
      <c r="D176" s="516">
        <v>60203007</v>
      </c>
      <c r="E176" t="s">
        <v>611</v>
      </c>
      <c r="F176" s="514">
        <v>174385.84</v>
      </c>
      <c r="G176" s="776">
        <v>59269</v>
      </c>
      <c r="H176" s="437" t="str">
        <f>VLOOKUP(D176,'COA LTD'!A:F,3,0)</f>
        <v>PL</v>
      </c>
      <c r="I176" s="437" t="str">
        <f>VLOOKUP(D176,'COA LTD'!A:F,4,0)</f>
        <v>Revenues</v>
      </c>
      <c r="J176" s="437" t="str">
        <f>VLOOKUP(D176,'COA LTD'!A:F,5,0)</f>
        <v>Revenues</v>
      </c>
      <c r="K176" s="439">
        <f t="shared" si="0"/>
        <v>2.9422774131502134</v>
      </c>
      <c r="L176" s="437"/>
      <c r="M176" s="437"/>
      <c r="N176" s="437"/>
      <c r="O176" s="437"/>
      <c r="P176" s="438"/>
      <c r="Q176" s="438"/>
      <c r="R176" s="438"/>
      <c r="S176" s="438"/>
      <c r="T176" s="437"/>
      <c r="U176" s="437"/>
      <c r="V176" s="437"/>
      <c r="W176" s="437"/>
      <c r="X176" s="437"/>
      <c r="Y176" s="437"/>
      <c r="Z176" s="437"/>
    </row>
    <row r="177" spans="1:26" ht="15.75" customHeight="1">
      <c r="A177" t="s">
        <v>1380</v>
      </c>
      <c r="B177" t="s">
        <v>1381</v>
      </c>
      <c r="C177" t="s">
        <v>1386</v>
      </c>
      <c r="D177" s="516">
        <v>60203009</v>
      </c>
      <c r="E177" t="s">
        <v>612</v>
      </c>
      <c r="F177" s="514">
        <v>682539.26</v>
      </c>
      <c r="G177" s="776">
        <v>219466</v>
      </c>
      <c r="H177" s="437" t="str">
        <f>VLOOKUP(D177,'COA LTD'!A:F,3,0)</f>
        <v>PL</v>
      </c>
      <c r="I177" s="437" t="str">
        <f>VLOOKUP(D177,'COA LTD'!A:F,4,0)</f>
        <v>Revenues</v>
      </c>
      <c r="J177" s="437" t="str">
        <f>VLOOKUP(D177,'COA LTD'!A:F,5,0)</f>
        <v>Revenues</v>
      </c>
      <c r="K177" s="441">
        <f t="shared" si="0"/>
        <v>3.11</v>
      </c>
      <c r="L177" s="442"/>
      <c r="M177" s="437"/>
      <c r="N177" s="442"/>
      <c r="O177" s="442"/>
      <c r="P177" s="443"/>
      <c r="Q177" s="443"/>
      <c r="R177" s="443"/>
      <c r="S177" s="443"/>
      <c r="T177" s="437"/>
      <c r="U177" s="437"/>
      <c r="V177" s="437"/>
      <c r="W177" s="437"/>
      <c r="X177" s="437"/>
      <c r="Y177" s="437"/>
      <c r="Z177" s="437"/>
    </row>
    <row r="178" spans="1:26" ht="15.75" customHeight="1">
      <c r="A178" t="s">
        <v>1380</v>
      </c>
      <c r="B178" t="s">
        <v>1381</v>
      </c>
      <c r="C178" t="s">
        <v>1386</v>
      </c>
      <c r="D178" s="516">
        <v>60203016</v>
      </c>
      <c r="E178" t="s">
        <v>1387</v>
      </c>
      <c r="F178" s="514">
        <v>2388406.31</v>
      </c>
      <c r="G178" s="776">
        <v>755317</v>
      </c>
      <c r="H178" s="437" t="str">
        <f>VLOOKUP(D178,'COA LTD'!A:F,3,0)</f>
        <v>PL</v>
      </c>
      <c r="I178" s="437" t="str">
        <f>VLOOKUP(D178,'COA LTD'!A:F,4,0)</f>
        <v>Revenues</v>
      </c>
      <c r="J178" s="437" t="str">
        <f>VLOOKUP(D178,'COA LTD'!A:F,5,0)</f>
        <v>Revenues</v>
      </c>
      <c r="K178" s="439">
        <f t="shared" si="0"/>
        <v>3.1621243928046106</v>
      </c>
      <c r="L178" s="437"/>
      <c r="M178" s="437"/>
      <c r="N178" s="437"/>
      <c r="O178" s="437"/>
      <c r="P178" s="438"/>
      <c r="Q178" s="438"/>
      <c r="R178" s="438"/>
      <c r="S178" s="438"/>
      <c r="T178" s="437"/>
      <c r="U178" s="437"/>
      <c r="V178" s="437"/>
      <c r="W178" s="437"/>
      <c r="X178" s="437"/>
      <c r="Y178" s="437"/>
      <c r="Z178" s="437"/>
    </row>
    <row r="179" spans="1:26" ht="15.75" customHeight="1">
      <c r="A179" t="s">
        <v>1380</v>
      </c>
      <c r="B179" t="s">
        <v>1381</v>
      </c>
      <c r="C179" t="s">
        <v>1386</v>
      </c>
      <c r="D179" s="516">
        <v>60203023</v>
      </c>
      <c r="E179" t="s">
        <v>1126</v>
      </c>
      <c r="F179" s="514">
        <v>0</v>
      </c>
      <c r="G179" s="776">
        <v>1.6</v>
      </c>
      <c r="H179" s="437" t="str">
        <f>VLOOKUP(D179,'COA LTD'!A:F,3,0)</f>
        <v>PL</v>
      </c>
      <c r="I179" s="437" t="str">
        <f>VLOOKUP(D179,'COA LTD'!A:F,4,0)</f>
        <v>Revenues</v>
      </c>
      <c r="J179" s="437" t="str">
        <f>VLOOKUP(D179,'COA LTD'!A:F,5,0)</f>
        <v>Revenues</v>
      </c>
      <c r="K179" s="439">
        <f t="shared" si="0"/>
        <v>0</v>
      </c>
      <c r="L179" s="437"/>
      <c r="M179" s="437"/>
      <c r="N179" s="437"/>
      <c r="O179" s="437"/>
      <c r="P179" s="438"/>
      <c r="Q179" s="438"/>
      <c r="R179" s="438"/>
      <c r="S179" s="438"/>
      <c r="T179" s="437"/>
      <c r="U179" s="437"/>
      <c r="V179" s="437"/>
      <c r="W179" s="437"/>
      <c r="X179" s="437"/>
      <c r="Y179" s="437"/>
      <c r="Z179" s="437"/>
    </row>
    <row r="180" spans="1:26" ht="15.75" customHeight="1">
      <c r="A180" t="s">
        <v>1380</v>
      </c>
      <c r="B180" t="s">
        <v>1381</v>
      </c>
      <c r="C180" t="s">
        <v>1386</v>
      </c>
      <c r="D180" s="516">
        <v>60203094</v>
      </c>
      <c r="E180" t="s">
        <v>614</v>
      </c>
      <c r="F180" s="514">
        <v>-267364.63</v>
      </c>
      <c r="G180" s="514">
        <v>-57788.74</v>
      </c>
      <c r="H180" s="437" t="str">
        <f>VLOOKUP(D180,'COA LTD'!A:F,3,0)</f>
        <v>PL</v>
      </c>
      <c r="I180" s="437" t="str">
        <f>VLOOKUP(D180,'COA LTD'!A:F,4,0)</f>
        <v>Revenues</v>
      </c>
      <c r="J180" s="437" t="str">
        <f>VLOOKUP(D180,'COA LTD'!A:F,5,0)</f>
        <v xml:space="preserve">ads revenue </v>
      </c>
      <c r="K180" s="439">
        <f t="shared" si="0"/>
        <v>4.6265869441001835</v>
      </c>
      <c r="L180" s="437"/>
      <c r="M180" s="437"/>
      <c r="N180" s="437"/>
      <c r="O180" s="437"/>
      <c r="P180" s="438"/>
      <c r="Q180" s="438"/>
      <c r="R180" s="438"/>
      <c r="S180" s="438"/>
      <c r="T180" s="437"/>
      <c r="U180" s="437"/>
      <c r="V180" s="437"/>
      <c r="W180" s="437"/>
      <c r="X180" s="437"/>
      <c r="Y180" s="437"/>
      <c r="Z180" s="437"/>
    </row>
    <row r="181" spans="1:26" ht="15.75" customHeight="1">
      <c r="A181" t="s">
        <v>1380</v>
      </c>
      <c r="B181" t="s">
        <v>1381</v>
      </c>
      <c r="C181" t="s">
        <v>1386</v>
      </c>
      <c r="D181" s="516">
        <v>60203095</v>
      </c>
      <c r="E181" t="s">
        <v>1131</v>
      </c>
      <c r="F181" s="514">
        <v>38229531.829999998</v>
      </c>
      <c r="G181" s="776">
        <v>11338528</v>
      </c>
      <c r="H181" s="437" t="str">
        <f>VLOOKUP(D181,'COA LTD'!A:F,3,0)</f>
        <v>PL</v>
      </c>
      <c r="I181" s="437" t="str">
        <f>VLOOKUP(D181,'COA LTD'!A:F,4,0)</f>
        <v>Revenues</v>
      </c>
      <c r="J181" s="437" t="str">
        <f>VLOOKUP(D181,'COA LTD'!A:F,5,0)</f>
        <v>Revenues</v>
      </c>
      <c r="K181" s="439">
        <f t="shared" si="0"/>
        <v>3.371648579956763</v>
      </c>
      <c r="L181" s="437"/>
      <c r="M181" s="437"/>
      <c r="N181" s="437"/>
      <c r="O181" s="437"/>
      <c r="P181" s="438"/>
      <c r="Q181" s="438"/>
      <c r="R181" s="438"/>
      <c r="S181" s="438"/>
      <c r="T181" s="437"/>
      <c r="U181" s="437"/>
      <c r="V181" s="437"/>
      <c r="W181" s="437"/>
      <c r="X181" s="437"/>
      <c r="Y181" s="437"/>
      <c r="Z181" s="437"/>
    </row>
    <row r="182" spans="1:26" ht="15.75" customHeight="1">
      <c r="A182" t="s">
        <v>1380</v>
      </c>
      <c r="B182" t="s">
        <v>1381</v>
      </c>
      <c r="C182" t="s">
        <v>1386</v>
      </c>
      <c r="D182" s="516">
        <v>60203097</v>
      </c>
      <c r="E182" t="s">
        <v>1729</v>
      </c>
      <c r="F182" s="514">
        <v>104769</v>
      </c>
      <c r="G182" s="514">
        <v>31274</v>
      </c>
      <c r="H182" s="437" t="str">
        <f>VLOOKUP(D182,'COA LTD'!A:F,3,0)</f>
        <v>PL</v>
      </c>
      <c r="I182" s="437" t="str">
        <f>VLOOKUP(D182,'COA LTD'!A:F,4,0)</f>
        <v>Revenues</v>
      </c>
      <c r="J182" s="437" t="str">
        <f>VLOOKUP(D182,'COA LTD'!A:F,5,0)</f>
        <v>Revenues</v>
      </c>
      <c r="K182" s="439">
        <f t="shared" si="0"/>
        <v>3.350035172987146</v>
      </c>
      <c r="L182" s="437"/>
      <c r="M182" s="437"/>
      <c r="N182" s="437"/>
      <c r="O182" s="437"/>
      <c r="P182" s="438"/>
      <c r="Q182" s="438"/>
      <c r="R182" s="438"/>
      <c r="S182" s="438"/>
      <c r="T182" s="437"/>
      <c r="U182" s="437"/>
      <c r="V182" s="437"/>
      <c r="W182" s="437"/>
      <c r="X182" s="437"/>
      <c r="Y182" s="437"/>
      <c r="Z182" s="437"/>
    </row>
    <row r="183" spans="1:26" ht="15.75" customHeight="1">
      <c r="A183" t="s">
        <v>1380</v>
      </c>
      <c r="B183" t="s">
        <v>1730</v>
      </c>
      <c r="C183" t="s">
        <v>1731</v>
      </c>
      <c r="D183" s="516">
        <v>61203001</v>
      </c>
      <c r="E183" t="s">
        <v>1125</v>
      </c>
      <c r="F183" s="514">
        <v>263636</v>
      </c>
      <c r="G183" s="776">
        <v>74918</v>
      </c>
      <c r="H183" s="437" t="str">
        <f>VLOOKUP(D183,'COA LTD'!A:F,3,0)</f>
        <v>PL</v>
      </c>
      <c r="I183" s="437" t="str">
        <f>VLOOKUP(D183,'COA LTD'!A:F,4,0)</f>
        <v>Revenues</v>
      </c>
      <c r="J183" s="437" t="str">
        <f>VLOOKUP(D183,'COA LTD'!A:F,5,0)</f>
        <v>Revenues</v>
      </c>
      <c r="K183" s="439">
        <f t="shared" si="0"/>
        <v>3.5189941002162364</v>
      </c>
      <c r="L183" s="437"/>
      <c r="M183" s="437"/>
      <c r="N183" s="437"/>
      <c r="O183" s="437"/>
      <c r="P183" s="438"/>
      <c r="Q183" s="438"/>
      <c r="R183" s="438"/>
      <c r="S183" s="438"/>
      <c r="T183" s="437"/>
      <c r="U183" s="437"/>
      <c r="V183" s="437"/>
      <c r="W183" s="437"/>
      <c r="X183" s="437"/>
      <c r="Y183" s="437"/>
      <c r="Z183" s="437"/>
    </row>
    <row r="184" spans="1:26" ht="15.75" customHeight="1">
      <c r="A184" t="s">
        <v>1388</v>
      </c>
      <c r="B184" t="s">
        <v>1389</v>
      </c>
      <c r="C184" t="s">
        <v>1390</v>
      </c>
      <c r="D184" s="516">
        <v>70201200</v>
      </c>
      <c r="E184" t="s">
        <v>616</v>
      </c>
      <c r="F184" s="514">
        <v>12210063.880000001</v>
      </c>
      <c r="G184" s="514">
        <v>3550210.29</v>
      </c>
      <c r="H184" s="437" t="str">
        <f>VLOOKUP(D184,'COA LTD'!A:F,3,0)</f>
        <v>PL</v>
      </c>
      <c r="I184" s="437" t="str">
        <f>VLOOKUP(D184,'COA LTD'!A:F,4,0)</f>
        <v>Tax expenses</v>
      </c>
      <c r="J184" s="437" t="str">
        <f>VLOOKUP(D184,'COA LTD'!A:F,5,0)</f>
        <v>Tax expenses</v>
      </c>
      <c r="K184" s="439">
        <f t="shared" si="0"/>
        <v>3.439250884487747</v>
      </c>
      <c r="L184" s="437"/>
      <c r="M184" s="437"/>
      <c r="N184" s="437"/>
      <c r="O184" s="437"/>
      <c r="P184" s="438"/>
      <c r="Q184" s="438"/>
      <c r="R184" s="438"/>
      <c r="S184" s="438"/>
      <c r="T184" s="437"/>
      <c r="U184" s="437"/>
      <c r="V184" s="437"/>
      <c r="W184" s="437"/>
      <c r="X184" s="437"/>
      <c r="Y184" s="437"/>
      <c r="Z184" s="437"/>
    </row>
    <row r="185" spans="1:26" ht="15.75" customHeight="1">
      <c r="A185" t="s">
        <v>1391</v>
      </c>
      <c r="B185" t="s">
        <v>1392</v>
      </c>
      <c r="C185" t="s">
        <v>1393</v>
      </c>
      <c r="D185" s="516">
        <v>80010100</v>
      </c>
      <c r="E185" t="s">
        <v>617</v>
      </c>
      <c r="F185" s="514">
        <v>1979023</v>
      </c>
      <c r="G185" s="514">
        <v>586562.01</v>
      </c>
      <c r="H185" s="437" t="str">
        <f>VLOOKUP(D185,'COA LTD'!A:F,3,0)</f>
        <v>PL</v>
      </c>
      <c r="I185" s="437" t="str">
        <f>VLOOKUP(D185,'COA LTD'!A:F,4,0)</f>
        <v>Operations</v>
      </c>
      <c r="J185" s="437" t="str">
        <f>VLOOKUP(D185,'COA LTD'!A:F,5,0)</f>
        <v xml:space="preserve">Salary </v>
      </c>
      <c r="K185" s="439">
        <f t="shared" si="0"/>
        <v>3.3739365425319652</v>
      </c>
      <c r="L185" s="437"/>
      <c r="M185" s="437"/>
      <c r="N185" s="437"/>
      <c r="O185" s="437"/>
      <c r="P185" s="438"/>
      <c r="Q185" s="438"/>
      <c r="R185" s="438"/>
      <c r="S185" s="438"/>
      <c r="T185" s="437"/>
      <c r="U185" s="437"/>
      <c r="V185" s="437"/>
      <c r="W185" s="437"/>
      <c r="X185" s="437"/>
      <c r="Y185" s="437"/>
      <c r="Z185" s="437"/>
    </row>
    <row r="186" spans="1:26" ht="15.75" customHeight="1">
      <c r="A186" t="s">
        <v>1391</v>
      </c>
      <c r="B186" t="s">
        <v>1392</v>
      </c>
      <c r="C186" t="s">
        <v>1393</v>
      </c>
      <c r="D186" s="516">
        <v>80010101</v>
      </c>
      <c r="E186" t="s">
        <v>619</v>
      </c>
      <c r="F186" s="514">
        <v>170061</v>
      </c>
      <c r="G186" s="514">
        <v>50509.919999999998</v>
      </c>
      <c r="H186" s="437" t="str">
        <f>VLOOKUP(D186,'COA LTD'!A:F,3,0)</f>
        <v>PL</v>
      </c>
      <c r="I186" s="437" t="str">
        <f>VLOOKUP(D186,'COA LTD'!A:F,4,0)</f>
        <v>Operations</v>
      </c>
      <c r="J186" s="437" t="str">
        <f>VLOOKUP(D186,'COA LTD'!A:F,5,0)</f>
        <v xml:space="preserve">Salary </v>
      </c>
      <c r="K186" s="439">
        <f t="shared" si="0"/>
        <v>3.3668831785914533</v>
      </c>
      <c r="L186" s="437"/>
      <c r="M186" s="437"/>
      <c r="N186" s="437"/>
      <c r="O186" s="437"/>
      <c r="P186" s="438"/>
      <c r="Q186" s="438"/>
      <c r="R186" s="438"/>
      <c r="S186" s="438"/>
      <c r="T186" s="437"/>
      <c r="U186" s="437"/>
      <c r="V186" s="437"/>
      <c r="W186" s="437"/>
      <c r="X186" s="437"/>
      <c r="Y186" s="437"/>
      <c r="Z186" s="437"/>
    </row>
    <row r="187" spans="1:26" ht="15.75" customHeight="1">
      <c r="A187" t="s">
        <v>1391</v>
      </c>
      <c r="B187" t="s">
        <v>1392</v>
      </c>
      <c r="C187" t="s">
        <v>1393</v>
      </c>
      <c r="D187" s="516">
        <v>80010102</v>
      </c>
      <c r="E187" t="s">
        <v>620</v>
      </c>
      <c r="F187" s="514">
        <v>70070.509999999995</v>
      </c>
      <c r="G187" s="514">
        <v>21106.66</v>
      </c>
      <c r="H187" s="437" t="str">
        <f>VLOOKUP(D187,'COA LTD'!A:F,3,0)</f>
        <v>PL</v>
      </c>
      <c r="I187" s="437" t="str">
        <f>VLOOKUP(D187,'COA LTD'!A:F,4,0)</f>
        <v>Operations</v>
      </c>
      <c r="J187" s="437" t="str">
        <f>VLOOKUP(D187,'COA LTD'!A:F,5,0)</f>
        <v xml:space="preserve">option expenses </v>
      </c>
      <c r="K187" s="439">
        <f t="shared" si="0"/>
        <v>3.3198293808684083</v>
      </c>
      <c r="L187" s="437"/>
      <c r="M187" s="437"/>
      <c r="N187" s="437"/>
      <c r="O187" s="437"/>
      <c r="P187" s="438"/>
      <c r="Q187" s="438"/>
      <c r="R187" s="438"/>
      <c r="S187" s="438"/>
      <c r="T187" s="437"/>
      <c r="U187" s="437"/>
      <c r="V187" s="437"/>
      <c r="W187" s="437"/>
      <c r="X187" s="437"/>
      <c r="Y187" s="437"/>
      <c r="Z187" s="437"/>
    </row>
    <row r="188" spans="1:26" ht="15.75" customHeight="1">
      <c r="A188" t="s">
        <v>1391</v>
      </c>
      <c r="B188" t="s">
        <v>1392</v>
      </c>
      <c r="C188" t="s">
        <v>1393</v>
      </c>
      <c r="D188" s="516">
        <v>80010104</v>
      </c>
      <c r="E188" t="s">
        <v>621</v>
      </c>
      <c r="F188" s="514">
        <v>76988</v>
      </c>
      <c r="G188" s="514">
        <v>22093.62</v>
      </c>
      <c r="H188" s="437" t="str">
        <f>VLOOKUP(D188,'COA LTD'!A:F,3,0)</f>
        <v>PL</v>
      </c>
      <c r="I188" s="437" t="str">
        <f>VLOOKUP(D188,'COA LTD'!A:F,4,0)</f>
        <v>Operations</v>
      </c>
      <c r="J188" s="437" t="str">
        <f>VLOOKUP(D188,'COA LTD'!A:F,5,0)</f>
        <v xml:space="preserve">Salary </v>
      </c>
      <c r="K188" s="439">
        <f t="shared" si="0"/>
        <v>3.4846258784210105</v>
      </c>
      <c r="L188" s="437"/>
      <c r="M188" s="437"/>
      <c r="N188" s="437"/>
      <c r="O188" s="437"/>
      <c r="P188" s="438"/>
      <c r="Q188" s="438"/>
      <c r="R188" s="438"/>
      <c r="S188" s="438"/>
      <c r="T188" s="437"/>
      <c r="U188" s="437"/>
      <c r="V188" s="437"/>
      <c r="W188" s="437"/>
      <c r="X188" s="437"/>
      <c r="Y188" s="437"/>
      <c r="Z188" s="437"/>
    </row>
    <row r="189" spans="1:26" ht="15.75" customHeight="1">
      <c r="A189" t="s">
        <v>1391</v>
      </c>
      <c r="B189" t="s">
        <v>1392</v>
      </c>
      <c r="C189" t="s">
        <v>1393</v>
      </c>
      <c r="D189" s="516">
        <v>80010105</v>
      </c>
      <c r="E189" t="s">
        <v>622</v>
      </c>
      <c r="F189" s="514">
        <v>50412.84</v>
      </c>
      <c r="G189" s="514">
        <v>15480</v>
      </c>
      <c r="H189" s="437" t="str">
        <f>VLOOKUP(D189,'COA LTD'!A:F,3,0)</f>
        <v>PL</v>
      </c>
      <c r="I189" s="437" t="str">
        <f>VLOOKUP(D189,'COA LTD'!A:F,4,0)</f>
        <v>Operations</v>
      </c>
      <c r="J189" s="437" t="str">
        <f>VLOOKUP(D189,'COA LTD'!A:F,5,0)</f>
        <v xml:space="preserve">Salary </v>
      </c>
      <c r="K189" s="439">
        <f t="shared" si="0"/>
        <v>3.2566434108527131</v>
      </c>
      <c r="L189" s="437"/>
      <c r="M189" s="437"/>
      <c r="N189" s="437"/>
      <c r="O189" s="437"/>
      <c r="P189" s="438"/>
      <c r="Q189" s="438"/>
      <c r="R189" s="438"/>
      <c r="S189" s="438"/>
      <c r="T189" s="437"/>
      <c r="U189" s="437"/>
      <c r="V189" s="437"/>
      <c r="W189" s="437"/>
      <c r="X189" s="437"/>
      <c r="Y189" s="437"/>
      <c r="Z189" s="437"/>
    </row>
    <row r="190" spans="1:26" ht="15.75" customHeight="1">
      <c r="A190" t="s">
        <v>1391</v>
      </c>
      <c r="B190" t="s">
        <v>1392</v>
      </c>
      <c r="C190" t="s">
        <v>1393</v>
      </c>
      <c r="D190" s="516">
        <v>80010107</v>
      </c>
      <c r="E190" t="s">
        <v>623</v>
      </c>
      <c r="F190" s="514">
        <v>48261.59</v>
      </c>
      <c r="G190" s="514">
        <v>14434.86</v>
      </c>
      <c r="H190" s="437" t="str">
        <f>VLOOKUP(D190,'COA LTD'!A:F,3,0)</f>
        <v>PL</v>
      </c>
      <c r="I190" s="437" t="str">
        <f>VLOOKUP(D190,'COA LTD'!A:F,4,0)</f>
        <v>Operations</v>
      </c>
      <c r="J190" s="437" t="str">
        <f>VLOOKUP(D190,'COA LTD'!A:F,5,0)</f>
        <v xml:space="preserve">Salary </v>
      </c>
      <c r="K190" s="439">
        <f t="shared" si="0"/>
        <v>3.3434054781272553</v>
      </c>
      <c r="L190" s="437"/>
      <c r="M190" s="437"/>
      <c r="N190" s="437"/>
      <c r="O190" s="437"/>
      <c r="P190" s="438"/>
      <c r="Q190" s="438"/>
      <c r="R190" s="438"/>
      <c r="S190" s="438"/>
      <c r="T190" s="437"/>
      <c r="U190" s="437"/>
      <c r="V190" s="437"/>
      <c r="W190" s="437"/>
      <c r="X190" s="437"/>
      <c r="Y190" s="437"/>
      <c r="Z190" s="437"/>
    </row>
    <row r="191" spans="1:26" ht="15.75" customHeight="1">
      <c r="A191" t="s">
        <v>1391</v>
      </c>
      <c r="B191" t="s">
        <v>1392</v>
      </c>
      <c r="C191" t="s">
        <v>1393</v>
      </c>
      <c r="D191" s="516">
        <v>80010108</v>
      </c>
      <c r="E191" t="s">
        <v>624</v>
      </c>
      <c r="F191" s="514">
        <v>124080</v>
      </c>
      <c r="G191" s="514">
        <v>36692.129999999997</v>
      </c>
      <c r="H191" s="437" t="str">
        <f>VLOOKUP(D191,'COA LTD'!A:F,3,0)</f>
        <v>PL</v>
      </c>
      <c r="I191" s="437" t="str">
        <f>VLOOKUP(D191,'COA LTD'!A:F,4,0)</f>
        <v>Operations</v>
      </c>
      <c r="J191" s="437" t="str">
        <f>VLOOKUP(D191,'COA LTD'!A:F,5,0)</f>
        <v xml:space="preserve">Salary </v>
      </c>
      <c r="K191" s="439">
        <f t="shared" si="0"/>
        <v>3.381651596677544</v>
      </c>
      <c r="L191" s="437"/>
      <c r="M191" s="437"/>
      <c r="N191" s="437"/>
      <c r="O191" s="437"/>
      <c r="P191" s="438"/>
      <c r="Q191" s="438"/>
      <c r="R191" s="438"/>
      <c r="S191" s="438"/>
      <c r="T191" s="437"/>
      <c r="U191" s="437"/>
      <c r="V191" s="437"/>
      <c r="W191" s="437"/>
      <c r="X191" s="437"/>
      <c r="Y191" s="437"/>
      <c r="Z191" s="437"/>
    </row>
    <row r="192" spans="1:26" ht="15.75" customHeight="1">
      <c r="A192" t="s">
        <v>1391</v>
      </c>
      <c r="B192" t="s">
        <v>1392</v>
      </c>
      <c r="C192" t="s">
        <v>1393</v>
      </c>
      <c r="D192" s="516">
        <v>80010109</v>
      </c>
      <c r="E192" t="s">
        <v>625</v>
      </c>
      <c r="F192" s="514">
        <v>123992</v>
      </c>
      <c r="G192" s="514">
        <v>36853.160000000003</v>
      </c>
      <c r="H192" s="437" t="str">
        <f>VLOOKUP(D192,'COA LTD'!A:F,3,0)</f>
        <v>PL</v>
      </c>
      <c r="I192" s="437" t="str">
        <f>VLOOKUP(D192,'COA LTD'!A:F,4,0)</f>
        <v>Operations</v>
      </c>
      <c r="J192" s="437" t="str">
        <f>VLOOKUP(D192,'COA LTD'!A:F,5,0)</f>
        <v xml:space="preserve">Salary </v>
      </c>
      <c r="K192" s="439">
        <f t="shared" si="0"/>
        <v>3.3644876043194123</v>
      </c>
      <c r="L192" s="437"/>
      <c r="M192" s="437"/>
      <c r="N192" s="437"/>
      <c r="O192" s="437"/>
      <c r="P192" s="438"/>
      <c r="Q192" s="438"/>
      <c r="R192" s="438"/>
      <c r="S192" s="438"/>
      <c r="T192" s="437"/>
      <c r="U192" s="437"/>
      <c r="V192" s="437"/>
      <c r="W192" s="437"/>
      <c r="X192" s="437"/>
      <c r="Y192" s="437"/>
      <c r="Z192" s="437"/>
    </row>
    <row r="193" spans="1:26" ht="15.75" customHeight="1">
      <c r="A193" t="s">
        <v>1391</v>
      </c>
      <c r="B193" t="s">
        <v>1392</v>
      </c>
      <c r="C193" t="s">
        <v>1393</v>
      </c>
      <c r="D193" s="516">
        <v>80010110</v>
      </c>
      <c r="E193" t="s">
        <v>626</v>
      </c>
      <c r="F193" s="514">
        <v>105140</v>
      </c>
      <c r="G193" s="514">
        <v>31144.65</v>
      </c>
      <c r="H193" s="437" t="str">
        <f>VLOOKUP(D193,'COA LTD'!A:F,3,0)</f>
        <v>PL</v>
      </c>
      <c r="I193" s="437" t="str">
        <f>VLOOKUP(D193,'COA LTD'!A:F,4,0)</f>
        <v>Operations</v>
      </c>
      <c r="J193" s="437" t="str">
        <f>VLOOKUP(D193,'COA LTD'!A:F,5,0)</f>
        <v xml:space="preserve">Salary </v>
      </c>
      <c r="K193" s="439">
        <f t="shared" si="0"/>
        <v>3.3758607015972246</v>
      </c>
      <c r="L193" s="437"/>
      <c r="M193" s="437"/>
      <c r="N193" s="437"/>
      <c r="O193" s="437"/>
      <c r="P193" s="438"/>
      <c r="Q193" s="438"/>
      <c r="R193" s="438"/>
      <c r="S193" s="438"/>
      <c r="T193" s="437"/>
      <c r="U193" s="437"/>
      <c r="V193" s="437"/>
      <c r="W193" s="437"/>
      <c r="X193" s="437"/>
      <c r="Y193" s="437"/>
      <c r="Z193" s="437"/>
    </row>
    <row r="194" spans="1:26" ht="15.75" customHeight="1">
      <c r="A194" t="s">
        <v>1391</v>
      </c>
      <c r="B194" t="s">
        <v>1392</v>
      </c>
      <c r="C194" t="s">
        <v>1393</v>
      </c>
      <c r="D194" s="516">
        <v>80010111</v>
      </c>
      <c r="E194" t="s">
        <v>627</v>
      </c>
      <c r="F194" s="514">
        <v>12265.45</v>
      </c>
      <c r="G194" s="514">
        <v>3609.3</v>
      </c>
      <c r="H194" s="437" t="str">
        <f>VLOOKUP(D194,'COA LTD'!A:F,3,0)</f>
        <v>PL</v>
      </c>
      <c r="I194" s="437" t="str">
        <f>VLOOKUP(D194,'COA LTD'!A:F,4,0)</f>
        <v>Operations</v>
      </c>
      <c r="J194" s="437" t="str">
        <f>VLOOKUP(D194,'COA LTD'!A:F,5,0)</f>
        <v xml:space="preserve">Salary </v>
      </c>
      <c r="K194" s="439">
        <f t="shared" si="0"/>
        <v>3.3982905272490509</v>
      </c>
      <c r="L194" s="437"/>
      <c r="M194" s="437"/>
      <c r="N194" s="437"/>
      <c r="O194" s="437"/>
      <c r="P194" s="438"/>
      <c r="Q194" s="438"/>
      <c r="R194" s="438"/>
      <c r="S194" s="438"/>
      <c r="T194" s="437"/>
      <c r="U194" s="437"/>
      <c r="V194" s="437"/>
      <c r="W194" s="437"/>
      <c r="X194" s="437"/>
      <c r="Y194" s="437"/>
      <c r="Z194" s="437"/>
    </row>
    <row r="195" spans="1:26" ht="15.75" customHeight="1">
      <c r="A195" t="s">
        <v>1391</v>
      </c>
      <c r="B195" t="s">
        <v>1392</v>
      </c>
      <c r="C195" t="s">
        <v>1393</v>
      </c>
      <c r="D195" s="516">
        <v>80010112</v>
      </c>
      <c r="E195" t="s">
        <v>628</v>
      </c>
      <c r="F195" s="514">
        <v>130271</v>
      </c>
      <c r="G195" s="514">
        <v>38412.6</v>
      </c>
      <c r="H195" s="437" t="str">
        <f>VLOOKUP(D195,'COA LTD'!A:F,3,0)</f>
        <v>PL</v>
      </c>
      <c r="I195" s="437" t="str">
        <f>VLOOKUP(D195,'COA LTD'!A:F,4,0)</f>
        <v>Operations</v>
      </c>
      <c r="J195" s="437" t="str">
        <f>VLOOKUP(D195,'COA LTD'!A:F,5,0)</f>
        <v xml:space="preserve">Salary </v>
      </c>
      <c r="K195" s="439">
        <f t="shared" si="0"/>
        <v>3.3913611679500999</v>
      </c>
      <c r="L195" s="437"/>
      <c r="M195" s="437"/>
      <c r="N195" s="437"/>
      <c r="O195" s="437"/>
      <c r="P195" s="438"/>
      <c r="Q195" s="438"/>
      <c r="R195" s="438"/>
      <c r="S195" s="438"/>
      <c r="T195" s="437"/>
      <c r="U195" s="437"/>
      <c r="V195" s="437"/>
      <c r="W195" s="437"/>
      <c r="X195" s="437"/>
      <c r="Y195" s="437"/>
      <c r="Z195" s="437"/>
    </row>
    <row r="196" spans="1:26" ht="15.75" customHeight="1">
      <c r="A196" t="s">
        <v>1391</v>
      </c>
      <c r="B196" t="s">
        <v>1392</v>
      </c>
      <c r="C196" t="s">
        <v>1393</v>
      </c>
      <c r="D196" s="516">
        <v>80010113</v>
      </c>
      <c r="E196" t="s">
        <v>905</v>
      </c>
      <c r="F196" s="514">
        <v>-30313</v>
      </c>
      <c r="G196" s="514">
        <v>-9511.14</v>
      </c>
      <c r="H196" s="437" t="str">
        <f>VLOOKUP(D196,'COA LTD'!A:F,3,0)</f>
        <v>PL</v>
      </c>
      <c r="I196" s="437" t="str">
        <f>VLOOKUP(D196,'COA LTD'!A:F,4,0)</f>
        <v>Operations</v>
      </c>
      <c r="J196" s="437" t="str">
        <f>VLOOKUP(D196,'COA LTD'!A:F,5,0)</f>
        <v xml:space="preserve">Salary </v>
      </c>
      <c r="K196" s="439">
        <f t="shared" si="0"/>
        <v>3.1871048055227873</v>
      </c>
      <c r="L196" s="437"/>
      <c r="M196" s="437"/>
      <c r="N196" s="437"/>
      <c r="O196" s="437"/>
      <c r="P196" s="438"/>
      <c r="Q196" s="438"/>
      <c r="R196" s="438"/>
      <c r="S196" s="438"/>
      <c r="T196" s="437"/>
      <c r="U196" s="437"/>
      <c r="V196" s="437"/>
      <c r="W196" s="437"/>
      <c r="X196" s="437"/>
      <c r="Y196" s="437"/>
      <c r="Z196" s="437"/>
    </row>
    <row r="197" spans="1:26" ht="15.75" customHeight="1">
      <c r="A197" t="s">
        <v>1391</v>
      </c>
      <c r="B197" t="s">
        <v>1392</v>
      </c>
      <c r="C197" t="s">
        <v>1393</v>
      </c>
      <c r="D197" s="516">
        <v>80010114</v>
      </c>
      <c r="E197" t="s">
        <v>629</v>
      </c>
      <c r="F197" s="514">
        <v>8005</v>
      </c>
      <c r="G197" s="514">
        <v>2484.62</v>
      </c>
      <c r="H197" s="437" t="str">
        <f>VLOOKUP(D197,'COA LTD'!A:F,3,0)</f>
        <v>PL</v>
      </c>
      <c r="I197" s="437" t="str">
        <f>VLOOKUP(D197,'COA LTD'!A:F,4,0)</f>
        <v>Operations</v>
      </c>
      <c r="J197" s="437" t="str">
        <f>VLOOKUP(D197,'COA LTD'!A:F,5,0)</f>
        <v xml:space="preserve">Salary </v>
      </c>
      <c r="K197" s="439">
        <f t="shared" si="0"/>
        <v>3.2218206405808534</v>
      </c>
      <c r="L197" s="437"/>
      <c r="M197" s="437"/>
      <c r="N197" s="437"/>
      <c r="O197" s="437"/>
      <c r="P197" s="438"/>
      <c r="Q197" s="438"/>
      <c r="R197" s="438"/>
      <c r="S197" s="438"/>
      <c r="T197" s="437"/>
      <c r="U197" s="437"/>
      <c r="V197" s="437"/>
      <c r="W197" s="437"/>
      <c r="X197" s="437"/>
      <c r="Y197" s="437"/>
      <c r="Z197" s="437"/>
    </row>
    <row r="198" spans="1:26" ht="15.75" customHeight="1">
      <c r="A198" t="s">
        <v>1391</v>
      </c>
      <c r="B198" t="s">
        <v>1392</v>
      </c>
      <c r="C198" t="s">
        <v>1393</v>
      </c>
      <c r="D198" s="516">
        <v>80010115</v>
      </c>
      <c r="E198" t="s">
        <v>630</v>
      </c>
      <c r="F198" s="514">
        <v>-8005</v>
      </c>
      <c r="G198" s="514">
        <v>-2484.62</v>
      </c>
      <c r="H198" s="437" t="str">
        <f>VLOOKUP(D198,'COA LTD'!A:F,3,0)</f>
        <v>PL</v>
      </c>
      <c r="I198" s="437" t="str">
        <f>VLOOKUP(D198,'COA LTD'!A:F,4,0)</f>
        <v>Operations</v>
      </c>
      <c r="J198" s="437" t="str">
        <f>VLOOKUP(D198,'COA LTD'!A:F,5,0)</f>
        <v xml:space="preserve">Salary </v>
      </c>
      <c r="K198" s="439">
        <f t="shared" si="0"/>
        <v>3.2218206405808534</v>
      </c>
      <c r="L198" s="437"/>
      <c r="M198" s="437"/>
      <c r="N198" s="437"/>
      <c r="O198" s="437"/>
      <c r="P198" s="438"/>
      <c r="Q198" s="438"/>
      <c r="R198" s="438"/>
      <c r="S198" s="438"/>
      <c r="T198" s="437"/>
      <c r="U198" s="437"/>
      <c r="V198" s="437"/>
      <c r="W198" s="437"/>
      <c r="X198" s="437"/>
      <c r="Y198" s="437"/>
      <c r="Z198" s="437"/>
    </row>
    <row r="199" spans="1:26" ht="15.75" customHeight="1">
      <c r="A199" t="s">
        <v>1391</v>
      </c>
      <c r="B199" t="s">
        <v>1392</v>
      </c>
      <c r="C199" t="s">
        <v>1393</v>
      </c>
      <c r="D199" s="516">
        <v>80010116</v>
      </c>
      <c r="E199" t="s">
        <v>631</v>
      </c>
      <c r="F199" s="514">
        <v>4799</v>
      </c>
      <c r="G199" s="514">
        <v>1422.78</v>
      </c>
      <c r="H199" s="437" t="str">
        <f>VLOOKUP(D199,'COA LTD'!A:F,3,0)</f>
        <v>PL</v>
      </c>
      <c r="I199" s="437" t="str">
        <f>VLOOKUP(D199,'COA LTD'!A:F,4,0)</f>
        <v>Operations</v>
      </c>
      <c r="J199" s="437" t="str">
        <f>VLOOKUP(D199,'COA LTD'!A:F,5,0)</f>
        <v xml:space="preserve">Salary </v>
      </c>
      <c r="K199" s="439">
        <f t="shared" si="0"/>
        <v>3.3729740367449641</v>
      </c>
      <c r="L199" s="437"/>
      <c r="M199" s="437"/>
      <c r="N199" s="437"/>
      <c r="O199" s="437"/>
      <c r="P199" s="438"/>
      <c r="Q199" s="438"/>
      <c r="R199" s="438"/>
      <c r="S199" s="438"/>
      <c r="T199" s="437"/>
      <c r="U199" s="437"/>
      <c r="V199" s="437"/>
      <c r="W199" s="437"/>
      <c r="X199" s="437"/>
      <c r="Y199" s="437"/>
      <c r="Z199" s="437"/>
    </row>
    <row r="200" spans="1:26" ht="15.75" customHeight="1">
      <c r="A200" t="s">
        <v>1391</v>
      </c>
      <c r="B200" t="s">
        <v>1392</v>
      </c>
      <c r="C200" t="s">
        <v>1393</v>
      </c>
      <c r="D200" s="516">
        <v>80010117</v>
      </c>
      <c r="E200" t="s">
        <v>631</v>
      </c>
      <c r="F200" s="514">
        <v>-4799</v>
      </c>
      <c r="G200" s="514">
        <v>-1422.78</v>
      </c>
      <c r="H200" s="437" t="str">
        <f>VLOOKUP(D200,'COA LTD'!A:F,3,0)</f>
        <v>PL</v>
      </c>
      <c r="I200" s="437" t="str">
        <f>VLOOKUP(D200,'COA LTD'!A:F,4,0)</f>
        <v>Operations</v>
      </c>
      <c r="J200" s="437" t="str">
        <f>VLOOKUP(D200,'COA LTD'!A:F,5,0)</f>
        <v xml:space="preserve">Salary </v>
      </c>
      <c r="K200" s="439">
        <f t="shared" si="0"/>
        <v>3.3729740367449641</v>
      </c>
      <c r="L200" s="437"/>
      <c r="M200" s="437"/>
      <c r="N200" s="437"/>
      <c r="O200" s="437"/>
      <c r="P200" s="438"/>
      <c r="Q200" s="438"/>
      <c r="R200" s="438"/>
      <c r="S200" s="438"/>
      <c r="T200" s="437"/>
      <c r="U200" s="437"/>
      <c r="V200" s="437"/>
      <c r="W200" s="437"/>
      <c r="X200" s="437"/>
      <c r="Y200" s="437"/>
      <c r="Z200" s="437"/>
    </row>
    <row r="201" spans="1:26" ht="15.75" customHeight="1">
      <c r="A201" t="s">
        <v>1391</v>
      </c>
      <c r="B201" t="s">
        <v>1392</v>
      </c>
      <c r="C201" t="s">
        <v>1393</v>
      </c>
      <c r="D201" s="516">
        <v>80010118</v>
      </c>
      <c r="E201" t="s">
        <v>632</v>
      </c>
      <c r="F201" s="514">
        <v>102153</v>
      </c>
      <c r="G201" s="514">
        <v>30130.01</v>
      </c>
      <c r="H201" s="437" t="str">
        <f>VLOOKUP(D201,'COA LTD'!A:F,3,0)</f>
        <v>PL</v>
      </c>
      <c r="I201" s="437" t="str">
        <f>VLOOKUP(D201,'COA LTD'!A:F,4,0)</f>
        <v>Operations</v>
      </c>
      <c r="J201" s="437" t="str">
        <f>VLOOKUP(D201,'COA LTD'!A:F,5,0)</f>
        <v xml:space="preserve">Salary </v>
      </c>
      <c r="K201" s="439">
        <f t="shared" si="0"/>
        <v>3.3904071057394276</v>
      </c>
      <c r="L201" s="437"/>
      <c r="M201" s="437"/>
      <c r="N201" s="437"/>
      <c r="O201" s="437"/>
      <c r="P201" s="438"/>
      <c r="Q201" s="438"/>
      <c r="R201" s="438"/>
      <c r="S201" s="438"/>
      <c r="T201" s="437"/>
      <c r="U201" s="437"/>
      <c r="V201" s="437"/>
      <c r="W201" s="437"/>
      <c r="X201" s="437"/>
      <c r="Y201" s="437"/>
      <c r="Z201" s="437"/>
    </row>
    <row r="202" spans="1:26" ht="15.75" customHeight="1">
      <c r="A202" t="s">
        <v>1391</v>
      </c>
      <c r="B202" t="s">
        <v>1392</v>
      </c>
      <c r="C202" t="s">
        <v>1393</v>
      </c>
      <c r="D202" s="516">
        <v>80010119</v>
      </c>
      <c r="E202" t="s">
        <v>633</v>
      </c>
      <c r="F202" s="514">
        <v>-102153</v>
      </c>
      <c r="G202" s="514">
        <v>-30130.01</v>
      </c>
      <c r="H202" s="437" t="str">
        <f>VLOOKUP(D202,'COA LTD'!A:F,3,0)</f>
        <v>PL</v>
      </c>
      <c r="I202" s="437" t="str">
        <f>VLOOKUP(D202,'COA LTD'!A:F,4,0)</f>
        <v>Operations</v>
      </c>
      <c r="J202" s="437" t="str">
        <f>VLOOKUP(D202,'COA LTD'!A:F,5,0)</f>
        <v xml:space="preserve">Salary </v>
      </c>
      <c r="K202" s="439">
        <f t="shared" si="0"/>
        <v>3.3904071057394276</v>
      </c>
      <c r="L202" s="437"/>
      <c r="M202" s="437"/>
      <c r="N202" s="437"/>
      <c r="O202" s="437"/>
      <c r="P202" s="438"/>
      <c r="Q202" s="438"/>
      <c r="R202" s="438"/>
      <c r="S202" s="438"/>
      <c r="T202" s="437"/>
      <c r="U202" s="437"/>
      <c r="V202" s="437"/>
      <c r="W202" s="437"/>
      <c r="X202" s="437"/>
      <c r="Y202" s="437"/>
      <c r="Z202" s="437"/>
    </row>
    <row r="203" spans="1:26" ht="15.75" customHeight="1">
      <c r="A203" t="s">
        <v>1391</v>
      </c>
      <c r="B203" t="s">
        <v>1392</v>
      </c>
      <c r="C203" t="s">
        <v>1393</v>
      </c>
      <c r="D203" s="516">
        <v>80010120</v>
      </c>
      <c r="E203" t="s">
        <v>929</v>
      </c>
      <c r="F203" s="514">
        <v>12800</v>
      </c>
      <c r="G203" s="514">
        <v>3739.4</v>
      </c>
      <c r="H203" s="437" t="str">
        <f>VLOOKUP(D203,'COA LTD'!A:F,3,0)</f>
        <v>PL</v>
      </c>
      <c r="I203" s="437" t="str">
        <f>VLOOKUP(D203,'COA LTD'!A:F,4,0)</f>
        <v>Operations</v>
      </c>
      <c r="J203" s="437" t="str">
        <f>VLOOKUP(D203,'COA LTD'!A:F,5,0)</f>
        <v xml:space="preserve">salary </v>
      </c>
      <c r="K203" s="439">
        <f t="shared" si="0"/>
        <v>3.4230090388832433</v>
      </c>
      <c r="L203" s="437"/>
      <c r="M203" s="437"/>
      <c r="N203" s="437"/>
      <c r="O203" s="437"/>
      <c r="P203" s="438"/>
      <c r="Q203" s="438"/>
      <c r="R203" s="438"/>
      <c r="S203" s="438"/>
      <c r="T203" s="437"/>
      <c r="U203" s="437"/>
      <c r="V203" s="437"/>
      <c r="W203" s="437"/>
      <c r="X203" s="437"/>
      <c r="Y203" s="437"/>
      <c r="Z203" s="437"/>
    </row>
    <row r="204" spans="1:26" ht="15.75" customHeight="1">
      <c r="A204" t="s">
        <v>1391</v>
      </c>
      <c r="B204" t="s">
        <v>1392</v>
      </c>
      <c r="C204" t="s">
        <v>1393</v>
      </c>
      <c r="D204" s="516">
        <v>80010121</v>
      </c>
      <c r="E204" t="s">
        <v>931</v>
      </c>
      <c r="F204" s="514">
        <v>-12800</v>
      </c>
      <c r="G204" s="514">
        <v>-3739.4</v>
      </c>
      <c r="H204" s="437" t="str">
        <f>VLOOKUP(D204,'COA LTD'!A:F,3,0)</f>
        <v>PL</v>
      </c>
      <c r="I204" s="437" t="str">
        <f>VLOOKUP(D204,'COA LTD'!A:F,4,0)</f>
        <v>Operations</v>
      </c>
      <c r="J204" s="437" t="str">
        <f>VLOOKUP(D204,'COA LTD'!A:F,5,0)</f>
        <v xml:space="preserve">salary </v>
      </c>
      <c r="K204" s="439">
        <f t="shared" si="0"/>
        <v>3.4230090388832433</v>
      </c>
      <c r="L204" s="437"/>
      <c r="M204" s="437"/>
      <c r="N204" s="437"/>
      <c r="O204" s="437"/>
      <c r="P204" s="438"/>
      <c r="Q204" s="438"/>
      <c r="R204" s="438"/>
      <c r="S204" s="438"/>
      <c r="T204" s="437"/>
      <c r="U204" s="437"/>
      <c r="V204" s="437"/>
      <c r="W204" s="437"/>
      <c r="X204" s="437"/>
      <c r="Y204" s="437"/>
      <c r="Z204" s="437"/>
    </row>
    <row r="205" spans="1:26" ht="15.75" customHeight="1">
      <c r="A205" t="s">
        <v>1391</v>
      </c>
      <c r="B205" t="s">
        <v>1392</v>
      </c>
      <c r="C205" t="s">
        <v>1393</v>
      </c>
      <c r="D205" s="516">
        <v>80010123</v>
      </c>
      <c r="E205" t="s">
        <v>1250</v>
      </c>
      <c r="F205" s="514">
        <v>15471</v>
      </c>
      <c r="G205" s="514">
        <v>4500</v>
      </c>
      <c r="H205" s="437" t="str">
        <f>VLOOKUP(D205,'COA LTD'!A:F,3,0)</f>
        <v>PL</v>
      </c>
      <c r="I205" s="437" t="str">
        <f>VLOOKUP(D205,'COA LTD'!A:F,4,0)</f>
        <v>Operations</v>
      </c>
      <c r="J205" s="437" t="str">
        <f>VLOOKUP(D205,'COA LTD'!A:F,5,0)</f>
        <v xml:space="preserve">salary </v>
      </c>
      <c r="K205" s="439">
        <f t="shared" si="0"/>
        <v>3.4380000000000002</v>
      </c>
      <c r="L205" s="437"/>
      <c r="M205" s="437"/>
      <c r="N205" s="437"/>
      <c r="O205" s="437"/>
      <c r="P205" s="438"/>
      <c r="Q205" s="438"/>
      <c r="R205" s="438"/>
      <c r="S205" s="438"/>
      <c r="T205" s="437"/>
      <c r="U205" s="437"/>
      <c r="V205" s="437"/>
      <c r="W205" s="437"/>
      <c r="X205" s="437"/>
      <c r="Y205" s="437"/>
      <c r="Z205" s="437"/>
    </row>
    <row r="206" spans="1:26" ht="15.75" customHeight="1">
      <c r="A206" t="s">
        <v>1391</v>
      </c>
      <c r="B206" t="s">
        <v>1392</v>
      </c>
      <c r="C206" t="s">
        <v>1393</v>
      </c>
      <c r="D206" s="516">
        <v>80200122</v>
      </c>
      <c r="E206" t="s">
        <v>1290</v>
      </c>
      <c r="F206" s="514">
        <v>46941.5</v>
      </c>
      <c r="G206" s="514">
        <v>13765.83</v>
      </c>
      <c r="H206" s="437" t="str">
        <f>VLOOKUP(D206,'COA LTD'!A:F,3,0)</f>
        <v>PL</v>
      </c>
      <c r="I206" s="437" t="str">
        <f>VLOOKUP(D206,'COA LTD'!A:F,4,0)</f>
        <v>Operations</v>
      </c>
      <c r="J206" s="437" t="str">
        <f>VLOOKUP(D206,'COA LTD'!A:F,5,0)</f>
        <v xml:space="preserve">salary </v>
      </c>
      <c r="K206" s="439">
        <f t="shared" si="0"/>
        <v>3.4100014310797095</v>
      </c>
      <c r="L206" s="437"/>
      <c r="M206" s="437"/>
      <c r="N206" s="437"/>
      <c r="O206" s="437"/>
      <c r="P206" s="438"/>
      <c r="Q206" s="438"/>
      <c r="R206" s="438"/>
      <c r="S206" s="438"/>
      <c r="T206" s="437"/>
      <c r="U206" s="437"/>
      <c r="V206" s="437"/>
      <c r="W206" s="437"/>
      <c r="X206" s="437"/>
      <c r="Y206" s="437"/>
      <c r="Z206" s="437"/>
    </row>
    <row r="207" spans="1:26" ht="15.75" customHeight="1">
      <c r="A207" t="s">
        <v>1391</v>
      </c>
      <c r="B207" t="s">
        <v>1392</v>
      </c>
      <c r="C207" t="s">
        <v>1394</v>
      </c>
      <c r="D207" s="516">
        <v>80010200</v>
      </c>
      <c r="E207" t="s">
        <v>634</v>
      </c>
      <c r="F207" s="514">
        <v>1075986.08</v>
      </c>
      <c r="G207" s="514">
        <v>320450</v>
      </c>
      <c r="H207" s="437" t="str">
        <f>VLOOKUP(D207,'COA LTD'!A:F,3,0)</f>
        <v>PL</v>
      </c>
      <c r="I207" s="437" t="str">
        <f>VLOOKUP(D207,'COA LTD'!A:F,4,0)</f>
        <v>Operations</v>
      </c>
      <c r="J207" s="437" t="str">
        <f>VLOOKUP(D207,'COA LTD'!A:F,5,0)</f>
        <v xml:space="preserve"> Professional Services</v>
      </c>
      <c r="K207" s="439">
        <f t="shared" si="0"/>
        <v>3.3577346855983774</v>
      </c>
      <c r="L207" s="437"/>
      <c r="M207" s="437"/>
      <c r="N207" s="437"/>
      <c r="O207" s="437"/>
      <c r="P207" s="438"/>
      <c r="Q207" s="438"/>
      <c r="R207" s="438"/>
      <c r="S207" s="438"/>
      <c r="T207" s="437"/>
      <c r="U207" s="437"/>
      <c r="V207" s="437"/>
      <c r="W207" s="437"/>
      <c r="X207" s="437"/>
      <c r="Y207" s="437"/>
      <c r="Z207" s="437"/>
    </row>
    <row r="208" spans="1:26" ht="15.75" customHeight="1">
      <c r="A208" t="s">
        <v>1391</v>
      </c>
      <c r="B208" t="s">
        <v>1392</v>
      </c>
      <c r="C208" t="s">
        <v>1394</v>
      </c>
      <c r="D208" s="516">
        <v>80200207</v>
      </c>
      <c r="E208" t="s">
        <v>636</v>
      </c>
      <c r="F208" s="514">
        <v>3553.83</v>
      </c>
      <c r="G208" s="514">
        <v>1067.7</v>
      </c>
      <c r="H208" s="437" t="str">
        <f>VLOOKUP(D208,'COA LTD'!A:F,3,0)</f>
        <v>PL</v>
      </c>
      <c r="I208" s="437" t="str">
        <f>VLOOKUP(D208,'COA LTD'!A:F,4,0)</f>
        <v>Operations</v>
      </c>
      <c r="J208" s="437" t="str">
        <f>VLOOKUP(D208,'COA LTD'!A:F,5,0)</f>
        <v xml:space="preserve"> Professional Services</v>
      </c>
      <c r="K208" s="439">
        <f t="shared" si="0"/>
        <v>3.3284911491992131</v>
      </c>
      <c r="L208" s="437"/>
      <c r="M208" s="437"/>
      <c r="N208" s="437"/>
      <c r="O208" s="437"/>
      <c r="P208" s="438"/>
      <c r="Q208" s="438"/>
      <c r="R208" s="438"/>
      <c r="S208" s="438"/>
      <c r="T208" s="442"/>
      <c r="U208" s="442"/>
      <c r="V208" s="442"/>
      <c r="W208" s="442"/>
      <c r="X208" s="442"/>
      <c r="Y208" s="442"/>
      <c r="Z208" s="442"/>
    </row>
    <row r="209" spans="1:26" ht="15.75" customHeight="1">
      <c r="A209" t="s">
        <v>1391</v>
      </c>
      <c r="B209" t="s">
        <v>1392</v>
      </c>
      <c r="C209" t="s">
        <v>1395</v>
      </c>
      <c r="D209" s="516">
        <v>80010300</v>
      </c>
      <c r="E209" t="s">
        <v>637</v>
      </c>
      <c r="F209" s="514">
        <v>238667.82</v>
      </c>
      <c r="G209" s="514">
        <v>70434.95</v>
      </c>
      <c r="H209" s="437" t="str">
        <f>VLOOKUP(D209,'COA LTD'!A:F,3,0)</f>
        <v>PL</v>
      </c>
      <c r="I209" s="437" t="str">
        <f>VLOOKUP(D209,'COA LTD'!A:F,4,0)</f>
        <v>Operations</v>
      </c>
      <c r="J209" s="437" t="str">
        <f>VLOOKUP(D209,'COA LTD'!A:F,5,0)</f>
        <v xml:space="preserve">Softwere subscription </v>
      </c>
      <c r="K209" s="439">
        <f t="shared" si="0"/>
        <v>3.3884856878580876</v>
      </c>
      <c r="L209" s="437"/>
      <c r="M209" s="437"/>
      <c r="N209" s="437"/>
      <c r="O209" s="437"/>
      <c r="P209" s="438"/>
      <c r="Q209" s="438"/>
      <c r="R209" s="438"/>
      <c r="S209" s="438"/>
      <c r="T209" s="437"/>
      <c r="U209" s="437"/>
      <c r="V209" s="437"/>
      <c r="W209" s="437"/>
      <c r="X209" s="437"/>
      <c r="Y209" s="437"/>
      <c r="Z209" s="437"/>
    </row>
    <row r="210" spans="1:26" ht="15.75" customHeight="1">
      <c r="A210" t="s">
        <v>1391</v>
      </c>
      <c r="B210" t="s">
        <v>1392</v>
      </c>
      <c r="C210" t="s">
        <v>1396</v>
      </c>
      <c r="D210" s="516">
        <v>80200401</v>
      </c>
      <c r="E210" t="s">
        <v>638</v>
      </c>
      <c r="F210" s="514">
        <v>204004.19</v>
      </c>
      <c r="G210" s="514">
        <v>59212.82</v>
      </c>
      <c r="H210" s="437" t="str">
        <f>VLOOKUP(D210,'COA LTD'!A:F,3,0)</f>
        <v>PL</v>
      </c>
      <c r="I210" s="437" t="str">
        <f>VLOOKUP(D210,'COA LTD'!A:F,4,0)</f>
        <v>Operations</v>
      </c>
      <c r="J210" s="437" t="str">
        <f>VLOOKUP(D210,'COA LTD'!A:F,5,0)</f>
        <v>Rent and related</v>
      </c>
      <c r="K210" s="439">
        <f t="shared" si="0"/>
        <v>3.4452706356495097</v>
      </c>
      <c r="L210" s="437"/>
      <c r="M210" s="437"/>
      <c r="N210" s="437"/>
      <c r="O210" s="437"/>
      <c r="P210" s="438"/>
      <c r="Q210" s="438"/>
      <c r="R210" s="438"/>
      <c r="S210" s="438"/>
      <c r="T210" s="437"/>
      <c r="U210" s="437"/>
      <c r="V210" s="437"/>
      <c r="W210" s="437"/>
      <c r="X210" s="437"/>
      <c r="Y210" s="437"/>
      <c r="Z210" s="437"/>
    </row>
    <row r="211" spans="1:26" ht="15.75" customHeight="1">
      <c r="A211" t="s">
        <v>1391</v>
      </c>
      <c r="B211" t="s">
        <v>1392</v>
      </c>
      <c r="C211" t="s">
        <v>1396</v>
      </c>
      <c r="D211" s="516">
        <v>80200402</v>
      </c>
      <c r="E211" t="s">
        <v>639</v>
      </c>
      <c r="F211" s="514">
        <v>49272.27</v>
      </c>
      <c r="G211" s="514">
        <v>14443.08</v>
      </c>
      <c r="H211" s="437" t="str">
        <f>VLOOKUP(D211,'COA LTD'!A:F,3,0)</f>
        <v>PL</v>
      </c>
      <c r="I211" s="437" t="str">
        <f>VLOOKUP(D211,'COA LTD'!A:F,4,0)</f>
        <v>Operations</v>
      </c>
      <c r="J211" s="437" t="str">
        <f>VLOOKUP(D211,'COA LTD'!A:F,5,0)</f>
        <v>Rent and related</v>
      </c>
      <c r="K211" s="439">
        <f t="shared" si="0"/>
        <v>3.4114794074394101</v>
      </c>
      <c r="L211" s="437"/>
      <c r="M211" s="437"/>
      <c r="N211" s="437"/>
      <c r="O211" s="437"/>
      <c r="P211" s="438"/>
      <c r="Q211" s="438"/>
      <c r="R211" s="438"/>
      <c r="S211" s="438"/>
      <c r="T211" s="437"/>
      <c r="U211" s="437"/>
      <c r="V211" s="437"/>
      <c r="W211" s="437"/>
      <c r="X211" s="437"/>
      <c r="Y211" s="437"/>
      <c r="Z211" s="437"/>
    </row>
    <row r="212" spans="1:26" ht="15.75" customHeight="1">
      <c r="A212" t="s">
        <v>1391</v>
      </c>
      <c r="B212" t="s">
        <v>1392</v>
      </c>
      <c r="C212" t="s">
        <v>1396</v>
      </c>
      <c r="D212" s="516">
        <v>80200403</v>
      </c>
      <c r="E212" t="s">
        <v>1067</v>
      </c>
      <c r="F212" s="514">
        <v>692.05</v>
      </c>
      <c r="G212" s="514">
        <v>199.44</v>
      </c>
      <c r="H212" s="437" t="str">
        <f>VLOOKUP(D212,'COA LTD'!A:F,3,0)</f>
        <v>PL</v>
      </c>
      <c r="I212" s="437" t="str">
        <f>VLOOKUP(D212,'COA LTD'!A:F,4,0)</f>
        <v>Operations</v>
      </c>
      <c r="J212" s="437" t="str">
        <f>VLOOKUP(D212,'COA LTD'!A:F,5,0)</f>
        <v>Rent and related</v>
      </c>
      <c r="K212" s="439">
        <f t="shared" si="0"/>
        <v>3.4699659045326912</v>
      </c>
      <c r="L212" s="437"/>
      <c r="M212" s="437"/>
      <c r="N212" s="437"/>
      <c r="O212" s="437"/>
      <c r="P212" s="438"/>
      <c r="Q212" s="438"/>
      <c r="R212" s="438"/>
      <c r="S212" s="438"/>
      <c r="T212" s="437"/>
      <c r="U212" s="437"/>
      <c r="V212" s="437"/>
      <c r="W212" s="437"/>
      <c r="X212" s="437"/>
      <c r="Y212" s="437"/>
      <c r="Z212" s="437"/>
    </row>
    <row r="213" spans="1:26" ht="15.75" customHeight="1">
      <c r="A213" t="s">
        <v>1391</v>
      </c>
      <c r="B213" t="s">
        <v>1392</v>
      </c>
      <c r="C213" t="s">
        <v>1396</v>
      </c>
      <c r="D213" s="516">
        <v>80200404</v>
      </c>
      <c r="E213" t="s">
        <v>963</v>
      </c>
      <c r="F213" s="514">
        <v>8442.68</v>
      </c>
      <c r="G213" s="514">
        <v>2433.69</v>
      </c>
      <c r="H213" s="437" t="str">
        <f>VLOOKUP(D213,'COA LTD'!A:F,3,0)</f>
        <v>PL</v>
      </c>
      <c r="I213" s="437" t="str">
        <f>VLOOKUP(D213,'COA LTD'!A:F,4,0)</f>
        <v>Operations</v>
      </c>
      <c r="J213" s="437" t="str">
        <f>VLOOKUP(D213,'COA LTD'!A:F,5,0)</f>
        <v>Rent and related</v>
      </c>
      <c r="K213" s="439">
        <f t="shared" si="0"/>
        <v>3.4690860380738715</v>
      </c>
      <c r="L213" s="437"/>
      <c r="M213" s="437"/>
      <c r="N213" s="437"/>
      <c r="O213" s="437"/>
      <c r="P213" s="438"/>
      <c r="Q213" s="438"/>
      <c r="R213" s="438"/>
      <c r="S213" s="438"/>
      <c r="T213" s="437"/>
      <c r="U213" s="437"/>
      <c r="V213" s="437"/>
      <c r="W213" s="437"/>
      <c r="X213" s="437"/>
      <c r="Y213" s="437"/>
      <c r="Z213" s="437"/>
    </row>
    <row r="214" spans="1:26" ht="15.75" customHeight="1">
      <c r="A214" t="s">
        <v>1391</v>
      </c>
      <c r="B214" t="s">
        <v>1392</v>
      </c>
      <c r="C214" t="s">
        <v>1396</v>
      </c>
      <c r="D214" s="516">
        <v>80200405</v>
      </c>
      <c r="E214" t="s">
        <v>1256</v>
      </c>
      <c r="F214" s="514">
        <v>8556.43</v>
      </c>
      <c r="G214" s="514">
        <v>2471.58</v>
      </c>
      <c r="H214" s="437" t="str">
        <f>VLOOKUP(D214,'COA LTD'!A:F,3,0)</f>
        <v>PL</v>
      </c>
      <c r="I214" s="437" t="str">
        <f>VLOOKUP(D214,'COA LTD'!A:F,4,0)</f>
        <v>Operations</v>
      </c>
      <c r="J214" s="437" t="str">
        <f>VLOOKUP(D214,'COA LTD'!A:F,5,0)</f>
        <v>Design</v>
      </c>
      <c r="K214" s="439">
        <f t="shared" si="0"/>
        <v>3.4619271882763254</v>
      </c>
      <c r="L214" s="437"/>
      <c r="M214" s="437"/>
      <c r="N214" s="437"/>
      <c r="O214" s="437"/>
      <c r="P214" s="438"/>
      <c r="Q214" s="438"/>
      <c r="R214" s="438"/>
      <c r="S214" s="438"/>
      <c r="T214" s="437"/>
      <c r="U214" s="437"/>
      <c r="V214" s="437"/>
      <c r="W214" s="437"/>
      <c r="X214" s="437"/>
      <c r="Y214" s="437"/>
      <c r="Z214" s="437"/>
    </row>
    <row r="215" spans="1:26" ht="15.75" customHeight="1">
      <c r="A215" t="s">
        <v>1391</v>
      </c>
      <c r="B215" t="s">
        <v>1392</v>
      </c>
      <c r="C215" t="s">
        <v>1396</v>
      </c>
      <c r="D215" s="516">
        <v>80200406</v>
      </c>
      <c r="E215" t="s">
        <v>640</v>
      </c>
      <c r="F215" s="514">
        <v>13401.83</v>
      </c>
      <c r="G215" s="514">
        <v>3980.28</v>
      </c>
      <c r="H215" s="437" t="str">
        <f>VLOOKUP(D215,'COA LTD'!A:F,3,0)</f>
        <v>PL</v>
      </c>
      <c r="I215" s="437" t="str">
        <f>VLOOKUP(D215,'COA LTD'!A:F,4,0)</f>
        <v>Operations</v>
      </c>
      <c r="J215" s="437" t="str">
        <f>VLOOKUP(D215,'COA LTD'!A:F,5,0)</f>
        <v>Rent and related</v>
      </c>
      <c r="K215" s="439">
        <f t="shared" si="0"/>
        <v>3.3670570914609019</v>
      </c>
      <c r="L215" s="437"/>
      <c r="M215" s="437"/>
      <c r="N215" s="437"/>
      <c r="O215" s="437"/>
      <c r="P215" s="438"/>
      <c r="Q215" s="438"/>
      <c r="R215" s="438"/>
      <c r="S215" s="438"/>
      <c r="T215" s="437"/>
      <c r="U215" s="437"/>
      <c r="V215" s="437"/>
      <c r="W215" s="437"/>
      <c r="X215" s="437"/>
      <c r="Y215" s="437"/>
      <c r="Z215" s="437"/>
    </row>
    <row r="216" spans="1:26" ht="15.75" customHeight="1">
      <c r="A216" t="s">
        <v>1391</v>
      </c>
      <c r="B216" t="s">
        <v>1392</v>
      </c>
      <c r="C216" t="s">
        <v>1396</v>
      </c>
      <c r="D216" s="516">
        <v>80200407</v>
      </c>
      <c r="E216" t="s">
        <v>964</v>
      </c>
      <c r="F216" s="514">
        <v>67437.86</v>
      </c>
      <c r="G216" s="514">
        <v>19744.169999999998</v>
      </c>
      <c r="H216" s="437" t="str">
        <f>VLOOKUP(D216,'COA LTD'!A:F,3,0)</f>
        <v>PL</v>
      </c>
      <c r="I216" s="437" t="str">
        <f>VLOOKUP(D216,'COA LTD'!A:F,4,0)</f>
        <v>Operations</v>
      </c>
      <c r="J216" s="437" t="str">
        <f>VLOOKUP(D216,'COA LTD'!A:F,5,0)</f>
        <v>Rent and related</v>
      </c>
      <c r="K216" s="439">
        <f t="shared" si="0"/>
        <v>3.4155834355153956</v>
      </c>
      <c r="L216" s="437"/>
      <c r="M216" s="437"/>
      <c r="N216" s="437"/>
      <c r="O216" s="437"/>
      <c r="P216" s="438"/>
      <c r="Q216" s="438"/>
      <c r="R216" s="438"/>
      <c r="S216" s="438"/>
      <c r="T216" s="437"/>
      <c r="U216" s="437"/>
      <c r="V216" s="437"/>
      <c r="W216" s="437"/>
      <c r="X216" s="437"/>
      <c r="Y216" s="437"/>
      <c r="Z216" s="437"/>
    </row>
    <row r="217" spans="1:26" ht="15.75" customHeight="1">
      <c r="A217" t="s">
        <v>1391</v>
      </c>
      <c r="B217" t="s">
        <v>1392</v>
      </c>
      <c r="C217" t="s">
        <v>1396</v>
      </c>
      <c r="D217" s="516">
        <v>80200408</v>
      </c>
      <c r="E217" t="s">
        <v>965</v>
      </c>
      <c r="F217" s="514">
        <v>38953.42</v>
      </c>
      <c r="G217" s="514">
        <v>11343.02</v>
      </c>
      <c r="H217" s="665" t="str">
        <f>VLOOKUP(D217,'COA LTD'!A:F,3,0)</f>
        <v>PL</v>
      </c>
      <c r="I217" s="437" t="str">
        <f>VLOOKUP(D217,'COA LTD'!A:F,4,0)</f>
        <v>Operations</v>
      </c>
      <c r="J217" s="665" t="str">
        <f>VLOOKUP(D217,'COA LTD'!A:F,5,0)</f>
        <v>Rent and related</v>
      </c>
      <c r="K217" s="439">
        <f t="shared" si="0"/>
        <v>3.4341312983667485</v>
      </c>
      <c r="L217" s="437"/>
      <c r="M217" s="437"/>
      <c r="N217" s="437"/>
      <c r="O217" s="437"/>
      <c r="P217" s="438"/>
      <c r="Q217" s="438"/>
      <c r="R217" s="438"/>
      <c r="S217" s="438"/>
      <c r="T217" s="437"/>
      <c r="U217" s="437"/>
      <c r="V217" s="437"/>
      <c r="W217" s="437"/>
      <c r="X217" s="437"/>
      <c r="Y217" s="437"/>
      <c r="Z217" s="437"/>
    </row>
    <row r="218" spans="1:26" ht="15.75" customHeight="1">
      <c r="A218" t="s">
        <v>1391</v>
      </c>
      <c r="B218" t="s">
        <v>1392</v>
      </c>
      <c r="C218" t="s">
        <v>1396</v>
      </c>
      <c r="D218" s="516">
        <v>80200409</v>
      </c>
      <c r="E218" t="s">
        <v>966</v>
      </c>
      <c r="F218" s="514">
        <v>4510.4799999999996</v>
      </c>
      <c r="G218" s="514">
        <v>1327.56</v>
      </c>
      <c r="H218" s="665" t="str">
        <f>VLOOKUP(D218,'COA LTD'!A:F,3,0)</f>
        <v>PL</v>
      </c>
      <c r="I218" s="437" t="str">
        <f>VLOOKUP(D218,'COA LTD'!A:F,4,0)</f>
        <v>Operations</v>
      </c>
      <c r="J218" s="665" t="str">
        <f>VLOOKUP(D218,'COA LTD'!A:F,5,0)</f>
        <v>Rent and related</v>
      </c>
      <c r="K218" s="666">
        <f t="shared" si="0"/>
        <v>3.3975714845280063</v>
      </c>
      <c r="L218" s="437"/>
      <c r="M218" s="437"/>
      <c r="N218" s="437"/>
      <c r="O218" s="437"/>
      <c r="P218" s="438"/>
      <c r="Q218" s="438"/>
      <c r="R218" s="438"/>
      <c r="S218" s="438"/>
      <c r="T218" s="437"/>
      <c r="U218" s="437"/>
      <c r="V218" s="437"/>
      <c r="W218" s="437"/>
      <c r="X218" s="437"/>
      <c r="Y218" s="437"/>
      <c r="Z218" s="437"/>
    </row>
    <row r="219" spans="1:26" ht="15.75" customHeight="1">
      <c r="A219" t="s">
        <v>1391</v>
      </c>
      <c r="B219" t="s">
        <v>1392</v>
      </c>
      <c r="C219" t="s">
        <v>1396</v>
      </c>
      <c r="D219" s="516">
        <v>80200410</v>
      </c>
      <c r="E219" t="s">
        <v>1132</v>
      </c>
      <c r="F219" s="514">
        <v>338.71</v>
      </c>
      <c r="G219" s="514">
        <v>99.05</v>
      </c>
      <c r="H219" s="665" t="str">
        <f>VLOOKUP(D219,'COA LTD'!A:F,3,0)</f>
        <v>PL</v>
      </c>
      <c r="I219" s="437" t="str">
        <f>VLOOKUP(D219,'COA LTD'!A:F,4,0)</f>
        <v>Operations</v>
      </c>
      <c r="J219" s="665" t="str">
        <f>VLOOKUP(D219,'COA LTD'!A:F,5,0)</f>
        <v>Fees and fines</v>
      </c>
      <c r="K219" s="439">
        <f t="shared" si="0"/>
        <v>3.4195860676426046</v>
      </c>
      <c r="L219" s="437"/>
      <c r="M219" s="437"/>
      <c r="N219" s="437"/>
      <c r="O219" s="437"/>
      <c r="P219" s="438"/>
      <c r="Q219" s="438"/>
      <c r="R219" s="438"/>
      <c r="S219" s="438"/>
      <c r="T219" s="437"/>
      <c r="U219" s="437"/>
      <c r="V219" s="437"/>
      <c r="W219" s="437"/>
      <c r="X219" s="437"/>
      <c r="Y219" s="437"/>
      <c r="Z219" s="437"/>
    </row>
    <row r="220" spans="1:26" ht="15.75" customHeight="1">
      <c r="A220" t="s">
        <v>1391</v>
      </c>
      <c r="B220" t="s">
        <v>1392</v>
      </c>
      <c r="C220" t="s">
        <v>1396</v>
      </c>
      <c r="D220" s="516">
        <v>80200412</v>
      </c>
      <c r="E220" t="s">
        <v>1612</v>
      </c>
      <c r="F220" s="514">
        <v>5744.91</v>
      </c>
      <c r="G220" s="514">
        <v>1658.46</v>
      </c>
      <c r="H220" s="665" t="str">
        <f>VLOOKUP(D220,'COA LTD'!A:F,3,0)</f>
        <v>PL</v>
      </c>
      <c r="I220" s="437" t="str">
        <f>VLOOKUP(D220,'COA LTD'!A:F,4,0)</f>
        <v>Operations</v>
      </c>
      <c r="J220" s="665" t="str">
        <f>VLOOKUP(D220,'COA LTD'!A:F,5,0)</f>
        <v>Rent and related</v>
      </c>
      <c r="K220" s="439">
        <f t="shared" si="0"/>
        <v>3.4640027495387287</v>
      </c>
      <c r="L220" s="437"/>
      <c r="M220" s="437"/>
      <c r="N220" s="437"/>
      <c r="O220" s="437"/>
      <c r="P220" s="438"/>
      <c r="Q220" s="438"/>
      <c r="R220" s="438"/>
      <c r="S220" s="438"/>
      <c r="T220" s="437"/>
      <c r="U220" s="437"/>
      <c r="V220" s="437"/>
      <c r="W220" s="437"/>
      <c r="X220" s="437"/>
      <c r="Y220" s="437"/>
      <c r="Z220" s="437"/>
    </row>
    <row r="221" spans="1:26" ht="15.75" customHeight="1">
      <c r="A221" t="s">
        <v>1391</v>
      </c>
      <c r="B221" t="s">
        <v>1392</v>
      </c>
      <c r="C221" t="s">
        <v>1397</v>
      </c>
      <c r="D221" s="516">
        <v>80200500</v>
      </c>
      <c r="E221" t="s">
        <v>641</v>
      </c>
      <c r="F221" s="514">
        <v>54762.66</v>
      </c>
      <c r="G221" s="514">
        <v>16803.740000000002</v>
      </c>
      <c r="H221" s="437" t="str">
        <f>VLOOKUP(D221,'COA LTD'!A:F,3,0)</f>
        <v>PL</v>
      </c>
      <c r="I221" s="437" t="str">
        <f>VLOOKUP(D221,'COA LTD'!A:F,4,0)</f>
        <v>Operations</v>
      </c>
      <c r="J221" s="437" t="str">
        <f>VLOOKUP(D221,'COA LTD'!A:F,5,0)</f>
        <v>Depreciation</v>
      </c>
      <c r="K221" s="439">
        <f t="shared" si="0"/>
        <v>3.2589566370343745</v>
      </c>
      <c r="L221" s="437"/>
      <c r="M221" s="437"/>
      <c r="N221" s="437"/>
      <c r="O221" s="437"/>
      <c r="P221" s="438"/>
      <c r="Q221" s="438"/>
      <c r="R221" s="438"/>
      <c r="S221" s="438"/>
      <c r="T221" s="437"/>
      <c r="U221" s="437"/>
      <c r="V221" s="437"/>
      <c r="W221" s="437"/>
      <c r="X221" s="437"/>
      <c r="Y221" s="437"/>
      <c r="Z221" s="437"/>
    </row>
    <row r="222" spans="1:26" ht="15.75" customHeight="1">
      <c r="A222" t="s">
        <v>1391</v>
      </c>
      <c r="B222" t="s">
        <v>1392</v>
      </c>
      <c r="C222" t="s">
        <v>1398</v>
      </c>
      <c r="D222" s="516">
        <v>80200601</v>
      </c>
      <c r="E222" t="s">
        <v>1050</v>
      </c>
      <c r="F222" s="514">
        <v>6136</v>
      </c>
      <c r="G222" s="514">
        <v>1757.32</v>
      </c>
      <c r="H222" s="437" t="str">
        <f>VLOOKUP(D222,'COA LTD'!A:F,3,0)</f>
        <v>PL</v>
      </c>
      <c r="I222" s="437" t="str">
        <f>VLOOKUP(D222,'COA LTD'!A:F,4,0)</f>
        <v>Operations</v>
      </c>
      <c r="J222" s="437" t="str">
        <f>VLOOKUP(D222,'COA LTD'!A:F,5,0)</f>
        <v>Welfare</v>
      </c>
      <c r="K222" s="441">
        <f t="shared" si="0"/>
        <v>3.4916805135092073</v>
      </c>
      <c r="L222" s="437"/>
      <c r="M222" s="437"/>
      <c r="N222" s="437"/>
      <c r="O222" s="437"/>
      <c r="P222" s="438"/>
      <c r="Q222" s="438"/>
      <c r="R222" s="438"/>
      <c r="S222" s="438"/>
      <c r="T222" s="437"/>
      <c r="U222" s="437"/>
      <c r="V222" s="437"/>
      <c r="W222" s="437"/>
      <c r="X222" s="437"/>
      <c r="Y222" s="437"/>
      <c r="Z222" s="437"/>
    </row>
    <row r="223" spans="1:26" ht="15.75" customHeight="1">
      <c r="A223" t="s">
        <v>1391</v>
      </c>
      <c r="B223" t="s">
        <v>1392</v>
      </c>
      <c r="C223" t="s">
        <v>1398</v>
      </c>
      <c r="D223" s="516">
        <v>80200602</v>
      </c>
      <c r="E223" t="s">
        <v>642</v>
      </c>
      <c r="F223" s="514">
        <v>174725.83</v>
      </c>
      <c r="G223" s="514">
        <v>52156.54</v>
      </c>
      <c r="H223" s="437" t="str">
        <f>VLOOKUP(D223,'COA LTD'!A:F,3,0)</f>
        <v>PL</v>
      </c>
      <c r="I223" s="437" t="str">
        <f>VLOOKUP(D223,'COA LTD'!A:F,4,0)</f>
        <v>Operations</v>
      </c>
      <c r="J223" s="437" t="str">
        <f>VLOOKUP(D223,'COA LTD'!A:F,5,0)</f>
        <v xml:space="preserve"> Company events</v>
      </c>
      <c r="K223" s="441">
        <f t="shared" si="0"/>
        <v>3.3500272449054322</v>
      </c>
      <c r="L223" s="437"/>
      <c r="M223" s="437"/>
      <c r="N223" s="437"/>
      <c r="O223" s="437"/>
      <c r="P223" s="438"/>
      <c r="Q223" s="438"/>
      <c r="R223" s="438"/>
      <c r="S223" s="438"/>
      <c r="T223" s="437"/>
      <c r="U223" s="437"/>
      <c r="V223" s="437"/>
      <c r="W223" s="437"/>
      <c r="X223" s="437"/>
      <c r="Y223" s="437"/>
      <c r="Z223" s="437"/>
    </row>
    <row r="224" spans="1:26" ht="15.75" customHeight="1">
      <c r="A224" t="s">
        <v>1391</v>
      </c>
      <c r="B224" t="s">
        <v>1392</v>
      </c>
      <c r="C224" t="s">
        <v>1398</v>
      </c>
      <c r="D224" s="516">
        <v>80200603</v>
      </c>
      <c r="E224" t="s">
        <v>644</v>
      </c>
      <c r="F224" s="514">
        <v>30310.62</v>
      </c>
      <c r="G224" s="514">
        <v>9171.5400000000009</v>
      </c>
      <c r="H224" s="437" t="str">
        <f>VLOOKUP(D224,'COA LTD'!A:F,3,0)</f>
        <v>PL</v>
      </c>
      <c r="I224" s="437" t="str">
        <f>VLOOKUP(D224,'COA LTD'!A:F,4,0)</f>
        <v>Operations</v>
      </c>
      <c r="J224" s="437" t="str">
        <f>VLOOKUP(D224,'COA LTD'!A:F,5,0)</f>
        <v>Benefits</v>
      </c>
      <c r="K224" s="439">
        <f t="shared" si="0"/>
        <v>3.3048561092248407</v>
      </c>
      <c r="L224" s="437"/>
      <c r="M224" s="437"/>
      <c r="N224" s="437"/>
      <c r="O224" s="437"/>
      <c r="P224" s="438"/>
      <c r="Q224" s="438"/>
      <c r="R224" s="438"/>
      <c r="S224" s="438"/>
      <c r="T224" s="437"/>
      <c r="U224" s="437"/>
      <c r="V224" s="437"/>
      <c r="W224" s="437"/>
      <c r="X224" s="437"/>
      <c r="Y224" s="437"/>
      <c r="Z224" s="437"/>
    </row>
    <row r="225" spans="1:26" ht="15.75" customHeight="1">
      <c r="A225" t="s">
        <v>1391</v>
      </c>
      <c r="B225" t="s">
        <v>1392</v>
      </c>
      <c r="C225" t="s">
        <v>1398</v>
      </c>
      <c r="D225" s="516">
        <v>80200604</v>
      </c>
      <c r="E225" t="s">
        <v>646</v>
      </c>
      <c r="F225" s="514">
        <v>162032.54</v>
      </c>
      <c r="G225" s="514">
        <v>48346.67</v>
      </c>
      <c r="H225" s="437" t="str">
        <f>VLOOKUP(D225,'COA LTD'!A:F,3,0)</f>
        <v>PL</v>
      </c>
      <c r="I225" s="437" t="str">
        <f>VLOOKUP(D225,'COA LTD'!A:F,4,0)</f>
        <v>Operations</v>
      </c>
      <c r="J225" s="437" t="str">
        <f>VLOOKUP(D225,'COA LTD'!A:F,5,0)</f>
        <v>Refreshments &amp; Meals</v>
      </c>
      <c r="K225" s="439">
        <f t="shared" si="0"/>
        <v>3.3514726040076805</v>
      </c>
      <c r="L225" s="437"/>
      <c r="M225" s="437"/>
      <c r="N225" s="437"/>
      <c r="O225" s="437"/>
      <c r="P225" s="438"/>
      <c r="Q225" s="438"/>
      <c r="R225" s="438"/>
      <c r="S225" s="438"/>
      <c r="T225" s="444"/>
      <c r="U225" s="444"/>
      <c r="V225" s="444"/>
      <c r="W225" s="444"/>
      <c r="X225" s="444"/>
      <c r="Y225" s="444"/>
      <c r="Z225" s="444"/>
    </row>
    <row r="226" spans="1:26" ht="15.75" customHeight="1">
      <c r="A226" t="s">
        <v>1391</v>
      </c>
      <c r="B226" t="s">
        <v>1392</v>
      </c>
      <c r="C226" t="s">
        <v>1398</v>
      </c>
      <c r="D226" s="516">
        <v>80200605</v>
      </c>
      <c r="E226" t="s">
        <v>648</v>
      </c>
      <c r="F226" s="514">
        <v>6808.42</v>
      </c>
      <c r="G226" s="514">
        <v>1872.76</v>
      </c>
      <c r="H226" s="437" t="str">
        <f>VLOOKUP(D226,'COA LTD'!A:F,3,0)</f>
        <v>PL</v>
      </c>
      <c r="I226" s="437" t="str">
        <f>VLOOKUP(D226,'COA LTD'!A:F,4,0)</f>
        <v>Operations</v>
      </c>
      <c r="J226" s="437" t="str">
        <f>VLOOKUP(D226,'COA LTD'!A:F,5,0)</f>
        <v>Conferences and seminars</v>
      </c>
      <c r="K226" s="439">
        <f t="shared" si="0"/>
        <v>3.6355005446506761</v>
      </c>
      <c r="L226" s="437"/>
      <c r="M226" s="437"/>
      <c r="N226" s="437"/>
      <c r="O226" s="437"/>
      <c r="P226" s="438"/>
      <c r="Q226" s="438"/>
      <c r="R226" s="438"/>
      <c r="S226" s="438"/>
      <c r="T226" s="437"/>
      <c r="U226" s="437"/>
      <c r="V226" s="437"/>
      <c r="W226" s="437"/>
      <c r="X226" s="437"/>
      <c r="Y226" s="437"/>
      <c r="Z226" s="437"/>
    </row>
    <row r="227" spans="1:26" ht="15.75" customHeight="1">
      <c r="A227" t="s">
        <v>1391</v>
      </c>
      <c r="B227" t="s">
        <v>1392</v>
      </c>
      <c r="C227" t="s">
        <v>1399</v>
      </c>
      <c r="D227" s="516">
        <v>80010700</v>
      </c>
      <c r="E227" t="s">
        <v>651</v>
      </c>
      <c r="F227" s="514">
        <v>6216999.5899999999</v>
      </c>
      <c r="G227" s="514">
        <v>1787545.2</v>
      </c>
      <c r="H227" s="437" t="str">
        <f>VLOOKUP(D227,'COA LTD'!A:F,3,0)</f>
        <v>PL</v>
      </c>
      <c r="I227" s="437" t="str">
        <f>VLOOKUP(D227,'COA LTD'!A:F,4,0)</f>
        <v>Operations</v>
      </c>
      <c r="J227" s="437" t="str">
        <f>VLOOKUP(D227,'COA LTD'!A:F,5,0)</f>
        <v>hosting</v>
      </c>
      <c r="K227" s="439">
        <f t="shared" si="0"/>
        <v>3.4779537826512024</v>
      </c>
      <c r="L227" s="437"/>
      <c r="M227" s="437"/>
      <c r="N227" s="437"/>
      <c r="O227" s="437"/>
      <c r="P227" s="438"/>
      <c r="Q227" s="438"/>
      <c r="R227" s="438"/>
      <c r="S227" s="438"/>
      <c r="T227" s="437"/>
      <c r="U227" s="437"/>
      <c r="V227" s="437"/>
      <c r="W227" s="437"/>
      <c r="X227" s="437"/>
      <c r="Y227" s="437"/>
      <c r="Z227" s="437"/>
    </row>
    <row r="228" spans="1:26" ht="15.75" customHeight="1">
      <c r="A228" t="s">
        <v>1391</v>
      </c>
      <c r="B228" t="s">
        <v>1392</v>
      </c>
      <c r="C228" t="s">
        <v>1400</v>
      </c>
      <c r="D228" s="516">
        <v>80200802</v>
      </c>
      <c r="E228" t="s">
        <v>653</v>
      </c>
      <c r="F228" s="514">
        <v>9998.9500000000007</v>
      </c>
      <c r="G228" s="514">
        <v>3082.15</v>
      </c>
      <c r="H228" s="437" t="str">
        <f>VLOOKUP(D228,'COA LTD'!A:F,3,0)</f>
        <v>PL</v>
      </c>
      <c r="I228" s="437" t="str">
        <f>VLOOKUP(D228,'COA LTD'!A:F,4,0)</f>
        <v>Operations</v>
      </c>
      <c r="J228" s="437" t="str">
        <f>VLOOKUP(D228,'COA LTD'!A:F,5,0)</f>
        <v>insurance</v>
      </c>
      <c r="K228" s="439">
        <f t="shared" si="0"/>
        <v>3.2441477540028876</v>
      </c>
      <c r="L228" s="437"/>
      <c r="M228" s="437"/>
      <c r="N228" s="437"/>
      <c r="O228" s="437"/>
      <c r="P228" s="438"/>
      <c r="Q228" s="438"/>
      <c r="R228" s="438"/>
      <c r="S228" s="438"/>
      <c r="T228" s="437"/>
      <c r="U228" s="437"/>
      <c r="V228" s="437"/>
      <c r="W228" s="437"/>
      <c r="X228" s="437"/>
      <c r="Y228" s="437"/>
      <c r="Z228" s="437"/>
    </row>
    <row r="229" spans="1:26" ht="15.75" customHeight="1">
      <c r="A229" t="s">
        <v>1391</v>
      </c>
      <c r="B229" t="s">
        <v>1392</v>
      </c>
      <c r="C229" t="s">
        <v>1401</v>
      </c>
      <c r="D229" s="516">
        <v>80200208</v>
      </c>
      <c r="E229" t="s">
        <v>654</v>
      </c>
      <c r="F229" s="514">
        <v>66644518.200000003</v>
      </c>
      <c r="G229" s="514">
        <v>19761871.690000001</v>
      </c>
      <c r="H229" s="437" t="str">
        <f>VLOOKUP(D229,'COA LTD'!A:F,3,0)</f>
        <v>PL</v>
      </c>
      <c r="I229" s="437" t="str">
        <f>VLOOKUP(D229,'COA LTD'!A:F,4,0)</f>
        <v>Operations</v>
      </c>
      <c r="J229" s="437" t="str">
        <f>VLOOKUP(D229,'COA LTD'!A:F,5,0)</f>
        <v xml:space="preserve">IC expenses </v>
      </c>
      <c r="K229" s="439">
        <f t="shared" si="0"/>
        <v>3.3723788538574402</v>
      </c>
      <c r="L229" s="437"/>
      <c r="M229" s="437"/>
      <c r="N229" s="437"/>
      <c r="O229" s="437"/>
      <c r="P229" s="438"/>
      <c r="Q229" s="438"/>
      <c r="R229" s="438"/>
      <c r="S229" s="438"/>
      <c r="T229" s="437"/>
      <c r="U229" s="437"/>
      <c r="V229" s="437"/>
      <c r="W229" s="437"/>
      <c r="X229" s="437"/>
      <c r="Y229" s="437"/>
      <c r="Z229" s="437"/>
    </row>
    <row r="230" spans="1:26" ht="15.75" customHeight="1">
      <c r="A230" t="s">
        <v>1391</v>
      </c>
      <c r="B230" t="s">
        <v>1402</v>
      </c>
      <c r="C230" t="s">
        <v>1403</v>
      </c>
      <c r="D230" s="516">
        <v>81020100</v>
      </c>
      <c r="E230" t="s">
        <v>655</v>
      </c>
      <c r="F230" s="514">
        <v>5716457</v>
      </c>
      <c r="G230" s="514">
        <v>1689695.96</v>
      </c>
      <c r="H230" s="437" t="str">
        <f>VLOOKUP(D230,'COA LTD'!A:F,3,0)</f>
        <v>PL</v>
      </c>
      <c r="I230" s="437" t="str">
        <f>VLOOKUP(D230,'COA LTD'!A:F,4,0)</f>
        <v>Research and development expenses, net</v>
      </c>
      <c r="J230" s="437" t="str">
        <f>VLOOKUP(D230,'COA LTD'!A:F,5,0)</f>
        <v xml:space="preserve">Salary </v>
      </c>
      <c r="K230" s="439">
        <f t="shared" si="0"/>
        <v>3.383127577579105</v>
      </c>
      <c r="L230" s="437"/>
      <c r="M230" s="437"/>
      <c r="N230" s="437"/>
      <c r="O230" s="437"/>
      <c r="P230" s="438"/>
      <c r="Q230" s="438"/>
      <c r="R230" s="438"/>
      <c r="S230" s="438"/>
      <c r="T230" s="437"/>
      <c r="U230" s="437"/>
      <c r="V230" s="437"/>
      <c r="W230" s="437"/>
      <c r="X230" s="437"/>
      <c r="Y230" s="437"/>
      <c r="Z230" s="437"/>
    </row>
    <row r="231" spans="1:26" ht="15.75" customHeight="1">
      <c r="A231" t="s">
        <v>1391</v>
      </c>
      <c r="B231" t="s">
        <v>1402</v>
      </c>
      <c r="C231" t="s">
        <v>1403</v>
      </c>
      <c r="D231" s="516">
        <v>81020102</v>
      </c>
      <c r="E231" t="s">
        <v>656</v>
      </c>
      <c r="F231" s="514">
        <v>160057.99</v>
      </c>
      <c r="G231" s="514">
        <v>48506.16</v>
      </c>
      <c r="H231" s="437" t="str">
        <f>VLOOKUP(D231,'COA LTD'!A:F,3,0)</f>
        <v>PL</v>
      </c>
      <c r="I231" s="437" t="str">
        <f>VLOOKUP(D231,'COA LTD'!A:F,4,0)</f>
        <v>Research and development expenses, net</v>
      </c>
      <c r="J231" s="437" t="str">
        <f>VLOOKUP(D231,'COA LTD'!A:F,5,0)</f>
        <v xml:space="preserve">option expenses </v>
      </c>
      <c r="K231" s="439">
        <f t="shared" si="0"/>
        <v>3.2997456405536942</v>
      </c>
      <c r="L231" s="437"/>
      <c r="M231" s="437"/>
      <c r="N231" s="437"/>
      <c r="O231" s="437"/>
      <c r="P231" s="438"/>
      <c r="Q231" s="438"/>
      <c r="R231" s="438"/>
      <c r="S231" s="438"/>
      <c r="T231" s="437"/>
      <c r="U231" s="437"/>
      <c r="V231" s="437"/>
      <c r="W231" s="437"/>
      <c r="X231" s="437"/>
      <c r="Y231" s="437"/>
      <c r="Z231" s="437"/>
    </row>
    <row r="232" spans="1:26" ht="15.75" customHeight="1">
      <c r="A232" t="s">
        <v>1391</v>
      </c>
      <c r="B232" t="s">
        <v>1402</v>
      </c>
      <c r="C232" t="s">
        <v>1403</v>
      </c>
      <c r="D232" s="516">
        <v>81020104</v>
      </c>
      <c r="E232" t="s">
        <v>657</v>
      </c>
      <c r="F232" s="514">
        <v>456439</v>
      </c>
      <c r="G232" s="514">
        <v>128380.91</v>
      </c>
      <c r="H232" s="437" t="str">
        <f>VLOOKUP(D232,'COA LTD'!A:F,3,0)</f>
        <v>PL</v>
      </c>
      <c r="I232" s="437" t="str">
        <f>VLOOKUP(D232,'COA LTD'!A:F,4,0)</f>
        <v>Research and development expenses, net</v>
      </c>
      <c r="J232" s="437" t="str">
        <f>VLOOKUP(D232,'COA LTD'!A:F,5,0)</f>
        <v xml:space="preserve">Salary </v>
      </c>
      <c r="K232" s="439">
        <f t="shared" si="0"/>
        <v>3.5553494674558701</v>
      </c>
      <c r="L232" s="437"/>
      <c r="M232" s="437"/>
      <c r="N232" s="437"/>
      <c r="O232" s="437"/>
      <c r="P232" s="438"/>
      <c r="Q232" s="438"/>
      <c r="R232" s="438"/>
      <c r="S232" s="438"/>
      <c r="T232" s="437"/>
      <c r="U232" s="437"/>
      <c r="V232" s="437"/>
      <c r="W232" s="437"/>
      <c r="X232" s="437"/>
      <c r="Y232" s="437"/>
      <c r="Z232" s="437"/>
    </row>
    <row r="233" spans="1:26" ht="15.75" customHeight="1">
      <c r="A233" t="s">
        <v>1391</v>
      </c>
      <c r="B233" t="s">
        <v>1402</v>
      </c>
      <c r="C233" t="s">
        <v>1403</v>
      </c>
      <c r="D233" s="516">
        <v>81020107</v>
      </c>
      <c r="E233" t="s">
        <v>658</v>
      </c>
      <c r="F233" s="514">
        <v>182120.12</v>
      </c>
      <c r="G233" s="514">
        <v>54387.15</v>
      </c>
      <c r="H233" s="437" t="str">
        <f>VLOOKUP(D233,'COA LTD'!A:F,3,0)</f>
        <v>PL</v>
      </c>
      <c r="I233" s="437" t="str">
        <f>VLOOKUP(D233,'COA LTD'!A:F,4,0)</f>
        <v>Research and development expenses, net</v>
      </c>
      <c r="J233" s="437" t="str">
        <f>VLOOKUP(D233,'COA LTD'!A:F,5,0)</f>
        <v xml:space="preserve">Salary </v>
      </c>
      <c r="K233" s="439">
        <f t="shared" si="0"/>
        <v>3.3485873041701946</v>
      </c>
      <c r="L233" s="437"/>
      <c r="M233" s="437"/>
      <c r="N233" s="437"/>
      <c r="O233" s="437"/>
      <c r="P233" s="438"/>
      <c r="Q233" s="438"/>
      <c r="R233" s="438"/>
      <c r="S233" s="438"/>
      <c r="T233" s="437"/>
      <c r="U233" s="437"/>
      <c r="V233" s="437"/>
      <c r="W233" s="437"/>
      <c r="X233" s="437"/>
      <c r="Y233" s="437"/>
      <c r="Z233" s="437"/>
    </row>
    <row r="234" spans="1:26" ht="15.75" customHeight="1">
      <c r="A234" t="s">
        <v>1391</v>
      </c>
      <c r="B234" t="s">
        <v>1402</v>
      </c>
      <c r="C234" t="s">
        <v>1403</v>
      </c>
      <c r="D234" s="516">
        <v>81020108</v>
      </c>
      <c r="E234" t="s">
        <v>659</v>
      </c>
      <c r="F234" s="514">
        <v>397008</v>
      </c>
      <c r="G234" s="514">
        <v>117313.5</v>
      </c>
      <c r="H234" s="437" t="str">
        <f>VLOOKUP(D234,'COA LTD'!A:F,3,0)</f>
        <v>PL</v>
      </c>
      <c r="I234" s="437" t="str">
        <f>VLOOKUP(D234,'COA LTD'!A:F,4,0)</f>
        <v>Research and development expenses, net</v>
      </c>
      <c r="J234" s="437" t="str">
        <f>VLOOKUP(D234,'COA LTD'!A:F,5,0)</f>
        <v xml:space="preserve">Salary </v>
      </c>
      <c r="K234" s="439">
        <f t="shared" si="0"/>
        <v>3.3841629479983122</v>
      </c>
      <c r="L234" s="437"/>
      <c r="M234" s="437"/>
      <c r="N234" s="437"/>
      <c r="O234" s="437"/>
      <c r="P234" s="438"/>
      <c r="Q234" s="438"/>
      <c r="R234" s="438"/>
      <c r="S234" s="438"/>
      <c r="T234" s="437"/>
      <c r="U234" s="437"/>
      <c r="V234" s="437"/>
      <c r="W234" s="437"/>
      <c r="X234" s="437"/>
      <c r="Y234" s="437"/>
      <c r="Z234" s="437"/>
    </row>
    <row r="235" spans="1:26" ht="15.75" customHeight="1">
      <c r="A235" t="s">
        <v>1391</v>
      </c>
      <c r="B235" t="s">
        <v>1402</v>
      </c>
      <c r="C235" t="s">
        <v>1403</v>
      </c>
      <c r="D235" s="516">
        <v>81020109</v>
      </c>
      <c r="E235" t="s">
        <v>660</v>
      </c>
      <c r="F235" s="514">
        <v>370575</v>
      </c>
      <c r="G235" s="514">
        <v>109529.64</v>
      </c>
      <c r="H235" s="437" t="str">
        <f>VLOOKUP(D235,'COA LTD'!A:F,3,0)</f>
        <v>PL</v>
      </c>
      <c r="I235" s="437" t="str">
        <f>VLOOKUP(D235,'COA LTD'!A:F,4,0)</f>
        <v>Research and development expenses, net</v>
      </c>
      <c r="J235" s="437" t="str">
        <f>VLOOKUP(D235,'COA LTD'!A:F,5,0)</f>
        <v xml:space="preserve">Salary </v>
      </c>
      <c r="K235" s="439">
        <f t="shared" si="0"/>
        <v>3.3833307586877854</v>
      </c>
      <c r="L235" s="437"/>
      <c r="M235" s="437"/>
      <c r="N235" s="437"/>
      <c r="O235" s="437"/>
      <c r="P235" s="438"/>
      <c r="Q235" s="438"/>
      <c r="R235" s="438"/>
      <c r="S235" s="438"/>
      <c r="T235" s="437"/>
      <c r="U235" s="437"/>
      <c r="V235" s="437"/>
      <c r="W235" s="437"/>
      <c r="X235" s="437"/>
      <c r="Y235" s="437"/>
      <c r="Z235" s="437"/>
    </row>
    <row r="236" spans="1:26" ht="15.75" customHeight="1">
      <c r="A236" t="s">
        <v>1391</v>
      </c>
      <c r="B236" t="s">
        <v>1402</v>
      </c>
      <c r="C236" t="s">
        <v>1403</v>
      </c>
      <c r="D236" s="516">
        <v>81020110</v>
      </c>
      <c r="E236" t="s">
        <v>661</v>
      </c>
      <c r="F236" s="514">
        <v>237591</v>
      </c>
      <c r="G236" s="514">
        <v>70070.679999999993</v>
      </c>
      <c r="H236" s="437" t="str">
        <f>VLOOKUP(D236,'COA LTD'!A:F,3,0)</f>
        <v>PL</v>
      </c>
      <c r="I236" s="437" t="str">
        <f>VLOOKUP(D236,'COA LTD'!A:F,4,0)</f>
        <v>Research and development expenses, net</v>
      </c>
      <c r="J236" s="437" t="str">
        <f>VLOOKUP(D236,'COA LTD'!A:F,5,0)</f>
        <v xml:space="preserve">Salary </v>
      </c>
      <c r="K236" s="439">
        <f t="shared" si="0"/>
        <v>3.3907334708325938</v>
      </c>
      <c r="L236" s="437"/>
      <c r="M236" s="437"/>
      <c r="N236" s="437"/>
      <c r="O236" s="437"/>
      <c r="P236" s="438"/>
      <c r="Q236" s="438"/>
      <c r="R236" s="438"/>
      <c r="S236" s="438"/>
      <c r="T236" s="442"/>
      <c r="U236" s="442"/>
      <c r="V236" s="442"/>
      <c r="W236" s="442"/>
      <c r="X236" s="442"/>
      <c r="Y236" s="442"/>
      <c r="Z236" s="442"/>
    </row>
    <row r="237" spans="1:26" ht="15.75" customHeight="1">
      <c r="A237" t="s">
        <v>1391</v>
      </c>
      <c r="B237" t="s">
        <v>1402</v>
      </c>
      <c r="C237" t="s">
        <v>1403</v>
      </c>
      <c r="D237" s="516">
        <v>81020111</v>
      </c>
      <c r="E237" t="s">
        <v>662</v>
      </c>
      <c r="F237" s="514">
        <v>13074.71</v>
      </c>
      <c r="G237" s="514">
        <v>3825.59</v>
      </c>
      <c r="H237" s="437" t="str">
        <f>VLOOKUP(D237,'COA LTD'!A:F,3,0)</f>
        <v>PL</v>
      </c>
      <c r="I237" s="437" t="str">
        <f>VLOOKUP(D237,'COA LTD'!A:F,4,0)</f>
        <v>Research and development expenses, net</v>
      </c>
      <c r="J237" s="437" t="str">
        <f>VLOOKUP(D237,'COA LTD'!A:F,5,0)</f>
        <v xml:space="preserve">Salary </v>
      </c>
      <c r="K237" s="439">
        <f t="shared" si="0"/>
        <v>3.4176976623213671</v>
      </c>
      <c r="L237" s="437"/>
      <c r="M237" s="437"/>
      <c r="N237" s="437"/>
      <c r="O237" s="437"/>
      <c r="P237" s="438"/>
      <c r="Q237" s="438"/>
      <c r="R237" s="438"/>
      <c r="S237" s="438"/>
      <c r="T237" s="437"/>
      <c r="U237" s="437"/>
      <c r="V237" s="437"/>
      <c r="W237" s="437"/>
      <c r="X237" s="437"/>
      <c r="Y237" s="437"/>
      <c r="Z237" s="437"/>
    </row>
    <row r="238" spans="1:26" ht="15.75" customHeight="1">
      <c r="A238" t="s">
        <v>1391</v>
      </c>
      <c r="B238" t="s">
        <v>1402</v>
      </c>
      <c r="C238" t="s">
        <v>1403</v>
      </c>
      <c r="D238" s="516">
        <v>81020112</v>
      </c>
      <c r="E238" t="s">
        <v>663</v>
      </c>
      <c r="F238" s="514">
        <v>417050</v>
      </c>
      <c r="G238" s="514">
        <v>122510.82</v>
      </c>
      <c r="H238" s="437" t="str">
        <f>VLOOKUP(D238,'COA LTD'!A:F,3,0)</f>
        <v>PL</v>
      </c>
      <c r="I238" s="437" t="str">
        <f>VLOOKUP(D238,'COA LTD'!A:F,4,0)</f>
        <v>Research and development expenses, net</v>
      </c>
      <c r="J238" s="437" t="str">
        <f>VLOOKUP(D238,'COA LTD'!A:F,5,0)</f>
        <v xml:space="preserve">Salary </v>
      </c>
      <c r="K238" s="439">
        <f t="shared" si="0"/>
        <v>3.404189115704229</v>
      </c>
      <c r="L238" s="437"/>
      <c r="M238" s="437"/>
      <c r="N238" s="437"/>
      <c r="O238" s="437"/>
      <c r="P238" s="438"/>
      <c r="Q238" s="438"/>
      <c r="R238" s="438"/>
      <c r="S238" s="438"/>
      <c r="T238" s="437"/>
      <c r="U238" s="437"/>
      <c r="V238" s="437"/>
      <c r="W238" s="437"/>
      <c r="X238" s="437"/>
      <c r="Y238" s="437"/>
      <c r="Z238" s="437"/>
    </row>
    <row r="239" spans="1:26" ht="15.75" customHeight="1">
      <c r="A239" t="s">
        <v>1391</v>
      </c>
      <c r="B239" t="s">
        <v>1402</v>
      </c>
      <c r="C239" t="s">
        <v>1403</v>
      </c>
      <c r="D239" s="516">
        <v>81020113</v>
      </c>
      <c r="E239" t="s">
        <v>995</v>
      </c>
      <c r="F239" s="514">
        <v>-10126</v>
      </c>
      <c r="G239" s="514">
        <v>-2931.21</v>
      </c>
      <c r="H239" s="437" t="str">
        <f>VLOOKUP(D239,'COA LTD'!A:F,3,0)</f>
        <v>PL</v>
      </c>
      <c r="I239" s="437" t="str">
        <f>VLOOKUP(D239,'COA LTD'!A:F,4,0)</f>
        <v>Research and development expenses, net</v>
      </c>
      <c r="J239" s="437" t="str">
        <f>VLOOKUP(D239,'COA LTD'!A:F,5,0)</f>
        <v xml:space="preserve">salary </v>
      </c>
      <c r="K239" s="439">
        <f t="shared" si="0"/>
        <v>3.4545460748291661</v>
      </c>
      <c r="L239" s="437"/>
      <c r="M239" s="437"/>
      <c r="N239" s="437"/>
      <c r="O239" s="437"/>
      <c r="P239" s="438"/>
      <c r="Q239" s="438"/>
      <c r="R239" s="438"/>
      <c r="S239" s="438"/>
      <c r="T239" s="437"/>
      <c r="U239" s="437"/>
      <c r="V239" s="437"/>
      <c r="W239" s="437"/>
      <c r="X239" s="437"/>
      <c r="Y239" s="437"/>
      <c r="Z239" s="437"/>
    </row>
    <row r="240" spans="1:26" ht="15.75" customHeight="1">
      <c r="A240" t="s">
        <v>1391</v>
      </c>
      <c r="B240" t="s">
        <v>1402</v>
      </c>
      <c r="C240" t="s">
        <v>1403</v>
      </c>
      <c r="D240" s="516">
        <v>81020114</v>
      </c>
      <c r="E240" t="s">
        <v>664</v>
      </c>
      <c r="F240" s="514">
        <v>37275</v>
      </c>
      <c r="G240" s="514">
        <v>10813.21</v>
      </c>
      <c r="H240" s="437" t="str">
        <f>VLOOKUP(D240,'COA LTD'!A:F,3,0)</f>
        <v>PL</v>
      </c>
      <c r="I240" s="437" t="str">
        <f>VLOOKUP(D240,'COA LTD'!A:F,4,0)</f>
        <v>Research and development expenses, net</v>
      </c>
      <c r="J240" s="437" t="str">
        <f>VLOOKUP(D240,'COA LTD'!A:F,5,0)</f>
        <v xml:space="preserve">Salary </v>
      </c>
      <c r="K240" s="439">
        <f t="shared" si="0"/>
        <v>3.4471724862459903</v>
      </c>
      <c r="L240" s="437"/>
      <c r="M240" s="437"/>
      <c r="N240" s="437"/>
      <c r="O240" s="437"/>
      <c r="P240" s="438"/>
      <c r="Q240" s="438"/>
      <c r="R240" s="438"/>
      <c r="S240" s="438"/>
      <c r="T240" s="437"/>
      <c r="U240" s="437"/>
      <c r="V240" s="437"/>
      <c r="W240" s="437"/>
      <c r="X240" s="437"/>
      <c r="Y240" s="437"/>
      <c r="Z240" s="437"/>
    </row>
    <row r="241" spans="1:26" ht="15.75" customHeight="1">
      <c r="A241" t="s">
        <v>1391</v>
      </c>
      <c r="B241" t="s">
        <v>1402</v>
      </c>
      <c r="C241" t="s">
        <v>1403</v>
      </c>
      <c r="D241" s="516">
        <v>81020115</v>
      </c>
      <c r="E241" t="s">
        <v>665</v>
      </c>
      <c r="F241" s="514">
        <v>-37277</v>
      </c>
      <c r="G241" s="514">
        <v>-10813.81</v>
      </c>
      <c r="H241" s="437" t="str">
        <f>VLOOKUP(D241,'COA LTD'!A:F,3,0)</f>
        <v>PL</v>
      </c>
      <c r="I241" s="437" t="str">
        <f>VLOOKUP(D241,'COA LTD'!A:F,4,0)</f>
        <v>Research and development expenses, net</v>
      </c>
      <c r="J241" s="437" t="str">
        <f>VLOOKUP(D241,'COA LTD'!A:F,5,0)</f>
        <v xml:space="preserve">Salary </v>
      </c>
      <c r="K241" s="439">
        <f t="shared" si="0"/>
        <v>3.4471661699253087</v>
      </c>
      <c r="L241" s="437"/>
      <c r="M241" s="437"/>
      <c r="N241" s="437"/>
      <c r="O241" s="437"/>
      <c r="P241" s="438"/>
      <c r="Q241" s="438"/>
      <c r="R241" s="438"/>
      <c r="S241" s="438"/>
      <c r="T241" s="437"/>
      <c r="U241" s="437"/>
      <c r="V241" s="437"/>
      <c r="W241" s="437"/>
      <c r="X241" s="437"/>
      <c r="Y241" s="437"/>
      <c r="Z241" s="437"/>
    </row>
    <row r="242" spans="1:26" ht="15.75" customHeight="1">
      <c r="A242" t="s">
        <v>1391</v>
      </c>
      <c r="B242" t="s">
        <v>1402</v>
      </c>
      <c r="C242" t="s">
        <v>1403</v>
      </c>
      <c r="D242" s="516">
        <v>81020116</v>
      </c>
      <c r="E242" t="s">
        <v>666</v>
      </c>
      <c r="F242" s="514">
        <v>5050</v>
      </c>
      <c r="G242" s="514">
        <v>1475.18</v>
      </c>
      <c r="H242" s="437" t="str">
        <f>VLOOKUP(D242,'COA LTD'!A:F,3,0)</f>
        <v>PL</v>
      </c>
      <c r="I242" s="437" t="str">
        <f>VLOOKUP(D242,'COA LTD'!A:F,4,0)</f>
        <v>Research and development expenses, net</v>
      </c>
      <c r="J242" s="437" t="str">
        <f>VLOOKUP(D242,'COA LTD'!A:F,5,0)</f>
        <v xml:space="preserve">Salary </v>
      </c>
      <c r="K242" s="439">
        <f t="shared" si="0"/>
        <v>3.4233110535663442</v>
      </c>
      <c r="L242" s="437"/>
      <c r="M242" s="437"/>
      <c r="N242" s="437"/>
      <c r="O242" s="437"/>
      <c r="P242" s="438"/>
      <c r="Q242" s="438"/>
      <c r="R242" s="438"/>
      <c r="S242" s="438"/>
      <c r="T242" s="437"/>
      <c r="U242" s="437"/>
      <c r="V242" s="437"/>
      <c r="W242" s="437"/>
      <c r="X242" s="437"/>
      <c r="Y242" s="437"/>
      <c r="Z242" s="437"/>
    </row>
    <row r="243" spans="1:26" ht="15.75" customHeight="1">
      <c r="A243" t="s">
        <v>1391</v>
      </c>
      <c r="B243" t="s">
        <v>1402</v>
      </c>
      <c r="C243" t="s">
        <v>1403</v>
      </c>
      <c r="D243" s="516">
        <v>81020117</v>
      </c>
      <c r="E243" t="s">
        <v>667</v>
      </c>
      <c r="F243" s="514">
        <v>-5050</v>
      </c>
      <c r="G243" s="514">
        <v>-1475.18</v>
      </c>
      <c r="H243" s="437" t="str">
        <f>VLOOKUP(D243,'COA LTD'!A:F,3,0)</f>
        <v>PL</v>
      </c>
      <c r="I243" s="437" t="str">
        <f>VLOOKUP(D243,'COA LTD'!A:F,4,0)</f>
        <v>Research and development expenses, net</v>
      </c>
      <c r="J243" s="437" t="str">
        <f>VLOOKUP(D243,'COA LTD'!A:F,5,0)</f>
        <v xml:space="preserve">Salary </v>
      </c>
      <c r="K243" s="439">
        <f t="shared" si="0"/>
        <v>3.4233110535663442</v>
      </c>
      <c r="L243" s="437"/>
      <c r="M243" s="437"/>
      <c r="N243" s="437"/>
      <c r="O243" s="437"/>
      <c r="P243" s="438"/>
      <c r="Q243" s="438"/>
      <c r="R243" s="438"/>
      <c r="S243" s="438"/>
      <c r="T243" s="437"/>
      <c r="U243" s="437"/>
      <c r="V243" s="437"/>
      <c r="W243" s="437"/>
      <c r="X243" s="437"/>
      <c r="Y243" s="437"/>
      <c r="Z243" s="437"/>
    </row>
    <row r="244" spans="1:26" ht="15.75" customHeight="1">
      <c r="A244" t="s">
        <v>1391</v>
      </c>
      <c r="B244" t="s">
        <v>1402</v>
      </c>
      <c r="C244" t="s">
        <v>1403</v>
      </c>
      <c r="D244" s="516">
        <v>81020118</v>
      </c>
      <c r="E244" t="s">
        <v>668</v>
      </c>
      <c r="F244" s="514">
        <v>196663</v>
      </c>
      <c r="G244" s="514">
        <v>57858.57</v>
      </c>
      <c r="H244" s="437" t="str">
        <f>VLOOKUP(D244,'COA LTD'!A:F,3,0)</f>
        <v>PL</v>
      </c>
      <c r="I244" s="437" t="str">
        <f>VLOOKUP(D244,'COA LTD'!A:F,4,0)</f>
        <v>Research and development expenses, net</v>
      </c>
      <c r="J244" s="437" t="str">
        <f>VLOOKUP(D244,'COA LTD'!A:F,5,0)</f>
        <v xml:space="preserve">Salary </v>
      </c>
      <c r="K244" s="439">
        <f t="shared" si="0"/>
        <v>3.3990297375133882</v>
      </c>
      <c r="L244" s="437"/>
      <c r="M244" s="437"/>
      <c r="N244" s="437"/>
      <c r="O244" s="437"/>
      <c r="P244" s="438"/>
      <c r="Q244" s="438"/>
      <c r="R244" s="438"/>
      <c r="S244" s="438"/>
      <c r="T244" s="437"/>
      <c r="U244" s="437"/>
      <c r="V244" s="437"/>
      <c r="W244" s="437"/>
      <c r="X244" s="437"/>
      <c r="Y244" s="437"/>
      <c r="Z244" s="437"/>
    </row>
    <row r="245" spans="1:26" ht="15.75" customHeight="1">
      <c r="A245" t="s">
        <v>1391</v>
      </c>
      <c r="B245" t="s">
        <v>1402</v>
      </c>
      <c r="C245" t="s">
        <v>1403</v>
      </c>
      <c r="D245" s="516">
        <v>81020119</v>
      </c>
      <c r="E245" t="s">
        <v>669</v>
      </c>
      <c r="F245" s="514">
        <v>-196663</v>
      </c>
      <c r="G245" s="514">
        <v>-57858.57</v>
      </c>
      <c r="H245" s="437" t="str">
        <f>VLOOKUP(D245,'COA LTD'!A:F,3,0)</f>
        <v>PL</v>
      </c>
      <c r="I245" s="437" t="str">
        <f>VLOOKUP(D245,'COA LTD'!A:F,4,0)</f>
        <v>Research and development expenses, net</v>
      </c>
      <c r="J245" s="437" t="str">
        <f>VLOOKUP(D245,'COA LTD'!A:F,5,0)</f>
        <v xml:space="preserve">Salary </v>
      </c>
      <c r="K245" s="439">
        <f t="shared" si="0"/>
        <v>3.3990297375133882</v>
      </c>
      <c r="L245" s="437"/>
      <c r="M245" s="437"/>
      <c r="N245" s="437"/>
      <c r="O245" s="437"/>
      <c r="P245" s="438"/>
      <c r="Q245" s="438"/>
      <c r="R245" s="438"/>
      <c r="S245" s="438"/>
      <c r="T245" s="437"/>
      <c r="U245" s="437"/>
      <c r="V245" s="437"/>
      <c r="W245" s="437"/>
      <c r="X245" s="437"/>
      <c r="Y245" s="437"/>
      <c r="Z245" s="437"/>
    </row>
    <row r="246" spans="1:26" ht="15.75" customHeight="1">
      <c r="A246" t="s">
        <v>1391</v>
      </c>
      <c r="B246" t="s">
        <v>1402</v>
      </c>
      <c r="C246" t="s">
        <v>1403</v>
      </c>
      <c r="D246" s="516">
        <v>81020120</v>
      </c>
      <c r="E246" t="s">
        <v>932</v>
      </c>
      <c r="F246" s="514">
        <v>37894</v>
      </c>
      <c r="G246" s="514">
        <v>10984.72</v>
      </c>
      <c r="H246" s="437" t="str">
        <f>VLOOKUP(D246,'COA LTD'!A:F,3,0)</f>
        <v>PL</v>
      </c>
      <c r="I246" s="437" t="str">
        <f>VLOOKUP(D246,'COA LTD'!A:F,4,0)</f>
        <v>Research and development expenses, net</v>
      </c>
      <c r="J246" s="437" t="str">
        <f>VLOOKUP(D246,'COA LTD'!A:F,5,0)</f>
        <v xml:space="preserve">salary </v>
      </c>
      <c r="K246" s="439">
        <f t="shared" si="0"/>
        <v>3.4497010392618113</v>
      </c>
      <c r="L246" s="437"/>
      <c r="M246" s="437"/>
      <c r="N246" s="437"/>
      <c r="O246" s="437"/>
      <c r="P246" s="438"/>
      <c r="Q246" s="438"/>
      <c r="R246" s="438"/>
      <c r="S246" s="438"/>
      <c r="T246" s="437"/>
      <c r="U246" s="437"/>
      <c r="V246" s="437"/>
      <c r="W246" s="437"/>
      <c r="X246" s="437"/>
      <c r="Y246" s="437"/>
      <c r="Z246" s="437"/>
    </row>
    <row r="247" spans="1:26" ht="15.75" customHeight="1">
      <c r="A247" t="s">
        <v>1391</v>
      </c>
      <c r="B247" t="s">
        <v>1402</v>
      </c>
      <c r="C247" t="s">
        <v>1403</v>
      </c>
      <c r="D247" s="516">
        <v>81020121</v>
      </c>
      <c r="E247" t="s">
        <v>933</v>
      </c>
      <c r="F247" s="514">
        <v>-37892</v>
      </c>
      <c r="G247" s="514">
        <v>-10984.12</v>
      </c>
      <c r="H247" s="437" t="str">
        <f>VLOOKUP(D247,'COA LTD'!A:F,3,0)</f>
        <v>PL</v>
      </c>
      <c r="I247" s="437" t="str">
        <f>VLOOKUP(D247,'COA LTD'!A:F,4,0)</f>
        <v>Research and development expenses, net</v>
      </c>
      <c r="J247" s="437" t="str">
        <f>VLOOKUP(D247,'COA LTD'!A:F,5,0)</f>
        <v xml:space="preserve">salary </v>
      </c>
      <c r="K247" s="439">
        <f t="shared" si="0"/>
        <v>3.449707395767708</v>
      </c>
      <c r="L247" s="437"/>
      <c r="M247" s="437"/>
      <c r="N247" s="437"/>
      <c r="O247" s="437"/>
      <c r="P247" s="438"/>
      <c r="Q247" s="438"/>
      <c r="R247" s="438"/>
      <c r="S247" s="438"/>
      <c r="T247" s="437"/>
      <c r="U247" s="437"/>
      <c r="V247" s="437"/>
      <c r="W247" s="437"/>
      <c r="X247" s="437"/>
      <c r="Y247" s="437"/>
      <c r="Z247" s="437"/>
    </row>
    <row r="248" spans="1:26" ht="15.75" customHeight="1">
      <c r="A248" t="s">
        <v>1391</v>
      </c>
      <c r="B248" t="s">
        <v>1402</v>
      </c>
      <c r="C248" t="s">
        <v>1403</v>
      </c>
      <c r="D248" s="516">
        <v>81030100</v>
      </c>
      <c r="E248" t="s">
        <v>670</v>
      </c>
      <c r="F248" s="514">
        <v>5235065</v>
      </c>
      <c r="G248" s="514">
        <v>1546422.02</v>
      </c>
      <c r="H248" s="437" t="str">
        <f>VLOOKUP(D248,'COA LTD'!A:F,3,0)</f>
        <v>PL</v>
      </c>
      <c r="I248" s="437" t="str">
        <f>VLOOKUP(D248,'COA LTD'!A:F,4,0)</f>
        <v>Research and development expenses, net</v>
      </c>
      <c r="J248" s="437" t="str">
        <f>VLOOKUP(D248,'COA LTD'!A:F,5,0)</f>
        <v xml:space="preserve">Salary </v>
      </c>
      <c r="K248" s="439">
        <f t="shared" si="0"/>
        <v>3.3852757735563026</v>
      </c>
      <c r="L248" s="437"/>
      <c r="M248" s="437"/>
      <c r="N248" s="437"/>
      <c r="O248" s="437"/>
      <c r="P248" s="438"/>
      <c r="Q248" s="438"/>
      <c r="R248" s="438"/>
      <c r="S248" s="438"/>
      <c r="T248" s="437"/>
      <c r="U248" s="437"/>
      <c r="V248" s="437"/>
      <c r="W248" s="437"/>
      <c r="X248" s="437"/>
      <c r="Y248" s="437"/>
      <c r="Z248" s="437"/>
    </row>
    <row r="249" spans="1:26" ht="15.75" customHeight="1">
      <c r="A249" t="s">
        <v>1391</v>
      </c>
      <c r="B249" t="s">
        <v>1402</v>
      </c>
      <c r="C249" t="s">
        <v>1403</v>
      </c>
      <c r="D249" s="516">
        <v>81030101</v>
      </c>
      <c r="E249" t="s">
        <v>1404</v>
      </c>
      <c r="F249" s="514">
        <v>8531.85</v>
      </c>
      <c r="G249" s="514">
        <v>2819.44</v>
      </c>
      <c r="H249" s="437" t="str">
        <f>VLOOKUP(D249,'COA LTD'!A:F,3,0)</f>
        <v>PL</v>
      </c>
      <c r="I249" s="437" t="str">
        <f>VLOOKUP(D249,'COA LTD'!A:F,4,0)</f>
        <v>Research and development expenses, net</v>
      </c>
      <c r="J249" s="437" t="str">
        <f>VLOOKUP(D249,'COA LTD'!A:F,5,0)</f>
        <v xml:space="preserve">Salary </v>
      </c>
      <c r="K249" s="439">
        <f t="shared" si="0"/>
        <v>3.0260796470221036</v>
      </c>
      <c r="L249" s="437"/>
      <c r="M249" s="437"/>
      <c r="N249" s="437"/>
      <c r="O249" s="437"/>
      <c r="P249" s="438"/>
      <c r="Q249" s="438"/>
      <c r="R249" s="438"/>
      <c r="S249" s="438"/>
      <c r="T249" s="437"/>
      <c r="U249" s="437"/>
      <c r="V249" s="437"/>
      <c r="W249" s="437"/>
      <c r="X249" s="437"/>
      <c r="Y249" s="437"/>
      <c r="Z249" s="437"/>
    </row>
    <row r="250" spans="1:26" ht="15.75" customHeight="1">
      <c r="A250" t="s">
        <v>1391</v>
      </c>
      <c r="B250" t="s">
        <v>1402</v>
      </c>
      <c r="C250" t="s">
        <v>1403</v>
      </c>
      <c r="D250" s="516">
        <v>81030102</v>
      </c>
      <c r="E250" t="s">
        <v>672</v>
      </c>
      <c r="F250" s="514">
        <v>83938.89</v>
      </c>
      <c r="G250" s="514">
        <v>25236.01</v>
      </c>
      <c r="H250" s="437" t="str">
        <f>VLOOKUP(D250,'COA LTD'!A:F,3,0)</f>
        <v>PL</v>
      </c>
      <c r="I250" s="437" t="str">
        <f>VLOOKUP(D250,'COA LTD'!A:F,4,0)</f>
        <v>Research and development expenses, net</v>
      </c>
      <c r="J250" s="437" t="str">
        <f>VLOOKUP(D250,'COA LTD'!A:F,5,0)</f>
        <v xml:space="preserve">option expenses </v>
      </c>
      <c r="K250" s="439">
        <f t="shared" si="0"/>
        <v>3.3261553629119662</v>
      </c>
      <c r="L250" s="437"/>
      <c r="M250" s="437"/>
      <c r="N250" s="437"/>
      <c r="O250" s="437"/>
      <c r="P250" s="438"/>
      <c r="Q250" s="438"/>
      <c r="R250" s="438"/>
      <c r="S250" s="438"/>
      <c r="T250" s="437"/>
      <c r="U250" s="437"/>
      <c r="V250" s="437"/>
      <c r="W250" s="437"/>
      <c r="X250" s="437"/>
      <c r="Y250" s="437"/>
      <c r="Z250" s="437"/>
    </row>
    <row r="251" spans="1:26" ht="15.75" customHeight="1">
      <c r="A251" t="s">
        <v>1391</v>
      </c>
      <c r="B251" t="s">
        <v>1402</v>
      </c>
      <c r="C251" t="s">
        <v>1403</v>
      </c>
      <c r="D251" s="516">
        <v>81030103</v>
      </c>
      <c r="E251" t="s">
        <v>1082</v>
      </c>
      <c r="F251" s="514">
        <v>10000</v>
      </c>
      <c r="G251" s="514">
        <v>2857.14</v>
      </c>
      <c r="H251" s="437" t="str">
        <f>VLOOKUP(D251,'COA LTD'!A:F,3,0)</f>
        <v>PL</v>
      </c>
      <c r="I251" s="437" t="str">
        <f>VLOOKUP(D251,'COA LTD'!A:F,4,0)</f>
        <v>Research and development expenses, net</v>
      </c>
      <c r="J251" s="437" t="str">
        <f>VLOOKUP(D251,'COA LTD'!A:F,5,0)</f>
        <v xml:space="preserve">salary </v>
      </c>
      <c r="K251" s="439">
        <f t="shared" si="0"/>
        <v>3.5000035000035004</v>
      </c>
      <c r="L251" s="437"/>
      <c r="M251" s="437"/>
      <c r="N251" s="437"/>
      <c r="O251" s="437"/>
      <c r="P251" s="438"/>
      <c r="Q251" s="438"/>
      <c r="R251" s="438"/>
      <c r="S251" s="438"/>
      <c r="T251" s="437"/>
      <c r="U251" s="437"/>
      <c r="V251" s="437"/>
      <c r="W251" s="437"/>
      <c r="X251" s="437"/>
      <c r="Y251" s="437"/>
      <c r="Z251" s="437"/>
    </row>
    <row r="252" spans="1:26" ht="15.75" customHeight="1">
      <c r="A252" t="s">
        <v>1391</v>
      </c>
      <c r="B252" t="s">
        <v>1402</v>
      </c>
      <c r="C252" t="s">
        <v>1403</v>
      </c>
      <c r="D252" s="516">
        <v>81030104</v>
      </c>
      <c r="E252" t="s">
        <v>673</v>
      </c>
      <c r="F252" s="514">
        <v>295147</v>
      </c>
      <c r="G252" s="514">
        <v>82409.5</v>
      </c>
      <c r="H252" s="437" t="str">
        <f>VLOOKUP(D252,'COA LTD'!A:F,3,0)</f>
        <v>PL</v>
      </c>
      <c r="I252" s="437" t="str">
        <f>VLOOKUP(D252,'COA LTD'!A:F,4,0)</f>
        <v>Research and development expenses, net</v>
      </c>
      <c r="J252" s="437" t="str">
        <f>VLOOKUP(D252,'COA LTD'!A:F,5,0)</f>
        <v xml:space="preserve">Salary </v>
      </c>
      <c r="K252" s="439">
        <f t="shared" si="0"/>
        <v>3.5814681559771628</v>
      </c>
      <c r="L252" s="437"/>
      <c r="M252" s="437"/>
      <c r="N252" s="437"/>
      <c r="O252" s="437"/>
      <c r="P252" s="438"/>
      <c r="Q252" s="438"/>
      <c r="R252" s="438"/>
      <c r="S252" s="438"/>
      <c r="T252" s="437"/>
      <c r="U252" s="437"/>
      <c r="V252" s="437"/>
      <c r="W252" s="437"/>
      <c r="X252" s="437"/>
      <c r="Y252" s="437"/>
      <c r="Z252" s="437"/>
    </row>
    <row r="253" spans="1:26" ht="15.75" customHeight="1">
      <c r="A253" t="s">
        <v>1391</v>
      </c>
      <c r="B253" t="s">
        <v>1402</v>
      </c>
      <c r="C253" t="s">
        <v>1403</v>
      </c>
      <c r="D253" s="516">
        <v>81030107</v>
      </c>
      <c r="E253" t="s">
        <v>674</v>
      </c>
      <c r="F253" s="514">
        <v>169882.13</v>
      </c>
      <c r="G253" s="514">
        <v>50840.98</v>
      </c>
      <c r="H253" s="437" t="str">
        <f>VLOOKUP(D253,'COA LTD'!A:F,3,0)</f>
        <v>PL</v>
      </c>
      <c r="I253" s="437" t="str">
        <f>VLOOKUP(D253,'COA LTD'!A:F,4,0)</f>
        <v>Research and development expenses, net</v>
      </c>
      <c r="J253" s="437" t="str">
        <f>VLOOKUP(D253,'COA LTD'!A:F,5,0)</f>
        <v xml:space="preserve">Salary </v>
      </c>
      <c r="K253" s="439">
        <f t="shared" si="0"/>
        <v>3.3414409006278007</v>
      </c>
      <c r="L253" s="437"/>
      <c r="M253" s="437"/>
      <c r="N253" s="437"/>
      <c r="O253" s="437"/>
      <c r="P253" s="438"/>
      <c r="Q253" s="438"/>
      <c r="R253" s="438"/>
      <c r="S253" s="438"/>
      <c r="T253" s="437"/>
      <c r="U253" s="437"/>
      <c r="V253" s="437"/>
      <c r="W253" s="437"/>
      <c r="X253" s="437"/>
      <c r="Y253" s="437"/>
      <c r="Z253" s="437"/>
    </row>
    <row r="254" spans="1:26" ht="15.75" customHeight="1">
      <c r="A254" t="s">
        <v>1391</v>
      </c>
      <c r="B254" t="s">
        <v>1402</v>
      </c>
      <c r="C254" t="s">
        <v>1403</v>
      </c>
      <c r="D254" s="516">
        <v>81030108</v>
      </c>
      <c r="E254" t="s">
        <v>675</v>
      </c>
      <c r="F254" s="514">
        <v>350215</v>
      </c>
      <c r="G254" s="514">
        <v>103459.2</v>
      </c>
      <c r="H254" s="437" t="str">
        <f>VLOOKUP(D254,'COA LTD'!A:F,3,0)</f>
        <v>PL</v>
      </c>
      <c r="I254" s="437" t="str">
        <f>VLOOKUP(D254,'COA LTD'!A:F,4,0)</f>
        <v>Research and development expenses, net</v>
      </c>
      <c r="J254" s="437" t="str">
        <f>VLOOKUP(D254,'COA LTD'!A:F,5,0)</f>
        <v xml:space="preserve">Salary </v>
      </c>
      <c r="K254" s="441">
        <f t="shared" si="0"/>
        <v>3.3850542049426249</v>
      </c>
      <c r="L254" s="437"/>
      <c r="M254" s="437"/>
      <c r="N254" s="437"/>
      <c r="O254" s="437"/>
      <c r="P254" s="438"/>
      <c r="Q254" s="438"/>
      <c r="R254" s="438"/>
      <c r="S254" s="438"/>
      <c r="T254" s="437"/>
      <c r="U254" s="437"/>
      <c r="V254" s="437"/>
      <c r="W254" s="437"/>
      <c r="X254" s="437"/>
      <c r="Y254" s="437"/>
      <c r="Z254" s="437"/>
    </row>
    <row r="255" spans="1:26" ht="15.75" customHeight="1">
      <c r="A255" t="s">
        <v>1391</v>
      </c>
      <c r="B255" t="s">
        <v>1402</v>
      </c>
      <c r="C255" t="s">
        <v>1403</v>
      </c>
      <c r="D255" s="516">
        <v>81030109</v>
      </c>
      <c r="E255" t="s">
        <v>676</v>
      </c>
      <c r="F255" s="514">
        <v>339989</v>
      </c>
      <c r="G255" s="514">
        <v>100493.32</v>
      </c>
      <c r="H255" s="437" t="str">
        <f>VLOOKUP(D255,'COA LTD'!A:F,3,0)</f>
        <v>PL</v>
      </c>
      <c r="I255" s="437" t="str">
        <f>VLOOKUP(D255,'COA LTD'!A:F,4,0)</f>
        <v>Research and development expenses, net</v>
      </c>
      <c r="J255" s="437" t="str">
        <f>VLOOKUP(D255,'COA LTD'!A:F,5,0)</f>
        <v xml:space="preserve">Salary </v>
      </c>
      <c r="K255" s="441">
        <f t="shared" si="0"/>
        <v>3.3831999977709959</v>
      </c>
      <c r="L255" s="437"/>
      <c r="M255" s="437"/>
      <c r="N255" s="437"/>
      <c r="O255" s="437"/>
      <c r="P255" s="438"/>
      <c r="Q255" s="438"/>
      <c r="R255" s="438"/>
      <c r="S255" s="438"/>
      <c r="T255" s="437"/>
      <c r="U255" s="437"/>
      <c r="V255" s="437"/>
      <c r="W255" s="437"/>
      <c r="X255" s="437"/>
      <c r="Y255" s="437"/>
      <c r="Z255" s="437"/>
    </row>
    <row r="256" spans="1:26" ht="15.75" customHeight="1">
      <c r="A256" t="s">
        <v>1391</v>
      </c>
      <c r="B256" t="s">
        <v>1402</v>
      </c>
      <c r="C256" t="s">
        <v>1403</v>
      </c>
      <c r="D256" s="516">
        <v>81030110</v>
      </c>
      <c r="E256" t="s">
        <v>677</v>
      </c>
      <c r="F256" s="514">
        <v>306718</v>
      </c>
      <c r="G256" s="514">
        <v>90394.39</v>
      </c>
      <c r="H256" s="437" t="str">
        <f>VLOOKUP(D256,'COA LTD'!A:F,3,0)</f>
        <v>PL</v>
      </c>
      <c r="I256" s="437" t="str">
        <f>VLOOKUP(D256,'COA LTD'!A:F,4,0)</f>
        <v>Research and development expenses, net</v>
      </c>
      <c r="J256" s="437" t="str">
        <f>VLOOKUP(D256,'COA LTD'!A:F,5,0)</f>
        <v xml:space="preserve">Salary </v>
      </c>
      <c r="K256" s="441">
        <f t="shared" si="0"/>
        <v>3.393108798012797</v>
      </c>
      <c r="L256" s="437"/>
      <c r="M256" s="437"/>
      <c r="N256" s="437"/>
      <c r="O256" s="437"/>
      <c r="P256" s="438"/>
      <c r="Q256" s="438"/>
      <c r="R256" s="438"/>
      <c r="S256" s="438"/>
      <c r="T256" s="437"/>
      <c r="U256" s="437"/>
      <c r="V256" s="437"/>
      <c r="W256" s="437"/>
      <c r="X256" s="437"/>
      <c r="Y256" s="437"/>
      <c r="Z256" s="437"/>
    </row>
    <row r="257" spans="1:26" ht="15.75" customHeight="1">
      <c r="A257" t="s">
        <v>1391</v>
      </c>
      <c r="B257" t="s">
        <v>1402</v>
      </c>
      <c r="C257" t="s">
        <v>1403</v>
      </c>
      <c r="D257" s="516">
        <v>81030111</v>
      </c>
      <c r="E257" t="s">
        <v>678</v>
      </c>
      <c r="F257" s="514">
        <v>14354.69</v>
      </c>
      <c r="G257" s="514">
        <v>4190.55</v>
      </c>
      <c r="H257" s="437" t="str">
        <f>VLOOKUP(D257,'COA LTD'!A:F,3,0)</f>
        <v>PL</v>
      </c>
      <c r="I257" s="437" t="str">
        <f>VLOOKUP(D257,'COA LTD'!A:F,4,0)</f>
        <v>Research and development expenses, net</v>
      </c>
      <c r="J257" s="437" t="str">
        <f>VLOOKUP(D257,'COA LTD'!A:F,5,0)</f>
        <v xml:space="preserve">Salary </v>
      </c>
      <c r="K257" s="441">
        <f t="shared" ref="K257:K360" si="5">F257/G257</f>
        <v>3.4254906873799382</v>
      </c>
      <c r="L257" s="437"/>
      <c r="M257" s="437"/>
      <c r="N257" s="437"/>
      <c r="O257" s="437"/>
      <c r="P257" s="438"/>
      <c r="Q257" s="438"/>
      <c r="R257" s="438"/>
      <c r="S257" s="438"/>
      <c r="T257" s="437"/>
      <c r="U257" s="437"/>
      <c r="V257" s="437"/>
      <c r="W257" s="437"/>
      <c r="X257" s="437"/>
      <c r="Y257" s="437"/>
      <c r="Z257" s="437"/>
    </row>
    <row r="258" spans="1:26" ht="15.75" customHeight="1">
      <c r="A258" t="s">
        <v>1391</v>
      </c>
      <c r="B258" t="s">
        <v>1402</v>
      </c>
      <c r="C258" t="s">
        <v>1403</v>
      </c>
      <c r="D258" s="516">
        <v>81030112</v>
      </c>
      <c r="E258" t="s">
        <v>679</v>
      </c>
      <c r="F258" s="514">
        <v>375246</v>
      </c>
      <c r="G258" s="514">
        <v>110117.94</v>
      </c>
      <c r="H258" s="437" t="str">
        <f>VLOOKUP(D258,'COA LTD'!A:F,3,0)</f>
        <v>PL</v>
      </c>
      <c r="I258" s="437" t="str">
        <f>VLOOKUP(D258,'COA LTD'!A:F,4,0)</f>
        <v>Research and development expenses, net</v>
      </c>
      <c r="J258" s="437" t="str">
        <f>VLOOKUP(D258,'COA LTD'!A:F,5,0)</f>
        <v xml:space="preserve">Salary </v>
      </c>
      <c r="K258" s="439">
        <f t="shared" si="5"/>
        <v>3.4076736270220818</v>
      </c>
      <c r="L258" s="437"/>
      <c r="M258" s="437"/>
      <c r="N258" s="437"/>
      <c r="O258" s="437"/>
      <c r="P258" s="438"/>
      <c r="Q258" s="438"/>
      <c r="R258" s="438"/>
      <c r="S258" s="438"/>
      <c r="T258" s="437"/>
      <c r="U258" s="437"/>
      <c r="V258" s="437"/>
      <c r="W258" s="437"/>
      <c r="X258" s="437"/>
      <c r="Y258" s="437"/>
      <c r="Z258" s="437"/>
    </row>
    <row r="259" spans="1:26" ht="15.75" customHeight="1">
      <c r="A259" t="s">
        <v>1391</v>
      </c>
      <c r="B259" t="s">
        <v>1402</v>
      </c>
      <c r="C259" t="s">
        <v>1403</v>
      </c>
      <c r="D259" s="516">
        <v>81030114</v>
      </c>
      <c r="E259" t="s">
        <v>680</v>
      </c>
      <c r="F259" s="514">
        <v>5790</v>
      </c>
      <c r="G259" s="514">
        <v>1846.28</v>
      </c>
      <c r="H259" s="437" t="str">
        <f>VLOOKUP(D259,'COA LTD'!A:F,3,0)</f>
        <v>PL</v>
      </c>
      <c r="I259" s="437" t="str">
        <f>VLOOKUP(D259,'COA LTD'!A:F,4,0)</f>
        <v>Research and development expenses, net</v>
      </c>
      <c r="J259" s="437" t="str">
        <f>VLOOKUP(D259,'COA LTD'!A:F,5,0)</f>
        <v xml:space="preserve">Salary </v>
      </c>
      <c r="K259" s="439">
        <f t="shared" si="5"/>
        <v>3.1360357042268778</v>
      </c>
      <c r="L259" s="437"/>
      <c r="M259" s="437"/>
      <c r="N259" s="437"/>
      <c r="O259" s="437"/>
      <c r="P259" s="438"/>
      <c r="Q259" s="438"/>
      <c r="R259" s="438"/>
      <c r="S259" s="438"/>
      <c r="T259" s="437"/>
      <c r="U259" s="437"/>
      <c r="V259" s="437"/>
      <c r="W259" s="437"/>
      <c r="X259" s="437"/>
      <c r="Y259" s="437"/>
      <c r="Z259" s="437"/>
    </row>
    <row r="260" spans="1:26" ht="15.75" customHeight="1">
      <c r="A260" t="s">
        <v>1391</v>
      </c>
      <c r="B260" t="s">
        <v>1402</v>
      </c>
      <c r="C260" t="s">
        <v>1403</v>
      </c>
      <c r="D260" s="516">
        <v>81030115</v>
      </c>
      <c r="E260" t="s">
        <v>681</v>
      </c>
      <c r="F260" s="514">
        <v>-5790</v>
      </c>
      <c r="G260" s="514">
        <v>-1846.28</v>
      </c>
      <c r="H260" s="437" t="str">
        <f>VLOOKUP(D260,'COA LTD'!A:F,3,0)</f>
        <v>PL</v>
      </c>
      <c r="I260" s="437" t="str">
        <f>VLOOKUP(D260,'COA LTD'!A:F,4,0)</f>
        <v>Research and development expenses, net</v>
      </c>
      <c r="J260" s="437" t="str">
        <f>VLOOKUP(D260,'COA LTD'!A:F,5,0)</f>
        <v xml:space="preserve">Salary </v>
      </c>
      <c r="K260" s="439">
        <f t="shared" si="5"/>
        <v>3.1360357042268778</v>
      </c>
      <c r="L260" s="437"/>
      <c r="M260" s="437"/>
      <c r="N260" s="437"/>
      <c r="O260" s="437"/>
      <c r="P260" s="438"/>
      <c r="Q260" s="438"/>
      <c r="R260" s="438"/>
      <c r="S260" s="438"/>
      <c r="T260" s="437"/>
      <c r="U260" s="437"/>
      <c r="V260" s="437"/>
      <c r="W260" s="437"/>
      <c r="X260" s="437"/>
      <c r="Y260" s="437"/>
      <c r="Z260" s="437"/>
    </row>
    <row r="261" spans="1:26" ht="15.75" customHeight="1">
      <c r="A261" t="s">
        <v>1391</v>
      </c>
      <c r="B261" t="s">
        <v>1402</v>
      </c>
      <c r="C261" t="s">
        <v>1403</v>
      </c>
      <c r="D261" s="516">
        <v>81030116</v>
      </c>
      <c r="E261" t="s">
        <v>1155</v>
      </c>
      <c r="F261" s="514">
        <v>1499</v>
      </c>
      <c r="G261" s="514">
        <v>430.32</v>
      </c>
      <c r="H261" s="437" t="str">
        <f>VLOOKUP(D261,'COA LTD'!A:F,3,0)</f>
        <v>PL</v>
      </c>
      <c r="I261" s="437" t="str">
        <f>VLOOKUP(D261,'COA LTD'!A:F,4,0)</f>
        <v>Research and development expenses, net</v>
      </c>
      <c r="J261" s="437" t="str">
        <f>VLOOKUP(D261,'COA LTD'!A:F,5,0)</f>
        <v xml:space="preserve">salary </v>
      </c>
      <c r="K261" s="439">
        <f t="shared" si="5"/>
        <v>3.483454173638223</v>
      </c>
      <c r="L261" s="437"/>
      <c r="M261" s="437"/>
      <c r="N261" s="437"/>
      <c r="O261" s="437"/>
      <c r="P261" s="438"/>
      <c r="Q261" s="438"/>
      <c r="R261" s="438"/>
      <c r="S261" s="438"/>
      <c r="T261" s="437"/>
      <c r="U261" s="437"/>
      <c r="V261" s="437"/>
      <c r="W261" s="437"/>
      <c r="X261" s="437"/>
      <c r="Y261" s="437"/>
      <c r="Z261" s="437"/>
    </row>
    <row r="262" spans="1:26" ht="15.75" customHeight="1">
      <c r="A262" t="s">
        <v>1391</v>
      </c>
      <c r="B262" t="s">
        <v>1402</v>
      </c>
      <c r="C262" t="s">
        <v>1403</v>
      </c>
      <c r="D262" s="516">
        <v>81030117</v>
      </c>
      <c r="E262" t="s">
        <v>1156</v>
      </c>
      <c r="F262" s="514">
        <v>-1499</v>
      </c>
      <c r="G262" s="514">
        <v>-430.32</v>
      </c>
      <c r="H262" s="437" t="str">
        <f>VLOOKUP(D262,'COA LTD'!A:F,3,0)</f>
        <v>PL</v>
      </c>
      <c r="I262" s="437" t="str">
        <f>VLOOKUP(D262,'COA LTD'!A:F,4,0)</f>
        <v>Research and development expenses, net</v>
      </c>
      <c r="J262" s="437" t="str">
        <f>VLOOKUP(D262,'COA LTD'!A:F,5,0)</f>
        <v xml:space="preserve">salary </v>
      </c>
      <c r="K262" s="441">
        <f t="shared" si="5"/>
        <v>3.483454173638223</v>
      </c>
      <c r="L262" s="437"/>
      <c r="M262" s="437"/>
      <c r="N262" s="437"/>
      <c r="O262" s="437"/>
      <c r="P262" s="438"/>
      <c r="Q262" s="438"/>
      <c r="R262" s="438"/>
      <c r="S262" s="438"/>
      <c r="T262" s="437"/>
      <c r="U262" s="437"/>
      <c r="V262" s="437"/>
      <c r="W262" s="437"/>
      <c r="X262" s="437"/>
      <c r="Y262" s="437"/>
      <c r="Z262" s="437"/>
    </row>
    <row r="263" spans="1:26" ht="15.75" customHeight="1">
      <c r="A263" t="s">
        <v>1391</v>
      </c>
      <c r="B263" t="s">
        <v>1402</v>
      </c>
      <c r="C263" t="s">
        <v>1403</v>
      </c>
      <c r="D263" s="516">
        <v>81030118</v>
      </c>
      <c r="E263" t="s">
        <v>682</v>
      </c>
      <c r="F263" s="514">
        <v>272105</v>
      </c>
      <c r="G263" s="514">
        <v>79953.47</v>
      </c>
      <c r="H263" s="437" t="str">
        <f>VLOOKUP(D263,'COA LTD'!A:F,3,0)</f>
        <v>PL</v>
      </c>
      <c r="I263" s="437" t="str">
        <f>VLOOKUP(D263,'COA LTD'!A:F,4,0)</f>
        <v>Research and development expenses, net</v>
      </c>
      <c r="J263" s="437" t="str">
        <f>VLOOKUP(D263,'COA LTD'!A:F,5,0)</f>
        <v xml:space="preserve">Salary </v>
      </c>
      <c r="K263" s="439">
        <f t="shared" si="5"/>
        <v>3.4032919396744132</v>
      </c>
      <c r="L263" s="437"/>
      <c r="M263" s="437"/>
      <c r="N263" s="437"/>
      <c r="O263" s="437"/>
      <c r="P263" s="438"/>
      <c r="Q263" s="438"/>
      <c r="R263" s="438"/>
      <c r="S263" s="438"/>
      <c r="T263" s="437"/>
      <c r="U263" s="437"/>
      <c r="V263" s="437"/>
      <c r="W263" s="437"/>
      <c r="X263" s="437"/>
      <c r="Y263" s="437"/>
      <c r="Z263" s="437"/>
    </row>
    <row r="264" spans="1:26" ht="15.75" customHeight="1">
      <c r="A264" t="s">
        <v>1391</v>
      </c>
      <c r="B264" t="s">
        <v>1402</v>
      </c>
      <c r="C264" t="s">
        <v>1403</v>
      </c>
      <c r="D264" s="516">
        <v>81030119</v>
      </c>
      <c r="E264" t="s">
        <v>683</v>
      </c>
      <c r="F264" s="514">
        <v>-272105</v>
      </c>
      <c r="G264" s="514">
        <v>-79953.47</v>
      </c>
      <c r="H264" s="437" t="str">
        <f>VLOOKUP(D264,'COA LTD'!A:F,3,0)</f>
        <v>PL</v>
      </c>
      <c r="I264" s="437" t="str">
        <f>VLOOKUP(D264,'COA LTD'!A:F,4,0)</f>
        <v>Research and development expenses, net</v>
      </c>
      <c r="J264" s="437" t="str">
        <f>VLOOKUP(D264,'COA LTD'!A:F,5,0)</f>
        <v xml:space="preserve">Salary </v>
      </c>
      <c r="K264" s="439">
        <f t="shared" si="5"/>
        <v>3.4032919396744132</v>
      </c>
      <c r="L264" s="437"/>
      <c r="M264" s="437"/>
      <c r="N264" s="437" t="s">
        <v>172</v>
      </c>
      <c r="O264" s="437"/>
      <c r="P264" s="438"/>
      <c r="Q264" s="438"/>
      <c r="R264" s="438"/>
      <c r="S264" s="438"/>
      <c r="T264" s="437"/>
      <c r="U264" s="437"/>
      <c r="V264" s="437"/>
      <c r="W264" s="437"/>
      <c r="X264" s="437"/>
      <c r="Y264" s="437"/>
      <c r="Z264" s="437"/>
    </row>
    <row r="265" spans="1:26" ht="15.75" customHeight="1">
      <c r="A265" t="s">
        <v>1391</v>
      </c>
      <c r="B265" t="s">
        <v>1402</v>
      </c>
      <c r="C265" t="s">
        <v>1403</v>
      </c>
      <c r="D265" s="516">
        <v>81030120</v>
      </c>
      <c r="E265" t="s">
        <v>934</v>
      </c>
      <c r="F265" s="514">
        <v>39970</v>
      </c>
      <c r="G265" s="514">
        <v>11579.12</v>
      </c>
      <c r="H265" s="437" t="str">
        <f>VLOOKUP(D265,'COA LTD'!A:F,3,0)</f>
        <v>PL</v>
      </c>
      <c r="I265" s="437" t="str">
        <f>VLOOKUP(D265,'COA LTD'!A:F,4,0)</f>
        <v>Research and development expenses, net</v>
      </c>
      <c r="J265" s="437" t="str">
        <f>VLOOKUP(D265,'COA LTD'!A:F,5,0)</f>
        <v xml:space="preserve">salary </v>
      </c>
      <c r="K265" s="439">
        <f t="shared" si="5"/>
        <v>3.4519030807177056</v>
      </c>
      <c r="L265" s="437"/>
      <c r="M265" s="437"/>
      <c r="N265" s="437"/>
      <c r="O265" s="437"/>
      <c r="P265" s="438"/>
      <c r="Q265" s="438"/>
      <c r="R265" s="438"/>
      <c r="S265" s="438"/>
      <c r="T265" s="437"/>
      <c r="U265" s="437"/>
      <c r="V265" s="437"/>
      <c r="W265" s="437"/>
      <c r="X265" s="437"/>
      <c r="Y265" s="437"/>
      <c r="Z265" s="437"/>
    </row>
    <row r="266" spans="1:26" ht="15.75" customHeight="1">
      <c r="A266" t="s">
        <v>1391</v>
      </c>
      <c r="B266" t="s">
        <v>1402</v>
      </c>
      <c r="C266" t="s">
        <v>1403</v>
      </c>
      <c r="D266" s="516">
        <v>81030121</v>
      </c>
      <c r="E266" t="s">
        <v>935</v>
      </c>
      <c r="F266" s="514">
        <v>-39970</v>
      </c>
      <c r="G266" s="514">
        <v>-11579.12</v>
      </c>
      <c r="H266" s="437" t="str">
        <f>VLOOKUP(D266,'COA LTD'!A:F,3,0)</f>
        <v>PL</v>
      </c>
      <c r="I266" s="437" t="str">
        <f>VLOOKUP(D266,'COA LTD'!A:F,4,0)</f>
        <v>Research and development expenses, net</v>
      </c>
      <c r="J266" s="437" t="str">
        <f>VLOOKUP(D266,'COA LTD'!A:F,5,0)</f>
        <v xml:space="preserve">salary </v>
      </c>
      <c r="K266" s="439">
        <f t="shared" si="5"/>
        <v>3.4519030807177056</v>
      </c>
      <c r="L266" s="437"/>
      <c r="M266" s="437"/>
      <c r="N266" s="437"/>
      <c r="O266" s="437"/>
      <c r="P266" s="438"/>
      <c r="Q266" s="438"/>
      <c r="R266" s="438"/>
      <c r="S266" s="438"/>
      <c r="T266" s="437"/>
      <c r="U266" s="437"/>
      <c r="V266" s="437"/>
      <c r="W266" s="437"/>
      <c r="X266" s="437"/>
      <c r="Y266" s="437"/>
      <c r="Z266" s="437"/>
    </row>
    <row r="267" spans="1:26" ht="15.75" customHeight="1">
      <c r="A267" t="s">
        <v>1391</v>
      </c>
      <c r="B267" t="s">
        <v>1402</v>
      </c>
      <c r="C267" t="s">
        <v>1403</v>
      </c>
      <c r="D267" s="516">
        <v>81040100</v>
      </c>
      <c r="E267" t="s">
        <v>684</v>
      </c>
      <c r="F267" s="514">
        <v>4688367</v>
      </c>
      <c r="G267" s="514">
        <v>1383435.82</v>
      </c>
      <c r="H267" s="437" t="str">
        <f>VLOOKUP(D267,'COA LTD'!A:F,3,0)</f>
        <v>PL</v>
      </c>
      <c r="I267" s="437" t="str">
        <f>VLOOKUP(D267,'COA LTD'!A:F,4,0)</f>
        <v>Research and development expenses, net</v>
      </c>
      <c r="J267" s="437" t="str">
        <f>VLOOKUP(D267,'COA LTD'!A:F,5,0)</f>
        <v xml:space="preserve">Salary </v>
      </c>
      <c r="K267" s="441">
        <f t="shared" si="5"/>
        <v>3.3889298890641704</v>
      </c>
      <c r="L267" s="437"/>
      <c r="M267" s="437"/>
      <c r="N267" s="437"/>
      <c r="O267" s="437"/>
      <c r="P267" s="438"/>
      <c r="Q267" s="438"/>
      <c r="R267" s="438"/>
      <c r="S267" s="438"/>
      <c r="T267" s="437"/>
      <c r="U267" s="437"/>
      <c r="V267" s="437"/>
      <c r="W267" s="437"/>
      <c r="X267" s="437"/>
      <c r="Y267" s="437"/>
      <c r="Z267" s="437"/>
    </row>
    <row r="268" spans="1:26" ht="15.75" customHeight="1">
      <c r="A268" t="s">
        <v>1391</v>
      </c>
      <c r="B268" t="s">
        <v>1402</v>
      </c>
      <c r="C268" t="s">
        <v>1403</v>
      </c>
      <c r="D268" s="516">
        <v>81040102</v>
      </c>
      <c r="E268" t="s">
        <v>685</v>
      </c>
      <c r="F268" s="514">
        <v>164450.34</v>
      </c>
      <c r="G268" s="514">
        <v>54515.31</v>
      </c>
      <c r="H268" s="437" t="str">
        <f>VLOOKUP(D268,'COA LTD'!A:F,3,0)</f>
        <v>PL</v>
      </c>
      <c r="I268" s="437" t="str">
        <f>VLOOKUP(D268,'COA LTD'!A:F,4,0)</f>
        <v>Research and development expenses, net</v>
      </c>
      <c r="J268" s="437" t="str">
        <f>VLOOKUP(D268,'COA LTD'!A:F,5,0)</f>
        <v xml:space="preserve">option expenses </v>
      </c>
      <c r="K268" s="439">
        <f t="shared" si="5"/>
        <v>3.0165900184737096</v>
      </c>
      <c r="L268" s="437"/>
      <c r="M268" s="437"/>
      <c r="N268" s="437"/>
      <c r="O268" s="437"/>
      <c r="P268" s="438"/>
      <c r="Q268" s="438"/>
      <c r="R268" s="438"/>
      <c r="S268" s="438"/>
      <c r="T268" s="437"/>
      <c r="U268" s="437"/>
      <c r="V268" s="437"/>
      <c r="W268" s="437"/>
      <c r="X268" s="437"/>
      <c r="Y268" s="437"/>
      <c r="Z268" s="437"/>
    </row>
    <row r="269" spans="1:26" ht="15.75" customHeight="1">
      <c r="A269" t="s">
        <v>1391</v>
      </c>
      <c r="B269" t="s">
        <v>1402</v>
      </c>
      <c r="C269" t="s">
        <v>1403</v>
      </c>
      <c r="D269" s="516">
        <v>81040104</v>
      </c>
      <c r="E269" t="s">
        <v>686</v>
      </c>
      <c r="F269" s="514">
        <v>195096</v>
      </c>
      <c r="G269" s="514">
        <v>40495.54</v>
      </c>
      <c r="H269" s="437" t="str">
        <f>VLOOKUP(D269,'COA LTD'!A:F,3,0)</f>
        <v>PL</v>
      </c>
      <c r="I269" s="437" t="str">
        <f>VLOOKUP(D269,'COA LTD'!A:F,4,0)</f>
        <v>Research and development expenses, net</v>
      </c>
      <c r="J269" s="437" t="str">
        <f>VLOOKUP(D269,'COA LTD'!A:F,5,0)</f>
        <v xml:space="preserve">Salary </v>
      </c>
      <c r="K269" s="439">
        <f t="shared" si="5"/>
        <v>4.8177157286950614</v>
      </c>
      <c r="L269" s="437"/>
      <c r="M269" s="437"/>
      <c r="N269" s="437"/>
      <c r="O269" s="437"/>
      <c r="P269" s="438"/>
      <c r="Q269" s="438"/>
      <c r="R269" s="438"/>
      <c r="S269" s="438"/>
      <c r="T269" s="437"/>
      <c r="U269" s="437"/>
      <c r="V269" s="437"/>
      <c r="W269" s="437"/>
      <c r="X269" s="437"/>
      <c r="Y269" s="437"/>
      <c r="Z269" s="437"/>
    </row>
    <row r="270" spans="1:26" ht="15.75" customHeight="1">
      <c r="A270" t="s">
        <v>1391</v>
      </c>
      <c r="B270" t="s">
        <v>1402</v>
      </c>
      <c r="C270" t="s">
        <v>1403</v>
      </c>
      <c r="D270" s="516">
        <v>81040107</v>
      </c>
      <c r="E270" t="s">
        <v>687</v>
      </c>
      <c r="F270" s="514">
        <v>185139.20000000001</v>
      </c>
      <c r="G270" s="514">
        <v>55284.9</v>
      </c>
      <c r="H270" s="437" t="str">
        <f>VLOOKUP(D270,'COA LTD'!A:F,3,0)</f>
        <v>PL</v>
      </c>
      <c r="I270" s="437" t="str">
        <f>VLOOKUP(D270,'COA LTD'!A:F,4,0)</f>
        <v>Research and development expenses, net</v>
      </c>
      <c r="J270" s="437" t="str">
        <f>VLOOKUP(D270,'COA LTD'!A:F,5,0)</f>
        <v xml:space="preserve">Salary </v>
      </c>
      <c r="K270" s="439">
        <f t="shared" si="5"/>
        <v>3.348820383142594</v>
      </c>
      <c r="L270" s="437"/>
      <c r="M270" s="437"/>
      <c r="N270" s="437"/>
      <c r="O270" s="437"/>
      <c r="P270" s="438"/>
      <c r="Q270" s="438"/>
      <c r="R270" s="438"/>
      <c r="S270" s="438"/>
      <c r="T270" s="437"/>
      <c r="U270" s="437"/>
      <c r="V270" s="437"/>
      <c r="W270" s="437"/>
      <c r="X270" s="437"/>
      <c r="Y270" s="437"/>
      <c r="Z270" s="437"/>
    </row>
    <row r="271" spans="1:26" ht="15.75" customHeight="1">
      <c r="A271" t="s">
        <v>1391</v>
      </c>
      <c r="B271" t="s">
        <v>1402</v>
      </c>
      <c r="C271" t="s">
        <v>1403</v>
      </c>
      <c r="D271" s="516">
        <v>81040108</v>
      </c>
      <c r="E271" t="s">
        <v>688</v>
      </c>
      <c r="F271" s="514">
        <v>240655</v>
      </c>
      <c r="G271" s="514">
        <v>70819.14</v>
      </c>
      <c r="H271" s="437" t="str">
        <f>VLOOKUP(D271,'COA LTD'!A:F,3,0)</f>
        <v>PL</v>
      </c>
      <c r="I271" s="437" t="str">
        <f>VLOOKUP(D271,'COA LTD'!A:F,4,0)</f>
        <v>Research and development expenses, net</v>
      </c>
      <c r="J271" s="437" t="str">
        <f>VLOOKUP(D271,'COA LTD'!A:F,5,0)</f>
        <v xml:space="preserve">Salary </v>
      </c>
      <c r="K271" s="439">
        <f t="shared" si="5"/>
        <v>3.3981632649026805</v>
      </c>
      <c r="L271" s="437"/>
      <c r="M271" s="437"/>
      <c r="N271" s="437"/>
      <c r="O271" s="437"/>
      <c r="P271" s="438"/>
      <c r="Q271" s="438"/>
      <c r="R271" s="438"/>
      <c r="S271" s="438"/>
      <c r="T271" s="437"/>
      <c r="U271" s="437"/>
      <c r="V271" s="437"/>
      <c r="W271" s="437"/>
      <c r="X271" s="437"/>
      <c r="Y271" s="437"/>
      <c r="Z271" s="437"/>
    </row>
    <row r="272" spans="1:26" ht="15.75" customHeight="1">
      <c r="A272" t="s">
        <v>1391</v>
      </c>
      <c r="B272" t="s">
        <v>1402</v>
      </c>
      <c r="C272" t="s">
        <v>1403</v>
      </c>
      <c r="D272" s="516">
        <v>81040109</v>
      </c>
      <c r="E272" t="s">
        <v>689</v>
      </c>
      <c r="F272" s="514">
        <v>241909</v>
      </c>
      <c r="G272" s="514">
        <v>71143.17</v>
      </c>
      <c r="H272" s="437" t="str">
        <f>VLOOKUP(D272,'COA LTD'!A:F,3,0)</f>
        <v>PL</v>
      </c>
      <c r="I272" s="437" t="str">
        <f>VLOOKUP(D272,'COA LTD'!A:F,4,0)</f>
        <v>Research and development expenses, net</v>
      </c>
      <c r="J272" s="437" t="str">
        <f>VLOOKUP(D272,'COA LTD'!A:F,5,0)</f>
        <v xml:space="preserve">Salary </v>
      </c>
      <c r="K272" s="439">
        <f t="shared" si="5"/>
        <v>3.400312356056105</v>
      </c>
      <c r="L272" s="437"/>
      <c r="M272" s="437"/>
      <c r="N272" s="437"/>
      <c r="O272" s="437"/>
      <c r="P272" s="438"/>
      <c r="Q272" s="438"/>
      <c r="R272" s="438"/>
      <c r="S272" s="438"/>
      <c r="T272" s="437"/>
      <c r="U272" s="437"/>
      <c r="V272" s="437"/>
      <c r="W272" s="437"/>
      <c r="X272" s="437"/>
      <c r="Y272" s="437"/>
      <c r="Z272" s="437"/>
    </row>
    <row r="273" spans="1:26" ht="15.75" customHeight="1">
      <c r="A273" t="s">
        <v>1391</v>
      </c>
      <c r="B273" t="s">
        <v>1402</v>
      </c>
      <c r="C273" t="s">
        <v>1403</v>
      </c>
      <c r="D273" s="516">
        <v>81040110</v>
      </c>
      <c r="E273" t="s">
        <v>690</v>
      </c>
      <c r="F273" s="514">
        <v>125107</v>
      </c>
      <c r="G273" s="514">
        <v>36734.550000000003</v>
      </c>
      <c r="H273" s="437" t="str">
        <f>VLOOKUP(D273,'COA LTD'!A:F,3,0)</f>
        <v>PL</v>
      </c>
      <c r="I273" s="437" t="str">
        <f>VLOOKUP(D273,'COA LTD'!A:F,4,0)</f>
        <v>Research and development expenses, net</v>
      </c>
      <c r="J273" s="437" t="str">
        <f>VLOOKUP(D273,'COA LTD'!A:F,5,0)</f>
        <v xml:space="preserve">Salary </v>
      </c>
      <c r="K273" s="439">
        <f t="shared" si="5"/>
        <v>3.4057038945624756</v>
      </c>
      <c r="L273" s="437"/>
      <c r="M273" s="437"/>
      <c r="N273" s="437"/>
      <c r="O273" s="437"/>
      <c r="P273" s="438"/>
      <c r="Q273" s="438"/>
      <c r="R273" s="438"/>
      <c r="S273" s="438"/>
      <c r="T273" s="437"/>
      <c r="U273" s="437"/>
      <c r="V273" s="437"/>
      <c r="W273" s="437"/>
      <c r="X273" s="437"/>
      <c r="Y273" s="437"/>
      <c r="Z273" s="437"/>
    </row>
    <row r="274" spans="1:26" ht="15.75" customHeight="1">
      <c r="A274" t="s">
        <v>1391</v>
      </c>
      <c r="B274" t="s">
        <v>1402</v>
      </c>
      <c r="C274" t="s">
        <v>1403</v>
      </c>
      <c r="D274" s="516">
        <v>81040111</v>
      </c>
      <c r="E274" t="s">
        <v>691</v>
      </c>
      <c r="F274" s="514">
        <v>3756.54</v>
      </c>
      <c r="G274" s="514">
        <v>1099.31</v>
      </c>
      <c r="H274" s="437" t="str">
        <f>VLOOKUP(D274,'COA LTD'!A:F,3,0)</f>
        <v>PL</v>
      </c>
      <c r="I274" s="437" t="str">
        <f>VLOOKUP(D274,'COA LTD'!A:F,4,0)</f>
        <v>Research and development expenses, net</v>
      </c>
      <c r="J274" s="437" t="str">
        <f>VLOOKUP(D274,'COA LTD'!A:F,5,0)</f>
        <v xml:space="preserve">Salary </v>
      </c>
      <c r="K274" s="439">
        <f t="shared" si="5"/>
        <v>3.4171798673713512</v>
      </c>
      <c r="L274" s="437"/>
      <c r="M274" s="437"/>
      <c r="N274" s="437"/>
      <c r="O274" s="437"/>
      <c r="P274" s="438"/>
      <c r="Q274" s="438"/>
      <c r="R274" s="438"/>
      <c r="S274" s="438"/>
      <c r="T274" s="437"/>
      <c r="U274" s="437"/>
      <c r="V274" s="437"/>
      <c r="W274" s="437"/>
      <c r="X274" s="437"/>
      <c r="Y274" s="437"/>
      <c r="Z274" s="437"/>
    </row>
    <row r="275" spans="1:26" ht="15.75" customHeight="1">
      <c r="A275" t="s">
        <v>1391</v>
      </c>
      <c r="B275" t="s">
        <v>1402</v>
      </c>
      <c r="C275" t="s">
        <v>1403</v>
      </c>
      <c r="D275" s="516">
        <v>81040112</v>
      </c>
      <c r="E275" t="s">
        <v>692</v>
      </c>
      <c r="F275" s="514">
        <v>275083</v>
      </c>
      <c r="G275" s="514">
        <v>80400.490000000005</v>
      </c>
      <c r="H275" s="437" t="str">
        <f>VLOOKUP(D275,'COA LTD'!A:F,3,0)</f>
        <v>PL</v>
      </c>
      <c r="I275" s="437" t="str">
        <f>VLOOKUP(D275,'COA LTD'!A:F,4,0)</f>
        <v>Research and development expenses, net</v>
      </c>
      <c r="J275" s="437" t="str">
        <f>VLOOKUP(D275,'COA LTD'!A:F,5,0)</f>
        <v xml:space="preserve">Salary </v>
      </c>
      <c r="K275" s="439">
        <f t="shared" si="5"/>
        <v>3.4214094963849098</v>
      </c>
      <c r="L275" s="437"/>
      <c r="M275" s="437"/>
      <c r="N275" s="437"/>
      <c r="O275" s="437"/>
      <c r="P275" s="438"/>
      <c r="Q275" s="438"/>
      <c r="R275" s="438"/>
      <c r="S275" s="438"/>
      <c r="T275" s="437"/>
      <c r="U275" s="437"/>
      <c r="V275" s="437"/>
      <c r="W275" s="437"/>
      <c r="X275" s="437"/>
      <c r="Y275" s="437"/>
      <c r="Z275" s="437"/>
    </row>
    <row r="276" spans="1:26" ht="15.75" customHeight="1">
      <c r="A276" t="s">
        <v>1391</v>
      </c>
      <c r="B276" t="s">
        <v>1402</v>
      </c>
      <c r="C276" t="s">
        <v>1403</v>
      </c>
      <c r="D276" s="516">
        <v>81040114</v>
      </c>
      <c r="E276" t="s">
        <v>693</v>
      </c>
      <c r="F276" s="514">
        <v>76072</v>
      </c>
      <c r="G276" s="514">
        <v>22283.03</v>
      </c>
      <c r="H276" s="437" t="str">
        <f>VLOOKUP(D276,'COA LTD'!A:F,3,0)</f>
        <v>PL</v>
      </c>
      <c r="I276" s="437" t="str">
        <f>VLOOKUP(D276,'COA LTD'!A:F,4,0)</f>
        <v>Research and development expenses, net</v>
      </c>
      <c r="J276" s="437" t="str">
        <f>VLOOKUP(D276,'COA LTD'!A:F,5,0)</f>
        <v xml:space="preserve">Salary </v>
      </c>
      <c r="K276" s="439">
        <f t="shared" si="5"/>
        <v>3.413898379170158</v>
      </c>
      <c r="L276" s="437"/>
      <c r="M276" s="437"/>
      <c r="N276" s="437"/>
      <c r="O276" s="437"/>
      <c r="P276" s="438"/>
      <c r="Q276" s="438"/>
      <c r="R276" s="438"/>
      <c r="S276" s="438"/>
      <c r="T276" s="437"/>
      <c r="U276" s="437"/>
      <c r="V276" s="437"/>
      <c r="W276" s="437"/>
      <c r="X276" s="437"/>
      <c r="Y276" s="437"/>
      <c r="Z276" s="437"/>
    </row>
    <row r="277" spans="1:26" ht="15.75" customHeight="1">
      <c r="A277" t="s">
        <v>1391</v>
      </c>
      <c r="B277" t="s">
        <v>1402</v>
      </c>
      <c r="C277" t="s">
        <v>1403</v>
      </c>
      <c r="D277" s="516">
        <v>81040115</v>
      </c>
      <c r="E277" t="s">
        <v>694</v>
      </c>
      <c r="F277" s="514">
        <v>-76072</v>
      </c>
      <c r="G277" s="514">
        <v>-22283.03</v>
      </c>
      <c r="H277" s="437" t="str">
        <f>VLOOKUP(D277,'COA LTD'!A:F,3,0)</f>
        <v>PL</v>
      </c>
      <c r="I277" s="437" t="str">
        <f>VLOOKUP(D277,'COA LTD'!A:F,4,0)</f>
        <v>Research and development expenses, net</v>
      </c>
      <c r="J277" s="437" t="str">
        <f>VLOOKUP(D277,'COA LTD'!A:F,5,0)</f>
        <v xml:space="preserve">Salary </v>
      </c>
      <c r="K277" s="439">
        <f t="shared" si="5"/>
        <v>3.413898379170158</v>
      </c>
      <c r="L277" s="437"/>
      <c r="M277" s="437"/>
      <c r="N277" s="437"/>
      <c r="O277" s="437"/>
      <c r="P277" s="438"/>
      <c r="Q277" s="438"/>
      <c r="R277" s="438"/>
      <c r="S277" s="438"/>
      <c r="T277" s="437"/>
      <c r="U277" s="437"/>
      <c r="V277" s="437"/>
      <c r="W277" s="437"/>
      <c r="X277" s="437"/>
      <c r="Y277" s="437"/>
      <c r="Z277" s="437"/>
    </row>
    <row r="278" spans="1:26" ht="15.75" customHeight="1">
      <c r="A278" t="s">
        <v>1391</v>
      </c>
      <c r="B278" t="s">
        <v>1402</v>
      </c>
      <c r="C278" t="s">
        <v>1403</v>
      </c>
      <c r="D278" s="516">
        <v>81040116</v>
      </c>
      <c r="E278" t="s">
        <v>695</v>
      </c>
      <c r="F278" s="514">
        <v>8485</v>
      </c>
      <c r="G278" s="514">
        <v>2487.91</v>
      </c>
      <c r="H278" s="437" t="str">
        <f>VLOOKUP(D278,'COA LTD'!A:F,3,0)</f>
        <v>PL</v>
      </c>
      <c r="I278" s="437" t="str">
        <f>VLOOKUP(D278,'COA LTD'!A:F,4,0)</f>
        <v>Research and development expenses, net</v>
      </c>
      <c r="J278" s="437" t="str">
        <f>VLOOKUP(D278,'COA LTD'!A:F,5,0)</f>
        <v xml:space="preserve">Salary </v>
      </c>
      <c r="K278" s="439">
        <f t="shared" si="5"/>
        <v>3.4104931448484876</v>
      </c>
      <c r="L278" s="437"/>
      <c r="M278" s="437"/>
      <c r="N278" s="437"/>
      <c r="O278" s="437"/>
      <c r="P278" s="438"/>
      <c r="Q278" s="438"/>
      <c r="R278" s="438"/>
      <c r="S278" s="438"/>
      <c r="T278" s="437"/>
      <c r="U278" s="437"/>
      <c r="V278" s="437"/>
      <c r="W278" s="437"/>
      <c r="X278" s="437"/>
      <c r="Y278" s="437"/>
      <c r="Z278" s="437"/>
    </row>
    <row r="279" spans="1:26" ht="15.75" customHeight="1">
      <c r="A279" t="s">
        <v>1391</v>
      </c>
      <c r="B279" t="s">
        <v>1402</v>
      </c>
      <c r="C279" t="s">
        <v>1403</v>
      </c>
      <c r="D279" s="516">
        <v>81040117</v>
      </c>
      <c r="E279" t="s">
        <v>696</v>
      </c>
      <c r="F279" s="514">
        <v>-8485</v>
      </c>
      <c r="G279" s="514">
        <v>-2487.91</v>
      </c>
      <c r="H279" s="437" t="str">
        <f>VLOOKUP(D279,'COA LTD'!A:F,3,0)</f>
        <v>PL</v>
      </c>
      <c r="I279" s="437" t="str">
        <f>VLOOKUP(D279,'COA LTD'!A:F,4,0)</f>
        <v>Research and development expenses, net</v>
      </c>
      <c r="J279" s="437" t="str">
        <f>VLOOKUP(D279,'COA LTD'!A:F,5,0)</f>
        <v xml:space="preserve">Salary </v>
      </c>
      <c r="K279" s="439">
        <f t="shared" si="5"/>
        <v>3.4104931448484876</v>
      </c>
      <c r="L279" s="437"/>
      <c r="M279" s="437"/>
      <c r="N279" s="437"/>
      <c r="O279" s="437"/>
      <c r="P279" s="438"/>
      <c r="Q279" s="438"/>
      <c r="R279" s="438"/>
      <c r="S279" s="438"/>
      <c r="T279" s="437"/>
      <c r="U279" s="437"/>
      <c r="V279" s="437"/>
      <c r="W279" s="437"/>
      <c r="X279" s="437"/>
      <c r="Y279" s="437"/>
      <c r="Z279" s="437"/>
    </row>
    <row r="280" spans="1:26" ht="15.75" customHeight="1">
      <c r="A280" t="s">
        <v>1391</v>
      </c>
      <c r="B280" t="s">
        <v>1402</v>
      </c>
      <c r="C280" t="s">
        <v>1403</v>
      </c>
      <c r="D280" s="516">
        <v>81040118</v>
      </c>
      <c r="E280" t="s">
        <v>697</v>
      </c>
      <c r="F280" s="514">
        <v>108098</v>
      </c>
      <c r="G280" s="514">
        <v>31706.240000000002</v>
      </c>
      <c r="H280" s="437" t="str">
        <f>VLOOKUP(D280,'COA LTD'!A:F,3,0)</f>
        <v>PL</v>
      </c>
      <c r="I280" s="437" t="str">
        <f>VLOOKUP(D280,'COA LTD'!A:F,4,0)</f>
        <v>Research and development expenses, net</v>
      </c>
      <c r="J280" s="437" t="str">
        <f>VLOOKUP(D280,'COA LTD'!A:F,5,0)</f>
        <v xml:space="preserve">Salary </v>
      </c>
      <c r="K280" s="439">
        <f t="shared" si="5"/>
        <v>3.4093604287357944</v>
      </c>
      <c r="L280" s="437"/>
      <c r="M280" s="437"/>
      <c r="N280" s="437"/>
      <c r="O280" s="437"/>
      <c r="P280" s="438"/>
      <c r="Q280" s="438"/>
      <c r="R280" s="438"/>
      <c r="S280" s="438"/>
      <c r="T280" s="437"/>
      <c r="U280" s="437"/>
      <c r="V280" s="437"/>
      <c r="W280" s="437"/>
      <c r="X280" s="437"/>
      <c r="Y280" s="437"/>
      <c r="Z280" s="437"/>
    </row>
    <row r="281" spans="1:26" ht="15.75" customHeight="1">
      <c r="A281" t="s">
        <v>1391</v>
      </c>
      <c r="B281" t="s">
        <v>1402</v>
      </c>
      <c r="C281" t="s">
        <v>1403</v>
      </c>
      <c r="D281" s="516">
        <v>81040119</v>
      </c>
      <c r="E281" t="s">
        <v>698</v>
      </c>
      <c r="F281" s="514">
        <v>-108098</v>
      </c>
      <c r="G281" s="514">
        <v>-31706.240000000002</v>
      </c>
      <c r="H281" s="437" t="str">
        <f>VLOOKUP(D281,'COA LTD'!A:F,3,0)</f>
        <v>PL</v>
      </c>
      <c r="I281" s="437" t="str">
        <f>VLOOKUP(D281,'COA LTD'!A:F,4,0)</f>
        <v>Research and development expenses, net</v>
      </c>
      <c r="J281" s="437" t="str">
        <f>VLOOKUP(D281,'COA LTD'!A:F,5,0)</f>
        <v xml:space="preserve">Salary </v>
      </c>
      <c r="K281" s="439">
        <f t="shared" si="5"/>
        <v>3.4093604287357944</v>
      </c>
      <c r="L281" s="437"/>
      <c r="M281" s="437"/>
      <c r="N281" s="437"/>
      <c r="O281" s="437"/>
      <c r="P281" s="438"/>
      <c r="Q281" s="438"/>
      <c r="R281" s="438"/>
      <c r="S281" s="438"/>
      <c r="T281" s="437"/>
      <c r="U281" s="437"/>
      <c r="V281" s="437"/>
      <c r="W281" s="437"/>
      <c r="X281" s="437"/>
      <c r="Y281" s="437"/>
      <c r="Z281" s="437"/>
    </row>
    <row r="282" spans="1:26" ht="15.75" customHeight="1">
      <c r="A282" t="s">
        <v>1391</v>
      </c>
      <c r="B282" t="s">
        <v>1402</v>
      </c>
      <c r="C282" t="s">
        <v>1403</v>
      </c>
      <c r="D282" s="516">
        <v>81040120</v>
      </c>
      <c r="E282" t="s">
        <v>936</v>
      </c>
      <c r="F282" s="514">
        <v>14500</v>
      </c>
      <c r="G282" s="514">
        <v>4222.04</v>
      </c>
      <c r="H282" s="437" t="str">
        <f>VLOOKUP(D282,'COA LTD'!A:F,3,0)</f>
        <v>PL</v>
      </c>
      <c r="I282" s="437" t="str">
        <f>VLOOKUP(D282,'COA LTD'!A:F,4,0)</f>
        <v>Research and development expenses, net</v>
      </c>
      <c r="J282" s="437" t="str">
        <f>VLOOKUP(D282,'COA LTD'!A:F,5,0)</f>
        <v xml:space="preserve">salary </v>
      </c>
      <c r="K282" s="439">
        <f t="shared" si="5"/>
        <v>3.4343587460090381</v>
      </c>
      <c r="L282" s="437"/>
      <c r="M282" s="437"/>
      <c r="N282" s="437"/>
      <c r="O282" s="437"/>
      <c r="P282" s="438"/>
      <c r="Q282" s="438"/>
      <c r="R282" s="438"/>
      <c r="S282" s="438"/>
      <c r="T282" s="437"/>
      <c r="U282" s="437"/>
      <c r="V282" s="437"/>
      <c r="W282" s="437"/>
      <c r="X282" s="437"/>
      <c r="Y282" s="437"/>
      <c r="Z282" s="437"/>
    </row>
    <row r="283" spans="1:26" ht="15.75" customHeight="1">
      <c r="A283" t="s">
        <v>1391</v>
      </c>
      <c r="B283" t="s">
        <v>1402</v>
      </c>
      <c r="C283" t="s">
        <v>1403</v>
      </c>
      <c r="D283" s="516">
        <v>81040121</v>
      </c>
      <c r="E283" t="s">
        <v>937</v>
      </c>
      <c r="F283" s="514">
        <v>-14500</v>
      </c>
      <c r="G283" s="514">
        <v>-4222.04</v>
      </c>
      <c r="H283" s="437" t="str">
        <f>VLOOKUP(D283,'COA LTD'!A:F,3,0)</f>
        <v>PL</v>
      </c>
      <c r="I283" s="437" t="str">
        <f>VLOOKUP(D283,'COA LTD'!A:F,4,0)</f>
        <v>Research and development expenses, net</v>
      </c>
      <c r="J283" s="437" t="str">
        <f>VLOOKUP(D283,'COA LTD'!A:F,5,0)</f>
        <v xml:space="preserve">salary </v>
      </c>
      <c r="K283" s="439">
        <f t="shared" si="5"/>
        <v>3.4343587460090381</v>
      </c>
      <c r="L283" s="437"/>
      <c r="M283" s="437"/>
      <c r="N283" s="437"/>
      <c r="O283" s="437"/>
      <c r="P283" s="438"/>
      <c r="Q283" s="438"/>
      <c r="R283" s="438"/>
      <c r="S283" s="438"/>
      <c r="T283" s="437"/>
      <c r="U283" s="437"/>
      <c r="V283" s="437"/>
      <c r="W283" s="437"/>
      <c r="X283" s="437"/>
      <c r="Y283" s="437"/>
      <c r="Z283" s="437"/>
    </row>
    <row r="284" spans="1:26" ht="15.75" customHeight="1">
      <c r="A284" t="s">
        <v>1391</v>
      </c>
      <c r="B284" t="s">
        <v>1402</v>
      </c>
      <c r="C284" t="s">
        <v>1403</v>
      </c>
      <c r="D284" s="516">
        <v>81050100</v>
      </c>
      <c r="E284" t="s">
        <v>699</v>
      </c>
      <c r="F284" s="514">
        <v>1711056</v>
      </c>
      <c r="G284" s="514">
        <v>501877.02</v>
      </c>
      <c r="H284" s="437" t="str">
        <f>VLOOKUP(D284,'COA LTD'!A:F,3,0)</f>
        <v>PL</v>
      </c>
      <c r="I284" s="437" t="str">
        <f>VLOOKUP(D284,'COA LTD'!A:F,4,0)</f>
        <v>Research and development expenses, net</v>
      </c>
      <c r="J284" s="437" t="str">
        <f>VLOOKUP(D284,'COA LTD'!A:F,5,0)</f>
        <v xml:space="preserve">Salary </v>
      </c>
      <c r="K284" s="439">
        <f t="shared" si="5"/>
        <v>3.4093133014936607</v>
      </c>
      <c r="L284" s="437"/>
      <c r="M284" s="437"/>
      <c r="N284" s="437"/>
      <c r="O284" s="437"/>
      <c r="P284" s="438"/>
      <c r="Q284" s="438"/>
      <c r="R284" s="438"/>
      <c r="S284" s="438"/>
      <c r="T284" s="437"/>
      <c r="U284" s="437"/>
      <c r="V284" s="437"/>
      <c r="W284" s="437"/>
      <c r="X284" s="437"/>
      <c r="Y284" s="437"/>
      <c r="Z284" s="437"/>
    </row>
    <row r="285" spans="1:26" ht="15.75" customHeight="1">
      <c r="A285" t="s">
        <v>1391</v>
      </c>
      <c r="B285" t="s">
        <v>1402</v>
      </c>
      <c r="C285" t="s">
        <v>1403</v>
      </c>
      <c r="D285" s="516">
        <v>81050102</v>
      </c>
      <c r="E285" t="s">
        <v>700</v>
      </c>
      <c r="F285" s="514">
        <v>20277.349999999999</v>
      </c>
      <c r="G285" s="514">
        <v>6145.56</v>
      </c>
      <c r="H285" s="437" t="str">
        <f>VLOOKUP(D285,'COA LTD'!A:F,3,0)</f>
        <v>PL</v>
      </c>
      <c r="I285" s="437" t="str">
        <f>VLOOKUP(D285,'COA LTD'!A:F,4,0)</f>
        <v>Research and development expenses, net</v>
      </c>
      <c r="J285" s="437" t="str">
        <f>VLOOKUP(D285,'COA LTD'!A:F,5,0)</f>
        <v xml:space="preserve">option expenses </v>
      </c>
      <c r="K285" s="439">
        <f t="shared" si="5"/>
        <v>3.2995121681343926</v>
      </c>
      <c r="L285" s="437"/>
      <c r="M285" s="437"/>
      <c r="N285" s="437"/>
      <c r="O285" s="437"/>
      <c r="P285" s="438"/>
      <c r="Q285" s="438"/>
      <c r="R285" s="438"/>
      <c r="S285" s="438"/>
      <c r="T285" s="437"/>
      <c r="U285" s="437"/>
      <c r="V285" s="437"/>
      <c r="W285" s="437"/>
      <c r="X285" s="437"/>
      <c r="Y285" s="437"/>
      <c r="Z285" s="437"/>
    </row>
    <row r="286" spans="1:26" ht="15.75" customHeight="1">
      <c r="A286" t="s">
        <v>1391</v>
      </c>
      <c r="B286" t="s">
        <v>1402</v>
      </c>
      <c r="C286" t="s">
        <v>1403</v>
      </c>
      <c r="D286" s="516">
        <v>81050104</v>
      </c>
      <c r="E286" t="s">
        <v>701</v>
      </c>
      <c r="F286" s="514">
        <v>256732</v>
      </c>
      <c r="G286" s="514">
        <v>72356.490000000005</v>
      </c>
      <c r="H286" s="437" t="str">
        <f>VLOOKUP(D286,'COA LTD'!A:F,3,0)</f>
        <v>PL</v>
      </c>
      <c r="I286" s="437" t="str">
        <f>VLOOKUP(D286,'COA LTD'!A:F,4,0)</f>
        <v>Research and development expenses, net</v>
      </c>
      <c r="J286" s="437" t="str">
        <f>VLOOKUP(D286,'COA LTD'!A:F,5,0)</f>
        <v xml:space="preserve">Salary </v>
      </c>
      <c r="K286" s="439">
        <f t="shared" si="5"/>
        <v>3.5481544226371398</v>
      </c>
      <c r="L286" s="437"/>
      <c r="M286" s="437"/>
      <c r="N286" s="437"/>
      <c r="O286" s="437"/>
      <c r="P286" s="438"/>
      <c r="Q286" s="438"/>
      <c r="R286" s="438"/>
      <c r="S286" s="438"/>
      <c r="T286" s="437"/>
      <c r="U286" s="437"/>
      <c r="V286" s="437"/>
      <c r="W286" s="437"/>
      <c r="X286" s="437"/>
      <c r="Y286" s="437"/>
      <c r="Z286" s="437"/>
    </row>
    <row r="287" spans="1:26" ht="15.75" customHeight="1">
      <c r="A287" t="s">
        <v>1391</v>
      </c>
      <c r="B287" t="s">
        <v>1402</v>
      </c>
      <c r="C287" t="s">
        <v>1403</v>
      </c>
      <c r="D287" s="516">
        <v>81050107</v>
      </c>
      <c r="E287" t="s">
        <v>702</v>
      </c>
      <c r="F287" s="514">
        <v>32721.53</v>
      </c>
      <c r="G287" s="514">
        <v>9697.76</v>
      </c>
      <c r="H287" s="437" t="str">
        <f>VLOOKUP(D287,'COA LTD'!A:F,3,0)</f>
        <v>PL</v>
      </c>
      <c r="I287" s="437" t="str">
        <f>VLOOKUP(D287,'COA LTD'!A:F,4,0)</f>
        <v>Research and development expenses, net</v>
      </c>
      <c r="J287" s="437" t="str">
        <f>VLOOKUP(D287,'COA LTD'!A:F,5,0)</f>
        <v xml:space="preserve">Salary </v>
      </c>
      <c r="K287" s="439">
        <f t="shared" si="5"/>
        <v>3.3741327894276614</v>
      </c>
      <c r="L287" s="437"/>
      <c r="M287" s="437"/>
      <c r="N287" s="437"/>
      <c r="O287" s="437"/>
      <c r="P287" s="438"/>
      <c r="Q287" s="438"/>
      <c r="R287" s="438"/>
      <c r="S287" s="438"/>
      <c r="T287" s="437"/>
      <c r="U287" s="437"/>
      <c r="V287" s="437"/>
      <c r="W287" s="437"/>
      <c r="X287" s="437"/>
      <c r="Y287" s="437"/>
      <c r="Z287" s="437"/>
    </row>
    <row r="288" spans="1:26" ht="15.75" customHeight="1">
      <c r="A288" t="s">
        <v>1391</v>
      </c>
      <c r="B288" t="s">
        <v>1402</v>
      </c>
      <c r="C288" t="s">
        <v>1403</v>
      </c>
      <c r="D288" s="516">
        <v>81050108</v>
      </c>
      <c r="E288" t="s">
        <v>703</v>
      </c>
      <c r="F288" s="514">
        <v>115928</v>
      </c>
      <c r="G288" s="514">
        <v>33970.14</v>
      </c>
      <c r="H288" s="437" t="str">
        <f>VLOOKUP(D288,'COA LTD'!A:F,3,0)</f>
        <v>PL</v>
      </c>
      <c r="I288" s="437" t="str">
        <f>VLOOKUP(D288,'COA LTD'!A:F,4,0)</f>
        <v>Research and development expenses, net</v>
      </c>
      <c r="J288" s="437" t="str">
        <f>VLOOKUP(D288,'COA LTD'!A:F,5,0)</f>
        <v xml:space="preserve">Salary </v>
      </c>
      <c r="K288" s="439">
        <f t="shared" si="5"/>
        <v>3.4126441633740692</v>
      </c>
      <c r="L288" s="437"/>
      <c r="M288" s="437"/>
      <c r="N288" s="437"/>
      <c r="O288" s="437"/>
      <c r="P288" s="438"/>
      <c r="Q288" s="438"/>
      <c r="R288" s="438"/>
      <c r="S288" s="438"/>
      <c r="T288" s="437"/>
      <c r="U288" s="437"/>
      <c r="V288" s="437"/>
      <c r="W288" s="437"/>
      <c r="X288" s="437"/>
      <c r="Y288" s="437"/>
      <c r="Z288" s="437"/>
    </row>
    <row r="289" spans="1:26" ht="15.75" customHeight="1">
      <c r="A289" t="s">
        <v>1391</v>
      </c>
      <c r="B289" t="s">
        <v>1402</v>
      </c>
      <c r="C289" t="s">
        <v>1403</v>
      </c>
      <c r="D289" s="516">
        <v>81050109</v>
      </c>
      <c r="E289" t="s">
        <v>704</v>
      </c>
      <c r="F289" s="514">
        <v>106398</v>
      </c>
      <c r="G289" s="514">
        <v>31173.24</v>
      </c>
      <c r="H289" s="437" t="str">
        <f>VLOOKUP(D289,'COA LTD'!A:F,3,0)</f>
        <v>PL</v>
      </c>
      <c r="I289" s="437" t="str">
        <f>VLOOKUP(D289,'COA LTD'!A:F,4,0)</f>
        <v>Research and development expenses, net</v>
      </c>
      <c r="J289" s="437" t="str">
        <f>VLOOKUP(D289,'COA LTD'!A:F,5,0)</f>
        <v xml:space="preserve">Salary </v>
      </c>
      <c r="K289" s="439">
        <f t="shared" si="5"/>
        <v>3.4131197142164238</v>
      </c>
      <c r="L289" s="437"/>
      <c r="M289" s="437"/>
      <c r="N289" s="437"/>
      <c r="O289" s="437"/>
      <c r="P289" s="438"/>
      <c r="Q289" s="438"/>
      <c r="R289" s="438"/>
      <c r="S289" s="438"/>
      <c r="T289" s="437"/>
      <c r="U289" s="437"/>
      <c r="V289" s="437"/>
      <c r="W289" s="437"/>
      <c r="X289" s="437"/>
      <c r="Y289" s="437"/>
      <c r="Z289" s="437"/>
    </row>
    <row r="290" spans="1:26" ht="15.75" customHeight="1">
      <c r="A290" t="s">
        <v>1391</v>
      </c>
      <c r="B290" t="s">
        <v>1402</v>
      </c>
      <c r="C290" t="s">
        <v>1403</v>
      </c>
      <c r="D290" s="516">
        <v>81050110</v>
      </c>
      <c r="E290" t="s">
        <v>705</v>
      </c>
      <c r="F290" s="514">
        <v>67484</v>
      </c>
      <c r="G290" s="514">
        <v>19735.650000000001</v>
      </c>
      <c r="H290" s="437" t="str">
        <f>VLOOKUP(D290,'COA LTD'!A:F,3,0)</f>
        <v>PL</v>
      </c>
      <c r="I290" s="437" t="str">
        <f>VLOOKUP(D290,'COA LTD'!A:F,4,0)</f>
        <v>Research and development expenses, net</v>
      </c>
      <c r="J290" s="437" t="str">
        <f>VLOOKUP(D290,'COA LTD'!A:F,5,0)</f>
        <v xml:space="preserve">Salary </v>
      </c>
      <c r="K290" s="439">
        <f t="shared" si="5"/>
        <v>3.4193958648435698</v>
      </c>
      <c r="L290" s="437"/>
      <c r="M290" s="437"/>
      <c r="N290" s="437"/>
      <c r="O290" s="437"/>
      <c r="P290" s="438"/>
      <c r="Q290" s="438"/>
      <c r="R290" s="438"/>
      <c r="S290" s="438"/>
      <c r="T290" s="437"/>
      <c r="U290" s="437"/>
      <c r="V290" s="437"/>
      <c r="W290" s="437"/>
      <c r="X290" s="437"/>
      <c r="Y290" s="437"/>
      <c r="Z290" s="437"/>
    </row>
    <row r="291" spans="1:26" ht="15.75" customHeight="1">
      <c r="A291" t="s">
        <v>1391</v>
      </c>
      <c r="B291" t="s">
        <v>1402</v>
      </c>
      <c r="C291" t="s">
        <v>1403</v>
      </c>
      <c r="D291" s="516">
        <v>81050111</v>
      </c>
      <c r="E291" t="s">
        <v>706</v>
      </c>
      <c r="F291" s="514">
        <v>4007.91</v>
      </c>
      <c r="G291" s="514">
        <v>1157.96</v>
      </c>
      <c r="H291" s="437" t="str">
        <f>VLOOKUP(D291,'COA LTD'!A:F,3,0)</f>
        <v>PL</v>
      </c>
      <c r="I291" s="437" t="str">
        <f>VLOOKUP(D291,'COA LTD'!A:F,4,0)</f>
        <v>Research and development expenses, net</v>
      </c>
      <c r="J291" s="437" t="str">
        <f>VLOOKUP(D291,'COA LTD'!A:F,5,0)</f>
        <v xml:space="preserve">Salary </v>
      </c>
      <c r="K291" s="439">
        <f t="shared" si="5"/>
        <v>3.4611817333932087</v>
      </c>
      <c r="L291" s="437"/>
      <c r="M291" s="437"/>
      <c r="N291" s="437"/>
      <c r="O291" s="437"/>
      <c r="P291" s="438"/>
      <c r="Q291" s="438"/>
      <c r="R291" s="438"/>
      <c r="S291" s="438"/>
      <c r="T291" s="437"/>
      <c r="U291" s="437"/>
      <c r="V291" s="437"/>
      <c r="W291" s="437"/>
      <c r="X291" s="437"/>
      <c r="Y291" s="437"/>
      <c r="Z291" s="437"/>
    </row>
    <row r="292" spans="1:26" ht="15.75" customHeight="1">
      <c r="A292" t="s">
        <v>1391</v>
      </c>
      <c r="B292" t="s">
        <v>1402</v>
      </c>
      <c r="C292" t="s">
        <v>1403</v>
      </c>
      <c r="D292" s="516">
        <v>81050112</v>
      </c>
      <c r="E292" t="s">
        <v>707</v>
      </c>
      <c r="F292" s="514">
        <v>124429</v>
      </c>
      <c r="G292" s="514">
        <v>36315.35</v>
      </c>
      <c r="H292" s="437" t="str">
        <f>VLOOKUP(D292,'COA LTD'!A:F,3,0)</f>
        <v>PL</v>
      </c>
      <c r="I292" s="437" t="str">
        <f>VLOOKUP(D292,'COA LTD'!A:F,4,0)</f>
        <v>Research and development expenses, net</v>
      </c>
      <c r="J292" s="437" t="str">
        <f>VLOOKUP(D292,'COA LTD'!A:F,5,0)</f>
        <v xml:space="preserve">Salary </v>
      </c>
      <c r="K292" s="439">
        <f t="shared" si="5"/>
        <v>3.4263472608690266</v>
      </c>
      <c r="L292" s="437"/>
      <c r="M292" s="437"/>
      <c r="N292" s="437"/>
      <c r="O292" s="437"/>
      <c r="P292" s="438"/>
      <c r="Q292" s="438"/>
      <c r="R292" s="438"/>
      <c r="S292" s="438"/>
      <c r="T292" s="437"/>
      <c r="U292" s="437"/>
      <c r="V292" s="437"/>
      <c r="W292" s="437"/>
      <c r="X292" s="437"/>
      <c r="Y292" s="437"/>
      <c r="Z292" s="437"/>
    </row>
    <row r="293" spans="1:26" ht="15.75" customHeight="1">
      <c r="A293" t="s">
        <v>1391</v>
      </c>
      <c r="B293" t="s">
        <v>1402</v>
      </c>
      <c r="C293" t="s">
        <v>1403</v>
      </c>
      <c r="D293" s="516">
        <v>81050114</v>
      </c>
      <c r="E293" t="s">
        <v>708</v>
      </c>
      <c r="F293" s="514">
        <v>7998</v>
      </c>
      <c r="G293" s="514">
        <v>2327.06</v>
      </c>
      <c r="H293" s="437" t="str">
        <f>VLOOKUP(D293,'COA LTD'!A:F,3,0)</f>
        <v>PL</v>
      </c>
      <c r="I293" s="437" t="str">
        <f>VLOOKUP(D293,'COA LTD'!A:F,4,0)</f>
        <v>Research and development expenses, net</v>
      </c>
      <c r="J293" s="437" t="str">
        <f>VLOOKUP(D293,'COA LTD'!A:F,5,0)</f>
        <v xml:space="preserve">Salary </v>
      </c>
      <c r="K293" s="439">
        <f t="shared" si="5"/>
        <v>3.4369547841482389</v>
      </c>
      <c r="L293" s="437"/>
      <c r="M293" s="437"/>
      <c r="N293" s="437"/>
      <c r="O293" s="437"/>
      <c r="P293" s="438"/>
      <c r="Q293" s="438"/>
      <c r="R293" s="438"/>
      <c r="S293" s="438"/>
      <c r="T293" s="437"/>
      <c r="U293" s="437"/>
      <c r="V293" s="437"/>
      <c r="W293" s="437"/>
      <c r="X293" s="437"/>
      <c r="Y293" s="437"/>
      <c r="Z293" s="437"/>
    </row>
    <row r="294" spans="1:26" ht="15.75" customHeight="1">
      <c r="A294" t="s">
        <v>1391</v>
      </c>
      <c r="B294" t="s">
        <v>1402</v>
      </c>
      <c r="C294" t="s">
        <v>1403</v>
      </c>
      <c r="D294" s="516">
        <v>81050115</v>
      </c>
      <c r="E294" t="s">
        <v>709</v>
      </c>
      <c r="F294" s="514">
        <v>-7998</v>
      </c>
      <c r="G294" s="514">
        <v>-2327.06</v>
      </c>
      <c r="H294" s="437" t="str">
        <f>VLOOKUP(D294,'COA LTD'!A:F,3,0)</f>
        <v>PL</v>
      </c>
      <c r="I294" s="437" t="str">
        <f>VLOOKUP(D294,'COA LTD'!A:F,4,0)</f>
        <v>Research and development expenses, net</v>
      </c>
      <c r="J294" s="437" t="str">
        <f>VLOOKUP(D294,'COA LTD'!A:F,5,0)</f>
        <v xml:space="preserve">Salary </v>
      </c>
      <c r="K294" s="439">
        <f t="shared" si="5"/>
        <v>3.4369547841482389</v>
      </c>
      <c r="L294" s="437"/>
      <c r="M294" s="437"/>
      <c r="N294" s="437"/>
      <c r="O294" s="437"/>
      <c r="P294" s="438"/>
      <c r="Q294" s="438"/>
      <c r="R294" s="438"/>
      <c r="S294" s="438"/>
      <c r="T294" s="437"/>
      <c r="U294" s="437"/>
      <c r="V294" s="437"/>
      <c r="W294" s="437"/>
      <c r="X294" s="437"/>
      <c r="Y294" s="437"/>
      <c r="Z294" s="437"/>
    </row>
    <row r="295" spans="1:26" ht="15.75" customHeight="1">
      <c r="A295" t="s">
        <v>1391</v>
      </c>
      <c r="B295" t="s">
        <v>1402</v>
      </c>
      <c r="C295" t="s">
        <v>1403</v>
      </c>
      <c r="D295" s="516">
        <v>81050116</v>
      </c>
      <c r="E295" t="s">
        <v>710</v>
      </c>
      <c r="F295" s="514">
        <v>4634</v>
      </c>
      <c r="G295" s="514">
        <v>1357.07</v>
      </c>
      <c r="H295" s="437" t="str">
        <f>VLOOKUP(D295,'COA LTD'!A:F,3,0)</f>
        <v>PL</v>
      </c>
      <c r="I295" s="437" t="str">
        <f>VLOOKUP(D295,'COA LTD'!A:F,4,0)</f>
        <v>Research and development expenses, net</v>
      </c>
      <c r="J295" s="437" t="str">
        <f>VLOOKUP(D295,'COA LTD'!A:F,5,0)</f>
        <v xml:space="preserve">Salary </v>
      </c>
      <c r="K295" s="439">
        <f t="shared" si="5"/>
        <v>3.4147096317802328</v>
      </c>
      <c r="L295" s="437"/>
      <c r="M295" s="437"/>
      <c r="N295" s="437"/>
      <c r="O295" s="437"/>
      <c r="P295" s="438"/>
      <c r="Q295" s="438"/>
      <c r="R295" s="438"/>
      <c r="S295" s="438"/>
      <c r="T295" s="437"/>
      <c r="U295" s="437"/>
      <c r="V295" s="437"/>
      <c r="W295" s="437"/>
      <c r="X295" s="437"/>
      <c r="Y295" s="437"/>
      <c r="Z295" s="437"/>
    </row>
    <row r="296" spans="1:26" ht="15.75" customHeight="1">
      <c r="A296" t="s">
        <v>1391</v>
      </c>
      <c r="B296" t="s">
        <v>1402</v>
      </c>
      <c r="C296" t="s">
        <v>1403</v>
      </c>
      <c r="D296" s="516">
        <v>81050117</v>
      </c>
      <c r="E296" t="s">
        <v>710</v>
      </c>
      <c r="F296" s="514">
        <v>-4634</v>
      </c>
      <c r="G296" s="514">
        <v>-1357.07</v>
      </c>
      <c r="H296" s="437" t="str">
        <f>VLOOKUP(D296,'COA LTD'!A:F,3,0)</f>
        <v>PL</v>
      </c>
      <c r="I296" s="437" t="str">
        <f>VLOOKUP(D296,'COA LTD'!A:F,4,0)</f>
        <v>Research and development expenses, net</v>
      </c>
      <c r="J296" s="437" t="str">
        <f>VLOOKUP(D296,'COA LTD'!A:F,5,0)</f>
        <v xml:space="preserve">Salary </v>
      </c>
      <c r="K296" s="439">
        <f t="shared" si="5"/>
        <v>3.4147096317802328</v>
      </c>
      <c r="L296" s="437"/>
      <c r="M296" s="437"/>
      <c r="N296" s="437"/>
      <c r="O296" s="437"/>
      <c r="P296" s="438"/>
      <c r="Q296" s="438"/>
      <c r="R296" s="438"/>
      <c r="S296" s="438"/>
      <c r="T296" s="437"/>
      <c r="U296" s="437"/>
      <c r="V296" s="437"/>
      <c r="W296" s="437"/>
      <c r="X296" s="437"/>
      <c r="Y296" s="437"/>
      <c r="Z296" s="437"/>
    </row>
    <row r="297" spans="1:26" ht="15.75" customHeight="1">
      <c r="A297" t="s">
        <v>1391</v>
      </c>
      <c r="B297" t="s">
        <v>1402</v>
      </c>
      <c r="C297" t="s">
        <v>1403</v>
      </c>
      <c r="D297" s="516">
        <v>81050118</v>
      </c>
      <c r="E297" t="s">
        <v>711</v>
      </c>
      <c r="F297" s="514">
        <v>61880</v>
      </c>
      <c r="G297" s="514">
        <v>18042.84</v>
      </c>
      <c r="H297" s="437" t="str">
        <f>VLOOKUP(D297,'COA LTD'!A:F,3,0)</f>
        <v>PL</v>
      </c>
      <c r="I297" s="437" t="str">
        <f>VLOOKUP(D297,'COA LTD'!A:F,4,0)</f>
        <v>Research and development expenses, net</v>
      </c>
      <c r="J297" s="437" t="str">
        <f>VLOOKUP(D297,'COA LTD'!A:F,5,0)</f>
        <v xml:space="preserve">Salary </v>
      </c>
      <c r="K297" s="439">
        <f t="shared" si="5"/>
        <v>3.4296152933795345</v>
      </c>
      <c r="L297" s="437"/>
      <c r="M297" s="437"/>
      <c r="N297" s="437"/>
      <c r="O297" s="437"/>
      <c r="P297" s="438"/>
      <c r="Q297" s="438"/>
      <c r="R297" s="438"/>
      <c r="S297" s="438"/>
      <c r="T297" s="437"/>
      <c r="U297" s="437"/>
      <c r="V297" s="437"/>
      <c r="W297" s="437"/>
      <c r="X297" s="437"/>
      <c r="Y297" s="437"/>
      <c r="Z297" s="437"/>
    </row>
    <row r="298" spans="1:26" ht="15.75" customHeight="1">
      <c r="A298" t="s">
        <v>1391</v>
      </c>
      <c r="B298" t="s">
        <v>1402</v>
      </c>
      <c r="C298" t="s">
        <v>1403</v>
      </c>
      <c r="D298" s="516">
        <v>81050119</v>
      </c>
      <c r="E298" t="s">
        <v>712</v>
      </c>
      <c r="F298" s="514">
        <v>-61880</v>
      </c>
      <c r="G298" s="514">
        <v>-18042.84</v>
      </c>
      <c r="H298" s="437" t="str">
        <f>VLOOKUP(D298,'COA LTD'!A:F,3,0)</f>
        <v>PL</v>
      </c>
      <c r="I298" s="437" t="str">
        <f>VLOOKUP(D298,'COA LTD'!A:F,4,0)</f>
        <v>Research and development expenses, net</v>
      </c>
      <c r="J298" s="437" t="str">
        <f>VLOOKUP(D298,'COA LTD'!A:F,5,0)</f>
        <v xml:space="preserve">Salary </v>
      </c>
      <c r="K298" s="439">
        <f t="shared" si="5"/>
        <v>3.4296152933795345</v>
      </c>
      <c r="L298" s="437"/>
      <c r="M298" s="437"/>
      <c r="N298" s="437"/>
      <c r="O298" s="437"/>
      <c r="P298" s="438"/>
      <c r="Q298" s="438"/>
      <c r="R298" s="438"/>
      <c r="S298" s="438"/>
      <c r="T298" s="437"/>
      <c r="U298" s="437"/>
      <c r="V298" s="437"/>
      <c r="W298" s="437"/>
      <c r="X298" s="437"/>
      <c r="Y298" s="437"/>
      <c r="Z298" s="437"/>
    </row>
    <row r="299" spans="1:26" ht="15.75" customHeight="1">
      <c r="A299" t="s">
        <v>1391</v>
      </c>
      <c r="B299" t="s">
        <v>1402</v>
      </c>
      <c r="C299" t="s">
        <v>1403</v>
      </c>
      <c r="D299" s="516">
        <v>81050120</v>
      </c>
      <c r="E299" t="s">
        <v>938</v>
      </c>
      <c r="F299" s="514">
        <v>8000</v>
      </c>
      <c r="G299" s="514">
        <v>2307.2600000000002</v>
      </c>
      <c r="H299" s="437" t="str">
        <f>VLOOKUP(D299,'COA LTD'!A:F,3,0)</f>
        <v>PL</v>
      </c>
      <c r="I299" s="437" t="str">
        <f>VLOOKUP(D299,'COA LTD'!A:F,4,0)</f>
        <v>Research and development expenses, net</v>
      </c>
      <c r="J299" s="437" t="str">
        <f>VLOOKUP(D299,'COA LTD'!A:F,5,0)</f>
        <v xml:space="preserve">salary </v>
      </c>
      <c r="K299" s="439">
        <f t="shared" si="5"/>
        <v>3.4673162105701132</v>
      </c>
      <c r="L299" s="437"/>
      <c r="M299" s="437"/>
      <c r="N299" s="437"/>
      <c r="O299" s="437"/>
      <c r="P299" s="438"/>
      <c r="Q299" s="438"/>
      <c r="R299" s="438"/>
      <c r="S299" s="438"/>
      <c r="T299" s="437"/>
      <c r="U299" s="437"/>
      <c r="V299" s="437"/>
      <c r="W299" s="437"/>
      <c r="X299" s="437"/>
      <c r="Y299" s="437"/>
      <c r="Z299" s="437"/>
    </row>
    <row r="300" spans="1:26" ht="15.75" customHeight="1">
      <c r="A300" t="s">
        <v>1391</v>
      </c>
      <c r="B300" t="s">
        <v>1402</v>
      </c>
      <c r="C300" t="s">
        <v>1403</v>
      </c>
      <c r="D300" s="516">
        <v>81050121</v>
      </c>
      <c r="E300" t="s">
        <v>939</v>
      </c>
      <c r="F300" s="514">
        <v>-8000</v>
      </c>
      <c r="G300" s="514">
        <v>-2307.2600000000002</v>
      </c>
      <c r="H300" s="437" t="str">
        <f>VLOOKUP(D300,'COA LTD'!A:F,3,0)</f>
        <v>PL</v>
      </c>
      <c r="I300" s="437" t="str">
        <f>VLOOKUP(D300,'COA LTD'!A:F,4,0)</f>
        <v>Research and development expenses, net</v>
      </c>
      <c r="J300" s="437" t="str">
        <f>VLOOKUP(D300,'COA LTD'!A:F,5,0)</f>
        <v xml:space="preserve">salary </v>
      </c>
      <c r="K300" s="439">
        <f t="shared" si="5"/>
        <v>3.4673162105701132</v>
      </c>
      <c r="L300" s="437"/>
      <c r="M300" s="437"/>
      <c r="N300" s="437"/>
      <c r="O300" s="437"/>
      <c r="P300" s="438"/>
      <c r="Q300" s="438"/>
      <c r="R300" s="438"/>
      <c r="S300" s="438"/>
      <c r="T300" s="437"/>
      <c r="U300" s="437"/>
      <c r="V300" s="437"/>
      <c r="W300" s="437"/>
      <c r="X300" s="437"/>
      <c r="Y300" s="437"/>
      <c r="Z300" s="437"/>
    </row>
    <row r="301" spans="1:26" ht="15.75" customHeight="1">
      <c r="A301" t="s">
        <v>1391</v>
      </c>
      <c r="B301" t="s">
        <v>1402</v>
      </c>
      <c r="C301" t="s">
        <v>1403</v>
      </c>
      <c r="D301" s="516">
        <v>81060100</v>
      </c>
      <c r="E301" t="s">
        <v>713</v>
      </c>
      <c r="F301" s="514">
        <v>10259347</v>
      </c>
      <c r="G301" s="514">
        <v>3012781.85</v>
      </c>
      <c r="H301" s="437" t="str">
        <f>VLOOKUP(D301,'COA LTD'!A:F,3,0)</f>
        <v>PL</v>
      </c>
      <c r="I301" s="437" t="str">
        <f>VLOOKUP(D301,'COA LTD'!A:F,4,0)</f>
        <v>Research and development expenses, net</v>
      </c>
      <c r="J301" s="437" t="str">
        <f>VLOOKUP(D301,'COA LTD'!A:F,5,0)</f>
        <v xml:space="preserve">Salary </v>
      </c>
      <c r="K301" s="439">
        <f t="shared" si="5"/>
        <v>3.4052737671663813</v>
      </c>
      <c r="L301" s="437"/>
      <c r="M301" s="437"/>
      <c r="N301" s="437"/>
      <c r="O301" s="437"/>
      <c r="P301" s="438"/>
      <c r="Q301" s="438"/>
      <c r="R301" s="438"/>
      <c r="S301" s="438"/>
      <c r="T301" s="437"/>
      <c r="U301" s="437"/>
      <c r="V301" s="437"/>
      <c r="W301" s="437"/>
      <c r="X301" s="437"/>
      <c r="Y301" s="437"/>
      <c r="Z301" s="437"/>
    </row>
    <row r="302" spans="1:26" ht="15.75" customHeight="1">
      <c r="A302" t="s">
        <v>1391</v>
      </c>
      <c r="B302" t="s">
        <v>1402</v>
      </c>
      <c r="C302" t="s">
        <v>1403</v>
      </c>
      <c r="D302" s="516">
        <v>81060101</v>
      </c>
      <c r="E302" t="s">
        <v>714</v>
      </c>
      <c r="F302" s="514">
        <v>5670385.46</v>
      </c>
      <c r="G302" s="514">
        <v>1683877.43</v>
      </c>
      <c r="H302" s="437" t="str">
        <f>VLOOKUP(D302,'COA LTD'!A:F,3,0)</f>
        <v>PL</v>
      </c>
      <c r="I302" s="437" t="str">
        <f>VLOOKUP(D302,'COA LTD'!A:F,4,0)</f>
        <v>Research and development expenses, net</v>
      </c>
      <c r="J302" s="437" t="str">
        <f>VLOOKUP(D302,'COA LTD'!A:F,5,0)</f>
        <v xml:space="preserve">Salary </v>
      </c>
      <c r="K302" s="439">
        <f t="shared" si="5"/>
        <v>3.367457368913128</v>
      </c>
      <c r="L302" s="437"/>
      <c r="M302" s="437"/>
      <c r="N302" s="437"/>
      <c r="O302" s="437"/>
      <c r="P302" s="438"/>
      <c r="Q302" s="438"/>
      <c r="R302" s="438"/>
      <c r="S302" s="438"/>
      <c r="T302" s="437"/>
      <c r="U302" s="437"/>
      <c r="V302" s="437"/>
      <c r="W302" s="437"/>
      <c r="X302" s="437"/>
      <c r="Y302" s="437"/>
      <c r="Z302" s="437"/>
    </row>
    <row r="303" spans="1:26" ht="15.75" customHeight="1">
      <c r="A303" t="s">
        <v>1391</v>
      </c>
      <c r="B303" t="s">
        <v>1402</v>
      </c>
      <c r="C303" t="s">
        <v>1403</v>
      </c>
      <c r="D303" s="516">
        <v>81060102</v>
      </c>
      <c r="E303" t="s">
        <v>715</v>
      </c>
      <c r="F303" s="514">
        <v>539440.94999999995</v>
      </c>
      <c r="G303" s="514">
        <v>163110.79</v>
      </c>
      <c r="H303" s="437" t="str">
        <f>VLOOKUP(D303,'COA LTD'!A:F,3,0)</f>
        <v>PL</v>
      </c>
      <c r="I303" s="437" t="str">
        <f>VLOOKUP(D303,'COA LTD'!A:F,4,0)</f>
        <v>Research and development expenses, net</v>
      </c>
      <c r="J303" s="437" t="str">
        <f>VLOOKUP(D303,'COA LTD'!A:F,5,0)</f>
        <v xml:space="preserve">option expenses </v>
      </c>
      <c r="K303" s="439">
        <f t="shared" si="5"/>
        <v>3.3072057955209457</v>
      </c>
      <c r="L303" s="437"/>
      <c r="M303" s="437"/>
      <c r="N303" s="437"/>
      <c r="O303" s="437"/>
      <c r="P303" s="438"/>
      <c r="Q303" s="438"/>
      <c r="R303" s="438"/>
      <c r="S303" s="438"/>
      <c r="T303" s="437"/>
      <c r="U303" s="437"/>
      <c r="V303" s="437"/>
      <c r="W303" s="437"/>
      <c r="X303" s="437"/>
      <c r="Y303" s="437"/>
      <c r="Z303" s="437"/>
    </row>
    <row r="304" spans="1:26" ht="15.75" customHeight="1">
      <c r="A304" t="s">
        <v>1391</v>
      </c>
      <c r="B304" t="s">
        <v>1402</v>
      </c>
      <c r="C304" t="s">
        <v>1403</v>
      </c>
      <c r="D304" s="516">
        <v>81060103</v>
      </c>
      <c r="E304" t="s">
        <v>1083</v>
      </c>
      <c r="F304" s="514">
        <v>10000</v>
      </c>
      <c r="G304" s="514">
        <v>2857.14</v>
      </c>
      <c r="H304" s="437" t="str">
        <f>VLOOKUP(D304,'COA LTD'!A:F,3,0)</f>
        <v>PL</v>
      </c>
      <c r="I304" s="437" t="str">
        <f>VLOOKUP(D304,'COA LTD'!A:F,4,0)</f>
        <v>Research and development expenses, net</v>
      </c>
      <c r="J304" s="437" t="str">
        <f>VLOOKUP(D304,'COA LTD'!A:F,5,0)</f>
        <v xml:space="preserve">salary </v>
      </c>
      <c r="K304" s="439">
        <f t="shared" si="5"/>
        <v>3.5000035000035004</v>
      </c>
      <c r="L304" s="437"/>
      <c r="M304" s="437"/>
      <c r="N304" s="437"/>
      <c r="O304" s="437"/>
      <c r="P304" s="438"/>
      <c r="Q304" s="438"/>
      <c r="R304" s="438"/>
      <c r="S304" s="438"/>
      <c r="T304" s="437"/>
      <c r="U304" s="437"/>
      <c r="V304" s="437"/>
      <c r="W304" s="437"/>
      <c r="X304" s="437"/>
      <c r="Y304" s="437"/>
      <c r="Z304" s="437"/>
    </row>
    <row r="305" spans="1:26" ht="15.75" customHeight="1">
      <c r="A305" t="s">
        <v>1391</v>
      </c>
      <c r="B305" t="s">
        <v>1402</v>
      </c>
      <c r="C305" t="s">
        <v>1403</v>
      </c>
      <c r="D305" s="516">
        <v>81060104</v>
      </c>
      <c r="E305" t="s">
        <v>716</v>
      </c>
      <c r="F305" s="514">
        <v>873584</v>
      </c>
      <c r="G305" s="514">
        <v>250671.85</v>
      </c>
      <c r="H305" s="437" t="str">
        <f>VLOOKUP(D305,'COA LTD'!A:F,3,0)</f>
        <v>PL</v>
      </c>
      <c r="I305" s="437" t="str">
        <f>VLOOKUP(D305,'COA LTD'!A:F,4,0)</f>
        <v>Research and development expenses, net</v>
      </c>
      <c r="J305" s="437" t="str">
        <f>VLOOKUP(D305,'COA LTD'!A:F,5,0)</f>
        <v xml:space="preserve">Salary </v>
      </c>
      <c r="K305" s="439">
        <f t="shared" si="5"/>
        <v>3.4849704903043559</v>
      </c>
      <c r="L305" s="437"/>
      <c r="M305" s="437"/>
      <c r="N305" s="437"/>
      <c r="O305" s="437"/>
      <c r="P305" s="438"/>
      <c r="Q305" s="438"/>
      <c r="R305" s="438"/>
      <c r="S305" s="438"/>
      <c r="T305" s="437"/>
      <c r="U305" s="437"/>
      <c r="V305" s="437"/>
      <c r="W305" s="437"/>
      <c r="X305" s="437"/>
      <c r="Y305" s="437"/>
      <c r="Z305" s="437"/>
    </row>
    <row r="306" spans="1:26" ht="15.75" customHeight="1">
      <c r="A306" t="s">
        <v>1391</v>
      </c>
      <c r="B306" t="s">
        <v>1402</v>
      </c>
      <c r="C306" t="s">
        <v>1403</v>
      </c>
      <c r="D306" s="516">
        <v>81060107</v>
      </c>
      <c r="E306" t="s">
        <v>717</v>
      </c>
      <c r="F306" s="514">
        <v>217467.97</v>
      </c>
      <c r="G306" s="514">
        <v>64780.19</v>
      </c>
      <c r="H306" s="437" t="str">
        <f>VLOOKUP(D306,'COA LTD'!A:F,3,0)</f>
        <v>PL</v>
      </c>
      <c r="I306" s="437" t="str">
        <f>VLOOKUP(D306,'COA LTD'!A:F,4,0)</f>
        <v>Research and development expenses, net</v>
      </c>
      <c r="J306" s="437" t="str">
        <f>VLOOKUP(D306,'COA LTD'!A:F,5,0)</f>
        <v xml:space="preserve">Salary </v>
      </c>
      <c r="K306" s="439">
        <f t="shared" si="5"/>
        <v>3.3570134635295141</v>
      </c>
      <c r="L306" s="437"/>
      <c r="M306" s="437"/>
      <c r="N306" s="437"/>
      <c r="O306" s="437"/>
      <c r="P306" s="438"/>
      <c r="Q306" s="438"/>
      <c r="R306" s="438"/>
      <c r="S306" s="438"/>
      <c r="T306" s="437"/>
      <c r="U306" s="437"/>
      <c r="V306" s="437"/>
      <c r="W306" s="437"/>
      <c r="X306" s="437"/>
      <c r="Y306" s="437"/>
      <c r="Z306" s="437"/>
    </row>
    <row r="307" spans="1:26" ht="15.75" customHeight="1">
      <c r="A307" t="s">
        <v>1391</v>
      </c>
      <c r="B307" t="s">
        <v>1402</v>
      </c>
      <c r="C307" t="s">
        <v>1403</v>
      </c>
      <c r="D307" s="516">
        <v>81060108</v>
      </c>
      <c r="E307" t="s">
        <v>718</v>
      </c>
      <c r="F307" s="514">
        <v>639692</v>
      </c>
      <c r="G307" s="514">
        <v>187885.18</v>
      </c>
      <c r="H307" s="437" t="str">
        <f>VLOOKUP(D307,'COA LTD'!A:F,3,0)</f>
        <v>PL</v>
      </c>
      <c r="I307" s="437" t="str">
        <f>VLOOKUP(D307,'COA LTD'!A:F,4,0)</f>
        <v>Research and development expenses, net</v>
      </c>
      <c r="J307" s="437" t="str">
        <f>VLOOKUP(D307,'COA LTD'!A:F,5,0)</f>
        <v xml:space="preserve">Salary </v>
      </c>
      <c r="K307" s="439">
        <f t="shared" si="5"/>
        <v>3.4046964215059434</v>
      </c>
      <c r="L307" s="437"/>
      <c r="M307" s="437"/>
      <c r="N307" s="437"/>
      <c r="O307" s="437"/>
      <c r="P307" s="438"/>
      <c r="Q307" s="438"/>
      <c r="R307" s="438"/>
      <c r="S307" s="438"/>
      <c r="T307" s="437"/>
      <c r="U307" s="437"/>
      <c r="V307" s="437"/>
      <c r="W307" s="437"/>
      <c r="X307" s="437"/>
      <c r="Y307" s="437"/>
      <c r="Z307" s="437"/>
    </row>
    <row r="308" spans="1:26" ht="15.75" customHeight="1">
      <c r="A308" t="s">
        <v>1391</v>
      </c>
      <c r="B308" t="s">
        <v>1402</v>
      </c>
      <c r="C308" t="s">
        <v>1403</v>
      </c>
      <c r="D308" s="516">
        <v>81060109</v>
      </c>
      <c r="E308" t="s">
        <v>719</v>
      </c>
      <c r="F308" s="514">
        <v>614616</v>
      </c>
      <c r="G308" s="514">
        <v>180313.68</v>
      </c>
      <c r="H308" s="437" t="str">
        <f>VLOOKUP(D308,'COA LTD'!A:F,3,0)</f>
        <v>PL</v>
      </c>
      <c r="I308" s="437" t="str">
        <f>VLOOKUP(D308,'COA LTD'!A:F,4,0)</f>
        <v>Research and development expenses, net</v>
      </c>
      <c r="J308" s="437" t="str">
        <f>VLOOKUP(D308,'COA LTD'!A:F,5,0)</f>
        <v xml:space="preserve">Salary </v>
      </c>
      <c r="K308" s="439">
        <f t="shared" si="5"/>
        <v>3.408593291424145</v>
      </c>
      <c r="L308" s="437"/>
      <c r="M308" s="437"/>
      <c r="N308" s="437"/>
      <c r="O308" s="437"/>
      <c r="P308" s="438"/>
      <c r="Q308" s="438"/>
      <c r="R308" s="438"/>
      <c r="S308" s="438"/>
      <c r="T308" s="437"/>
      <c r="U308" s="437"/>
      <c r="V308" s="437"/>
      <c r="W308" s="437"/>
      <c r="X308" s="437"/>
      <c r="Y308" s="437"/>
      <c r="Z308" s="437"/>
    </row>
    <row r="309" spans="1:26" ht="15.75" customHeight="1">
      <c r="A309" t="s">
        <v>1391</v>
      </c>
      <c r="B309" t="s">
        <v>1402</v>
      </c>
      <c r="C309" t="s">
        <v>1403</v>
      </c>
      <c r="D309" s="516">
        <v>81060110</v>
      </c>
      <c r="E309" t="s">
        <v>720</v>
      </c>
      <c r="F309" s="514">
        <v>293623</v>
      </c>
      <c r="G309" s="514">
        <v>86059.1</v>
      </c>
      <c r="H309" s="437" t="str">
        <f>VLOOKUP(D309,'COA LTD'!A:F,3,0)</f>
        <v>PL</v>
      </c>
      <c r="I309" s="437" t="str">
        <f>VLOOKUP(D309,'COA LTD'!A:F,4,0)</f>
        <v>Research and development expenses, net</v>
      </c>
      <c r="J309" s="437" t="str">
        <f>VLOOKUP(D309,'COA LTD'!A:F,5,0)</f>
        <v xml:space="preserve">Salary </v>
      </c>
      <c r="K309" s="439">
        <f t="shared" si="5"/>
        <v>3.4118762571302743</v>
      </c>
      <c r="L309" s="437"/>
      <c r="M309" s="437"/>
      <c r="N309" s="437"/>
      <c r="O309" s="437"/>
      <c r="P309" s="438"/>
      <c r="Q309" s="438"/>
      <c r="R309" s="438"/>
      <c r="S309" s="438"/>
      <c r="T309" s="437"/>
      <c r="U309" s="437"/>
      <c r="V309" s="437"/>
      <c r="W309" s="437"/>
      <c r="X309" s="437"/>
      <c r="Y309" s="437"/>
      <c r="Z309" s="437"/>
    </row>
    <row r="310" spans="1:26" ht="15.75" customHeight="1">
      <c r="A310" t="s">
        <v>1391</v>
      </c>
      <c r="B310" t="s">
        <v>1402</v>
      </c>
      <c r="C310" t="s">
        <v>1403</v>
      </c>
      <c r="D310" s="516">
        <v>81060111</v>
      </c>
      <c r="E310" t="s">
        <v>721</v>
      </c>
      <c r="F310" s="514">
        <v>23609.360000000001</v>
      </c>
      <c r="G310" s="514">
        <v>6871.46</v>
      </c>
      <c r="H310" s="437" t="str">
        <f>VLOOKUP(D310,'COA LTD'!A:F,3,0)</f>
        <v>PL</v>
      </c>
      <c r="I310" s="437" t="str">
        <f>VLOOKUP(D310,'COA LTD'!A:F,4,0)</f>
        <v>Research and development expenses, net</v>
      </c>
      <c r="J310" s="437" t="str">
        <f>VLOOKUP(D310,'COA LTD'!A:F,5,0)</f>
        <v xml:space="preserve">Salary </v>
      </c>
      <c r="K310" s="439">
        <f t="shared" si="5"/>
        <v>3.4358578817311023</v>
      </c>
      <c r="L310" s="437"/>
      <c r="M310" s="437"/>
      <c r="N310" s="437"/>
      <c r="O310" s="437"/>
      <c r="P310" s="438"/>
      <c r="Q310" s="438"/>
      <c r="R310" s="438"/>
      <c r="S310" s="438"/>
      <c r="T310" s="437"/>
      <c r="U310" s="437"/>
      <c r="V310" s="437"/>
      <c r="W310" s="437"/>
      <c r="X310" s="437"/>
      <c r="Y310" s="437"/>
      <c r="Z310" s="437"/>
    </row>
    <row r="311" spans="1:26" ht="15.75" customHeight="1">
      <c r="A311" t="s">
        <v>1391</v>
      </c>
      <c r="B311" t="s">
        <v>1402</v>
      </c>
      <c r="C311" t="s">
        <v>1403</v>
      </c>
      <c r="D311" s="516">
        <v>81060112</v>
      </c>
      <c r="E311" t="s">
        <v>722</v>
      </c>
      <c r="F311" s="514">
        <v>712245</v>
      </c>
      <c r="G311" s="514">
        <v>207813.49</v>
      </c>
      <c r="H311" s="437" t="str">
        <f>VLOOKUP(D311,'COA LTD'!A:F,3,0)</f>
        <v>PL</v>
      </c>
      <c r="I311" s="437" t="str">
        <f>VLOOKUP(D311,'COA LTD'!A:F,4,0)</f>
        <v>Research and development expenses, net</v>
      </c>
      <c r="J311" s="437" t="str">
        <f>VLOOKUP(D311,'COA LTD'!A:F,5,0)</f>
        <v xml:space="preserve">Salary </v>
      </c>
      <c r="K311" s="439">
        <f t="shared" si="5"/>
        <v>3.427328033420737</v>
      </c>
      <c r="L311" s="437"/>
      <c r="M311" s="437"/>
      <c r="N311" s="437"/>
      <c r="O311" s="437"/>
      <c r="P311" s="438"/>
      <c r="Q311" s="438"/>
      <c r="R311" s="438"/>
      <c r="S311" s="438"/>
      <c r="T311" s="437"/>
      <c r="U311" s="437"/>
      <c r="V311" s="437"/>
      <c r="W311" s="437"/>
      <c r="X311" s="437"/>
      <c r="Y311" s="437"/>
      <c r="Z311" s="437"/>
    </row>
    <row r="312" spans="1:26" ht="15.75" customHeight="1">
      <c r="A312" t="s">
        <v>1391</v>
      </c>
      <c r="B312" t="s">
        <v>1402</v>
      </c>
      <c r="C312" t="s">
        <v>1403</v>
      </c>
      <c r="D312" s="516">
        <v>81060114</v>
      </c>
      <c r="E312" t="s">
        <v>724</v>
      </c>
      <c r="F312" s="514">
        <v>214099</v>
      </c>
      <c r="G312" s="514">
        <v>62332.36</v>
      </c>
      <c r="H312" s="437" t="str">
        <f>VLOOKUP(D312,'COA LTD'!A:F,3,0)</f>
        <v>PL</v>
      </c>
      <c r="I312" s="437" t="str">
        <f>VLOOKUP(D312,'COA LTD'!A:F,4,0)</f>
        <v>Research and development expenses, net</v>
      </c>
      <c r="J312" s="437" t="str">
        <f>VLOOKUP(D312,'COA LTD'!A:F,5,0)</f>
        <v xml:space="preserve">Salary </v>
      </c>
      <c r="K312" s="439">
        <f t="shared" si="5"/>
        <v>3.4347969497705524</v>
      </c>
      <c r="L312" s="437"/>
      <c r="M312" s="437"/>
      <c r="N312" s="437"/>
      <c r="O312" s="437"/>
      <c r="P312" s="438"/>
      <c r="Q312" s="438"/>
      <c r="R312" s="438"/>
      <c r="S312" s="438"/>
      <c r="T312" s="437"/>
      <c r="U312" s="437"/>
      <c r="V312" s="437"/>
      <c r="W312" s="437"/>
      <c r="X312" s="437"/>
      <c r="Y312" s="437"/>
      <c r="Z312" s="437"/>
    </row>
    <row r="313" spans="1:26" ht="15.75" customHeight="1">
      <c r="A313" t="s">
        <v>1391</v>
      </c>
      <c r="B313" t="s">
        <v>1402</v>
      </c>
      <c r="C313" t="s">
        <v>1403</v>
      </c>
      <c r="D313" s="516">
        <v>81060115</v>
      </c>
      <c r="E313" t="s">
        <v>725</v>
      </c>
      <c r="F313" s="514">
        <v>-214099</v>
      </c>
      <c r="G313" s="514">
        <v>-62332.36</v>
      </c>
      <c r="H313" s="437" t="str">
        <f>VLOOKUP(D313,'COA LTD'!A:F,3,0)</f>
        <v>PL</v>
      </c>
      <c r="I313" s="437" t="str">
        <f>VLOOKUP(D313,'COA LTD'!A:F,4,0)</f>
        <v>Research and development expenses, net</v>
      </c>
      <c r="J313" s="437" t="str">
        <f>VLOOKUP(D313,'COA LTD'!A:F,5,0)</f>
        <v xml:space="preserve">Salary </v>
      </c>
      <c r="K313" s="439">
        <f t="shared" si="5"/>
        <v>3.4347969497705524</v>
      </c>
      <c r="L313" s="437"/>
      <c r="M313" s="437"/>
      <c r="N313" s="437"/>
      <c r="O313" s="437"/>
      <c r="P313" s="438"/>
      <c r="Q313" s="438"/>
      <c r="R313" s="438"/>
      <c r="S313" s="438"/>
      <c r="T313" s="437"/>
      <c r="U313" s="437"/>
      <c r="V313" s="437"/>
      <c r="W313" s="437"/>
      <c r="X313" s="437"/>
      <c r="Y313" s="437"/>
      <c r="Z313" s="437"/>
    </row>
    <row r="314" spans="1:26" ht="15.75" customHeight="1">
      <c r="A314" t="s">
        <v>1391</v>
      </c>
      <c r="B314" t="s">
        <v>1402</v>
      </c>
      <c r="C314" t="s">
        <v>1403</v>
      </c>
      <c r="D314" s="516">
        <v>81060116</v>
      </c>
      <c r="E314" t="s">
        <v>726</v>
      </c>
      <c r="F314" s="514">
        <v>26245</v>
      </c>
      <c r="G314" s="514">
        <v>7617.42</v>
      </c>
      <c r="H314" s="437" t="str">
        <f>VLOOKUP(D314,'COA LTD'!A:F,3,0)</f>
        <v>PL</v>
      </c>
      <c r="I314" s="437" t="str">
        <f>VLOOKUP(D314,'COA LTD'!A:F,4,0)</f>
        <v>Research and development expenses, net</v>
      </c>
      <c r="J314" s="437" t="str">
        <f>VLOOKUP(D314,'COA LTD'!A:F,5,0)</f>
        <v xml:space="preserve">Salary </v>
      </c>
      <c r="K314" s="439">
        <f t="shared" si="5"/>
        <v>3.4453922719240899</v>
      </c>
      <c r="L314" s="437"/>
      <c r="M314" s="437"/>
      <c r="N314" s="437"/>
      <c r="O314" s="437"/>
      <c r="P314" s="438"/>
      <c r="Q314" s="438"/>
      <c r="R314" s="438"/>
      <c r="S314" s="438"/>
      <c r="T314" s="437"/>
      <c r="U314" s="437"/>
      <c r="V314" s="437"/>
      <c r="W314" s="437"/>
      <c r="X314" s="437"/>
      <c r="Y314" s="437"/>
      <c r="Z314" s="437"/>
    </row>
    <row r="315" spans="1:26" ht="15.75" customHeight="1">
      <c r="A315" t="s">
        <v>1391</v>
      </c>
      <c r="B315" t="s">
        <v>1402</v>
      </c>
      <c r="C315" t="s">
        <v>1403</v>
      </c>
      <c r="D315" s="516">
        <v>81060117</v>
      </c>
      <c r="E315" t="s">
        <v>727</v>
      </c>
      <c r="F315" s="514">
        <v>-26245</v>
      </c>
      <c r="G315" s="514">
        <v>-7617.42</v>
      </c>
      <c r="H315" s="437" t="str">
        <f>VLOOKUP(D315,'COA LTD'!A:F,3,0)</f>
        <v>PL</v>
      </c>
      <c r="I315" s="437" t="str">
        <f>VLOOKUP(D315,'COA LTD'!A:F,4,0)</f>
        <v>Research and development expenses, net</v>
      </c>
      <c r="J315" s="437" t="str">
        <f>VLOOKUP(D315,'COA LTD'!A:F,5,0)</f>
        <v xml:space="preserve">Salary </v>
      </c>
      <c r="K315" s="439">
        <f t="shared" si="5"/>
        <v>3.4453922719240899</v>
      </c>
      <c r="L315" s="437"/>
      <c r="M315" s="437"/>
      <c r="N315" s="437"/>
      <c r="O315" s="437"/>
      <c r="P315" s="438"/>
      <c r="Q315" s="438"/>
      <c r="R315" s="438"/>
      <c r="S315" s="438"/>
      <c r="T315" s="437"/>
      <c r="U315" s="437"/>
      <c r="V315" s="437"/>
      <c r="W315" s="437"/>
      <c r="X315" s="437"/>
      <c r="Y315" s="437"/>
      <c r="Z315" s="437"/>
    </row>
    <row r="316" spans="1:26" ht="15.75" customHeight="1">
      <c r="A316" t="s">
        <v>1391</v>
      </c>
      <c r="B316" t="s">
        <v>1402</v>
      </c>
      <c r="C316" t="s">
        <v>1403</v>
      </c>
      <c r="D316" s="516">
        <v>81060118</v>
      </c>
      <c r="E316" t="s">
        <v>728</v>
      </c>
      <c r="F316" s="514">
        <v>246835</v>
      </c>
      <c r="G316" s="514">
        <v>72228.929999999993</v>
      </c>
      <c r="H316" s="437" t="str">
        <f>VLOOKUP(D316,'COA LTD'!A:F,3,0)</f>
        <v>PL</v>
      </c>
      <c r="I316" s="437" t="str">
        <f>VLOOKUP(D316,'COA LTD'!A:F,4,0)</f>
        <v>Research and development expenses, net</v>
      </c>
      <c r="J316" s="437" t="str">
        <f>VLOOKUP(D316,'COA LTD'!A:F,5,0)</f>
        <v xml:space="preserve">Salary </v>
      </c>
      <c r="K316" s="439">
        <f t="shared" si="5"/>
        <v>3.4173979872054039</v>
      </c>
      <c r="L316" s="437"/>
      <c r="M316" s="437"/>
      <c r="N316" s="437"/>
      <c r="O316" s="437"/>
      <c r="P316" s="438"/>
      <c r="Q316" s="438"/>
      <c r="R316" s="438"/>
      <c r="S316" s="438"/>
      <c r="T316" s="437"/>
      <c r="U316" s="437"/>
      <c r="V316" s="437"/>
      <c r="W316" s="437"/>
      <c r="X316" s="437"/>
      <c r="Y316" s="437"/>
      <c r="Z316" s="437"/>
    </row>
    <row r="317" spans="1:26" ht="15.75" customHeight="1">
      <c r="A317" t="s">
        <v>1391</v>
      </c>
      <c r="B317" t="s">
        <v>1402</v>
      </c>
      <c r="C317" t="s">
        <v>1403</v>
      </c>
      <c r="D317" s="516">
        <v>81060119</v>
      </c>
      <c r="E317" t="s">
        <v>729</v>
      </c>
      <c r="F317" s="514">
        <v>-246835</v>
      </c>
      <c r="G317" s="514">
        <v>-72228.929999999993</v>
      </c>
      <c r="H317" s="437" t="str">
        <f>VLOOKUP(D317,'COA LTD'!A:F,3,0)</f>
        <v>PL</v>
      </c>
      <c r="I317" s="437" t="str">
        <f>VLOOKUP(D317,'COA LTD'!A:F,4,0)</f>
        <v>Research and development expenses, net</v>
      </c>
      <c r="J317" s="437" t="str">
        <f>VLOOKUP(D317,'COA LTD'!A:F,5,0)</f>
        <v xml:space="preserve">Salary </v>
      </c>
      <c r="K317" s="439">
        <f t="shared" si="5"/>
        <v>3.4173979872054039</v>
      </c>
      <c r="L317" s="437"/>
      <c r="M317" s="437"/>
      <c r="N317" s="437"/>
      <c r="O317" s="437"/>
      <c r="P317" s="438"/>
      <c r="Q317" s="438"/>
      <c r="R317" s="438"/>
      <c r="S317" s="438"/>
      <c r="T317" s="437"/>
      <c r="U317" s="437"/>
      <c r="V317" s="437"/>
      <c r="W317" s="437"/>
      <c r="X317" s="437"/>
      <c r="Y317" s="437"/>
      <c r="Z317" s="437"/>
    </row>
    <row r="318" spans="1:26" ht="15.75" customHeight="1">
      <c r="A318" t="s">
        <v>1391</v>
      </c>
      <c r="B318" t="s">
        <v>1402</v>
      </c>
      <c r="C318" t="s">
        <v>1403</v>
      </c>
      <c r="D318" s="516">
        <v>81060120</v>
      </c>
      <c r="E318" t="s">
        <v>940</v>
      </c>
      <c r="F318" s="514">
        <v>37795</v>
      </c>
      <c r="G318" s="514">
        <v>10932.46</v>
      </c>
      <c r="H318" s="437" t="str">
        <f>VLOOKUP(D318,'COA LTD'!A:F,3,0)</f>
        <v>PL</v>
      </c>
      <c r="I318" s="437" t="str">
        <f>VLOOKUP(D318,'COA LTD'!A:F,4,0)</f>
        <v>Research and development expenses, net</v>
      </c>
      <c r="J318" s="437" t="str">
        <f>VLOOKUP(D318,'COA LTD'!A:F,5,0)</f>
        <v xml:space="preserve">salary </v>
      </c>
      <c r="K318" s="439">
        <f t="shared" si="5"/>
        <v>3.4571359053680508</v>
      </c>
      <c r="L318" s="437"/>
      <c r="M318" s="437"/>
      <c r="N318" s="437"/>
      <c r="O318" s="437"/>
      <c r="P318" s="438"/>
      <c r="Q318" s="438"/>
      <c r="R318" s="438"/>
      <c r="S318" s="438"/>
      <c r="T318" s="437"/>
      <c r="U318" s="437"/>
      <c r="V318" s="437"/>
      <c r="W318" s="437"/>
      <c r="X318" s="437"/>
      <c r="Y318" s="437"/>
      <c r="Z318" s="437"/>
    </row>
    <row r="319" spans="1:26" ht="15.75" customHeight="1">
      <c r="A319" t="s">
        <v>1391</v>
      </c>
      <c r="B319" t="s">
        <v>1402</v>
      </c>
      <c r="C319" t="s">
        <v>1403</v>
      </c>
      <c r="D319" s="516">
        <v>81060121</v>
      </c>
      <c r="E319" t="s">
        <v>941</v>
      </c>
      <c r="F319" s="514">
        <v>-37795</v>
      </c>
      <c r="G319" s="514">
        <v>-10932.46</v>
      </c>
      <c r="H319" s="437" t="str">
        <f>VLOOKUP(D319,'COA LTD'!A:F,3,0)</f>
        <v>PL</v>
      </c>
      <c r="I319" s="437" t="str">
        <f>VLOOKUP(D319,'COA LTD'!A:F,4,0)</f>
        <v>Research and development expenses, net</v>
      </c>
      <c r="J319" s="437" t="str">
        <f>VLOOKUP(D319,'COA LTD'!A:F,5,0)</f>
        <v xml:space="preserve">salary </v>
      </c>
      <c r="K319" s="439">
        <f t="shared" si="5"/>
        <v>3.4571359053680508</v>
      </c>
      <c r="L319" s="437"/>
      <c r="M319" s="437"/>
      <c r="N319" s="437"/>
      <c r="O319" s="437"/>
      <c r="P319" s="438"/>
      <c r="Q319" s="438"/>
      <c r="R319" s="438"/>
      <c r="S319" s="438"/>
      <c r="T319" s="437"/>
      <c r="U319" s="437"/>
      <c r="V319" s="437"/>
      <c r="W319" s="437"/>
      <c r="X319" s="437"/>
      <c r="Y319" s="437"/>
      <c r="Z319" s="437"/>
    </row>
    <row r="320" spans="1:26" ht="15.75" customHeight="1">
      <c r="A320" t="s">
        <v>1391</v>
      </c>
      <c r="B320" t="s">
        <v>1402</v>
      </c>
      <c r="C320" t="s">
        <v>1403</v>
      </c>
      <c r="D320" s="516">
        <v>81080100</v>
      </c>
      <c r="E320" t="s">
        <v>942</v>
      </c>
      <c r="F320" s="514">
        <v>608411</v>
      </c>
      <c r="G320" s="514">
        <v>176186.37</v>
      </c>
      <c r="H320" s="437" t="str">
        <f>VLOOKUP(D320,'COA LTD'!A:F,3,0)</f>
        <v>PL</v>
      </c>
      <c r="I320" s="437" t="str">
        <f>VLOOKUP(D320,'COA LTD'!A:F,4,0)</f>
        <v>Research and development expenses, net</v>
      </c>
      <c r="J320" s="437" t="str">
        <f>VLOOKUP(D320,'COA LTD'!A:F,5,0)</f>
        <v xml:space="preserve">salary </v>
      </c>
      <c r="K320" s="439">
        <f t="shared" si="5"/>
        <v>3.4532239922986099</v>
      </c>
      <c r="L320" s="437"/>
      <c r="M320" s="437"/>
      <c r="N320" s="437"/>
      <c r="O320" s="437"/>
      <c r="P320" s="438"/>
      <c r="Q320" s="438"/>
      <c r="R320" s="438"/>
      <c r="S320" s="438"/>
      <c r="T320" s="437"/>
      <c r="U320" s="437"/>
      <c r="V320" s="437"/>
      <c r="W320" s="437"/>
      <c r="X320" s="437"/>
      <c r="Y320" s="437"/>
      <c r="Z320" s="437"/>
    </row>
    <row r="321" spans="1:26" ht="15.75" customHeight="1">
      <c r="A321" t="s">
        <v>1391</v>
      </c>
      <c r="B321" t="s">
        <v>1402</v>
      </c>
      <c r="C321" t="s">
        <v>1403</v>
      </c>
      <c r="D321" s="516">
        <v>81080104</v>
      </c>
      <c r="E321" t="s">
        <v>943</v>
      </c>
      <c r="F321" s="514">
        <v>107600</v>
      </c>
      <c r="G321" s="514">
        <v>31205.200000000001</v>
      </c>
      <c r="H321" s="437" t="str">
        <f>VLOOKUP(D321,'COA LTD'!A:F,3,0)</f>
        <v>PL</v>
      </c>
      <c r="I321" s="437" t="str">
        <f>VLOOKUP(D321,'COA LTD'!A:F,4,0)</f>
        <v>Research and development expenses, net</v>
      </c>
      <c r="J321" s="437" t="str">
        <f>VLOOKUP(D321,'COA LTD'!A:F,5,0)</f>
        <v xml:space="preserve">salary </v>
      </c>
      <c r="K321" s="439">
        <f t="shared" si="5"/>
        <v>3.4481432581749196</v>
      </c>
      <c r="L321" s="437"/>
      <c r="M321" s="437"/>
      <c r="N321" s="437"/>
      <c r="O321" s="437"/>
      <c r="P321" s="438"/>
      <c r="Q321" s="438"/>
      <c r="R321" s="438"/>
      <c r="S321" s="438"/>
      <c r="T321" s="437"/>
      <c r="U321" s="437"/>
      <c r="V321" s="437"/>
      <c r="W321" s="437"/>
      <c r="X321" s="437"/>
      <c r="Y321" s="437"/>
      <c r="Z321" s="437"/>
    </row>
    <row r="322" spans="1:26" ht="15.75" customHeight="1">
      <c r="A322" t="s">
        <v>1391</v>
      </c>
      <c r="B322" t="s">
        <v>1402</v>
      </c>
      <c r="C322" t="s">
        <v>1403</v>
      </c>
      <c r="D322" s="516">
        <v>81080107</v>
      </c>
      <c r="E322" t="s">
        <v>944</v>
      </c>
      <c r="F322" s="514">
        <v>7878.4</v>
      </c>
      <c r="G322" s="514">
        <v>2303.64</v>
      </c>
      <c r="H322" s="437" t="str">
        <f>VLOOKUP(D322,'COA LTD'!A:F,3,0)</f>
        <v>PL</v>
      </c>
      <c r="I322" s="437" t="str">
        <f>VLOOKUP(D322,'COA LTD'!A:F,4,0)</f>
        <v>Research and development expenses, net</v>
      </c>
      <c r="J322" s="437" t="str">
        <f>VLOOKUP(D322,'COA LTD'!A:F,5,0)</f>
        <v xml:space="preserve">salary </v>
      </c>
      <c r="K322" s="439">
        <f t="shared" si="5"/>
        <v>3.4199788161344653</v>
      </c>
      <c r="L322" s="437"/>
      <c r="M322" s="437"/>
      <c r="N322" s="437"/>
      <c r="O322" s="437"/>
      <c r="P322" s="438"/>
      <c r="Q322" s="438"/>
      <c r="R322" s="438"/>
      <c r="S322" s="438"/>
      <c r="T322" s="437"/>
      <c r="U322" s="437"/>
      <c r="V322" s="437"/>
      <c r="W322" s="437"/>
      <c r="X322" s="437"/>
      <c r="Y322" s="437"/>
      <c r="Z322" s="437"/>
    </row>
    <row r="323" spans="1:26" ht="15.75" customHeight="1">
      <c r="A323" t="s">
        <v>1391</v>
      </c>
      <c r="B323" t="s">
        <v>1402</v>
      </c>
      <c r="C323" t="s">
        <v>1403</v>
      </c>
      <c r="D323" s="516">
        <v>81080108</v>
      </c>
      <c r="E323" t="s">
        <v>945</v>
      </c>
      <c r="F323" s="514">
        <v>31016</v>
      </c>
      <c r="G323" s="514">
        <v>8978.17</v>
      </c>
      <c r="H323" s="437" t="str">
        <f>VLOOKUP(D323,'COA LTD'!A:F,3,0)</f>
        <v>PL</v>
      </c>
      <c r="I323" s="437" t="str">
        <f>VLOOKUP(D323,'COA LTD'!A:F,4,0)</f>
        <v>Research and development expenses, net</v>
      </c>
      <c r="J323" s="437" t="str">
        <f>VLOOKUP(D323,'COA LTD'!A:F,5,0)</f>
        <v xml:space="preserve">salary </v>
      </c>
      <c r="K323" s="439">
        <f t="shared" si="5"/>
        <v>3.4546015502045515</v>
      </c>
      <c r="L323" s="437"/>
      <c r="M323" s="437"/>
      <c r="N323" s="437"/>
      <c r="O323" s="437"/>
      <c r="P323" s="438"/>
      <c r="Q323" s="438"/>
      <c r="R323" s="438"/>
      <c r="S323" s="438"/>
      <c r="T323" s="437"/>
      <c r="U323" s="437"/>
      <c r="V323" s="437"/>
      <c r="W323" s="437"/>
      <c r="X323" s="437"/>
      <c r="Y323" s="437"/>
      <c r="Z323" s="437"/>
    </row>
    <row r="324" spans="1:26" ht="15.75" customHeight="1">
      <c r="A324" t="s">
        <v>1391</v>
      </c>
      <c r="B324" t="s">
        <v>1402</v>
      </c>
      <c r="C324" t="s">
        <v>1403</v>
      </c>
      <c r="D324" s="516">
        <v>81080109</v>
      </c>
      <c r="E324" t="s">
        <v>1006</v>
      </c>
      <c r="F324" s="514">
        <v>39278</v>
      </c>
      <c r="G324" s="514">
        <v>11371.21</v>
      </c>
      <c r="H324" s="437" t="str">
        <f>VLOOKUP(D324,'COA LTD'!A:F,3,0)</f>
        <v>PL</v>
      </c>
      <c r="I324" s="437" t="str">
        <f>VLOOKUP(D324,'COA LTD'!A:F,4,0)</f>
        <v>Research and development expenses, net</v>
      </c>
      <c r="J324" s="437" t="str">
        <f>VLOOKUP(D324,'COA LTD'!A:F,5,0)</f>
        <v xml:space="preserve">salary </v>
      </c>
      <c r="K324" s="439">
        <f t="shared" si="5"/>
        <v>3.4541618701967516</v>
      </c>
      <c r="L324" s="437"/>
      <c r="M324" s="437"/>
      <c r="N324" s="437"/>
      <c r="O324" s="437"/>
      <c r="P324" s="438"/>
      <c r="Q324" s="438"/>
      <c r="R324" s="438"/>
      <c r="S324" s="438"/>
      <c r="T324" s="437"/>
      <c r="U324" s="437"/>
      <c r="V324" s="437"/>
      <c r="W324" s="437"/>
      <c r="X324" s="437"/>
      <c r="Y324" s="437"/>
      <c r="Z324" s="437"/>
    </row>
    <row r="325" spans="1:26" ht="15.75" customHeight="1">
      <c r="A325" t="s">
        <v>1391</v>
      </c>
      <c r="B325" t="s">
        <v>1402</v>
      </c>
      <c r="C325" t="s">
        <v>1403</v>
      </c>
      <c r="D325" s="516">
        <v>81080110</v>
      </c>
      <c r="E325" t="s">
        <v>1007</v>
      </c>
      <c r="F325" s="514">
        <v>15004</v>
      </c>
      <c r="G325" s="514">
        <v>4382.6400000000003</v>
      </c>
      <c r="H325" s="437" t="str">
        <f>VLOOKUP(D325,'COA LTD'!A:F,3,0)</f>
        <v>PL</v>
      </c>
      <c r="I325" s="437" t="str">
        <f>VLOOKUP(D325,'COA LTD'!A:F,4,0)</f>
        <v>Research and development expenses, net</v>
      </c>
      <c r="J325" s="437" t="str">
        <f>VLOOKUP(D325,'COA LTD'!A:F,5,0)</f>
        <v xml:space="preserve">salary </v>
      </c>
      <c r="K325" s="439">
        <f t="shared" si="5"/>
        <v>3.4235072924082286</v>
      </c>
      <c r="L325" s="437"/>
      <c r="M325" s="437"/>
      <c r="N325" s="437"/>
      <c r="O325" s="437"/>
      <c r="P325" s="438"/>
      <c r="Q325" s="438"/>
      <c r="R325" s="438"/>
      <c r="S325" s="438"/>
      <c r="T325" s="437"/>
      <c r="U325" s="437"/>
      <c r="V325" s="437"/>
      <c r="W325" s="437"/>
      <c r="X325" s="437"/>
      <c r="Y325" s="437"/>
      <c r="Z325" s="437"/>
    </row>
    <row r="326" spans="1:26" ht="15.75" customHeight="1">
      <c r="A326" t="s">
        <v>1391</v>
      </c>
      <c r="B326" t="s">
        <v>1402</v>
      </c>
      <c r="C326" t="s">
        <v>1403</v>
      </c>
      <c r="D326" s="516">
        <v>81080111</v>
      </c>
      <c r="E326" t="s">
        <v>946</v>
      </c>
      <c r="F326" s="514">
        <v>1443.33</v>
      </c>
      <c r="G326" s="514">
        <v>416.83</v>
      </c>
      <c r="H326" s="437" t="str">
        <f>VLOOKUP(D326,'COA LTD'!A:F,3,0)</f>
        <v>PL</v>
      </c>
      <c r="I326" s="437" t="str">
        <f>VLOOKUP(D326,'COA LTD'!A:F,4,0)</f>
        <v>Research and development expenses, net</v>
      </c>
      <c r="J326" s="437" t="str">
        <f>VLOOKUP(D326,'COA LTD'!A:F,5,0)</f>
        <v xml:space="preserve">salary </v>
      </c>
      <c r="K326" s="439">
        <f t="shared" si="5"/>
        <v>3.4626346472182905</v>
      </c>
      <c r="L326" s="437"/>
      <c r="M326" s="437"/>
      <c r="N326" s="437"/>
      <c r="O326" s="437"/>
      <c r="P326" s="438"/>
      <c r="Q326" s="438"/>
      <c r="R326" s="438"/>
      <c r="S326" s="438"/>
      <c r="T326" s="437"/>
      <c r="U326" s="437"/>
      <c r="V326" s="437"/>
      <c r="W326" s="437"/>
      <c r="X326" s="437"/>
      <c r="Y326" s="437"/>
      <c r="Z326" s="437"/>
    </row>
    <row r="327" spans="1:26" ht="15.75" customHeight="1">
      <c r="A327" t="s">
        <v>1391</v>
      </c>
      <c r="B327" t="s">
        <v>1402</v>
      </c>
      <c r="C327" t="s">
        <v>1403</v>
      </c>
      <c r="D327" s="516">
        <v>81080112</v>
      </c>
      <c r="E327" t="s">
        <v>1008</v>
      </c>
      <c r="F327" s="514">
        <v>50333</v>
      </c>
      <c r="G327" s="514">
        <v>14571.69</v>
      </c>
      <c r="H327" s="437" t="str">
        <f>VLOOKUP(D327,'COA LTD'!A:F,3,0)</f>
        <v>PL</v>
      </c>
      <c r="I327" s="437" t="str">
        <f>VLOOKUP(D327,'COA LTD'!A:F,4,0)</f>
        <v>Research and development expenses, net</v>
      </c>
      <c r="J327" s="437" t="str">
        <f>VLOOKUP(D327,'COA LTD'!A:F,5,0)</f>
        <v xml:space="preserve">salary </v>
      </c>
      <c r="K327" s="439">
        <f t="shared" si="5"/>
        <v>3.4541635184388357</v>
      </c>
      <c r="L327" s="437"/>
      <c r="M327" s="437"/>
      <c r="N327" s="437"/>
      <c r="O327" s="437"/>
      <c r="P327" s="438"/>
      <c r="Q327" s="438"/>
      <c r="R327" s="438"/>
      <c r="S327" s="438"/>
      <c r="T327" s="437"/>
      <c r="U327" s="437"/>
      <c r="V327" s="437"/>
      <c r="W327" s="437"/>
      <c r="X327" s="437"/>
      <c r="Y327" s="437"/>
      <c r="Z327" s="437"/>
    </row>
    <row r="328" spans="1:26" ht="15.75" customHeight="1">
      <c r="A328" t="s">
        <v>1391</v>
      </c>
      <c r="B328" t="s">
        <v>1402</v>
      </c>
      <c r="C328" t="s">
        <v>1403</v>
      </c>
      <c r="D328" s="516">
        <v>81080114</v>
      </c>
      <c r="E328" t="s">
        <v>1009</v>
      </c>
      <c r="F328" s="514">
        <v>35356</v>
      </c>
      <c r="G328" s="514">
        <v>10270.02</v>
      </c>
      <c r="H328" s="437" t="str">
        <f>VLOOKUP(D328,'COA LTD'!A:F,3,0)</f>
        <v>PL</v>
      </c>
      <c r="I328" s="437" t="str">
        <f>VLOOKUP(D328,'COA LTD'!A:F,4,0)</f>
        <v>Research and development expenses, net</v>
      </c>
      <c r="J328" s="437" t="str">
        <f>VLOOKUP(D328,'COA LTD'!A:F,5,0)</f>
        <v xml:space="preserve">salary </v>
      </c>
      <c r="K328" s="439">
        <f t="shared" si="5"/>
        <v>3.4426417864814285</v>
      </c>
      <c r="L328" s="437"/>
      <c r="M328" s="437"/>
      <c r="N328" s="437"/>
      <c r="O328" s="437"/>
      <c r="P328" s="438"/>
      <c r="Q328" s="438"/>
      <c r="R328" s="438"/>
      <c r="S328" s="438"/>
      <c r="T328" s="437"/>
      <c r="U328" s="437"/>
      <c r="V328" s="437"/>
      <c r="W328" s="437"/>
      <c r="X328" s="437"/>
      <c r="Y328" s="437"/>
      <c r="Z328" s="437"/>
    </row>
    <row r="329" spans="1:26" ht="15.75" customHeight="1">
      <c r="A329" t="s">
        <v>1391</v>
      </c>
      <c r="B329" t="s">
        <v>1402</v>
      </c>
      <c r="C329" t="s">
        <v>1403</v>
      </c>
      <c r="D329" s="516">
        <v>81080115</v>
      </c>
      <c r="E329" t="s">
        <v>1010</v>
      </c>
      <c r="F329" s="514">
        <v>-35356</v>
      </c>
      <c r="G329" s="514">
        <v>-10270.02</v>
      </c>
      <c r="H329" s="437" t="str">
        <f>VLOOKUP(D329,'COA LTD'!A:F,3,0)</f>
        <v>PL</v>
      </c>
      <c r="I329" s="437" t="str">
        <f>VLOOKUP(D329,'COA LTD'!A:F,4,0)</f>
        <v>Research and development expenses, net</v>
      </c>
      <c r="J329" s="437" t="str">
        <f>VLOOKUP(D329,'COA LTD'!A:F,5,0)</f>
        <v xml:space="preserve">salary </v>
      </c>
      <c r="K329" s="439">
        <f t="shared" si="5"/>
        <v>3.4426417864814285</v>
      </c>
      <c r="L329" s="437"/>
      <c r="M329" s="437"/>
      <c r="N329" s="437"/>
      <c r="O329" s="437"/>
      <c r="P329" s="438"/>
      <c r="Q329" s="438"/>
      <c r="R329" s="438"/>
      <c r="S329" s="438"/>
      <c r="T329" s="437"/>
      <c r="U329" s="437"/>
      <c r="V329" s="437"/>
      <c r="W329" s="437"/>
      <c r="X329" s="437"/>
      <c r="Y329" s="437"/>
      <c r="Z329" s="437"/>
    </row>
    <row r="330" spans="1:26" ht="15.75" customHeight="1">
      <c r="A330" t="s">
        <v>1391</v>
      </c>
      <c r="B330" t="s">
        <v>1402</v>
      </c>
      <c r="C330" t="s">
        <v>1403</v>
      </c>
      <c r="D330" s="516">
        <v>81080118</v>
      </c>
      <c r="E330" t="s">
        <v>1011</v>
      </c>
      <c r="F330" s="514">
        <v>13216</v>
      </c>
      <c r="G330" s="514">
        <v>3806.25</v>
      </c>
      <c r="H330" s="437" t="str">
        <f>VLOOKUP(D330,'COA LTD'!A:F,3,0)</f>
        <v>PL</v>
      </c>
      <c r="I330" s="437" t="str">
        <f>VLOOKUP(D330,'COA LTD'!A:F,4,0)</f>
        <v>Research and development expenses, net</v>
      </c>
      <c r="J330" s="437" t="str">
        <f>VLOOKUP(D330,'COA LTD'!A:F,5,0)</f>
        <v xml:space="preserve">salary </v>
      </c>
      <c r="K330" s="439">
        <f t="shared" si="5"/>
        <v>3.4721839080459769</v>
      </c>
      <c r="L330" s="437"/>
      <c r="M330" s="437"/>
      <c r="N330" s="437"/>
      <c r="O330" s="437"/>
      <c r="P330" s="438"/>
      <c r="Q330" s="438"/>
      <c r="R330" s="438"/>
      <c r="S330" s="438"/>
      <c r="T330" s="437"/>
      <c r="U330" s="437"/>
      <c r="V330" s="437"/>
      <c r="W330" s="437"/>
      <c r="X330" s="437"/>
      <c r="Y330" s="437"/>
      <c r="Z330" s="437"/>
    </row>
    <row r="331" spans="1:26" ht="15.75" customHeight="1">
      <c r="A331" t="s">
        <v>1391</v>
      </c>
      <c r="B331" t="s">
        <v>1402</v>
      </c>
      <c r="C331" t="s">
        <v>1403</v>
      </c>
      <c r="D331" s="516">
        <v>81080119</v>
      </c>
      <c r="E331" t="s">
        <v>1012</v>
      </c>
      <c r="F331" s="514">
        <v>-13216</v>
      </c>
      <c r="G331" s="514">
        <v>-3806.25</v>
      </c>
      <c r="H331" s="437" t="str">
        <f>VLOOKUP(D331,'COA LTD'!A:F,3,0)</f>
        <v>PL</v>
      </c>
      <c r="I331" s="437" t="str">
        <f>VLOOKUP(D331,'COA LTD'!A:F,4,0)</f>
        <v>Research and development expenses, net</v>
      </c>
      <c r="J331" s="437" t="str">
        <f>VLOOKUP(D331,'COA LTD'!A:F,5,0)</f>
        <v xml:space="preserve">salary </v>
      </c>
      <c r="K331" s="439">
        <f t="shared" si="5"/>
        <v>3.4721839080459769</v>
      </c>
      <c r="L331" s="437"/>
      <c r="M331" s="437"/>
      <c r="N331" s="437"/>
      <c r="O331" s="437"/>
      <c r="P331" s="438"/>
      <c r="Q331" s="438"/>
      <c r="R331" s="438"/>
      <c r="S331" s="438"/>
      <c r="T331" s="437"/>
      <c r="U331" s="437"/>
      <c r="V331" s="437"/>
      <c r="W331" s="437"/>
      <c r="X331" s="437"/>
      <c r="Y331" s="437"/>
      <c r="Z331" s="437"/>
    </row>
    <row r="332" spans="1:26" ht="15.75" customHeight="1">
      <c r="A332" t="s">
        <v>1391</v>
      </c>
      <c r="B332" t="s">
        <v>1402</v>
      </c>
      <c r="C332" t="s">
        <v>1403</v>
      </c>
      <c r="D332" s="516">
        <v>81080120</v>
      </c>
      <c r="E332" t="s">
        <v>1173</v>
      </c>
      <c r="F332" s="514">
        <v>1600</v>
      </c>
      <c r="G332" s="514">
        <v>452.49</v>
      </c>
      <c r="H332" s="437" t="str">
        <f>VLOOKUP(D332,'COA LTD'!A:F,3,0)</f>
        <v>PL</v>
      </c>
      <c r="I332" s="437" t="str">
        <f>VLOOKUP(D332,'COA LTD'!A:F,4,0)</f>
        <v>Research and development expenses, net</v>
      </c>
      <c r="J332" s="437" t="str">
        <f>VLOOKUP(D332,'COA LTD'!A:F,5,0)</f>
        <v xml:space="preserve">salary </v>
      </c>
      <c r="K332" s="439">
        <f t="shared" si="5"/>
        <v>3.5359897456297378</v>
      </c>
      <c r="L332" s="437"/>
      <c r="M332" s="437"/>
      <c r="N332" s="437"/>
      <c r="O332" s="437"/>
      <c r="P332" s="438"/>
      <c r="Q332" s="438"/>
      <c r="R332" s="438"/>
      <c r="S332" s="438"/>
      <c r="T332" s="437"/>
      <c r="U332" s="437"/>
      <c r="V332" s="437"/>
      <c r="W332" s="437"/>
      <c r="X332" s="437"/>
      <c r="Y332" s="437"/>
      <c r="Z332" s="437"/>
    </row>
    <row r="333" spans="1:26" ht="15.75" customHeight="1">
      <c r="A333" t="s">
        <v>1391</v>
      </c>
      <c r="B333" t="s">
        <v>1402</v>
      </c>
      <c r="C333" t="s">
        <v>1403</v>
      </c>
      <c r="D333" s="516">
        <v>81080121</v>
      </c>
      <c r="E333" t="s">
        <v>1174</v>
      </c>
      <c r="F333" s="514">
        <v>-1600</v>
      </c>
      <c r="G333" s="514">
        <v>-452.49</v>
      </c>
      <c r="H333" s="437" t="str">
        <f>VLOOKUP(D333,'COA LTD'!A:F,3,0)</f>
        <v>PL</v>
      </c>
      <c r="I333" s="437" t="str">
        <f>VLOOKUP(D333,'COA LTD'!A:F,4,0)</f>
        <v>Research and development expenses, net</v>
      </c>
      <c r="J333" s="437" t="str">
        <f>VLOOKUP(D333,'COA LTD'!A:F,5,0)</f>
        <v xml:space="preserve">salary </v>
      </c>
      <c r="K333" s="439">
        <f t="shared" si="5"/>
        <v>3.5359897456297378</v>
      </c>
      <c r="L333" s="437"/>
      <c r="M333" s="437"/>
      <c r="N333" s="437"/>
      <c r="O333" s="437"/>
      <c r="P333" s="438"/>
      <c r="Q333" s="438"/>
      <c r="R333" s="438"/>
      <c r="S333" s="438"/>
      <c r="T333" s="437"/>
      <c r="U333" s="437"/>
      <c r="V333" s="437"/>
      <c r="W333" s="437"/>
      <c r="X333" s="437"/>
      <c r="Y333" s="437"/>
      <c r="Z333" s="437"/>
    </row>
    <row r="334" spans="1:26" ht="15" customHeight="1">
      <c r="A334" t="s">
        <v>1391</v>
      </c>
      <c r="B334" t="s">
        <v>1402</v>
      </c>
      <c r="C334" t="s">
        <v>1403</v>
      </c>
      <c r="D334" s="516">
        <v>81090105</v>
      </c>
      <c r="E334" t="s">
        <v>730</v>
      </c>
      <c r="F334" s="514">
        <v>2345312.5099999998</v>
      </c>
      <c r="G334" s="514">
        <v>691999.68</v>
      </c>
      <c r="H334" s="437" t="str">
        <f>VLOOKUP(D334,'COA LTD'!A:F,3,0)</f>
        <v>PL</v>
      </c>
      <c r="I334" s="437" t="str">
        <f>VLOOKUP(D334,'COA LTD'!A:F,4,0)</f>
        <v>Research and development expenses, net</v>
      </c>
      <c r="J334" s="437" t="str">
        <f>VLOOKUP(D334,'COA LTD'!A:F,5,0)</f>
        <v xml:space="preserve">Salary </v>
      </c>
      <c r="K334" s="439">
        <f t="shared" si="5"/>
        <v>3.3891814949972225</v>
      </c>
      <c r="L334" s="437"/>
      <c r="M334" s="437"/>
      <c r="N334" s="437"/>
      <c r="O334" s="437"/>
      <c r="P334" s="437"/>
      <c r="Q334" s="437"/>
      <c r="R334" s="437"/>
      <c r="S334" s="437"/>
      <c r="T334" s="437"/>
      <c r="U334" s="437"/>
      <c r="V334" s="437"/>
      <c r="W334" s="437"/>
      <c r="X334" s="437"/>
      <c r="Y334" s="437"/>
      <c r="Z334" s="437"/>
    </row>
    <row r="335" spans="1:26" ht="15" customHeight="1">
      <c r="A335" t="s">
        <v>1391</v>
      </c>
      <c r="B335" t="s">
        <v>1402</v>
      </c>
      <c r="C335" t="s">
        <v>1403</v>
      </c>
      <c r="D335" s="516">
        <v>81090201</v>
      </c>
      <c r="E335" t="s">
        <v>1732</v>
      </c>
      <c r="F335" s="514">
        <v>-1130163</v>
      </c>
      <c r="G335" s="514">
        <v>-337362</v>
      </c>
      <c r="H335" s="437" t="str">
        <f>VLOOKUP(D335,'COA LTD'!A:F,3,0)</f>
        <v>PL</v>
      </c>
      <c r="I335" s="437" t="str">
        <f>VLOOKUP(D335,'COA LTD'!A:F,4,0)</f>
        <v>Research and development expenses, net</v>
      </c>
      <c r="J335" s="437" t="str">
        <f>VLOOKUP(D335,'COA LTD'!A:F,5,0)</f>
        <v xml:space="preserve">option expenses </v>
      </c>
      <c r="K335" s="439">
        <f t="shared" si="5"/>
        <v>3.3500008892524944</v>
      </c>
      <c r="L335" s="437"/>
      <c r="M335" s="437"/>
      <c r="N335" s="437"/>
      <c r="O335" s="437"/>
      <c r="P335" s="437"/>
      <c r="Q335" s="437"/>
      <c r="R335" s="437"/>
      <c r="S335" s="437"/>
      <c r="T335" s="437"/>
      <c r="U335" s="437"/>
      <c r="V335" s="437"/>
      <c r="W335" s="437"/>
      <c r="X335" s="437"/>
      <c r="Y335" s="437"/>
      <c r="Z335" s="437"/>
    </row>
    <row r="336" spans="1:26" ht="15" customHeight="1">
      <c r="A336" t="s">
        <v>1391</v>
      </c>
      <c r="B336" t="s">
        <v>1402</v>
      </c>
      <c r="C336" t="s">
        <v>1403</v>
      </c>
      <c r="D336" s="516">
        <v>81200122</v>
      </c>
      <c r="E336" t="s">
        <v>1291</v>
      </c>
      <c r="F336" s="514">
        <v>331220.96999999997</v>
      </c>
      <c r="G336" s="514">
        <v>97132.25</v>
      </c>
      <c r="H336" s="437" t="str">
        <f>VLOOKUP(D336,'COA LTD'!A:F,3,0)</f>
        <v>PL</v>
      </c>
      <c r="I336" s="437" t="str">
        <f>VLOOKUP(D336,'COA LTD'!A:F,4,0)</f>
        <v>Research and development expenses, net</v>
      </c>
      <c r="J336" s="437" t="str">
        <f>VLOOKUP(D336,'COA LTD'!A:F,5,0)</f>
        <v xml:space="preserve">salary </v>
      </c>
      <c r="K336" s="439">
        <f t="shared" si="5"/>
        <v>3.4099999742618952</v>
      </c>
      <c r="L336" s="437"/>
      <c r="M336" s="437"/>
      <c r="N336" s="437"/>
      <c r="O336" s="437"/>
      <c r="P336" s="437"/>
      <c r="Q336" s="437"/>
      <c r="R336" s="437"/>
      <c r="S336" s="437"/>
      <c r="T336" s="437"/>
      <c r="U336" s="437"/>
      <c r="V336" s="437"/>
      <c r="W336" s="437"/>
      <c r="X336" s="437"/>
      <c r="Y336" s="437"/>
      <c r="Z336" s="437"/>
    </row>
    <row r="337" spans="1:26" ht="15" customHeight="1">
      <c r="A337" t="s">
        <v>1391</v>
      </c>
      <c r="B337" t="s">
        <v>1402</v>
      </c>
      <c r="C337" t="s">
        <v>1405</v>
      </c>
      <c r="D337" s="516">
        <v>81020200</v>
      </c>
      <c r="E337" t="s">
        <v>906</v>
      </c>
      <c r="F337" s="514">
        <v>47954.7</v>
      </c>
      <c r="G337" s="514">
        <v>14141.82</v>
      </c>
      <c r="H337" s="437" t="str">
        <f>VLOOKUP(D337,'COA LTD'!A:F,3,0)</f>
        <v>PL</v>
      </c>
      <c r="I337" s="437" t="str">
        <f>VLOOKUP(D337,'COA LTD'!A:F,4,0)</f>
        <v>Research and development expenses, net</v>
      </c>
      <c r="J337" s="437" t="str">
        <f>VLOOKUP(D337,'COA LTD'!A:F,5,0)</f>
        <v xml:space="preserve"> Professional Services</v>
      </c>
      <c r="K337" s="439">
        <f t="shared" si="5"/>
        <v>3.3909850358723275</v>
      </c>
      <c r="L337" s="437"/>
      <c r="M337" s="437"/>
      <c r="N337" s="437"/>
      <c r="O337" s="437"/>
      <c r="P337" s="437"/>
      <c r="Q337" s="437"/>
      <c r="R337" s="437"/>
      <c r="S337" s="437"/>
      <c r="T337" s="437"/>
      <c r="U337" s="437"/>
      <c r="V337" s="437"/>
      <c r="W337" s="437"/>
      <c r="X337" s="437"/>
      <c r="Y337" s="437"/>
      <c r="Z337" s="437"/>
    </row>
    <row r="338" spans="1:26" ht="15" customHeight="1">
      <c r="A338" t="s">
        <v>1391</v>
      </c>
      <c r="B338" t="s">
        <v>1402</v>
      </c>
      <c r="C338" t="s">
        <v>1405</v>
      </c>
      <c r="D338" s="516">
        <v>81030200</v>
      </c>
      <c r="E338" t="s">
        <v>731</v>
      </c>
      <c r="F338" s="514">
        <v>43859.360000000001</v>
      </c>
      <c r="G338" s="514">
        <v>13403.22</v>
      </c>
      <c r="H338" s="437" t="str">
        <f>VLOOKUP(D338,'COA LTD'!A:F,3,0)</f>
        <v>PL</v>
      </c>
      <c r="I338" s="437" t="str">
        <f>VLOOKUP(D338,'COA LTD'!A:F,4,0)</f>
        <v>Research and development expenses, net</v>
      </c>
      <c r="J338" s="437" t="str">
        <f>VLOOKUP(D338,'COA LTD'!A:F,5,0)</f>
        <v xml:space="preserve"> Professional Services</v>
      </c>
      <c r="K338" s="439">
        <f t="shared" si="5"/>
        <v>3.2723002383009456</v>
      </c>
      <c r="L338" s="437"/>
      <c r="M338" s="437"/>
      <c r="N338" s="437"/>
      <c r="O338" s="437"/>
      <c r="P338" s="437"/>
      <c r="Q338" s="437"/>
      <c r="R338" s="437"/>
      <c r="S338" s="437"/>
      <c r="T338" s="437"/>
      <c r="U338" s="437"/>
      <c r="V338" s="437"/>
      <c r="W338" s="437"/>
      <c r="X338" s="437"/>
      <c r="Y338" s="437"/>
      <c r="Z338" s="437"/>
    </row>
    <row r="339" spans="1:26" ht="15" customHeight="1">
      <c r="A339" t="s">
        <v>1391</v>
      </c>
      <c r="B339" t="s">
        <v>1402</v>
      </c>
      <c r="C339" t="s">
        <v>1405</v>
      </c>
      <c r="D339" s="516">
        <v>81040200</v>
      </c>
      <c r="E339" t="s">
        <v>732</v>
      </c>
      <c r="F339" s="514">
        <v>2418375.9300000002</v>
      </c>
      <c r="G339" s="514">
        <v>709321.28</v>
      </c>
      <c r="H339" s="437" t="str">
        <f>VLOOKUP(D339,'COA LTD'!A:F,3,0)</f>
        <v>PL</v>
      </c>
      <c r="I339" s="437" t="str">
        <f>VLOOKUP(D339,'COA LTD'!A:F,4,0)</f>
        <v>Research and development expenses, net</v>
      </c>
      <c r="J339" s="437" t="str">
        <f>VLOOKUP(D339,'COA LTD'!A:F,5,0)</f>
        <v xml:space="preserve"> Professional Services</v>
      </c>
      <c r="K339" s="439">
        <f t="shared" si="5"/>
        <v>3.4094224975176273</v>
      </c>
      <c r="L339" s="437"/>
      <c r="M339" s="437"/>
      <c r="N339" s="437"/>
      <c r="O339" s="437"/>
      <c r="P339" s="437"/>
      <c r="Q339" s="437"/>
      <c r="R339" s="437"/>
      <c r="S339" s="437"/>
      <c r="T339" s="437"/>
      <c r="U339" s="437"/>
      <c r="V339" s="437"/>
      <c r="W339" s="437"/>
      <c r="X339" s="437"/>
      <c r="Y339" s="437"/>
      <c r="Z339" s="437"/>
    </row>
    <row r="340" spans="1:26" ht="15" customHeight="1">
      <c r="A340" t="s">
        <v>1391</v>
      </c>
      <c r="B340" t="s">
        <v>1402</v>
      </c>
      <c r="C340" t="s">
        <v>1405</v>
      </c>
      <c r="D340" s="516">
        <v>81060200</v>
      </c>
      <c r="E340" t="s">
        <v>733</v>
      </c>
      <c r="F340" s="514">
        <v>758248.35</v>
      </c>
      <c r="G340" s="514">
        <v>228049.63</v>
      </c>
      <c r="H340" s="437" t="str">
        <f>VLOOKUP(D340,'COA LTD'!A:F,3,0)</f>
        <v>PL</v>
      </c>
      <c r="I340" s="437" t="str">
        <f>VLOOKUP(D340,'COA LTD'!A:F,4,0)</f>
        <v>Research and development expenses, net</v>
      </c>
      <c r="J340" s="437" t="str">
        <f>VLOOKUP(D340,'COA LTD'!A:F,5,0)</f>
        <v xml:space="preserve"> Professional Services</v>
      </c>
      <c r="K340" s="439">
        <f t="shared" si="5"/>
        <v>3.3249269029728308</v>
      </c>
      <c r="L340" s="437"/>
      <c r="M340" s="437"/>
      <c r="N340" s="437"/>
      <c r="O340" s="437"/>
      <c r="P340" s="437"/>
      <c r="Q340" s="437"/>
      <c r="R340" s="437"/>
      <c r="S340" s="437"/>
      <c r="T340" s="437"/>
      <c r="U340" s="437"/>
      <c r="V340" s="437"/>
      <c r="W340" s="437"/>
      <c r="X340" s="437"/>
      <c r="Y340" s="437"/>
      <c r="Z340" s="437"/>
    </row>
    <row r="341" spans="1:26" ht="15" customHeight="1">
      <c r="A341" t="s">
        <v>1391</v>
      </c>
      <c r="B341" t="s">
        <v>1402</v>
      </c>
      <c r="C341" t="s">
        <v>1405</v>
      </c>
      <c r="D341" s="516">
        <v>81070200</v>
      </c>
      <c r="E341" t="s">
        <v>734</v>
      </c>
      <c r="F341" s="514">
        <v>155057.70000000001</v>
      </c>
      <c r="G341" s="514">
        <v>46214.12</v>
      </c>
      <c r="H341" s="437" t="str">
        <f>VLOOKUP(D341,'COA LTD'!A:F,3,0)</f>
        <v>PL</v>
      </c>
      <c r="I341" s="437" t="str">
        <f>VLOOKUP(D341,'COA LTD'!A:F,4,0)</f>
        <v>Research and development expenses, net</v>
      </c>
      <c r="J341" s="437" t="str">
        <f>VLOOKUP(D341,'COA LTD'!A:F,5,0)</f>
        <v xml:space="preserve"> Professional Services</v>
      </c>
      <c r="K341" s="439">
        <f t="shared" si="5"/>
        <v>3.3552018300900244</v>
      </c>
      <c r="L341" s="437"/>
      <c r="M341" s="437"/>
      <c r="N341" s="437"/>
      <c r="O341" s="437"/>
      <c r="P341" s="437"/>
      <c r="Q341" s="437"/>
      <c r="R341" s="437"/>
      <c r="S341" s="437"/>
      <c r="T341" s="437"/>
      <c r="U341" s="437"/>
      <c r="V341" s="437"/>
      <c r="W341" s="437"/>
      <c r="X341" s="437"/>
      <c r="Y341" s="437"/>
      <c r="Z341" s="437"/>
    </row>
    <row r="342" spans="1:26" ht="15" customHeight="1">
      <c r="A342" t="s">
        <v>1391</v>
      </c>
      <c r="B342" t="s">
        <v>1402</v>
      </c>
      <c r="C342" t="s">
        <v>1405</v>
      </c>
      <c r="D342" s="516">
        <v>81080200</v>
      </c>
      <c r="E342" t="s">
        <v>735</v>
      </c>
      <c r="F342" s="514">
        <v>145000</v>
      </c>
      <c r="G342" s="514">
        <v>45886.080000000002</v>
      </c>
      <c r="H342" s="437" t="str">
        <f>VLOOKUP(D342,'COA LTD'!A:F,3,0)</f>
        <v>PL</v>
      </c>
      <c r="I342" s="437" t="str">
        <f>VLOOKUP(D342,'COA LTD'!A:F,4,0)</f>
        <v>Research and development expenses, net</v>
      </c>
      <c r="J342" s="437" t="str">
        <f>VLOOKUP(D342,'COA LTD'!A:F,5,0)</f>
        <v xml:space="preserve"> Professional Services</v>
      </c>
      <c r="K342" s="439">
        <f t="shared" si="5"/>
        <v>3.1599997210483002</v>
      </c>
      <c r="L342" s="437"/>
      <c r="M342" s="437"/>
      <c r="N342" s="437"/>
      <c r="O342" s="437"/>
      <c r="P342" s="437"/>
      <c r="Q342" s="437"/>
      <c r="R342" s="437"/>
      <c r="S342" s="437"/>
      <c r="T342" s="437"/>
      <c r="U342" s="437"/>
      <c r="V342" s="437"/>
      <c r="W342" s="437"/>
      <c r="X342" s="437"/>
      <c r="Y342" s="437"/>
      <c r="Z342" s="437"/>
    </row>
    <row r="343" spans="1:26" ht="15" customHeight="1">
      <c r="A343" t="s">
        <v>1391</v>
      </c>
      <c r="B343" t="s">
        <v>1402</v>
      </c>
      <c r="C343" t="s">
        <v>1405</v>
      </c>
      <c r="D343" s="516">
        <v>81080201</v>
      </c>
      <c r="E343" t="s">
        <v>1051</v>
      </c>
      <c r="F343" s="514">
        <v>3500</v>
      </c>
      <c r="G343" s="514">
        <v>1041.97</v>
      </c>
      <c r="H343" s="437" t="str">
        <f>VLOOKUP(D343,'COA LTD'!A:F,3,0)</f>
        <v>PL</v>
      </c>
      <c r="I343" s="437" t="str">
        <f>VLOOKUP(D343,'COA LTD'!A:F,4,0)</f>
        <v>Research and development expenses, net</v>
      </c>
      <c r="J343" s="437" t="str">
        <f>VLOOKUP(D343,'COA LTD'!A:F,5,0)</f>
        <v xml:space="preserve"> Professional Services</v>
      </c>
      <c r="K343" s="439">
        <f t="shared" si="5"/>
        <v>3.3590218528364542</v>
      </c>
      <c r="L343" s="437"/>
      <c r="M343" s="437"/>
      <c r="N343" s="437"/>
      <c r="O343" s="437"/>
      <c r="P343" s="437"/>
      <c r="Q343" s="437"/>
      <c r="R343" s="437"/>
      <c r="S343" s="437"/>
      <c r="T343" s="437"/>
      <c r="U343" s="437"/>
      <c r="V343" s="437"/>
      <c r="W343" s="437"/>
      <c r="X343" s="437"/>
      <c r="Y343" s="437"/>
      <c r="Z343" s="437"/>
    </row>
    <row r="344" spans="1:26" ht="15" customHeight="1">
      <c r="A344" t="s">
        <v>1391</v>
      </c>
      <c r="B344" t="s">
        <v>1402</v>
      </c>
      <c r="C344" t="s">
        <v>1405</v>
      </c>
      <c r="D344" s="516">
        <v>81090200</v>
      </c>
      <c r="E344" t="s">
        <v>736</v>
      </c>
      <c r="F344" s="514">
        <v>205600</v>
      </c>
      <c r="G344" s="514">
        <v>61240.53</v>
      </c>
      <c r="H344" s="437" t="str">
        <f>VLOOKUP(D344,'COA LTD'!A:F,3,0)</f>
        <v>PL</v>
      </c>
      <c r="I344" s="437" t="str">
        <f>VLOOKUP(D344,'COA LTD'!A:F,4,0)</f>
        <v>Research and development expenses, net</v>
      </c>
      <c r="J344" s="437" t="str">
        <f>VLOOKUP(D344,'COA LTD'!A:F,5,0)</f>
        <v xml:space="preserve"> Professional Services</v>
      </c>
      <c r="K344" s="439">
        <f t="shared" si="5"/>
        <v>3.3572537664190691</v>
      </c>
      <c r="L344" s="437"/>
      <c r="M344" s="437"/>
      <c r="N344" s="437"/>
      <c r="O344" s="437"/>
      <c r="P344" s="437"/>
      <c r="Q344" s="437"/>
      <c r="R344" s="437"/>
      <c r="S344" s="437"/>
      <c r="T344" s="437"/>
      <c r="U344" s="437"/>
      <c r="V344" s="437"/>
      <c r="W344" s="437"/>
      <c r="X344" s="437"/>
      <c r="Y344" s="437"/>
      <c r="Z344" s="437"/>
    </row>
    <row r="345" spans="1:26" ht="15" customHeight="1">
      <c r="A345" t="s">
        <v>1391</v>
      </c>
      <c r="B345" t="s">
        <v>1402</v>
      </c>
      <c r="C345" t="s">
        <v>1405</v>
      </c>
      <c r="D345" s="516">
        <v>81200207</v>
      </c>
      <c r="E345" t="s">
        <v>737</v>
      </c>
      <c r="F345" s="514">
        <v>922590.9</v>
      </c>
      <c r="G345" s="514">
        <v>272308.26</v>
      </c>
      <c r="H345" s="437" t="str">
        <f>VLOOKUP(D345,'COA LTD'!A:F,3,0)</f>
        <v>PL</v>
      </c>
      <c r="I345" s="437" t="str">
        <f>VLOOKUP(D345,'COA LTD'!A:F,4,0)</f>
        <v>Research and development expenses, net</v>
      </c>
      <c r="J345" s="437" t="str">
        <f>VLOOKUP(D345,'COA LTD'!A:F,5,0)</f>
        <v>Recruitment</v>
      </c>
      <c r="K345" s="439">
        <f t="shared" si="5"/>
        <v>3.3880386147669554</v>
      </c>
      <c r="L345" s="437"/>
      <c r="M345" s="437"/>
      <c r="N345" s="437"/>
      <c r="O345" s="437"/>
      <c r="P345" s="437"/>
      <c r="Q345" s="437"/>
      <c r="R345" s="437"/>
      <c r="S345" s="437"/>
      <c r="T345" s="437"/>
      <c r="U345" s="437"/>
      <c r="V345" s="437"/>
      <c r="W345" s="437"/>
      <c r="X345" s="437"/>
      <c r="Y345" s="437"/>
      <c r="Z345" s="437"/>
    </row>
    <row r="346" spans="1:26" ht="15" customHeight="1">
      <c r="A346" t="s">
        <v>1391</v>
      </c>
      <c r="B346" t="s">
        <v>1402</v>
      </c>
      <c r="C346" t="s">
        <v>1406</v>
      </c>
      <c r="D346" s="516">
        <v>81020300</v>
      </c>
      <c r="E346" t="s">
        <v>739</v>
      </c>
      <c r="F346" s="514">
        <v>415980.56</v>
      </c>
      <c r="G346" s="514">
        <v>123371.99</v>
      </c>
      <c r="H346" s="437" t="str">
        <f>VLOOKUP(D346,'COA LTD'!A:F,3,0)</f>
        <v>PL</v>
      </c>
      <c r="I346" s="437" t="str">
        <f>VLOOKUP(D346,'COA LTD'!A:F,4,0)</f>
        <v>Research and development expenses, net</v>
      </c>
      <c r="J346" s="437" t="str">
        <f>VLOOKUP(D346,'COA LTD'!A:F,5,0)</f>
        <v xml:space="preserve">Softwere subscription </v>
      </c>
      <c r="K346" s="439">
        <f t="shared" si="5"/>
        <v>3.3717585328728181</v>
      </c>
      <c r="L346" s="437"/>
      <c r="M346" s="437"/>
      <c r="N346" s="437"/>
      <c r="O346" s="437"/>
      <c r="P346" s="437"/>
      <c r="Q346" s="437"/>
      <c r="R346" s="437"/>
      <c r="S346" s="437"/>
      <c r="T346" s="437"/>
      <c r="U346" s="437"/>
      <c r="V346" s="437"/>
      <c r="W346" s="437"/>
      <c r="X346" s="437"/>
      <c r="Y346" s="437"/>
      <c r="Z346" s="437"/>
    </row>
    <row r="347" spans="1:26" ht="15" customHeight="1">
      <c r="A347" t="s">
        <v>1391</v>
      </c>
      <c r="B347" t="s">
        <v>1402</v>
      </c>
      <c r="C347" t="s">
        <v>1406</v>
      </c>
      <c r="D347" s="516">
        <v>81030300</v>
      </c>
      <c r="E347" t="s">
        <v>974</v>
      </c>
      <c r="F347" s="514">
        <v>142878.94</v>
      </c>
      <c r="G347" s="514">
        <v>42882.879999999997</v>
      </c>
      <c r="H347" s="437" t="str">
        <f>VLOOKUP(D347,'COA LTD'!A:F,3,0)</f>
        <v>PL</v>
      </c>
      <c r="I347" s="437" t="str">
        <f>VLOOKUP(D347,'COA LTD'!A:F,4,0)</f>
        <v>Research and development expenses, net</v>
      </c>
      <c r="J347" s="437" t="str">
        <f>VLOOKUP(D347,'COA LTD'!A:F,5,0)</f>
        <v xml:space="preserve">Softwere subscription </v>
      </c>
      <c r="K347" s="439">
        <f t="shared" si="5"/>
        <v>3.3318410517204069</v>
      </c>
      <c r="L347" s="437"/>
      <c r="M347" s="437"/>
      <c r="N347" s="437"/>
      <c r="O347" s="437"/>
      <c r="P347" s="437"/>
      <c r="Q347" s="437"/>
      <c r="R347" s="437"/>
      <c r="S347" s="437"/>
      <c r="T347" s="437"/>
      <c r="U347" s="437"/>
      <c r="V347" s="437"/>
      <c r="W347" s="437"/>
      <c r="X347" s="437"/>
      <c r="Y347" s="437"/>
      <c r="Z347" s="437"/>
    </row>
    <row r="348" spans="1:26" ht="15" customHeight="1">
      <c r="A348" t="s">
        <v>1391</v>
      </c>
      <c r="B348" t="s">
        <v>1402</v>
      </c>
      <c r="C348" t="s">
        <v>1406</v>
      </c>
      <c r="D348" s="516">
        <v>81040300</v>
      </c>
      <c r="E348" t="s">
        <v>740</v>
      </c>
      <c r="F348" s="514">
        <v>302958.86</v>
      </c>
      <c r="G348" s="514">
        <v>89576.6</v>
      </c>
      <c r="H348" s="437" t="str">
        <f>VLOOKUP(D348,'COA LTD'!A:F,3,0)</f>
        <v>PL</v>
      </c>
      <c r="I348" s="437" t="str">
        <f>VLOOKUP(D348,'COA LTD'!A:F,4,0)</f>
        <v>Research and development expenses, net</v>
      </c>
      <c r="J348" s="437" t="str">
        <f>VLOOKUP(D348,'COA LTD'!A:F,5,0)</f>
        <v xml:space="preserve">Softwere subscription </v>
      </c>
      <c r="K348" s="439">
        <f t="shared" si="5"/>
        <v>3.382120553805346</v>
      </c>
      <c r="L348" s="437"/>
      <c r="M348" s="437"/>
      <c r="N348" s="437"/>
      <c r="O348" s="437"/>
      <c r="P348" s="437"/>
      <c r="Q348" s="437"/>
      <c r="R348" s="437"/>
      <c r="S348" s="437"/>
      <c r="T348" s="437"/>
      <c r="U348" s="437"/>
      <c r="V348" s="437"/>
      <c r="W348" s="437"/>
      <c r="X348" s="437"/>
      <c r="Y348" s="437"/>
      <c r="Z348" s="437"/>
    </row>
    <row r="349" spans="1:26" ht="15" customHeight="1">
      <c r="A349" t="s">
        <v>1391</v>
      </c>
      <c r="B349" t="s">
        <v>1402</v>
      </c>
      <c r="C349" t="s">
        <v>1406</v>
      </c>
      <c r="D349" s="516">
        <v>81060300</v>
      </c>
      <c r="E349" t="s">
        <v>741</v>
      </c>
      <c r="F349" s="514">
        <v>1227811.43</v>
      </c>
      <c r="G349" s="514">
        <v>360348.02</v>
      </c>
      <c r="H349" s="437" t="str">
        <f>VLOOKUP(D349,'COA LTD'!A:F,3,0)</f>
        <v>PL</v>
      </c>
      <c r="I349" s="437" t="str">
        <f>VLOOKUP(D349,'COA LTD'!A:F,4,0)</f>
        <v>Research and development expenses, net</v>
      </c>
      <c r="J349" s="437" t="str">
        <f>VLOOKUP(D349,'COA LTD'!A:F,5,0)</f>
        <v xml:space="preserve">Softwere subscription </v>
      </c>
      <c r="K349" s="439">
        <f t="shared" si="5"/>
        <v>3.4072933993088124</v>
      </c>
      <c r="L349" s="437"/>
      <c r="M349" s="437"/>
      <c r="N349" s="437"/>
      <c r="O349" s="437"/>
      <c r="P349" s="437"/>
      <c r="Q349" s="437"/>
      <c r="R349" s="437"/>
      <c r="S349" s="437"/>
      <c r="T349" s="437"/>
      <c r="U349" s="437"/>
      <c r="V349" s="437"/>
      <c r="W349" s="437"/>
      <c r="X349" s="437"/>
      <c r="Y349" s="437"/>
      <c r="Z349" s="437"/>
    </row>
    <row r="350" spans="1:26" ht="15" customHeight="1">
      <c r="A350" t="s">
        <v>1391</v>
      </c>
      <c r="B350" t="s">
        <v>1402</v>
      </c>
      <c r="C350" t="s">
        <v>1406</v>
      </c>
      <c r="D350" s="516">
        <v>81070300</v>
      </c>
      <c r="E350" t="s">
        <v>742</v>
      </c>
      <c r="F350" s="514">
        <v>179476.79</v>
      </c>
      <c r="G350" s="514">
        <v>52923.87</v>
      </c>
      <c r="H350" s="437" t="str">
        <f>VLOOKUP(D350,'COA LTD'!A:F,3,0)</f>
        <v>PL</v>
      </c>
      <c r="I350" s="437" t="str">
        <f>VLOOKUP(D350,'COA LTD'!A:F,4,0)</f>
        <v>Research and development expenses, net</v>
      </c>
      <c r="J350" s="437" t="str">
        <f>VLOOKUP(D350,'COA LTD'!A:F,5,0)</f>
        <v xml:space="preserve">Softwere subscription </v>
      </c>
      <c r="K350" s="439">
        <f t="shared" si="5"/>
        <v>3.3912257361375877</v>
      </c>
      <c r="L350" s="437"/>
      <c r="M350" s="437"/>
      <c r="N350" s="437"/>
      <c r="O350" s="437"/>
      <c r="P350" s="437"/>
      <c r="Q350" s="437"/>
      <c r="R350" s="437"/>
      <c r="S350" s="437"/>
      <c r="T350" s="437"/>
      <c r="U350" s="437"/>
      <c r="V350" s="437"/>
      <c r="W350" s="437"/>
      <c r="X350" s="437"/>
      <c r="Y350" s="437"/>
      <c r="Z350" s="437"/>
    </row>
    <row r="351" spans="1:26" ht="15" customHeight="1">
      <c r="A351" t="s">
        <v>1391</v>
      </c>
      <c r="B351" t="s">
        <v>1402</v>
      </c>
      <c r="C351" t="s">
        <v>1406</v>
      </c>
      <c r="D351" s="516">
        <v>81080300</v>
      </c>
      <c r="E351" t="s">
        <v>1052</v>
      </c>
      <c r="F351" s="514">
        <v>2698198.66</v>
      </c>
      <c r="G351" s="514">
        <v>806162.59</v>
      </c>
      <c r="H351" s="437" t="str">
        <f>VLOOKUP(D351,'COA LTD'!A:F,3,0)</f>
        <v>PL</v>
      </c>
      <c r="I351" s="437" t="str">
        <f>VLOOKUP(D351,'COA LTD'!A:F,4,0)</f>
        <v>Research and development expenses, net</v>
      </c>
      <c r="J351" s="437" t="str">
        <f>VLOOKUP(D351,'COA LTD'!A:F,5,0)</f>
        <v xml:space="preserve">Softwere subscription </v>
      </c>
      <c r="K351" s="439">
        <f t="shared" si="5"/>
        <v>3.3469658521366021</v>
      </c>
      <c r="L351" s="437"/>
      <c r="M351" s="437"/>
      <c r="N351" s="437"/>
      <c r="O351" s="437"/>
      <c r="P351" s="437"/>
      <c r="Q351" s="437"/>
      <c r="R351" s="437"/>
      <c r="S351" s="437"/>
      <c r="T351" s="437"/>
      <c r="U351" s="437"/>
      <c r="V351" s="437"/>
      <c r="W351" s="437"/>
      <c r="X351" s="437"/>
      <c r="Y351" s="437"/>
      <c r="Z351" s="437"/>
    </row>
    <row r="352" spans="1:26" ht="15.95" customHeight="1">
      <c r="A352" t="s">
        <v>1391</v>
      </c>
      <c r="B352" t="s">
        <v>1402</v>
      </c>
      <c r="C352" t="s">
        <v>1406</v>
      </c>
      <c r="D352" s="516">
        <v>81090300</v>
      </c>
      <c r="E352" t="s">
        <v>743</v>
      </c>
      <c r="F352" s="514">
        <v>656163.65</v>
      </c>
      <c r="G352" s="514">
        <v>195667.71</v>
      </c>
      <c r="H352" s="437" t="str">
        <f>VLOOKUP(D352,'COA LTD'!A:F,3,0)</f>
        <v>PL</v>
      </c>
      <c r="I352" s="437" t="str">
        <f>VLOOKUP(D352,'COA LTD'!A:F,4,0)</f>
        <v>Research and development expenses, net</v>
      </c>
      <c r="J352" s="437" t="str">
        <f>VLOOKUP(D352,'COA LTD'!A:F,5,0)</f>
        <v xml:space="preserve">Softwere subscription </v>
      </c>
      <c r="K352" s="439">
        <f t="shared" si="5"/>
        <v>3.3534590352184326</v>
      </c>
      <c r="L352" s="437"/>
      <c r="M352" s="437"/>
      <c r="N352" s="437"/>
      <c r="O352" s="437"/>
      <c r="P352" s="437"/>
      <c r="Q352" s="437"/>
      <c r="R352" s="437"/>
      <c r="S352" s="437"/>
      <c r="T352" s="437"/>
      <c r="U352" s="437"/>
      <c r="V352" s="437"/>
      <c r="W352" s="437"/>
      <c r="X352" s="437"/>
      <c r="Y352" s="437"/>
      <c r="Z352" s="437"/>
    </row>
    <row r="353" spans="1:26" ht="15" customHeight="1">
      <c r="A353" t="s">
        <v>1391</v>
      </c>
      <c r="B353" t="s">
        <v>1402</v>
      </c>
      <c r="C353" t="s">
        <v>1407</v>
      </c>
      <c r="D353" s="516">
        <v>81200401</v>
      </c>
      <c r="E353" t="s">
        <v>744</v>
      </c>
      <c r="F353" s="514">
        <v>1720336.39</v>
      </c>
      <c r="G353" s="514">
        <v>492998.32</v>
      </c>
      <c r="H353" s="437" t="str">
        <f>VLOOKUP(D353,'COA LTD'!A:F,3,0)</f>
        <v>PL</v>
      </c>
      <c r="I353" s="437" t="str">
        <f>VLOOKUP(D353,'COA LTD'!A:F,4,0)</f>
        <v>Research and development expenses, net</v>
      </c>
      <c r="J353" s="437" t="str">
        <f>VLOOKUP(D353,'COA LTD'!A:F,5,0)</f>
        <v>Rent and related</v>
      </c>
      <c r="K353" s="439">
        <f t="shared" si="5"/>
        <v>3.4895380373709992</v>
      </c>
      <c r="L353" s="437"/>
      <c r="M353" s="437"/>
      <c r="N353" s="437"/>
      <c r="O353" s="437"/>
      <c r="P353" s="437"/>
      <c r="Q353" s="437"/>
      <c r="R353" s="437"/>
      <c r="S353" s="437"/>
      <c r="T353" s="437"/>
      <c r="U353" s="437"/>
      <c r="V353" s="437"/>
      <c r="W353" s="437"/>
      <c r="X353" s="437"/>
      <c r="Y353" s="437"/>
      <c r="Z353" s="437"/>
    </row>
    <row r="354" spans="1:26" ht="15" customHeight="1">
      <c r="A354" t="s">
        <v>1391</v>
      </c>
      <c r="B354" t="s">
        <v>1402</v>
      </c>
      <c r="C354" t="s">
        <v>1407</v>
      </c>
      <c r="D354" s="516">
        <v>81200402</v>
      </c>
      <c r="E354" t="s">
        <v>745</v>
      </c>
      <c r="F354" s="514">
        <v>420797.35</v>
      </c>
      <c r="G354" s="514">
        <v>122460.09</v>
      </c>
      <c r="H354" s="437" t="str">
        <f>VLOOKUP(D354,'COA LTD'!A:F,3,0)</f>
        <v>PL</v>
      </c>
      <c r="I354" s="437" t="str">
        <f>VLOOKUP(D354,'COA LTD'!A:F,4,0)</f>
        <v>Research and development expenses, net</v>
      </c>
      <c r="J354" s="437" t="str">
        <f>VLOOKUP(D354,'COA LTD'!A:F,5,0)</f>
        <v>Rent and related</v>
      </c>
      <c r="K354" s="439">
        <f t="shared" si="5"/>
        <v>3.4361999080680081</v>
      </c>
      <c r="L354" s="437"/>
      <c r="M354" s="437"/>
      <c r="N354" s="437"/>
      <c r="O354" s="437"/>
      <c r="P354" s="437"/>
      <c r="Q354" s="437"/>
      <c r="R354" s="437"/>
      <c r="S354" s="437"/>
      <c r="T354" s="437"/>
      <c r="U354" s="437"/>
      <c r="V354" s="437"/>
      <c r="W354" s="437"/>
      <c r="X354" s="437"/>
      <c r="Y354" s="437"/>
      <c r="Z354" s="437"/>
    </row>
    <row r="355" spans="1:26" ht="15" customHeight="1">
      <c r="A355" t="s">
        <v>1391</v>
      </c>
      <c r="B355" t="s">
        <v>1402</v>
      </c>
      <c r="C355" t="s">
        <v>1407</v>
      </c>
      <c r="D355" s="516">
        <v>81200403</v>
      </c>
      <c r="E355" t="s">
        <v>1068</v>
      </c>
      <c r="F355" s="514">
        <v>6746.24</v>
      </c>
      <c r="G355" s="514">
        <v>1940.3</v>
      </c>
      <c r="H355" s="437" t="str">
        <f>VLOOKUP(D355,'COA LTD'!A:F,3,0)</f>
        <v>PL</v>
      </c>
      <c r="I355" s="437" t="str">
        <f>VLOOKUP(D355,'COA LTD'!A:F,4,0)</f>
        <v>Research and development expenses, net</v>
      </c>
      <c r="J355" s="437" t="str">
        <f>VLOOKUP(D355,'COA LTD'!A:F,5,0)</f>
        <v>Rent and related</v>
      </c>
      <c r="K355" s="439">
        <f t="shared" si="5"/>
        <v>3.4769056331495127</v>
      </c>
      <c r="L355" s="437"/>
      <c r="M355" s="437"/>
      <c r="N355" s="437"/>
      <c r="O355" s="437"/>
      <c r="P355" s="437"/>
      <c r="Q355" s="437"/>
      <c r="R355" s="437"/>
      <c r="S355" s="437"/>
      <c r="T355" s="437"/>
      <c r="U355" s="437"/>
      <c r="V355" s="437"/>
      <c r="W355" s="437"/>
      <c r="X355" s="437"/>
      <c r="Y355" s="437"/>
      <c r="Z355" s="437"/>
    </row>
    <row r="356" spans="1:26" ht="15" customHeight="1">
      <c r="A356" t="s">
        <v>1391</v>
      </c>
      <c r="B356" t="s">
        <v>1402</v>
      </c>
      <c r="C356" t="s">
        <v>1407</v>
      </c>
      <c r="D356" s="516">
        <v>81200404</v>
      </c>
      <c r="E356" t="s">
        <v>967</v>
      </c>
      <c r="F356" s="514">
        <v>77187.64</v>
      </c>
      <c r="G356" s="514">
        <v>22220.04</v>
      </c>
      <c r="H356" s="437" t="str">
        <f>VLOOKUP(D356,'COA LTD'!A:F,3,0)</f>
        <v>PL</v>
      </c>
      <c r="I356" s="437" t="str">
        <f>VLOOKUP(D356,'COA LTD'!A:F,4,0)</f>
        <v>Research and development expenses, net</v>
      </c>
      <c r="J356" s="437" t="str">
        <f>VLOOKUP(D356,'COA LTD'!A:F,5,0)</f>
        <v>Rent and related</v>
      </c>
      <c r="K356" s="439">
        <f t="shared" si="5"/>
        <v>3.4737849256797015</v>
      </c>
      <c r="L356" s="437"/>
      <c r="M356" s="437"/>
      <c r="N356" s="437"/>
      <c r="O356" s="437"/>
      <c r="P356" s="437"/>
      <c r="Q356" s="437"/>
      <c r="R356" s="437"/>
      <c r="S356" s="437"/>
      <c r="T356" s="437"/>
      <c r="U356" s="437"/>
      <c r="V356" s="437"/>
      <c r="W356" s="437"/>
      <c r="X356" s="437"/>
      <c r="Y356" s="437"/>
      <c r="Z356" s="437"/>
    </row>
    <row r="357" spans="1:26" ht="15" customHeight="1">
      <c r="A357" t="s">
        <v>1391</v>
      </c>
      <c r="B357" t="s">
        <v>1402</v>
      </c>
      <c r="C357" t="s">
        <v>1407</v>
      </c>
      <c r="D357" s="516">
        <v>81200405</v>
      </c>
      <c r="E357" t="s">
        <v>1258</v>
      </c>
      <c r="F357" s="514">
        <v>96897.68</v>
      </c>
      <c r="G357" s="514">
        <v>28002.55</v>
      </c>
      <c r="H357" s="437" t="str">
        <f>VLOOKUP(D357,'COA LTD'!A:F,3,0)</f>
        <v>PL</v>
      </c>
      <c r="I357" s="437" t="str">
        <f>VLOOKUP(D357,'COA LTD'!A:F,4,0)</f>
        <v>Research and development expenses, net</v>
      </c>
      <c r="J357" s="437" t="str">
        <f>VLOOKUP(D357,'COA LTD'!A:F,5,0)</f>
        <v>Design</v>
      </c>
      <c r="K357" s="439">
        <f t="shared" si="5"/>
        <v>3.4603162926233502</v>
      </c>
      <c r="L357" s="437"/>
      <c r="M357" s="437"/>
      <c r="N357" s="437"/>
      <c r="O357" s="437"/>
      <c r="P357" s="437"/>
      <c r="Q357" s="437"/>
      <c r="R357" s="437"/>
      <c r="S357" s="437"/>
      <c r="T357" s="437"/>
      <c r="U357" s="437"/>
      <c r="V357" s="437"/>
      <c r="W357" s="437"/>
      <c r="X357" s="437"/>
      <c r="Y357" s="437"/>
      <c r="Z357" s="437"/>
    </row>
    <row r="358" spans="1:26" ht="15" customHeight="1">
      <c r="A358" t="s">
        <v>1391</v>
      </c>
      <c r="B358" t="s">
        <v>1402</v>
      </c>
      <c r="C358" t="s">
        <v>1407</v>
      </c>
      <c r="D358" s="516">
        <v>81200406</v>
      </c>
      <c r="E358" t="s">
        <v>746</v>
      </c>
      <c r="F358" s="514">
        <v>108874.7</v>
      </c>
      <c r="G358" s="514">
        <v>31999.63</v>
      </c>
      <c r="H358" s="437" t="str">
        <f>VLOOKUP(D358,'COA LTD'!A:F,3,0)</f>
        <v>PL</v>
      </c>
      <c r="I358" s="437" t="str">
        <f>VLOOKUP(D358,'COA LTD'!A:F,4,0)</f>
        <v>Research and development expenses, net</v>
      </c>
      <c r="J358" s="437" t="str">
        <f>VLOOKUP(D358,'COA LTD'!A:F,5,0)</f>
        <v>Rent and related</v>
      </c>
      <c r="K358" s="439">
        <f t="shared" si="5"/>
        <v>3.4023737149460787</v>
      </c>
      <c r="L358" s="437"/>
      <c r="M358" s="437"/>
      <c r="N358" s="437"/>
      <c r="O358" s="437"/>
      <c r="P358" s="437"/>
      <c r="Q358" s="437"/>
      <c r="R358" s="437"/>
      <c r="S358" s="437"/>
      <c r="T358" s="437"/>
      <c r="U358" s="437"/>
      <c r="V358" s="437"/>
      <c r="W358" s="437"/>
      <c r="X358" s="437"/>
      <c r="Y358" s="437"/>
      <c r="Z358" s="437"/>
    </row>
    <row r="359" spans="1:26" ht="15" customHeight="1">
      <c r="A359" t="s">
        <v>1391</v>
      </c>
      <c r="B359" t="s">
        <v>1402</v>
      </c>
      <c r="C359" t="s">
        <v>1407</v>
      </c>
      <c r="D359" s="516">
        <v>81200407</v>
      </c>
      <c r="E359" t="s">
        <v>968</v>
      </c>
      <c r="F359" s="514">
        <v>631255.86</v>
      </c>
      <c r="G359" s="514">
        <v>184473.32</v>
      </c>
      <c r="H359" s="665" t="str">
        <f>VLOOKUP(D359,'COA LTD'!A:F,3,0)</f>
        <v>PL</v>
      </c>
      <c r="I359" s="437" t="str">
        <f>VLOOKUP(D359,'COA LTD'!A:F,4,0)</f>
        <v>Research and development expenses, net</v>
      </c>
      <c r="J359" s="665" t="str">
        <f>VLOOKUP(D359,'COA LTD'!A:F,5,0)</f>
        <v>Rent and related</v>
      </c>
      <c r="K359" s="439">
        <f t="shared" si="5"/>
        <v>3.4219358116393197</v>
      </c>
      <c r="L359" s="437"/>
      <c r="M359" s="437"/>
      <c r="N359" s="437"/>
      <c r="O359" s="437"/>
      <c r="P359" s="437"/>
      <c r="Q359" s="437"/>
      <c r="R359" s="437"/>
      <c r="S359" s="437"/>
      <c r="T359" s="437"/>
      <c r="U359" s="437"/>
      <c r="V359" s="437"/>
      <c r="W359" s="437"/>
      <c r="X359" s="437"/>
      <c r="Y359" s="437"/>
      <c r="Z359" s="437"/>
    </row>
    <row r="360" spans="1:26" ht="15" customHeight="1">
      <c r="A360" t="s">
        <v>1391</v>
      </c>
      <c r="B360" t="s">
        <v>1402</v>
      </c>
      <c r="C360" t="s">
        <v>1407</v>
      </c>
      <c r="D360" s="516">
        <v>81200408</v>
      </c>
      <c r="E360" t="s">
        <v>907</v>
      </c>
      <c r="F360" s="514">
        <v>361877.37</v>
      </c>
      <c r="G360" s="514">
        <v>105268.06</v>
      </c>
      <c r="H360" s="665" t="str">
        <f>VLOOKUP(D360,'COA LTD'!A:F,3,0)</f>
        <v>PL</v>
      </c>
      <c r="I360" s="437" t="str">
        <f>VLOOKUP(D360,'COA LTD'!A:F,4,0)</f>
        <v>Research and development expenses, net</v>
      </c>
      <c r="J360" s="665" t="str">
        <f>VLOOKUP(D360,'COA LTD'!A:F,5,0)</f>
        <v>Rent and related</v>
      </c>
      <c r="K360" s="666">
        <f t="shared" si="5"/>
        <v>3.4376749224788603</v>
      </c>
      <c r="L360" s="437"/>
      <c r="M360" s="437"/>
      <c r="N360" s="437"/>
      <c r="O360" s="437"/>
      <c r="P360" s="437"/>
      <c r="Q360" s="437"/>
      <c r="R360" s="437"/>
      <c r="S360" s="437"/>
      <c r="T360" s="437"/>
      <c r="U360" s="437"/>
      <c r="V360" s="437"/>
      <c r="W360" s="437"/>
      <c r="X360" s="437"/>
      <c r="Y360" s="437"/>
      <c r="Z360" s="437"/>
    </row>
    <row r="361" spans="1:26" ht="15.75" customHeight="1">
      <c r="A361" t="s">
        <v>1391</v>
      </c>
      <c r="B361" t="s">
        <v>1402</v>
      </c>
      <c r="C361" t="s">
        <v>1407</v>
      </c>
      <c r="D361" s="516">
        <v>81200409</v>
      </c>
      <c r="E361" t="s">
        <v>969</v>
      </c>
      <c r="F361" s="514">
        <v>43864.28</v>
      </c>
      <c r="G361" s="514">
        <v>12863.76</v>
      </c>
      <c r="H361" s="665" t="str">
        <f>VLOOKUP(D361,'COA LTD'!A:F,3,0)</f>
        <v>PL</v>
      </c>
      <c r="I361" s="437" t="str">
        <f>VLOOKUP(D361,'COA LTD'!A:F,4,0)</f>
        <v>Research and development expenses, net</v>
      </c>
      <c r="J361" s="665" t="str">
        <f>VLOOKUP(D361,'COA LTD'!A:F,5,0)</f>
        <v>Rent and related</v>
      </c>
      <c r="K361" s="439">
        <f t="shared" ref="K361:K424" si="6">F361/G361</f>
        <v>3.4099112545632071</v>
      </c>
      <c r="L361" s="437"/>
      <c r="M361" s="437"/>
      <c r="N361" s="437"/>
      <c r="O361" s="437"/>
      <c r="P361" s="437"/>
      <c r="Q361" s="437"/>
      <c r="R361" s="437"/>
      <c r="S361" s="437"/>
      <c r="T361" s="437"/>
      <c r="U361" s="437"/>
      <c r="V361" s="437"/>
      <c r="W361" s="437"/>
      <c r="X361" s="437"/>
      <c r="Y361" s="437"/>
      <c r="Z361" s="437"/>
    </row>
    <row r="362" spans="1:26" ht="15.75" customHeight="1">
      <c r="A362" t="s">
        <v>1391</v>
      </c>
      <c r="B362" t="s">
        <v>1402</v>
      </c>
      <c r="C362" t="s">
        <v>1407</v>
      </c>
      <c r="D362" s="516">
        <v>81200410</v>
      </c>
      <c r="E362" t="s">
        <v>1134</v>
      </c>
      <c r="F362" s="514">
        <v>3337.97</v>
      </c>
      <c r="G362" s="514">
        <v>973.72</v>
      </c>
      <c r="H362" s="665" t="str">
        <f>VLOOKUP(D362,'COA LTD'!A:F,3,0)</f>
        <v>PL</v>
      </c>
      <c r="I362" s="437" t="str">
        <f>VLOOKUP(D362,'COA LTD'!A:F,4,0)</f>
        <v>Research and development expenses, net</v>
      </c>
      <c r="J362" s="665" t="str">
        <f>VLOOKUP(D362,'COA LTD'!A:F,5,0)</f>
        <v>Fees and fines</v>
      </c>
      <c r="K362" s="439">
        <f t="shared" si="6"/>
        <v>3.4280594010598526</v>
      </c>
      <c r="L362" s="437"/>
      <c r="M362" s="437"/>
      <c r="N362" s="437"/>
      <c r="O362" s="437"/>
      <c r="P362" s="437"/>
      <c r="Q362" s="437"/>
      <c r="R362" s="437"/>
      <c r="S362" s="437"/>
      <c r="T362" s="437"/>
      <c r="U362" s="437"/>
      <c r="V362" s="437"/>
      <c r="W362" s="437"/>
      <c r="X362" s="437"/>
      <c r="Y362" s="437"/>
      <c r="Z362" s="437"/>
    </row>
    <row r="363" spans="1:26" ht="15.75" customHeight="1">
      <c r="A363" t="s">
        <v>1391</v>
      </c>
      <c r="B363" t="s">
        <v>1402</v>
      </c>
      <c r="C363" t="s">
        <v>1407</v>
      </c>
      <c r="D363" s="516">
        <v>81200412</v>
      </c>
      <c r="E363" t="s">
        <v>1613</v>
      </c>
      <c r="F363" s="514">
        <v>52524.85</v>
      </c>
      <c r="G363" s="514">
        <v>15163.07</v>
      </c>
      <c r="H363" s="437" t="str">
        <f>VLOOKUP(D363,'COA LTD'!A:F,3,0)</f>
        <v>PL</v>
      </c>
      <c r="I363" s="437" t="str">
        <f>VLOOKUP(D363,'COA LTD'!A:F,4,0)</f>
        <v>Research and development expenses, net</v>
      </c>
      <c r="J363" s="437" t="str">
        <f>VLOOKUP(D363,'COA LTD'!A:F,5,0)</f>
        <v>Rent and related</v>
      </c>
      <c r="K363" s="439">
        <f t="shared" si="6"/>
        <v>3.4639983855512111</v>
      </c>
      <c r="L363" s="437"/>
      <c r="M363" s="437"/>
      <c r="N363" s="437"/>
      <c r="O363" s="437"/>
      <c r="P363" s="437"/>
      <c r="Q363" s="437"/>
      <c r="R363" s="437"/>
      <c r="S363" s="437"/>
      <c r="T363" s="437"/>
      <c r="U363" s="437"/>
      <c r="V363" s="437"/>
      <c r="W363" s="437"/>
      <c r="X363" s="437"/>
      <c r="Y363" s="437"/>
      <c r="Z363" s="437"/>
    </row>
    <row r="364" spans="1:26" ht="15.75" customHeight="1">
      <c r="A364" t="s">
        <v>1391</v>
      </c>
      <c r="B364" t="s">
        <v>1402</v>
      </c>
      <c r="C364" t="s">
        <v>1408</v>
      </c>
      <c r="D364" s="516">
        <v>81200500</v>
      </c>
      <c r="E364" t="s">
        <v>747</v>
      </c>
      <c r="F364" s="514">
        <v>445711.95</v>
      </c>
      <c r="G364" s="514">
        <v>136688.74</v>
      </c>
      <c r="H364" s="437" t="str">
        <f>VLOOKUP(D364,'COA LTD'!A:F,3,0)</f>
        <v>PL</v>
      </c>
      <c r="I364" s="437" t="str">
        <f>VLOOKUP(D364,'COA LTD'!A:F,4,0)</f>
        <v>Research and development expenses, net</v>
      </c>
      <c r="J364" s="437" t="str">
        <f>VLOOKUP(D364,'COA LTD'!A:F,5,0)</f>
        <v>Depreciation</v>
      </c>
      <c r="K364" s="439">
        <f t="shared" si="6"/>
        <v>3.2607802954361862</v>
      </c>
      <c r="L364" s="437"/>
      <c r="M364" s="437"/>
      <c r="N364" s="437"/>
      <c r="O364" s="437"/>
      <c r="P364" s="437"/>
      <c r="Q364" s="437"/>
      <c r="R364" s="437"/>
      <c r="S364" s="437"/>
      <c r="T364" s="437"/>
      <c r="U364" s="437"/>
      <c r="V364" s="437"/>
      <c r="W364" s="437"/>
      <c r="X364" s="437"/>
      <c r="Y364" s="437"/>
      <c r="Z364" s="437"/>
    </row>
    <row r="365" spans="1:26" ht="15.75" customHeight="1">
      <c r="A365" t="s">
        <v>1391</v>
      </c>
      <c r="B365" t="s">
        <v>1402</v>
      </c>
      <c r="C365" t="s">
        <v>1409</v>
      </c>
      <c r="D365" s="516">
        <v>81200601</v>
      </c>
      <c r="E365" t="s">
        <v>908</v>
      </c>
      <c r="F365" s="514">
        <v>61677.9</v>
      </c>
      <c r="G365" s="514">
        <v>18024.669999999998</v>
      </c>
      <c r="H365" s="437" t="str">
        <f>VLOOKUP(D365,'COA LTD'!A:F,3,0)</f>
        <v>PL</v>
      </c>
      <c r="I365" s="437" t="str">
        <f>VLOOKUP(D365,'COA LTD'!A:F,4,0)</f>
        <v>Research and development expenses, net</v>
      </c>
      <c r="J365" s="437" t="str">
        <f>VLOOKUP(D365,'COA LTD'!A:F,5,0)</f>
        <v>Welfare</v>
      </c>
      <c r="K365" s="439">
        <f t="shared" si="6"/>
        <v>3.4218601505603159</v>
      </c>
      <c r="L365" s="437"/>
      <c r="M365" s="437"/>
      <c r="N365" s="437"/>
      <c r="O365" s="437"/>
      <c r="P365" s="437"/>
      <c r="Q365" s="437"/>
      <c r="R365" s="437"/>
      <c r="S365" s="437"/>
      <c r="T365" s="437"/>
      <c r="U365" s="437"/>
      <c r="V365" s="437"/>
      <c r="W365" s="437"/>
      <c r="X365" s="437"/>
      <c r="Y365" s="437"/>
      <c r="Z365" s="437"/>
    </row>
    <row r="366" spans="1:26" ht="15.75" customHeight="1">
      <c r="A366" t="s">
        <v>1391</v>
      </c>
      <c r="B366" t="s">
        <v>1402</v>
      </c>
      <c r="C366" t="s">
        <v>1409</v>
      </c>
      <c r="D366" s="516">
        <v>81200602</v>
      </c>
      <c r="E366" t="s">
        <v>748</v>
      </c>
      <c r="F366" s="514">
        <v>1431443.55</v>
      </c>
      <c r="G366" s="514">
        <v>424207.54</v>
      </c>
      <c r="H366" s="437" t="str">
        <f>VLOOKUP(D366,'COA LTD'!A:F,3,0)</f>
        <v>PL</v>
      </c>
      <c r="I366" s="437" t="str">
        <f>VLOOKUP(D366,'COA LTD'!A:F,4,0)</f>
        <v>Research and development expenses, net</v>
      </c>
      <c r="J366" s="437" t="str">
        <f>VLOOKUP(D366,'COA LTD'!A:F,5,0)</f>
        <v xml:space="preserve"> Company events</v>
      </c>
      <c r="K366" s="439">
        <f t="shared" si="6"/>
        <v>3.3743944060966009</v>
      </c>
      <c r="L366" s="437"/>
      <c r="M366" s="437"/>
      <c r="N366" s="437"/>
      <c r="O366" s="437"/>
      <c r="P366" s="437"/>
      <c r="Q366" s="437"/>
      <c r="R366" s="437"/>
      <c r="S366" s="437"/>
      <c r="T366" s="437"/>
      <c r="U366" s="437"/>
      <c r="V366" s="437"/>
      <c r="W366" s="437"/>
      <c r="X366" s="437"/>
      <c r="Y366" s="437"/>
      <c r="Z366" s="437"/>
    </row>
    <row r="367" spans="1:26" ht="15.75" customHeight="1">
      <c r="A367" t="s">
        <v>1391</v>
      </c>
      <c r="B367" t="s">
        <v>1402</v>
      </c>
      <c r="C367" t="s">
        <v>1409</v>
      </c>
      <c r="D367" s="516">
        <v>81200603</v>
      </c>
      <c r="E367" t="s">
        <v>749</v>
      </c>
      <c r="F367" s="514">
        <v>255373.49</v>
      </c>
      <c r="G367" s="514">
        <v>76196.55</v>
      </c>
      <c r="H367" s="437" t="str">
        <f>VLOOKUP(D367,'COA LTD'!A:F,3,0)</f>
        <v>PL</v>
      </c>
      <c r="I367" s="437" t="str">
        <f>VLOOKUP(D367,'COA LTD'!A:F,4,0)</f>
        <v>Research and development expenses, net</v>
      </c>
      <c r="J367" s="437" t="str">
        <f>VLOOKUP(D367,'COA LTD'!A:F,5,0)</f>
        <v>Benefits</v>
      </c>
      <c r="K367" s="439">
        <f t="shared" si="6"/>
        <v>3.3515098780719073</v>
      </c>
      <c r="L367" s="437"/>
      <c r="M367" s="437"/>
      <c r="N367" s="437"/>
      <c r="O367" s="437"/>
      <c r="P367" s="437"/>
      <c r="Q367" s="437"/>
      <c r="R367" s="437"/>
      <c r="S367" s="437"/>
      <c r="T367" s="437"/>
      <c r="U367" s="437"/>
      <c r="V367" s="437"/>
      <c r="W367" s="437"/>
      <c r="X367" s="437"/>
      <c r="Y367" s="437"/>
      <c r="Z367" s="437"/>
    </row>
    <row r="368" spans="1:26" ht="15.75" customHeight="1">
      <c r="A368" t="s">
        <v>1391</v>
      </c>
      <c r="B368" t="s">
        <v>1402</v>
      </c>
      <c r="C368" t="s">
        <v>1409</v>
      </c>
      <c r="D368" s="516">
        <v>81200604</v>
      </c>
      <c r="E368" t="s">
        <v>750</v>
      </c>
      <c r="F368" s="514">
        <v>1326297.02</v>
      </c>
      <c r="G368" s="514">
        <v>392581.94</v>
      </c>
      <c r="H368" s="437" t="str">
        <f>VLOOKUP(D368,'COA LTD'!A:F,3,0)</f>
        <v>PL</v>
      </c>
      <c r="I368" s="437" t="str">
        <f>VLOOKUP(D368,'COA LTD'!A:F,4,0)</f>
        <v>Research and development expenses, net</v>
      </c>
      <c r="J368" s="437" t="str">
        <f>VLOOKUP(D368,'COA LTD'!A:F,5,0)</f>
        <v>Refreshments &amp; Meals</v>
      </c>
      <c r="K368" s="439">
        <f t="shared" si="6"/>
        <v>3.3783953994419611</v>
      </c>
      <c r="L368" s="437"/>
      <c r="M368" s="437"/>
      <c r="N368" s="437"/>
      <c r="O368" s="437"/>
      <c r="P368" s="437"/>
      <c r="Q368" s="437"/>
      <c r="R368" s="437"/>
      <c r="S368" s="437"/>
      <c r="T368" s="437"/>
      <c r="U368" s="437"/>
      <c r="V368" s="437"/>
      <c r="W368" s="437"/>
      <c r="X368" s="437"/>
      <c r="Y368" s="437"/>
      <c r="Z368" s="437"/>
    </row>
    <row r="369" spans="1:26" ht="15.75" customHeight="1">
      <c r="A369" t="s">
        <v>1391</v>
      </c>
      <c r="B369" t="s">
        <v>1402</v>
      </c>
      <c r="C369" t="s">
        <v>1409</v>
      </c>
      <c r="D369" s="516">
        <v>81200605</v>
      </c>
      <c r="E369" t="s">
        <v>751</v>
      </c>
      <c r="F369" s="514">
        <v>77653.320000000007</v>
      </c>
      <c r="G369" s="514">
        <v>21837.15</v>
      </c>
      <c r="H369" s="437" t="str">
        <f>VLOOKUP(D369,'COA LTD'!A:F,3,0)</f>
        <v>PL</v>
      </c>
      <c r="I369" s="437" t="str">
        <f>VLOOKUP(D369,'COA LTD'!A:F,4,0)</f>
        <v>Research and development expenses, net</v>
      </c>
      <c r="J369" s="437" t="str">
        <f>VLOOKUP(D369,'COA LTD'!A:F,5,0)</f>
        <v>Conferences and seminars</v>
      </c>
      <c r="K369" s="439">
        <f t="shared" si="6"/>
        <v>3.5560189859940516</v>
      </c>
      <c r="L369" s="437"/>
      <c r="M369" s="437"/>
      <c r="N369" s="437"/>
      <c r="O369" s="437"/>
      <c r="P369" s="437"/>
      <c r="Q369" s="437"/>
      <c r="R369" s="437"/>
      <c r="S369" s="437"/>
      <c r="T369" s="437"/>
      <c r="U369" s="437"/>
      <c r="V369" s="437"/>
      <c r="W369" s="437"/>
      <c r="X369" s="437"/>
      <c r="Y369" s="437"/>
      <c r="Z369" s="437"/>
    </row>
    <row r="370" spans="1:26" ht="15.75" customHeight="1">
      <c r="A370" t="s">
        <v>1391</v>
      </c>
      <c r="B370" t="s">
        <v>1402</v>
      </c>
      <c r="C370" t="s">
        <v>1410</v>
      </c>
      <c r="D370" s="516">
        <v>81090701</v>
      </c>
      <c r="E370" t="s">
        <v>753</v>
      </c>
      <c r="F370" s="514">
        <v>7796536.9800000004</v>
      </c>
      <c r="G370" s="514">
        <v>2292651.61</v>
      </c>
      <c r="H370" s="437" t="str">
        <f>VLOOKUP(D370,'COA LTD'!A:F,3,0)</f>
        <v>PL</v>
      </c>
      <c r="I370" s="437" t="str">
        <f>VLOOKUP(D370,'COA LTD'!A:F,4,0)</f>
        <v>Research and development expenses, net</v>
      </c>
      <c r="J370" s="437" t="str">
        <f>VLOOKUP(D370,'COA LTD'!A:F,5,0)</f>
        <v>hosting</v>
      </c>
      <c r="K370" s="439">
        <f t="shared" si="6"/>
        <v>3.4006636446607783</v>
      </c>
      <c r="L370" s="437"/>
      <c r="M370" s="437"/>
      <c r="N370" s="437"/>
      <c r="O370" s="437"/>
      <c r="P370" s="437"/>
      <c r="Q370" s="437"/>
      <c r="R370" s="437"/>
      <c r="S370" s="437"/>
      <c r="T370" s="437"/>
      <c r="U370" s="437"/>
      <c r="V370" s="437"/>
      <c r="W370" s="437"/>
      <c r="X370" s="437"/>
      <c r="Y370" s="437"/>
      <c r="Z370" s="437"/>
    </row>
    <row r="371" spans="1:26" ht="15.75" customHeight="1">
      <c r="A371" t="s">
        <v>1391</v>
      </c>
      <c r="B371" t="s">
        <v>1402</v>
      </c>
      <c r="C371" t="s">
        <v>1411</v>
      </c>
      <c r="D371" s="516">
        <v>81080800</v>
      </c>
      <c r="E371" t="s">
        <v>996</v>
      </c>
      <c r="F371" s="514">
        <v>1418.45</v>
      </c>
      <c r="G371" s="514">
        <v>410.55</v>
      </c>
      <c r="H371" s="437" t="str">
        <f>VLOOKUP(D371,'COA LTD'!A:F,3,0)</f>
        <v>PL</v>
      </c>
      <c r="I371" s="437" t="str">
        <f>VLOOKUP(D371,'COA LTD'!A:F,4,0)</f>
        <v>Research and development expenses, net</v>
      </c>
      <c r="J371" s="437" t="str">
        <f>VLOOKUP(D371,'COA LTD'!A:F,5,0)</f>
        <v>insurance</v>
      </c>
      <c r="K371" s="439">
        <f t="shared" si="6"/>
        <v>3.4549993910607721</v>
      </c>
      <c r="L371" s="437"/>
      <c r="M371" s="437"/>
      <c r="N371" s="437"/>
      <c r="O371" s="437"/>
      <c r="P371" s="437"/>
      <c r="Q371" s="437"/>
      <c r="R371" s="437"/>
      <c r="S371" s="437"/>
      <c r="T371" s="437"/>
      <c r="U371" s="437"/>
      <c r="V371" s="437"/>
      <c r="W371" s="437"/>
      <c r="X371" s="437"/>
      <c r="Y371" s="437"/>
      <c r="Z371" s="437"/>
    </row>
    <row r="372" spans="1:26" ht="15.75" customHeight="1">
      <c r="A372" t="s">
        <v>1391</v>
      </c>
      <c r="B372" t="s">
        <v>1402</v>
      </c>
      <c r="C372" t="s">
        <v>1411</v>
      </c>
      <c r="D372" s="516">
        <v>81200802</v>
      </c>
      <c r="E372" t="s">
        <v>754</v>
      </c>
      <c r="F372" s="514">
        <v>82229.33</v>
      </c>
      <c r="G372" s="514">
        <v>25298.21</v>
      </c>
      <c r="H372" s="437" t="str">
        <f>VLOOKUP(D372,'COA LTD'!A:F,3,0)</f>
        <v>PL</v>
      </c>
      <c r="I372" s="437" t="str">
        <f>VLOOKUP(D372,'COA LTD'!A:F,4,0)</f>
        <v>Research and development expenses, net</v>
      </c>
      <c r="J372" s="437" t="str">
        <f>VLOOKUP(D372,'COA LTD'!A:F,5,0)</f>
        <v>insurance</v>
      </c>
      <c r="K372" s="439">
        <f t="shared" si="6"/>
        <v>3.2504011153358281</v>
      </c>
      <c r="L372" s="437"/>
      <c r="M372" s="437"/>
      <c r="N372" s="437"/>
      <c r="O372" s="437"/>
      <c r="P372" s="437"/>
      <c r="Q372" s="437"/>
      <c r="R372" s="437"/>
      <c r="S372" s="437"/>
      <c r="T372" s="437"/>
      <c r="U372" s="437"/>
      <c r="V372" s="437"/>
      <c r="W372" s="437"/>
      <c r="X372" s="437"/>
      <c r="Y372" s="437"/>
      <c r="Z372" s="437"/>
    </row>
    <row r="373" spans="1:26" ht="15.75" customHeight="1">
      <c r="A373" t="s">
        <v>1391</v>
      </c>
      <c r="B373" t="s">
        <v>1402</v>
      </c>
      <c r="C373" t="s">
        <v>1412</v>
      </c>
      <c r="D373" s="516">
        <v>81091000</v>
      </c>
      <c r="E373" t="s">
        <v>997</v>
      </c>
      <c r="F373" s="514">
        <v>9189.9599999999991</v>
      </c>
      <c r="G373" s="514">
        <v>2740</v>
      </c>
      <c r="H373" s="437" t="str">
        <f>VLOOKUP(D373,'COA LTD'!A:F,3,0)</f>
        <v>PL</v>
      </c>
      <c r="I373" s="437" t="str">
        <f>VLOOKUP(D373,'COA LTD'!A:F,4,0)</f>
        <v>Research and development expenses, net</v>
      </c>
      <c r="J373" s="437" t="str">
        <f>VLOOKUP(D373,'COA LTD'!A:F,5,0)</f>
        <v>travel</v>
      </c>
      <c r="K373" s="439">
        <f t="shared" si="6"/>
        <v>3.3539999999999996</v>
      </c>
      <c r="L373" s="437"/>
      <c r="M373" s="437"/>
      <c r="N373" s="437"/>
      <c r="O373" s="437"/>
      <c r="P373" s="437"/>
      <c r="Q373" s="437"/>
      <c r="R373" s="437"/>
      <c r="S373" s="437"/>
      <c r="T373" s="437"/>
      <c r="U373" s="437"/>
      <c r="V373" s="437"/>
      <c r="W373" s="437"/>
      <c r="X373" s="437"/>
      <c r="Y373" s="437"/>
      <c r="Z373" s="437"/>
    </row>
    <row r="374" spans="1:26" ht="15.75" customHeight="1">
      <c r="A374" t="s">
        <v>1391</v>
      </c>
      <c r="B374" t="s">
        <v>1413</v>
      </c>
      <c r="C374" t="s">
        <v>1414</v>
      </c>
      <c r="D374" s="516">
        <v>82100100</v>
      </c>
      <c r="E374" t="s">
        <v>755</v>
      </c>
      <c r="F374" s="514">
        <v>979364</v>
      </c>
      <c r="G374" s="514">
        <v>290558.7</v>
      </c>
      <c r="H374" s="437" t="str">
        <f>VLOOKUP(D374,'COA LTD'!A:F,3,0)</f>
        <v>PL</v>
      </c>
      <c r="I374" s="437" t="str">
        <f>VLOOKUP(D374,'COA LTD'!A:F,4,0)</f>
        <v>Marketing expenses</v>
      </c>
      <c r="J374" s="437" t="str">
        <f>VLOOKUP(D374,'COA LTD'!A:F,5,0)</f>
        <v xml:space="preserve">Salary </v>
      </c>
      <c r="K374" s="439">
        <f t="shared" si="6"/>
        <v>3.3706235607469335</v>
      </c>
      <c r="L374" s="437"/>
      <c r="M374" s="437"/>
      <c r="N374" s="437"/>
      <c r="O374" s="437"/>
      <c r="P374" s="437"/>
      <c r="Q374" s="437"/>
      <c r="R374" s="437"/>
      <c r="S374" s="437"/>
      <c r="T374" s="437"/>
      <c r="U374" s="437"/>
      <c r="V374" s="437"/>
      <c r="W374" s="437"/>
      <c r="X374" s="437"/>
      <c r="Y374" s="437"/>
      <c r="Z374" s="437"/>
    </row>
    <row r="375" spans="1:26" ht="15.75" customHeight="1">
      <c r="A375" t="s">
        <v>1391</v>
      </c>
      <c r="B375" t="s">
        <v>1413</v>
      </c>
      <c r="C375" t="s">
        <v>1414</v>
      </c>
      <c r="D375" s="516">
        <v>82100102</v>
      </c>
      <c r="E375" t="s">
        <v>756</v>
      </c>
      <c r="F375" s="514">
        <v>22238.17</v>
      </c>
      <c r="G375" s="514">
        <v>6686</v>
      </c>
      <c r="H375" s="437" t="str">
        <f>VLOOKUP(D375,'COA LTD'!A:F,3,0)</f>
        <v>PL</v>
      </c>
      <c r="I375" s="437" t="str">
        <f>VLOOKUP(D375,'COA LTD'!A:F,4,0)</f>
        <v>Marketing expenses</v>
      </c>
      <c r="J375" s="437" t="str">
        <f>VLOOKUP(D375,'COA LTD'!A:F,5,0)</f>
        <v xml:space="preserve">option expenses </v>
      </c>
      <c r="K375" s="439">
        <f t="shared" si="6"/>
        <v>3.3260798683816928</v>
      </c>
      <c r="L375" s="437"/>
      <c r="M375" s="437"/>
      <c r="N375" s="437"/>
      <c r="O375" s="437"/>
      <c r="P375" s="437"/>
      <c r="Q375" s="437"/>
      <c r="R375" s="437"/>
      <c r="S375" s="437"/>
      <c r="T375" s="437"/>
      <c r="U375" s="437"/>
      <c r="V375" s="437"/>
      <c r="W375" s="437"/>
      <c r="X375" s="437"/>
      <c r="Y375" s="437"/>
      <c r="Z375" s="437"/>
    </row>
    <row r="376" spans="1:26" ht="15.75" customHeight="1">
      <c r="A376" t="s">
        <v>1391</v>
      </c>
      <c r="B376" t="s">
        <v>1413</v>
      </c>
      <c r="C376" t="s">
        <v>1414</v>
      </c>
      <c r="D376" s="516">
        <v>82100104</v>
      </c>
      <c r="E376" t="s">
        <v>757</v>
      </c>
      <c r="F376" s="514">
        <v>30666</v>
      </c>
      <c r="G376" s="514">
        <v>7276.66</v>
      </c>
      <c r="H376" s="437" t="str">
        <f>VLOOKUP(D376,'COA LTD'!A:F,3,0)</f>
        <v>PL</v>
      </c>
      <c r="I376" s="437" t="str">
        <f>VLOOKUP(D376,'COA LTD'!A:F,4,0)</f>
        <v>Marketing expenses</v>
      </c>
      <c r="J376" s="437" t="str">
        <f>VLOOKUP(D376,'COA LTD'!A:F,5,0)</f>
        <v xml:space="preserve">Salary </v>
      </c>
      <c r="K376" s="439">
        <f t="shared" si="6"/>
        <v>4.2142961193734489</v>
      </c>
      <c r="L376" s="437"/>
      <c r="M376" s="437"/>
      <c r="N376" s="437"/>
      <c r="O376" s="437"/>
      <c r="P376" s="437"/>
      <c r="Q376" s="437"/>
      <c r="R376" s="437"/>
      <c r="S376" s="437"/>
      <c r="T376" s="437"/>
      <c r="U376" s="437"/>
      <c r="V376" s="437"/>
      <c r="W376" s="437"/>
      <c r="X376" s="437"/>
      <c r="Y376" s="437"/>
      <c r="Z376" s="437"/>
    </row>
    <row r="377" spans="1:26" ht="15.75" customHeight="1">
      <c r="A377" t="s">
        <v>1391</v>
      </c>
      <c r="B377" t="s">
        <v>1413</v>
      </c>
      <c r="C377" t="s">
        <v>1414</v>
      </c>
      <c r="D377" s="516">
        <v>82100107</v>
      </c>
      <c r="E377" t="s">
        <v>758</v>
      </c>
      <c r="F377" s="514">
        <v>30847.46</v>
      </c>
      <c r="G377" s="514">
        <v>9239.07</v>
      </c>
      <c r="H377" s="437" t="str">
        <f>VLOOKUP(D377,'COA LTD'!A:F,3,0)</f>
        <v>PL</v>
      </c>
      <c r="I377" s="437" t="str">
        <f>VLOOKUP(D377,'COA LTD'!A:F,4,0)</f>
        <v>Marketing expenses</v>
      </c>
      <c r="J377" s="437" t="str">
        <f>VLOOKUP(D377,'COA LTD'!A:F,5,0)</f>
        <v xml:space="preserve">Salary </v>
      </c>
      <c r="K377" s="439">
        <f t="shared" si="6"/>
        <v>3.3388057455999358</v>
      </c>
      <c r="L377" s="437"/>
      <c r="M377" s="437"/>
      <c r="N377" s="437"/>
      <c r="O377" s="437"/>
      <c r="P377" s="437"/>
      <c r="Q377" s="437"/>
      <c r="R377" s="437"/>
      <c r="S377" s="437"/>
      <c r="T377" s="437"/>
      <c r="U377" s="437"/>
      <c r="V377" s="437"/>
      <c r="W377" s="437"/>
      <c r="X377" s="437"/>
      <c r="Y377" s="437"/>
      <c r="Z377" s="437"/>
    </row>
    <row r="378" spans="1:26" ht="15.75" customHeight="1">
      <c r="A378" t="s">
        <v>1391</v>
      </c>
      <c r="B378" t="s">
        <v>1413</v>
      </c>
      <c r="C378" t="s">
        <v>1414</v>
      </c>
      <c r="D378" s="516">
        <v>82100108</v>
      </c>
      <c r="E378" t="s">
        <v>759</v>
      </c>
      <c r="F378" s="514">
        <v>66535</v>
      </c>
      <c r="G378" s="514">
        <v>19748.27</v>
      </c>
      <c r="H378" s="437" t="str">
        <f>VLOOKUP(D378,'COA LTD'!A:F,3,0)</f>
        <v>PL</v>
      </c>
      <c r="I378" s="437" t="str">
        <f>VLOOKUP(D378,'COA LTD'!A:F,4,0)</f>
        <v>Marketing expenses</v>
      </c>
      <c r="J378" s="437" t="str">
        <f>VLOOKUP(D378,'COA LTD'!A:F,5,0)</f>
        <v xml:space="preserve">Salary </v>
      </c>
      <c r="K378" s="439">
        <f t="shared" si="6"/>
        <v>3.3691558804897848</v>
      </c>
      <c r="L378" s="437"/>
      <c r="M378" s="437"/>
      <c r="N378" s="437"/>
      <c r="O378" s="437"/>
      <c r="P378" s="437"/>
      <c r="Q378" s="437"/>
      <c r="R378" s="437"/>
      <c r="S378" s="437"/>
      <c r="T378" s="437"/>
      <c r="U378" s="437"/>
      <c r="V378" s="437"/>
      <c r="W378" s="437"/>
      <c r="X378" s="437"/>
      <c r="Y378" s="437"/>
      <c r="Z378" s="437"/>
    </row>
    <row r="379" spans="1:26" ht="15.75" customHeight="1">
      <c r="A379" t="s">
        <v>1391</v>
      </c>
      <c r="B379" t="s">
        <v>1413</v>
      </c>
      <c r="C379" t="s">
        <v>1414</v>
      </c>
      <c r="D379" s="516">
        <v>82100109</v>
      </c>
      <c r="E379" t="s">
        <v>760</v>
      </c>
      <c r="F379" s="514">
        <v>57448</v>
      </c>
      <c r="G379" s="514">
        <v>16972.2</v>
      </c>
      <c r="H379" s="437" t="str">
        <f>VLOOKUP(D379,'COA LTD'!A:F,3,0)</f>
        <v>PL</v>
      </c>
      <c r="I379" s="437" t="str">
        <f>VLOOKUP(D379,'COA LTD'!A:F,4,0)</f>
        <v>Marketing expenses</v>
      </c>
      <c r="J379" s="437" t="str">
        <f>VLOOKUP(D379,'COA LTD'!A:F,5,0)</f>
        <v xml:space="preserve">Salary </v>
      </c>
      <c r="K379" s="439">
        <f t="shared" si="6"/>
        <v>3.3848293091054784</v>
      </c>
      <c r="L379" s="437"/>
      <c r="M379" s="437"/>
      <c r="N379" s="437"/>
      <c r="O379" s="437"/>
      <c r="P379" s="437"/>
      <c r="Q379" s="437"/>
      <c r="R379" s="437"/>
      <c r="S379" s="437"/>
      <c r="T379" s="437"/>
      <c r="U379" s="437"/>
      <c r="V379" s="437"/>
      <c r="W379" s="437"/>
      <c r="X379" s="437"/>
      <c r="Y379" s="437"/>
      <c r="Z379" s="437"/>
    </row>
    <row r="380" spans="1:26" ht="15.75" customHeight="1">
      <c r="A380" t="s">
        <v>1391</v>
      </c>
      <c r="B380" t="s">
        <v>1413</v>
      </c>
      <c r="C380" t="s">
        <v>1414</v>
      </c>
      <c r="D380" s="516">
        <v>82100110</v>
      </c>
      <c r="E380" t="s">
        <v>761</v>
      </c>
      <c r="F380" s="514">
        <v>54371</v>
      </c>
      <c r="G380" s="514">
        <v>15991.97</v>
      </c>
      <c r="H380" s="437" t="str">
        <f>VLOOKUP(D380,'COA LTD'!A:F,3,0)</f>
        <v>PL</v>
      </c>
      <c r="I380" s="437" t="str">
        <f>VLOOKUP(D380,'COA LTD'!A:F,4,0)</f>
        <v>Marketing expenses</v>
      </c>
      <c r="J380" s="437" t="str">
        <f>VLOOKUP(D380,'COA LTD'!A:F,5,0)</f>
        <v xml:space="preserve">Salary </v>
      </c>
      <c r="K380" s="439">
        <f t="shared" si="6"/>
        <v>3.3998938217117716</v>
      </c>
      <c r="L380" s="437"/>
      <c r="M380" s="437"/>
      <c r="N380" s="437"/>
      <c r="O380" s="437"/>
      <c r="P380" s="437"/>
      <c r="Q380" s="437"/>
      <c r="R380" s="437"/>
      <c r="S380" s="437"/>
      <c r="T380" s="437"/>
      <c r="U380" s="437"/>
      <c r="V380" s="437"/>
      <c r="W380" s="437"/>
      <c r="X380" s="437"/>
      <c r="Y380" s="437"/>
      <c r="Z380" s="437"/>
    </row>
    <row r="381" spans="1:26" ht="15.75" customHeight="1">
      <c r="A381" t="s">
        <v>1391</v>
      </c>
      <c r="B381" t="s">
        <v>1413</v>
      </c>
      <c r="C381" t="s">
        <v>1414</v>
      </c>
      <c r="D381" s="516">
        <v>82100111</v>
      </c>
      <c r="E381" t="s">
        <v>762</v>
      </c>
      <c r="F381" s="514">
        <v>-309.51</v>
      </c>
      <c r="G381" s="514">
        <v>-85.9</v>
      </c>
      <c r="H381" s="437" t="str">
        <f>VLOOKUP(D381,'COA LTD'!A:F,3,0)</f>
        <v>PL</v>
      </c>
      <c r="I381" s="437" t="str">
        <f>VLOOKUP(D381,'COA LTD'!A:F,4,0)</f>
        <v>Marketing expenses</v>
      </c>
      <c r="J381" s="437" t="str">
        <f>VLOOKUP(D381,'COA LTD'!A:F,5,0)</f>
        <v xml:space="preserve">Salary </v>
      </c>
      <c r="K381" s="439">
        <f t="shared" si="6"/>
        <v>3.6031431897555293</v>
      </c>
      <c r="L381" s="437"/>
      <c r="M381" s="437"/>
      <c r="N381" s="437"/>
      <c r="O381" s="437"/>
      <c r="P381" s="437"/>
      <c r="Q381" s="437"/>
      <c r="R381" s="437"/>
      <c r="S381" s="437"/>
      <c r="T381" s="437"/>
      <c r="U381" s="437"/>
      <c r="V381" s="437"/>
      <c r="W381" s="437"/>
      <c r="X381" s="437"/>
      <c r="Y381" s="437"/>
      <c r="Z381" s="437"/>
    </row>
    <row r="382" spans="1:26" ht="15.75" customHeight="1">
      <c r="A382" t="s">
        <v>1391</v>
      </c>
      <c r="B382" t="s">
        <v>1413</v>
      </c>
      <c r="C382" t="s">
        <v>1414</v>
      </c>
      <c r="D382" s="516">
        <v>82100112</v>
      </c>
      <c r="E382" t="s">
        <v>763</v>
      </c>
      <c r="F382" s="514">
        <v>63876</v>
      </c>
      <c r="G382" s="514">
        <v>18742.919999999998</v>
      </c>
      <c r="H382" s="437" t="str">
        <f>VLOOKUP(D382,'COA LTD'!A:F,3,0)</f>
        <v>PL</v>
      </c>
      <c r="I382" s="437" t="str">
        <f>VLOOKUP(D382,'COA LTD'!A:F,4,0)</f>
        <v>Marketing expenses</v>
      </c>
      <c r="J382" s="437" t="str">
        <f>VLOOKUP(D382,'COA LTD'!A:F,5,0)</f>
        <v xml:space="preserve">Salary </v>
      </c>
      <c r="K382" s="439">
        <f t="shared" si="6"/>
        <v>3.4080068633916172</v>
      </c>
      <c r="L382" s="437"/>
      <c r="M382" s="437"/>
      <c r="N382" s="437"/>
      <c r="O382" s="437"/>
      <c r="P382" s="437"/>
      <c r="Q382" s="437"/>
      <c r="R382" s="437"/>
      <c r="S382" s="437"/>
      <c r="T382" s="437"/>
      <c r="U382" s="437"/>
      <c r="V382" s="437"/>
      <c r="W382" s="437"/>
      <c r="X382" s="437"/>
      <c r="Y382" s="437"/>
      <c r="Z382" s="437"/>
    </row>
    <row r="383" spans="1:26" ht="15.75" customHeight="1">
      <c r="A383" t="s">
        <v>1391</v>
      </c>
      <c r="B383" t="s">
        <v>1413</v>
      </c>
      <c r="C383" t="s">
        <v>1414</v>
      </c>
      <c r="D383" s="516">
        <v>82100114</v>
      </c>
      <c r="E383" t="s">
        <v>1175</v>
      </c>
      <c r="F383" s="514">
        <v>3630</v>
      </c>
      <c r="G383" s="514">
        <v>1036.0899999999999</v>
      </c>
      <c r="H383" s="437" t="str">
        <f>VLOOKUP(D383,'COA LTD'!A:F,3,0)</f>
        <v>PL</v>
      </c>
      <c r="I383" s="437" t="str">
        <f>VLOOKUP(D383,'COA LTD'!A:F,4,0)</f>
        <v>Marketing expenses</v>
      </c>
      <c r="J383" s="437" t="str">
        <f>VLOOKUP(D383,'COA LTD'!A:F,5,0)</f>
        <v xml:space="preserve">salary </v>
      </c>
      <c r="K383" s="439">
        <f t="shared" si="6"/>
        <v>3.5035566408323602</v>
      </c>
      <c r="L383" s="437"/>
      <c r="M383" s="437"/>
      <c r="N383" s="437"/>
      <c r="O383" s="437"/>
      <c r="P383" s="437"/>
      <c r="Q383" s="437"/>
      <c r="R383" s="437"/>
      <c r="S383" s="437"/>
      <c r="T383" s="437"/>
      <c r="U383" s="437"/>
      <c r="V383" s="437"/>
      <c r="W383" s="437"/>
      <c r="X383" s="437"/>
      <c r="Y383" s="437"/>
      <c r="Z383" s="437"/>
    </row>
    <row r="384" spans="1:26" ht="15.75" customHeight="1">
      <c r="A384" t="s">
        <v>1391</v>
      </c>
      <c r="B384" t="s">
        <v>1413</v>
      </c>
      <c r="C384" t="s">
        <v>1414</v>
      </c>
      <c r="D384" s="516">
        <v>82100115</v>
      </c>
      <c r="E384" t="s">
        <v>1176</v>
      </c>
      <c r="F384" s="514">
        <v>-3630</v>
      </c>
      <c r="G384" s="514">
        <v>-1036.0899999999999</v>
      </c>
      <c r="H384" s="437" t="str">
        <f>VLOOKUP(D384,'COA LTD'!A:F,3,0)</f>
        <v>PL</v>
      </c>
      <c r="I384" s="437" t="str">
        <f>VLOOKUP(D384,'COA LTD'!A:F,4,0)</f>
        <v>Marketing expenses</v>
      </c>
      <c r="J384" s="437" t="str">
        <f>VLOOKUP(D384,'COA LTD'!A:F,5,0)</f>
        <v xml:space="preserve">salary </v>
      </c>
      <c r="K384" s="439">
        <f t="shared" si="6"/>
        <v>3.5035566408323602</v>
      </c>
      <c r="L384" s="437"/>
      <c r="M384" s="437"/>
      <c r="N384" s="437"/>
      <c r="O384" s="437"/>
      <c r="P384" s="437"/>
      <c r="Q384" s="437"/>
      <c r="R384" s="437"/>
      <c r="S384" s="437"/>
      <c r="T384" s="437"/>
      <c r="U384" s="437"/>
      <c r="V384" s="437"/>
      <c r="W384" s="437"/>
      <c r="X384" s="437"/>
      <c r="Y384" s="437"/>
      <c r="Z384" s="437"/>
    </row>
    <row r="385" spans="1:26" ht="15.75" customHeight="1">
      <c r="A385" t="s">
        <v>1391</v>
      </c>
      <c r="B385" t="s">
        <v>1413</v>
      </c>
      <c r="C385" t="s">
        <v>1414</v>
      </c>
      <c r="D385" s="516">
        <v>82100118</v>
      </c>
      <c r="E385" t="s">
        <v>764</v>
      </c>
      <c r="F385" s="514">
        <v>47489</v>
      </c>
      <c r="G385" s="514">
        <v>13956.16</v>
      </c>
      <c r="H385" s="437" t="str">
        <f>VLOOKUP(D385,'COA LTD'!A:F,3,0)</f>
        <v>PL</v>
      </c>
      <c r="I385" s="437" t="str">
        <f>VLOOKUP(D385,'COA LTD'!A:F,4,0)</f>
        <v>Marketing expenses</v>
      </c>
      <c r="J385" s="437" t="str">
        <f>VLOOKUP(D385,'COA LTD'!A:F,5,0)</f>
        <v xml:space="preserve">Salary </v>
      </c>
      <c r="K385" s="439">
        <f t="shared" si="6"/>
        <v>3.4027268245706557</v>
      </c>
      <c r="L385" s="437"/>
      <c r="M385" s="437"/>
      <c r="N385" s="437"/>
      <c r="O385" s="437"/>
      <c r="P385" s="437"/>
      <c r="Q385" s="437"/>
      <c r="R385" s="437"/>
      <c r="S385" s="437"/>
      <c r="T385" s="437"/>
      <c r="U385" s="437"/>
      <c r="V385" s="437"/>
      <c r="W385" s="437"/>
      <c r="X385" s="437"/>
      <c r="Y385" s="437"/>
      <c r="Z385" s="437"/>
    </row>
    <row r="386" spans="1:26" ht="15.75" customHeight="1">
      <c r="A386" t="s">
        <v>1391</v>
      </c>
      <c r="B386" t="s">
        <v>1413</v>
      </c>
      <c r="C386" t="s">
        <v>1414</v>
      </c>
      <c r="D386" s="516">
        <v>82100119</v>
      </c>
      <c r="E386" t="s">
        <v>765</v>
      </c>
      <c r="F386" s="514">
        <v>-47489</v>
      </c>
      <c r="G386" s="514">
        <v>-13956.16</v>
      </c>
      <c r="H386" s="437" t="str">
        <f>VLOOKUP(D386,'COA LTD'!A:F,3,0)</f>
        <v>PL</v>
      </c>
      <c r="I386" s="437" t="str">
        <f>VLOOKUP(D386,'COA LTD'!A:F,4,0)</f>
        <v>Marketing expenses</v>
      </c>
      <c r="J386" s="437" t="str">
        <f>VLOOKUP(D386,'COA LTD'!A:F,5,0)</f>
        <v xml:space="preserve">Salary </v>
      </c>
      <c r="K386" s="439">
        <f t="shared" si="6"/>
        <v>3.4027268245706557</v>
      </c>
      <c r="L386" s="437"/>
      <c r="M386" s="437"/>
      <c r="N386" s="437"/>
      <c r="O386" s="437"/>
      <c r="P386" s="437"/>
      <c r="Q386" s="437"/>
      <c r="R386" s="437"/>
      <c r="S386" s="437"/>
      <c r="T386" s="437"/>
      <c r="U386" s="437"/>
      <c r="V386" s="437"/>
      <c r="W386" s="437"/>
      <c r="X386" s="437"/>
      <c r="Y386" s="437"/>
      <c r="Z386" s="437"/>
    </row>
    <row r="387" spans="1:26" ht="15.75" customHeight="1">
      <c r="A387" t="s">
        <v>1391</v>
      </c>
      <c r="B387" t="s">
        <v>1413</v>
      </c>
      <c r="C387" t="s">
        <v>1414</v>
      </c>
      <c r="D387" s="516">
        <v>82100120</v>
      </c>
      <c r="E387" t="s">
        <v>947</v>
      </c>
      <c r="F387" s="514">
        <v>6068</v>
      </c>
      <c r="G387" s="514">
        <v>1761.31</v>
      </c>
      <c r="H387" s="437" t="str">
        <f>VLOOKUP(D387,'COA LTD'!A:F,3,0)</f>
        <v>PL</v>
      </c>
      <c r="I387" s="437" t="str">
        <f>VLOOKUP(D387,'COA LTD'!A:F,4,0)</f>
        <v>Marketing expenses</v>
      </c>
      <c r="J387" s="437" t="str">
        <f>VLOOKUP(D387,'COA LTD'!A:F,5,0)</f>
        <v xml:space="preserve">salary </v>
      </c>
      <c r="K387" s="439">
        <f t="shared" si="6"/>
        <v>3.4451629752854411</v>
      </c>
      <c r="L387" s="437"/>
      <c r="M387" s="437"/>
      <c r="N387" s="437"/>
      <c r="O387" s="437"/>
      <c r="P387" s="437"/>
      <c r="Q387" s="437"/>
      <c r="R387" s="437"/>
      <c r="S387" s="437"/>
      <c r="T387" s="437"/>
      <c r="U387" s="437"/>
      <c r="V387" s="437"/>
      <c r="W387" s="437"/>
      <c r="X387" s="437"/>
      <c r="Y387" s="437"/>
      <c r="Z387" s="437"/>
    </row>
    <row r="388" spans="1:26" ht="15.75" customHeight="1">
      <c r="A388" t="s">
        <v>1391</v>
      </c>
      <c r="B388" t="s">
        <v>1413</v>
      </c>
      <c r="C388" t="s">
        <v>1414</v>
      </c>
      <c r="D388" s="516">
        <v>82100121</v>
      </c>
      <c r="E388" t="s">
        <v>948</v>
      </c>
      <c r="F388" s="514">
        <v>-6068</v>
      </c>
      <c r="G388" s="514">
        <v>-1761.31</v>
      </c>
      <c r="H388" s="437" t="str">
        <f>VLOOKUP(D388,'COA LTD'!A:F,3,0)</f>
        <v>PL</v>
      </c>
      <c r="I388" s="437" t="str">
        <f>VLOOKUP(D388,'COA LTD'!A:F,4,0)</f>
        <v>Marketing expenses</v>
      </c>
      <c r="J388" s="437" t="str">
        <f>VLOOKUP(D388,'COA LTD'!A:F,5,0)</f>
        <v xml:space="preserve">salary </v>
      </c>
      <c r="K388" s="439">
        <f t="shared" si="6"/>
        <v>3.4451629752854411</v>
      </c>
      <c r="L388" s="437"/>
      <c r="M388" s="437"/>
      <c r="N388" s="437"/>
      <c r="O388" s="437"/>
      <c r="P388" s="437"/>
      <c r="Q388" s="437"/>
      <c r="R388" s="437"/>
      <c r="S388" s="437"/>
      <c r="T388" s="437"/>
      <c r="U388" s="437"/>
      <c r="V388" s="437"/>
      <c r="W388" s="437"/>
      <c r="X388" s="437"/>
      <c r="Y388" s="437"/>
      <c r="Z388" s="437"/>
    </row>
    <row r="389" spans="1:26" ht="15.75" customHeight="1">
      <c r="A389" t="s">
        <v>1391</v>
      </c>
      <c r="B389" t="s">
        <v>1413</v>
      </c>
      <c r="C389" t="s">
        <v>1414</v>
      </c>
      <c r="D389" s="516">
        <v>82110100</v>
      </c>
      <c r="E389" t="s">
        <v>766</v>
      </c>
      <c r="F389" s="514">
        <v>3900384</v>
      </c>
      <c r="G389" s="514">
        <v>1152221.3700000001</v>
      </c>
      <c r="H389" s="437" t="str">
        <f>VLOOKUP(D389,'COA LTD'!A:F,3,0)</f>
        <v>PL</v>
      </c>
      <c r="I389" s="437" t="str">
        <f>VLOOKUP(D389,'COA LTD'!A:F,4,0)</f>
        <v>Marketing expenses</v>
      </c>
      <c r="J389" s="437" t="str">
        <f>VLOOKUP(D389,'COA LTD'!A:F,5,0)</f>
        <v xml:space="preserve">Salary </v>
      </c>
      <c r="K389" s="439">
        <f t="shared" si="6"/>
        <v>3.3850995143407205</v>
      </c>
      <c r="L389" s="437"/>
      <c r="M389" s="437"/>
      <c r="N389" s="437"/>
      <c r="O389" s="437"/>
      <c r="P389" s="437"/>
      <c r="Q389" s="437"/>
      <c r="R389" s="437"/>
      <c r="S389" s="437"/>
      <c r="T389" s="437"/>
      <c r="U389" s="437"/>
      <c r="V389" s="437"/>
      <c r="W389" s="437"/>
      <c r="X389" s="437"/>
      <c r="Y389" s="437"/>
      <c r="Z389" s="437"/>
    </row>
    <row r="390" spans="1:26" ht="15.75" customHeight="1">
      <c r="A390" t="s">
        <v>1391</v>
      </c>
      <c r="B390" t="s">
        <v>1413</v>
      </c>
      <c r="C390" t="s">
        <v>1414</v>
      </c>
      <c r="D390" s="516">
        <v>82110102</v>
      </c>
      <c r="E390" t="s">
        <v>767</v>
      </c>
      <c r="F390" s="514">
        <v>122775.08</v>
      </c>
      <c r="G390" s="514">
        <v>38631.040000000001</v>
      </c>
      <c r="H390" s="437" t="str">
        <f>VLOOKUP(D390,'COA LTD'!A:F,3,0)</f>
        <v>PL</v>
      </c>
      <c r="I390" s="437" t="str">
        <f>VLOOKUP(D390,'COA LTD'!A:F,4,0)</f>
        <v>Marketing expenses</v>
      </c>
      <c r="J390" s="437" t="str">
        <f>VLOOKUP(D390,'COA LTD'!A:F,5,0)</f>
        <v xml:space="preserve">option expenses </v>
      </c>
      <c r="K390" s="439">
        <f t="shared" si="6"/>
        <v>3.1781458640512912</v>
      </c>
      <c r="L390" s="437"/>
      <c r="M390" s="437"/>
      <c r="N390" s="437"/>
      <c r="O390" s="437"/>
      <c r="P390" s="437"/>
      <c r="Q390" s="437"/>
      <c r="R390" s="437"/>
      <c r="S390" s="437"/>
      <c r="T390" s="437"/>
      <c r="U390" s="437"/>
      <c r="V390" s="437"/>
      <c r="W390" s="437"/>
      <c r="X390" s="437"/>
      <c r="Y390" s="437"/>
      <c r="Z390" s="437"/>
    </row>
    <row r="391" spans="1:26" ht="15.75" customHeight="1">
      <c r="A391" t="s">
        <v>1391</v>
      </c>
      <c r="B391" t="s">
        <v>1413</v>
      </c>
      <c r="C391" t="s">
        <v>1414</v>
      </c>
      <c r="D391" s="516">
        <v>82110103</v>
      </c>
      <c r="E391" t="s">
        <v>768</v>
      </c>
      <c r="F391" s="514">
        <v>39910</v>
      </c>
      <c r="G391" s="514">
        <v>12566.12</v>
      </c>
      <c r="H391" s="437" t="str">
        <f>VLOOKUP(D391,'COA LTD'!A:F,3,0)</f>
        <v>PL</v>
      </c>
      <c r="I391" s="437" t="str">
        <f>VLOOKUP(D391,'COA LTD'!A:F,4,0)</f>
        <v>Marketing expenses</v>
      </c>
      <c r="J391" s="437" t="str">
        <f>VLOOKUP(D391,'COA LTD'!A:F,5,0)</f>
        <v xml:space="preserve">Salary </v>
      </c>
      <c r="K391" s="439">
        <f t="shared" si="6"/>
        <v>3.1760002291876885</v>
      </c>
      <c r="L391" s="437"/>
      <c r="M391" s="437"/>
      <c r="N391" s="437"/>
      <c r="O391" s="437"/>
      <c r="P391" s="437"/>
      <c r="Q391" s="437"/>
      <c r="R391" s="437"/>
      <c r="S391" s="437"/>
      <c r="T391" s="437"/>
      <c r="U391" s="437"/>
      <c r="V391" s="437"/>
      <c r="W391" s="437"/>
      <c r="X391" s="437"/>
      <c r="Y391" s="437"/>
      <c r="Z391" s="437"/>
    </row>
    <row r="392" spans="1:26" ht="15.75" customHeight="1">
      <c r="A392" t="s">
        <v>1391</v>
      </c>
      <c r="B392" t="s">
        <v>1413</v>
      </c>
      <c r="C392" t="s">
        <v>1414</v>
      </c>
      <c r="D392" s="516">
        <v>82110104</v>
      </c>
      <c r="E392" t="s">
        <v>769</v>
      </c>
      <c r="F392" s="514">
        <v>216178</v>
      </c>
      <c r="G392" s="514">
        <v>59899.05</v>
      </c>
      <c r="H392" s="437" t="str">
        <f>VLOOKUP(D392,'COA LTD'!A:F,3,0)</f>
        <v>PL</v>
      </c>
      <c r="I392" s="437" t="str">
        <f>VLOOKUP(D392,'COA LTD'!A:F,4,0)</f>
        <v>Marketing expenses</v>
      </c>
      <c r="J392" s="437" t="str">
        <f>VLOOKUP(D392,'COA LTD'!A:F,5,0)</f>
        <v xml:space="preserve">Salary </v>
      </c>
      <c r="K392" s="439">
        <f t="shared" si="6"/>
        <v>3.6090388745731357</v>
      </c>
      <c r="L392" s="437"/>
      <c r="M392" s="437"/>
      <c r="N392" s="437"/>
      <c r="O392" s="437"/>
      <c r="P392" s="437"/>
      <c r="Q392" s="437"/>
      <c r="R392" s="437"/>
      <c r="S392" s="437"/>
      <c r="T392" s="437"/>
      <c r="U392" s="437"/>
      <c r="V392" s="437"/>
      <c r="W392" s="437"/>
      <c r="X392" s="437"/>
      <c r="Y392" s="437"/>
      <c r="Z392" s="437"/>
    </row>
    <row r="393" spans="1:26" ht="15.75" customHeight="1">
      <c r="A393" t="s">
        <v>1391</v>
      </c>
      <c r="B393" t="s">
        <v>1413</v>
      </c>
      <c r="C393" t="s">
        <v>1414</v>
      </c>
      <c r="D393" s="516">
        <v>82110107</v>
      </c>
      <c r="E393" t="s">
        <v>770</v>
      </c>
      <c r="F393" s="514">
        <v>156675.59</v>
      </c>
      <c r="G393" s="514">
        <v>46804.21</v>
      </c>
      <c r="H393" s="437" t="str">
        <f>VLOOKUP(D393,'COA LTD'!A:F,3,0)</f>
        <v>PL</v>
      </c>
      <c r="I393" s="437" t="str">
        <f>VLOOKUP(D393,'COA LTD'!A:F,4,0)</f>
        <v>Marketing expenses</v>
      </c>
      <c r="J393" s="437" t="str">
        <f>VLOOKUP(D393,'COA LTD'!A:F,5,0)</f>
        <v xml:space="preserve">Salary </v>
      </c>
      <c r="K393" s="439">
        <f t="shared" si="6"/>
        <v>3.3474678880382771</v>
      </c>
      <c r="L393" s="437"/>
      <c r="M393" s="437"/>
      <c r="N393" s="437"/>
      <c r="O393" s="437"/>
      <c r="P393" s="437"/>
      <c r="Q393" s="437"/>
      <c r="R393" s="437"/>
      <c r="S393" s="437"/>
      <c r="T393" s="437"/>
      <c r="U393" s="437"/>
      <c r="V393" s="437"/>
      <c r="W393" s="437"/>
      <c r="X393" s="437"/>
      <c r="Y393" s="437"/>
      <c r="Z393" s="437"/>
    </row>
    <row r="394" spans="1:26" ht="15.75" customHeight="1">
      <c r="A394" t="s">
        <v>1391</v>
      </c>
      <c r="B394" t="s">
        <v>1413</v>
      </c>
      <c r="C394" t="s">
        <v>1414</v>
      </c>
      <c r="D394" s="516">
        <v>82110108</v>
      </c>
      <c r="E394" t="s">
        <v>771</v>
      </c>
      <c r="F394" s="514">
        <v>270764</v>
      </c>
      <c r="G394" s="514">
        <v>79973.72</v>
      </c>
      <c r="H394" s="437" t="str">
        <f>VLOOKUP(D394,'COA LTD'!A:F,3,0)</f>
        <v>PL</v>
      </c>
      <c r="I394" s="437" t="str">
        <f>VLOOKUP(D394,'COA LTD'!A:F,4,0)</f>
        <v>Marketing expenses</v>
      </c>
      <c r="J394" s="437" t="str">
        <f>VLOOKUP(D394,'COA LTD'!A:F,5,0)</f>
        <v xml:space="preserve">Salary </v>
      </c>
      <c r="K394" s="439">
        <f t="shared" si="6"/>
        <v>3.3856621900294246</v>
      </c>
      <c r="L394" s="437"/>
      <c r="M394" s="437"/>
      <c r="N394" s="437"/>
      <c r="O394" s="437"/>
      <c r="P394" s="437"/>
      <c r="Q394" s="437"/>
      <c r="R394" s="437"/>
      <c r="S394" s="437"/>
      <c r="T394" s="437"/>
      <c r="U394" s="437"/>
      <c r="V394" s="437"/>
      <c r="W394" s="437"/>
      <c r="X394" s="437"/>
      <c r="Y394" s="437"/>
      <c r="Z394" s="437"/>
    </row>
    <row r="395" spans="1:26" ht="15.75" customHeight="1">
      <c r="A395" t="s">
        <v>1391</v>
      </c>
      <c r="B395" t="s">
        <v>1413</v>
      </c>
      <c r="C395" t="s">
        <v>1414</v>
      </c>
      <c r="D395" s="516">
        <v>82110109</v>
      </c>
      <c r="E395" t="s">
        <v>772</v>
      </c>
      <c r="F395" s="514">
        <v>266312</v>
      </c>
      <c r="G395" s="514">
        <v>78602.039999999994</v>
      </c>
      <c r="H395" s="437" t="str">
        <f>VLOOKUP(D395,'COA LTD'!A:F,3,0)</f>
        <v>PL</v>
      </c>
      <c r="I395" s="437" t="str">
        <f>VLOOKUP(D395,'COA LTD'!A:F,4,0)</f>
        <v>Marketing expenses</v>
      </c>
      <c r="J395" s="437" t="str">
        <f>VLOOKUP(D395,'COA LTD'!A:F,5,0)</f>
        <v xml:space="preserve">Salary </v>
      </c>
      <c r="K395" s="439">
        <f t="shared" si="6"/>
        <v>3.3881054486626558</v>
      </c>
      <c r="L395" s="437"/>
      <c r="M395" s="437"/>
      <c r="N395" s="437"/>
      <c r="O395" s="437"/>
      <c r="P395" s="437"/>
      <c r="Q395" s="437"/>
      <c r="R395" s="437"/>
      <c r="S395" s="437"/>
      <c r="T395" s="437"/>
      <c r="U395" s="437"/>
      <c r="V395" s="437"/>
      <c r="W395" s="437"/>
      <c r="X395" s="437"/>
      <c r="Y395" s="437"/>
      <c r="Z395" s="437"/>
    </row>
    <row r="396" spans="1:26" ht="15.75" customHeight="1">
      <c r="A396" t="s">
        <v>1391</v>
      </c>
      <c r="B396" t="s">
        <v>1413</v>
      </c>
      <c r="C396" t="s">
        <v>1414</v>
      </c>
      <c r="D396" s="516">
        <v>82110110</v>
      </c>
      <c r="E396" t="s">
        <v>773</v>
      </c>
      <c r="F396" s="514">
        <v>186535</v>
      </c>
      <c r="G396" s="514">
        <v>54859</v>
      </c>
      <c r="H396" s="437" t="str">
        <f>VLOOKUP(D396,'COA LTD'!A:F,3,0)</f>
        <v>PL</v>
      </c>
      <c r="I396" s="437" t="str">
        <f>VLOOKUP(D396,'COA LTD'!A:F,4,0)</f>
        <v>Marketing expenses</v>
      </c>
      <c r="J396" s="437" t="str">
        <f>VLOOKUP(D396,'COA LTD'!A:F,5,0)</f>
        <v xml:space="preserve">Salary </v>
      </c>
      <c r="K396" s="439">
        <f t="shared" si="6"/>
        <v>3.4002624911135819</v>
      </c>
      <c r="L396" s="437"/>
      <c r="M396" s="437"/>
      <c r="N396" s="437"/>
      <c r="O396" s="437"/>
      <c r="P396" s="437"/>
      <c r="Q396" s="437"/>
      <c r="R396" s="437"/>
      <c r="S396" s="437"/>
      <c r="T396" s="437"/>
      <c r="U396" s="437"/>
      <c r="V396" s="437"/>
      <c r="W396" s="437"/>
      <c r="X396" s="437"/>
      <c r="Y396" s="437"/>
      <c r="Z396" s="437"/>
    </row>
    <row r="397" spans="1:26" ht="15.75" customHeight="1">
      <c r="A397" t="s">
        <v>1391</v>
      </c>
      <c r="B397" t="s">
        <v>1413</v>
      </c>
      <c r="C397" t="s">
        <v>1414</v>
      </c>
      <c r="D397" s="516">
        <v>82110111</v>
      </c>
      <c r="E397" t="s">
        <v>774</v>
      </c>
      <c r="F397" s="514">
        <v>9672.92</v>
      </c>
      <c r="G397" s="514">
        <v>2831.75</v>
      </c>
      <c r="H397" s="437" t="str">
        <f>VLOOKUP(D397,'COA LTD'!A:F,3,0)</f>
        <v>PL</v>
      </c>
      <c r="I397" s="437" t="str">
        <f>VLOOKUP(D397,'COA LTD'!A:F,4,0)</f>
        <v>Marketing expenses</v>
      </c>
      <c r="J397" s="437" t="str">
        <f>VLOOKUP(D397,'COA LTD'!A:F,5,0)</f>
        <v xml:space="preserve">Salary </v>
      </c>
      <c r="K397" s="439">
        <f t="shared" si="6"/>
        <v>3.4158806391807186</v>
      </c>
      <c r="L397" s="437"/>
      <c r="M397" s="437"/>
      <c r="N397" s="437"/>
      <c r="O397" s="437"/>
      <c r="P397" s="437"/>
      <c r="Q397" s="437"/>
      <c r="R397" s="437"/>
      <c r="S397" s="437"/>
      <c r="T397" s="437"/>
      <c r="U397" s="437"/>
      <c r="V397" s="437"/>
      <c r="W397" s="437"/>
      <c r="X397" s="437"/>
      <c r="Y397" s="437"/>
      <c r="Z397" s="437"/>
    </row>
    <row r="398" spans="1:26" ht="15.75" customHeight="1">
      <c r="A398" t="s">
        <v>1391</v>
      </c>
      <c r="B398" t="s">
        <v>1413</v>
      </c>
      <c r="C398" t="s">
        <v>1414</v>
      </c>
      <c r="D398" s="516">
        <v>82110112</v>
      </c>
      <c r="E398" t="s">
        <v>775</v>
      </c>
      <c r="F398" s="514">
        <v>288018</v>
      </c>
      <c r="G398" s="514">
        <v>84424.92</v>
      </c>
      <c r="H398" s="437" t="str">
        <f>VLOOKUP(D398,'COA LTD'!A:F,3,0)</f>
        <v>PL</v>
      </c>
      <c r="I398" s="437" t="str">
        <f>VLOOKUP(D398,'COA LTD'!A:F,4,0)</f>
        <v>Marketing expenses</v>
      </c>
      <c r="J398" s="437" t="str">
        <f>VLOOKUP(D398,'COA LTD'!A:F,5,0)</f>
        <v xml:space="preserve">Salary </v>
      </c>
      <c r="K398" s="439">
        <f t="shared" si="6"/>
        <v>3.4115282549275734</v>
      </c>
      <c r="L398" s="437"/>
      <c r="M398" s="437"/>
      <c r="N398" s="437"/>
      <c r="O398" s="437"/>
      <c r="P398" s="437"/>
      <c r="Q398" s="437"/>
      <c r="R398" s="437"/>
      <c r="S398" s="437"/>
      <c r="T398" s="437"/>
      <c r="U398" s="437"/>
      <c r="V398" s="437"/>
      <c r="W398" s="437"/>
      <c r="X398" s="437"/>
      <c r="Y398" s="437"/>
      <c r="Z398" s="437"/>
    </row>
    <row r="399" spans="1:26" ht="15.75" customHeight="1">
      <c r="A399" t="s">
        <v>1391</v>
      </c>
      <c r="B399" t="s">
        <v>1413</v>
      </c>
      <c r="C399" t="s">
        <v>1414</v>
      </c>
      <c r="D399" s="516">
        <v>82110113</v>
      </c>
      <c r="E399" t="s">
        <v>1150</v>
      </c>
      <c r="F399" s="514">
        <v>-12224</v>
      </c>
      <c r="G399" s="514">
        <v>-3631.61</v>
      </c>
      <c r="H399" s="437" t="str">
        <f>VLOOKUP(D399,'COA LTD'!A:F,3,0)</f>
        <v>PL</v>
      </c>
      <c r="I399" s="437" t="str">
        <f>VLOOKUP(D399,'COA LTD'!A:F,4,0)</f>
        <v>Marketing expenses</v>
      </c>
      <c r="J399" s="437" t="str">
        <f>VLOOKUP(D399,'COA LTD'!A:F,5,0)</f>
        <v xml:space="preserve">salary </v>
      </c>
      <c r="K399" s="439">
        <f t="shared" si="6"/>
        <v>3.3660002037663737</v>
      </c>
      <c r="L399" s="437"/>
      <c r="M399" s="437"/>
      <c r="N399" s="437"/>
      <c r="O399" s="437"/>
      <c r="P399" s="437"/>
      <c r="Q399" s="437"/>
      <c r="R399" s="437"/>
      <c r="S399" s="437"/>
      <c r="T399" s="437"/>
      <c r="U399" s="437"/>
      <c r="V399" s="437"/>
      <c r="W399" s="437"/>
      <c r="X399" s="437"/>
      <c r="Y399" s="437"/>
      <c r="Z399" s="437"/>
    </row>
    <row r="400" spans="1:26" ht="15.75" customHeight="1">
      <c r="A400" t="s">
        <v>1391</v>
      </c>
      <c r="B400" t="s">
        <v>1413</v>
      </c>
      <c r="C400" t="s">
        <v>1414</v>
      </c>
      <c r="D400" s="516">
        <v>82110114</v>
      </c>
      <c r="E400" t="s">
        <v>776</v>
      </c>
      <c r="F400" s="514">
        <v>27546</v>
      </c>
      <c r="G400" s="514">
        <v>7958.42</v>
      </c>
      <c r="H400" s="437" t="str">
        <f>VLOOKUP(D400,'COA LTD'!A:F,3,0)</f>
        <v>PL</v>
      </c>
      <c r="I400" s="437" t="str">
        <f>VLOOKUP(D400,'COA LTD'!A:F,4,0)</f>
        <v>Marketing expenses</v>
      </c>
      <c r="J400" s="437" t="str">
        <f>VLOOKUP(D400,'COA LTD'!A:F,5,0)</f>
        <v xml:space="preserve">Salary </v>
      </c>
      <c r="K400" s="439">
        <f t="shared" si="6"/>
        <v>3.4612397938284234</v>
      </c>
      <c r="L400" s="437"/>
      <c r="M400" s="437"/>
      <c r="N400" s="437"/>
      <c r="O400" s="437"/>
      <c r="P400" s="437"/>
      <c r="Q400" s="437"/>
      <c r="R400" s="437"/>
      <c r="S400" s="437"/>
      <c r="T400" s="437"/>
      <c r="U400" s="437"/>
      <c r="V400" s="437"/>
      <c r="W400" s="437"/>
      <c r="X400" s="437"/>
      <c r="Y400" s="437"/>
      <c r="Z400" s="437"/>
    </row>
    <row r="401" spans="1:26" ht="15.75" customHeight="1">
      <c r="A401" t="s">
        <v>1391</v>
      </c>
      <c r="B401" t="s">
        <v>1413</v>
      </c>
      <c r="C401" t="s">
        <v>1414</v>
      </c>
      <c r="D401" s="516">
        <v>82110115</v>
      </c>
      <c r="E401" t="s">
        <v>777</v>
      </c>
      <c r="F401" s="514">
        <v>-27546</v>
      </c>
      <c r="G401" s="514">
        <v>-7958.42</v>
      </c>
      <c r="H401" s="437" t="str">
        <f>VLOOKUP(D401,'COA LTD'!A:F,3,0)</f>
        <v>PL</v>
      </c>
      <c r="I401" s="437" t="str">
        <f>VLOOKUP(D401,'COA LTD'!A:F,4,0)</f>
        <v>Marketing expenses</v>
      </c>
      <c r="J401" s="437" t="str">
        <f>VLOOKUP(D401,'COA LTD'!A:F,5,0)</f>
        <v xml:space="preserve">Salary </v>
      </c>
      <c r="K401" s="439">
        <f t="shared" si="6"/>
        <v>3.4612397938284234</v>
      </c>
      <c r="L401" s="437"/>
      <c r="M401" s="437"/>
      <c r="N401" s="437"/>
      <c r="O401" s="437"/>
      <c r="P401" s="437"/>
      <c r="Q401" s="437"/>
      <c r="R401" s="437"/>
      <c r="S401" s="437"/>
      <c r="T401" s="437"/>
      <c r="U401" s="437"/>
      <c r="V401" s="437"/>
      <c r="W401" s="437"/>
      <c r="X401" s="437"/>
      <c r="Y401" s="437"/>
      <c r="Z401" s="437"/>
    </row>
    <row r="402" spans="1:26" ht="15.75" customHeight="1">
      <c r="A402" t="s">
        <v>1391</v>
      </c>
      <c r="B402" t="s">
        <v>1413</v>
      </c>
      <c r="C402" t="s">
        <v>1414</v>
      </c>
      <c r="D402" s="516">
        <v>82110116</v>
      </c>
      <c r="E402" t="s">
        <v>1292</v>
      </c>
      <c r="F402" s="514">
        <v>1404</v>
      </c>
      <c r="G402" s="514">
        <v>398.98</v>
      </c>
      <c r="H402" s="437" t="str">
        <f>VLOOKUP(D402,'COA LTD'!A:F,3,0)</f>
        <v>PL</v>
      </c>
      <c r="I402" s="437" t="str">
        <f>VLOOKUP(D402,'COA LTD'!A:F,4,0)</f>
        <v>Marketing expenses</v>
      </c>
      <c r="J402" s="437" t="str">
        <f>VLOOKUP(D402,'COA LTD'!A:F,5,0)</f>
        <v xml:space="preserve">salary </v>
      </c>
      <c r="K402" s="439">
        <f t="shared" si="6"/>
        <v>3.5189733821244169</v>
      </c>
      <c r="L402" s="437"/>
      <c r="M402" s="437"/>
      <c r="N402" s="437"/>
      <c r="O402" s="437"/>
      <c r="P402" s="437"/>
      <c r="Q402" s="437"/>
      <c r="R402" s="437"/>
      <c r="S402" s="437"/>
      <c r="T402" s="437"/>
      <c r="U402" s="437"/>
      <c r="V402" s="437"/>
      <c r="W402" s="437"/>
      <c r="X402" s="437"/>
      <c r="Y402" s="437"/>
      <c r="Z402" s="437"/>
    </row>
    <row r="403" spans="1:26" ht="15.75" customHeight="1">
      <c r="A403" t="s">
        <v>1391</v>
      </c>
      <c r="B403" t="s">
        <v>1413</v>
      </c>
      <c r="C403" t="s">
        <v>1414</v>
      </c>
      <c r="D403" s="516">
        <v>82110117</v>
      </c>
      <c r="E403" t="s">
        <v>1293</v>
      </c>
      <c r="F403" s="514">
        <v>-1404</v>
      </c>
      <c r="G403" s="514">
        <v>-398.98</v>
      </c>
      <c r="H403" s="437" t="str">
        <f>VLOOKUP(D403,'COA LTD'!A:F,3,0)</f>
        <v>PL</v>
      </c>
      <c r="I403" s="437" t="str">
        <f>VLOOKUP(D403,'COA LTD'!A:F,4,0)</f>
        <v>Marketing expenses</v>
      </c>
      <c r="J403" s="437" t="str">
        <f>VLOOKUP(D403,'COA LTD'!A:F,5,0)</f>
        <v xml:space="preserve">salary </v>
      </c>
      <c r="K403" s="439">
        <f t="shared" si="6"/>
        <v>3.5189733821244169</v>
      </c>
      <c r="L403" s="437"/>
      <c r="M403" s="437"/>
      <c r="N403" s="437"/>
      <c r="O403" s="437"/>
      <c r="P403" s="437"/>
      <c r="Q403" s="437"/>
      <c r="R403" s="437"/>
      <c r="S403" s="437"/>
      <c r="T403" s="437"/>
      <c r="U403" s="437"/>
      <c r="V403" s="437"/>
      <c r="W403" s="437"/>
      <c r="X403" s="437"/>
      <c r="Y403" s="437"/>
      <c r="Z403" s="437"/>
    </row>
    <row r="404" spans="1:26" ht="15.75" customHeight="1">
      <c r="A404" t="s">
        <v>1391</v>
      </c>
      <c r="B404" t="s">
        <v>1413</v>
      </c>
      <c r="C404" t="s">
        <v>1414</v>
      </c>
      <c r="D404" s="516">
        <v>82110118</v>
      </c>
      <c r="E404" t="s">
        <v>778</v>
      </c>
      <c r="F404" s="514">
        <v>154470</v>
      </c>
      <c r="G404" s="514">
        <v>45339.7</v>
      </c>
      <c r="H404" s="437" t="str">
        <f>VLOOKUP(D404,'COA LTD'!A:F,3,0)</f>
        <v>PL</v>
      </c>
      <c r="I404" s="437" t="str">
        <f>VLOOKUP(D404,'COA LTD'!A:F,4,0)</f>
        <v>Marketing expenses</v>
      </c>
      <c r="J404" s="437" t="str">
        <f>VLOOKUP(D404,'COA LTD'!A:F,5,0)</f>
        <v xml:space="preserve">Salary </v>
      </c>
      <c r="K404" s="439">
        <f t="shared" si="6"/>
        <v>3.4069479948036712</v>
      </c>
      <c r="L404" s="437"/>
      <c r="M404" s="437"/>
      <c r="N404" s="437"/>
      <c r="O404" s="437"/>
      <c r="P404" s="437"/>
      <c r="Q404" s="437"/>
      <c r="R404" s="437"/>
      <c r="S404" s="437"/>
      <c r="T404" s="437"/>
      <c r="U404" s="437"/>
      <c r="V404" s="437"/>
      <c r="W404" s="437"/>
      <c r="X404" s="437"/>
      <c r="Y404" s="437"/>
      <c r="Z404" s="437"/>
    </row>
    <row r="405" spans="1:26" ht="15.75" customHeight="1">
      <c r="A405" t="s">
        <v>1391</v>
      </c>
      <c r="B405" t="s">
        <v>1413</v>
      </c>
      <c r="C405" t="s">
        <v>1414</v>
      </c>
      <c r="D405" s="516">
        <v>82110119</v>
      </c>
      <c r="E405" t="s">
        <v>779</v>
      </c>
      <c r="F405" s="514">
        <v>-154470</v>
      </c>
      <c r="G405" s="514">
        <v>-45339.7</v>
      </c>
      <c r="H405" s="437" t="str">
        <f>VLOOKUP(D405,'COA LTD'!A:F,3,0)</f>
        <v>PL</v>
      </c>
      <c r="I405" s="437" t="str">
        <f>VLOOKUP(D405,'COA LTD'!A:F,4,0)</f>
        <v>Marketing expenses</v>
      </c>
      <c r="J405" s="437" t="str">
        <f>VLOOKUP(D405,'COA LTD'!A:F,5,0)</f>
        <v xml:space="preserve">Salary </v>
      </c>
      <c r="K405" s="439">
        <f t="shared" si="6"/>
        <v>3.4069479948036712</v>
      </c>
      <c r="L405" s="437"/>
      <c r="M405" s="437"/>
      <c r="N405" s="437"/>
      <c r="O405" s="437"/>
      <c r="P405" s="437"/>
      <c r="Q405" s="437"/>
      <c r="R405" s="437"/>
      <c r="S405" s="437"/>
      <c r="T405" s="437"/>
      <c r="U405" s="437"/>
      <c r="V405" s="437"/>
      <c r="W405" s="437"/>
      <c r="X405" s="437"/>
      <c r="Y405" s="437"/>
      <c r="Z405" s="437"/>
    </row>
    <row r="406" spans="1:26" ht="15.75" customHeight="1">
      <c r="A406" t="s">
        <v>1391</v>
      </c>
      <c r="B406" t="s">
        <v>1413</v>
      </c>
      <c r="C406" t="s">
        <v>1414</v>
      </c>
      <c r="D406" s="516">
        <v>82110120</v>
      </c>
      <c r="E406" t="s">
        <v>949</v>
      </c>
      <c r="F406" s="514">
        <v>23000</v>
      </c>
      <c r="G406" s="514">
        <v>6672.93</v>
      </c>
      <c r="H406" s="437" t="str">
        <f>VLOOKUP(D406,'COA LTD'!A:F,3,0)</f>
        <v>PL</v>
      </c>
      <c r="I406" s="437" t="str">
        <f>VLOOKUP(D406,'COA LTD'!A:F,4,0)</f>
        <v>Marketing expenses</v>
      </c>
      <c r="J406" s="437" t="str">
        <f>VLOOKUP(D406,'COA LTD'!A:F,5,0)</f>
        <v xml:space="preserve">salary </v>
      </c>
      <c r="K406" s="439">
        <f t="shared" si="6"/>
        <v>3.4467617673196029</v>
      </c>
      <c r="L406" s="437"/>
      <c r="M406" s="437"/>
      <c r="N406" s="437"/>
      <c r="O406" s="437"/>
      <c r="P406" s="437"/>
      <c r="Q406" s="437"/>
      <c r="R406" s="437"/>
      <c r="S406" s="437"/>
      <c r="T406" s="437"/>
      <c r="U406" s="437"/>
      <c r="V406" s="437"/>
      <c r="W406" s="437"/>
      <c r="X406" s="437"/>
      <c r="Y406" s="437"/>
      <c r="Z406" s="437"/>
    </row>
    <row r="407" spans="1:26" ht="15.75" customHeight="1">
      <c r="A407" t="s">
        <v>1391</v>
      </c>
      <c r="B407" t="s">
        <v>1413</v>
      </c>
      <c r="C407" t="s">
        <v>1414</v>
      </c>
      <c r="D407" s="516">
        <v>82110121</v>
      </c>
      <c r="E407" t="s">
        <v>950</v>
      </c>
      <c r="F407" s="514">
        <v>-23000</v>
      </c>
      <c r="G407" s="514">
        <v>-6672.93</v>
      </c>
      <c r="H407" s="437" t="str">
        <f>VLOOKUP(D407,'COA LTD'!A:F,3,0)</f>
        <v>PL</v>
      </c>
      <c r="I407" s="437" t="str">
        <f>VLOOKUP(D407,'COA LTD'!A:F,4,0)</f>
        <v>Marketing expenses</v>
      </c>
      <c r="J407" s="437" t="str">
        <f>VLOOKUP(D407,'COA LTD'!A:F,5,0)</f>
        <v xml:space="preserve">salary </v>
      </c>
      <c r="K407" s="439">
        <f t="shared" si="6"/>
        <v>3.4467617673196029</v>
      </c>
      <c r="L407" s="437"/>
      <c r="M407" s="437"/>
      <c r="N407" s="437"/>
      <c r="O407" s="437"/>
      <c r="P407" s="437"/>
      <c r="Q407" s="437"/>
      <c r="R407" s="437"/>
      <c r="S407" s="437"/>
      <c r="T407" s="437"/>
      <c r="U407" s="437"/>
      <c r="V407" s="437"/>
      <c r="W407" s="437"/>
      <c r="X407" s="437"/>
      <c r="Y407" s="437"/>
      <c r="Z407" s="437"/>
    </row>
    <row r="408" spans="1:26" ht="15.75" customHeight="1">
      <c r="A408" t="s">
        <v>1391</v>
      </c>
      <c r="B408" t="s">
        <v>1413</v>
      </c>
      <c r="C408" t="s">
        <v>1414</v>
      </c>
      <c r="D408" s="516">
        <v>82110127</v>
      </c>
      <c r="E408" t="s">
        <v>1733</v>
      </c>
      <c r="F408" s="514">
        <v>686448</v>
      </c>
      <c r="G408" s="514">
        <v>204910</v>
      </c>
      <c r="H408" s="437" t="str">
        <f>VLOOKUP(D408,'COA LTD'!A:F,3,0)</f>
        <v>PL</v>
      </c>
      <c r="I408" s="437" t="str">
        <f>VLOOKUP(D408,'COA LTD'!A:F,4,0)</f>
        <v>Marketing expenses</v>
      </c>
      <c r="J408" s="437" t="str">
        <f>VLOOKUP(D408,'COA LTD'!A:F,5,0)</f>
        <v xml:space="preserve">salary </v>
      </c>
      <c r="K408" s="439">
        <f t="shared" si="6"/>
        <v>3.3499975599043483</v>
      </c>
      <c r="L408" s="437"/>
      <c r="M408" s="437"/>
      <c r="N408" s="437"/>
      <c r="O408" s="437"/>
      <c r="P408" s="437"/>
      <c r="Q408" s="437"/>
      <c r="R408" s="437"/>
      <c r="S408" s="437"/>
      <c r="T408" s="437"/>
      <c r="U408" s="437"/>
      <c r="V408" s="437"/>
      <c r="W408" s="437"/>
      <c r="X408" s="437"/>
      <c r="Y408" s="437"/>
      <c r="Z408" s="437"/>
    </row>
    <row r="409" spans="1:26" ht="15.75" customHeight="1">
      <c r="A409" t="s">
        <v>1391</v>
      </c>
      <c r="B409" t="s">
        <v>1413</v>
      </c>
      <c r="C409" t="s">
        <v>1414</v>
      </c>
      <c r="D409" s="516">
        <v>82110128</v>
      </c>
      <c r="E409" t="s">
        <v>1734</v>
      </c>
      <c r="F409" s="514">
        <v>-686448</v>
      </c>
      <c r="G409" s="514">
        <v>-204910</v>
      </c>
      <c r="H409" s="437" t="str">
        <f>VLOOKUP(D409,'COA LTD'!A:F,3,0)</f>
        <v>PL</v>
      </c>
      <c r="I409" s="437" t="str">
        <f>VLOOKUP(D409,'COA LTD'!A:F,4,0)</f>
        <v>Research and development expenses, net</v>
      </c>
      <c r="J409" s="437" t="str">
        <f>VLOOKUP(D409,'COA LTD'!A:F,5,0)</f>
        <v xml:space="preserve">salary </v>
      </c>
      <c r="K409" s="439">
        <f t="shared" si="6"/>
        <v>3.3499975599043483</v>
      </c>
      <c r="L409" s="437"/>
      <c r="M409" s="437"/>
      <c r="N409" s="437"/>
      <c r="O409" s="437"/>
      <c r="P409" s="437"/>
      <c r="Q409" s="437"/>
      <c r="R409" s="437"/>
      <c r="S409" s="437"/>
      <c r="T409" s="437"/>
      <c r="U409" s="437"/>
      <c r="V409" s="437"/>
      <c r="W409" s="437"/>
      <c r="X409" s="437"/>
      <c r="Y409" s="437"/>
      <c r="Z409" s="437"/>
    </row>
    <row r="410" spans="1:26" ht="15.75" customHeight="1">
      <c r="A410" t="s">
        <v>1391</v>
      </c>
      <c r="B410" t="s">
        <v>1413</v>
      </c>
      <c r="C410" t="s">
        <v>1414</v>
      </c>
      <c r="D410" s="516">
        <v>82200122</v>
      </c>
      <c r="E410" t="s">
        <v>1294</v>
      </c>
      <c r="F410" s="514">
        <v>74386.52</v>
      </c>
      <c r="G410" s="514">
        <v>21814.23</v>
      </c>
      <c r="H410" s="437" t="str">
        <f>VLOOKUP(D410,'COA LTD'!A:F,3,0)</f>
        <v>PL</v>
      </c>
      <c r="I410" s="437" t="str">
        <f>VLOOKUP(D410,'COA LTD'!A:F,4,0)</f>
        <v>Marketing expenses</v>
      </c>
      <c r="J410" s="437" t="str">
        <f>VLOOKUP(D410,'COA LTD'!A:F,5,0)</f>
        <v xml:space="preserve">salary </v>
      </c>
      <c r="K410" s="439">
        <f t="shared" si="6"/>
        <v>3.4099998028809639</v>
      </c>
      <c r="L410" s="437"/>
      <c r="M410" s="437"/>
      <c r="N410" s="437"/>
      <c r="O410" s="437"/>
      <c r="P410" s="437"/>
      <c r="Q410" s="437"/>
      <c r="R410" s="437"/>
      <c r="S410" s="437"/>
      <c r="T410" s="437"/>
      <c r="U410" s="437"/>
      <c r="V410" s="437"/>
      <c r="W410" s="437"/>
      <c r="X410" s="437"/>
      <c r="Y410" s="437"/>
      <c r="Z410" s="437"/>
    </row>
    <row r="411" spans="1:26" ht="15.75" customHeight="1">
      <c r="A411" t="s">
        <v>1391</v>
      </c>
      <c r="B411" t="s">
        <v>1413</v>
      </c>
      <c r="C411" t="s">
        <v>1415</v>
      </c>
      <c r="D411" s="516">
        <v>82110200</v>
      </c>
      <c r="E411" t="s">
        <v>780</v>
      </c>
      <c r="F411" s="514">
        <v>370618.51</v>
      </c>
      <c r="G411" s="514">
        <v>115313.87</v>
      </c>
      <c r="H411" s="437" t="str">
        <f>VLOOKUP(D411,'COA LTD'!A:F,3,0)</f>
        <v>PL</v>
      </c>
      <c r="I411" s="437" t="str">
        <f>VLOOKUP(D411,'COA LTD'!A:F,4,0)</f>
        <v>Marketing expenses</v>
      </c>
      <c r="J411" s="437" t="str">
        <f>VLOOKUP(D411,'COA LTD'!A:F,5,0)</f>
        <v xml:space="preserve"> Professional Services</v>
      </c>
      <c r="K411" s="439">
        <f t="shared" si="6"/>
        <v>3.2139976743474139</v>
      </c>
      <c r="L411" s="437"/>
      <c r="M411" s="437"/>
      <c r="N411" s="437"/>
      <c r="O411" s="437"/>
      <c r="P411" s="437"/>
      <c r="Q411" s="437"/>
      <c r="R411" s="437"/>
      <c r="S411" s="437"/>
      <c r="T411" s="437"/>
      <c r="U411" s="437"/>
      <c r="V411" s="437"/>
      <c r="W411" s="437"/>
      <c r="X411" s="437"/>
      <c r="Y411" s="437"/>
      <c r="Z411" s="437"/>
    </row>
    <row r="412" spans="1:26" ht="15.75" customHeight="1">
      <c r="A412" t="s">
        <v>1391</v>
      </c>
      <c r="B412" t="s">
        <v>1413</v>
      </c>
      <c r="C412" t="s">
        <v>1415</v>
      </c>
      <c r="D412" s="516">
        <v>82200207</v>
      </c>
      <c r="E412" t="s">
        <v>781</v>
      </c>
      <c r="F412" s="514">
        <v>39988.5</v>
      </c>
      <c r="G412" s="514">
        <v>12125.93</v>
      </c>
      <c r="H412" s="437" t="str">
        <f>VLOOKUP(D412,'COA LTD'!A:F,3,0)</f>
        <v>PL</v>
      </c>
      <c r="I412" s="437" t="str">
        <f>VLOOKUP(D412,'COA LTD'!A:F,4,0)</f>
        <v>Marketing expenses</v>
      </c>
      <c r="J412" s="437" t="str">
        <f>VLOOKUP(D412,'COA LTD'!A:F,5,0)</f>
        <v>Recruitment</v>
      </c>
      <c r="K412" s="439">
        <f t="shared" si="6"/>
        <v>3.2977676763761625</v>
      </c>
      <c r="L412" s="437"/>
      <c r="M412" s="437"/>
      <c r="N412" s="437"/>
      <c r="O412" s="437"/>
      <c r="P412" s="437"/>
      <c r="Q412" s="437"/>
      <c r="R412" s="437"/>
      <c r="S412" s="437"/>
      <c r="T412" s="437"/>
      <c r="U412" s="437"/>
      <c r="V412" s="437"/>
      <c r="W412" s="437"/>
      <c r="X412" s="437"/>
      <c r="Y412" s="437"/>
      <c r="Z412" s="437"/>
    </row>
    <row r="413" spans="1:26" ht="15.75" customHeight="1">
      <c r="A413" t="s">
        <v>1391</v>
      </c>
      <c r="B413" t="s">
        <v>1413</v>
      </c>
      <c r="C413" t="s">
        <v>1416</v>
      </c>
      <c r="D413" s="516">
        <v>82110300</v>
      </c>
      <c r="E413" t="s">
        <v>782</v>
      </c>
      <c r="F413" s="514">
        <v>55321.8</v>
      </c>
      <c r="G413" s="514">
        <v>16752.34</v>
      </c>
      <c r="H413" s="437" t="str">
        <f>VLOOKUP(D413,'COA LTD'!A:F,3,0)</f>
        <v>PL</v>
      </c>
      <c r="I413" s="437" t="str">
        <f>VLOOKUP(D413,'COA LTD'!A:F,4,0)</f>
        <v>Marketing expenses</v>
      </c>
      <c r="J413" s="437" t="str">
        <f>VLOOKUP(D413,'COA LTD'!A:F,5,0)</f>
        <v xml:space="preserve">Softwere subscription </v>
      </c>
      <c r="K413" s="439">
        <f t="shared" si="6"/>
        <v>3.3023326890452323</v>
      </c>
      <c r="L413" s="437"/>
      <c r="M413" s="437"/>
      <c r="N413" s="437"/>
      <c r="O413" s="437"/>
      <c r="P413" s="437"/>
      <c r="Q413" s="437"/>
      <c r="R413" s="437"/>
      <c r="S413" s="437"/>
      <c r="T413" s="437"/>
      <c r="U413" s="437"/>
      <c r="V413" s="437"/>
      <c r="W413" s="437"/>
      <c r="X413" s="437"/>
      <c r="Y413" s="437"/>
      <c r="Z413" s="437"/>
    </row>
    <row r="414" spans="1:26" ht="15.75" customHeight="1">
      <c r="A414" t="s">
        <v>1391</v>
      </c>
      <c r="B414" t="s">
        <v>1413</v>
      </c>
      <c r="C414" t="s">
        <v>1417</v>
      </c>
      <c r="D414" s="516">
        <v>82200401</v>
      </c>
      <c r="E414" t="s">
        <v>783</v>
      </c>
      <c r="F414" s="514">
        <v>407595.21</v>
      </c>
      <c r="G414" s="514">
        <v>117137.69</v>
      </c>
      <c r="H414" s="437" t="str">
        <f>VLOOKUP(D414,'COA LTD'!A:F,3,0)</f>
        <v>PL</v>
      </c>
      <c r="I414" s="437" t="str">
        <f>VLOOKUP(D414,'COA LTD'!A:F,4,0)</f>
        <v>Marketing expenses</v>
      </c>
      <c r="J414" s="437" t="str">
        <f>VLOOKUP(D414,'COA LTD'!A:F,5,0)</f>
        <v>Rent and related</v>
      </c>
      <c r="K414" s="439">
        <f t="shared" si="6"/>
        <v>3.4796247902788591</v>
      </c>
      <c r="L414" s="437"/>
      <c r="M414" s="437"/>
      <c r="N414" s="437"/>
      <c r="O414" s="437"/>
      <c r="P414" s="437"/>
      <c r="Q414" s="437"/>
      <c r="R414" s="437"/>
      <c r="S414" s="437"/>
      <c r="T414" s="437"/>
      <c r="U414" s="437"/>
      <c r="V414" s="437"/>
      <c r="W414" s="437"/>
      <c r="X414" s="437"/>
      <c r="Y414" s="437"/>
      <c r="Z414" s="437"/>
    </row>
    <row r="415" spans="1:26" ht="15.75" customHeight="1">
      <c r="A415" t="s">
        <v>1391</v>
      </c>
      <c r="B415" t="s">
        <v>1413</v>
      </c>
      <c r="C415" t="s">
        <v>1417</v>
      </c>
      <c r="D415" s="516">
        <v>82200402</v>
      </c>
      <c r="E415" t="s">
        <v>784</v>
      </c>
      <c r="F415" s="514">
        <v>103243.74</v>
      </c>
      <c r="G415" s="514">
        <v>30101.18</v>
      </c>
      <c r="H415" s="437" t="str">
        <f>VLOOKUP(D415,'COA LTD'!A:F,3,0)</f>
        <v>PL</v>
      </c>
      <c r="I415" s="437" t="str">
        <f>VLOOKUP(D415,'COA LTD'!A:F,4,0)</f>
        <v>Marketing expenses</v>
      </c>
      <c r="J415" s="437" t="str">
        <f>VLOOKUP(D415,'COA LTD'!A:F,5,0)</f>
        <v>Rent and related</v>
      </c>
      <c r="K415" s="439">
        <f t="shared" si="6"/>
        <v>3.429890123908764</v>
      </c>
      <c r="L415" s="437"/>
      <c r="M415" s="437"/>
      <c r="N415" s="437"/>
      <c r="O415" s="437"/>
      <c r="P415" s="437"/>
      <c r="Q415" s="437"/>
      <c r="R415" s="437"/>
      <c r="S415" s="437"/>
      <c r="T415" s="437"/>
      <c r="U415" s="437"/>
      <c r="V415" s="437"/>
      <c r="W415" s="437"/>
      <c r="X415" s="437"/>
      <c r="Y415" s="437"/>
      <c r="Z415" s="437"/>
    </row>
    <row r="416" spans="1:26" ht="15.75" customHeight="1">
      <c r="A416" t="s">
        <v>1391</v>
      </c>
      <c r="B416" t="s">
        <v>1413</v>
      </c>
      <c r="C416" t="s">
        <v>1417</v>
      </c>
      <c r="D416" s="516">
        <v>82200403</v>
      </c>
      <c r="E416" t="s">
        <v>1069</v>
      </c>
      <c r="F416" s="514">
        <v>1626.34</v>
      </c>
      <c r="G416" s="514">
        <v>467.62</v>
      </c>
      <c r="H416" s="437" t="str">
        <f>VLOOKUP(D416,'COA LTD'!A:F,3,0)</f>
        <v>PL</v>
      </c>
      <c r="I416" s="437" t="str">
        <f>VLOOKUP(D416,'COA LTD'!A:F,4,0)</f>
        <v>Marketing expenses</v>
      </c>
      <c r="J416" s="437" t="str">
        <f>VLOOKUP(D416,'COA LTD'!A:F,5,0)</f>
        <v>Rent and related</v>
      </c>
      <c r="K416" s="439">
        <f t="shared" si="6"/>
        <v>3.4779094136264486</v>
      </c>
      <c r="L416" s="437"/>
      <c r="M416" s="437"/>
      <c r="N416" s="437"/>
      <c r="O416" s="437"/>
      <c r="P416" s="437"/>
      <c r="Q416" s="437"/>
      <c r="R416" s="437"/>
      <c r="S416" s="437"/>
      <c r="T416" s="437"/>
      <c r="U416" s="437"/>
      <c r="V416" s="437"/>
      <c r="W416" s="437"/>
      <c r="X416" s="437"/>
      <c r="Y416" s="437"/>
      <c r="Z416" s="437"/>
    </row>
    <row r="417" spans="1:26" ht="15.75" customHeight="1">
      <c r="A417" t="s">
        <v>1391</v>
      </c>
      <c r="B417" t="s">
        <v>1413</v>
      </c>
      <c r="C417" t="s">
        <v>1417</v>
      </c>
      <c r="D417" s="516">
        <v>82200404</v>
      </c>
      <c r="E417" t="s">
        <v>970</v>
      </c>
      <c r="F417" s="514">
        <v>17924.88</v>
      </c>
      <c r="G417" s="514">
        <v>5165.1400000000003</v>
      </c>
      <c r="H417" s="437" t="str">
        <f>VLOOKUP(D417,'COA LTD'!A:F,3,0)</f>
        <v>PL</v>
      </c>
      <c r="I417" s="437" t="str">
        <f>VLOOKUP(D417,'COA LTD'!A:F,4,0)</f>
        <v>Marketing expenses</v>
      </c>
      <c r="J417" s="437" t="str">
        <f>VLOOKUP(D417,'COA LTD'!A:F,5,0)</f>
        <v>Rent and related</v>
      </c>
      <c r="K417" s="439">
        <f t="shared" si="6"/>
        <v>3.4703570474372429</v>
      </c>
      <c r="L417" s="437"/>
      <c r="M417" s="437"/>
      <c r="N417" s="437"/>
      <c r="O417" s="437"/>
      <c r="P417" s="437"/>
      <c r="Q417" s="437"/>
      <c r="R417" s="437"/>
      <c r="S417" s="437"/>
      <c r="T417" s="437"/>
      <c r="U417" s="437"/>
      <c r="V417" s="437"/>
      <c r="W417" s="437"/>
      <c r="X417" s="437"/>
      <c r="Y417" s="437"/>
      <c r="Z417" s="437"/>
    </row>
    <row r="418" spans="1:26" ht="15.75" customHeight="1">
      <c r="A418" t="s">
        <v>1391</v>
      </c>
      <c r="B418" t="s">
        <v>1413</v>
      </c>
      <c r="C418" t="s">
        <v>1417</v>
      </c>
      <c r="D418" s="516">
        <v>82200405</v>
      </c>
      <c r="E418" t="s">
        <v>1259</v>
      </c>
      <c r="F418" s="514">
        <v>22728.95</v>
      </c>
      <c r="G418" s="514">
        <v>6569.35</v>
      </c>
      <c r="H418" s="665" t="str">
        <f>VLOOKUP(D418,'COA LTD'!A:F,3,0)</f>
        <v>PL</v>
      </c>
      <c r="I418" s="437" t="str">
        <f>VLOOKUP(D418,'COA LTD'!A:F,4,0)</f>
        <v>Marketing expenses</v>
      </c>
      <c r="J418" s="665" t="str">
        <f>VLOOKUP(D418,'COA LTD'!A:F,5,0)</f>
        <v>Design</v>
      </c>
      <c r="K418" s="439">
        <f t="shared" si="6"/>
        <v>3.459847625716395</v>
      </c>
      <c r="L418" s="437"/>
      <c r="M418" s="437"/>
      <c r="N418" s="437"/>
      <c r="O418" s="437"/>
      <c r="P418" s="437"/>
      <c r="Q418" s="437"/>
      <c r="R418" s="437"/>
      <c r="S418" s="437"/>
      <c r="T418" s="437"/>
      <c r="U418" s="437"/>
      <c r="V418" s="437"/>
      <c r="W418" s="437"/>
      <c r="X418" s="437"/>
      <c r="Y418" s="437"/>
      <c r="Z418" s="437"/>
    </row>
    <row r="419" spans="1:26" ht="15.75" customHeight="1">
      <c r="A419" t="s">
        <v>1391</v>
      </c>
      <c r="B419" t="s">
        <v>1413</v>
      </c>
      <c r="C419" t="s">
        <v>1417</v>
      </c>
      <c r="D419" s="516">
        <v>82200406</v>
      </c>
      <c r="E419" t="s">
        <v>785</v>
      </c>
      <c r="F419" s="514">
        <v>25850.18</v>
      </c>
      <c r="G419" s="514">
        <v>7608.18</v>
      </c>
      <c r="H419" s="665" t="str">
        <f>VLOOKUP(D419,'COA LTD'!A:F,3,0)</f>
        <v>PL</v>
      </c>
      <c r="I419" s="437" t="str">
        <f>VLOOKUP(D419,'COA LTD'!A:F,4,0)</f>
        <v>Marketing expenses</v>
      </c>
      <c r="J419" s="665" t="str">
        <f>VLOOKUP(D419,'COA LTD'!A:F,5,0)</f>
        <v>Rent and related</v>
      </c>
      <c r="K419" s="666">
        <f t="shared" si="6"/>
        <v>3.397682494367904</v>
      </c>
      <c r="L419" s="437"/>
      <c r="M419" s="437"/>
      <c r="N419" s="437"/>
      <c r="O419" s="437"/>
      <c r="P419" s="437"/>
      <c r="Q419" s="437"/>
      <c r="R419" s="437"/>
      <c r="S419" s="437"/>
      <c r="T419" s="437"/>
      <c r="U419" s="437"/>
      <c r="V419" s="437"/>
      <c r="W419" s="437"/>
      <c r="X419" s="437"/>
      <c r="Y419" s="437"/>
      <c r="Z419" s="437"/>
    </row>
    <row r="420" spans="1:26" ht="15.75" customHeight="1">
      <c r="A420" t="s">
        <v>1391</v>
      </c>
      <c r="B420" t="s">
        <v>1413</v>
      </c>
      <c r="C420" t="s">
        <v>1417</v>
      </c>
      <c r="D420" s="516">
        <v>82200407</v>
      </c>
      <c r="E420" t="s">
        <v>951</v>
      </c>
      <c r="F420" s="514">
        <v>152602.28</v>
      </c>
      <c r="G420" s="514">
        <v>44607.81</v>
      </c>
      <c r="H420" s="665" t="str">
        <f>VLOOKUP(D420,'COA LTD'!A:F,3,0)</f>
        <v>PL</v>
      </c>
      <c r="I420" s="437" t="str">
        <f>VLOOKUP(D420,'COA LTD'!A:F,4,0)</f>
        <v>Marketing expenses</v>
      </c>
      <c r="J420" s="665" t="str">
        <f>VLOOKUP(D420,'COA LTD'!A:F,5,0)</f>
        <v>Rent and related</v>
      </c>
      <c r="K420" s="439">
        <f t="shared" si="6"/>
        <v>3.4209767303079888</v>
      </c>
      <c r="L420" s="437"/>
      <c r="M420" s="437"/>
      <c r="N420" s="437"/>
      <c r="O420" s="437"/>
      <c r="P420" s="437"/>
      <c r="Q420" s="437"/>
      <c r="R420" s="437"/>
      <c r="S420" s="437"/>
      <c r="T420" s="437"/>
      <c r="U420" s="437"/>
      <c r="V420" s="437"/>
      <c r="W420" s="437"/>
      <c r="X420" s="437"/>
      <c r="Y420" s="437"/>
      <c r="Z420" s="437"/>
    </row>
    <row r="421" spans="1:26" ht="15.75" customHeight="1">
      <c r="A421" t="s">
        <v>1391</v>
      </c>
      <c r="B421" t="s">
        <v>1413</v>
      </c>
      <c r="C421" t="s">
        <v>1417</v>
      </c>
      <c r="D421" s="516">
        <v>82200408</v>
      </c>
      <c r="E421" t="s">
        <v>971</v>
      </c>
      <c r="F421" s="514">
        <v>84378.26</v>
      </c>
      <c r="G421" s="514">
        <v>24555.53</v>
      </c>
      <c r="H421" s="665" t="str">
        <f>VLOOKUP(D421,'COA LTD'!A:F,3,0)</f>
        <v>PL</v>
      </c>
      <c r="I421" s="437" t="str">
        <f>VLOOKUP(D421,'COA LTD'!A:F,4,0)</f>
        <v>Marketing expenses</v>
      </c>
      <c r="J421" s="665" t="str">
        <f>VLOOKUP(D421,'COA LTD'!A:F,5,0)</f>
        <v>Rent and related</v>
      </c>
      <c r="K421" s="439">
        <f t="shared" si="6"/>
        <v>3.4362223091906383</v>
      </c>
      <c r="L421" s="437"/>
      <c r="M421" s="437"/>
      <c r="N421" s="437"/>
      <c r="O421" s="437"/>
      <c r="P421" s="437"/>
      <c r="Q421" s="437"/>
      <c r="R421" s="437"/>
      <c r="S421" s="437"/>
      <c r="T421" s="437"/>
      <c r="U421" s="437"/>
      <c r="V421" s="437"/>
      <c r="W421" s="437"/>
      <c r="X421" s="437"/>
      <c r="Y421" s="437"/>
      <c r="Z421" s="437"/>
    </row>
    <row r="422" spans="1:26" ht="15.75" customHeight="1">
      <c r="A422" t="s">
        <v>1391</v>
      </c>
      <c r="B422" t="s">
        <v>1413</v>
      </c>
      <c r="C422" t="s">
        <v>1417</v>
      </c>
      <c r="D422" s="516">
        <v>82200409</v>
      </c>
      <c r="E422" t="s">
        <v>972</v>
      </c>
      <c r="F422" s="514">
        <v>10506.95</v>
      </c>
      <c r="G422" s="514">
        <v>3083.41</v>
      </c>
      <c r="H422" s="437" t="str">
        <f>VLOOKUP(D422,'COA LTD'!A:F,3,0)</f>
        <v>PL</v>
      </c>
      <c r="I422" s="437" t="str">
        <f>VLOOKUP(D422,'COA LTD'!A:F,4,0)</f>
        <v>Marketing expenses</v>
      </c>
      <c r="J422" s="437" t="str">
        <f>VLOOKUP(D422,'COA LTD'!A:F,5,0)</f>
        <v>Rent and related</v>
      </c>
      <c r="K422" s="439">
        <f t="shared" si="6"/>
        <v>3.4075747305742672</v>
      </c>
      <c r="L422" s="437"/>
      <c r="M422" s="437"/>
      <c r="N422" s="437"/>
      <c r="O422" s="437"/>
      <c r="P422" s="437"/>
      <c r="Q422" s="437"/>
      <c r="R422" s="437"/>
      <c r="S422" s="437"/>
      <c r="T422" s="437"/>
      <c r="U422" s="437"/>
      <c r="V422" s="437"/>
      <c r="W422" s="437"/>
      <c r="X422" s="437"/>
      <c r="Y422" s="437"/>
      <c r="Z422" s="437"/>
    </row>
    <row r="423" spans="1:26" ht="15.75" customHeight="1">
      <c r="A423" t="s">
        <v>1391</v>
      </c>
      <c r="B423" t="s">
        <v>1413</v>
      </c>
      <c r="C423" t="s">
        <v>1417</v>
      </c>
      <c r="D423" s="516">
        <v>82200410</v>
      </c>
      <c r="E423" t="s">
        <v>1135</v>
      </c>
      <c r="F423" s="514">
        <v>836.48</v>
      </c>
      <c r="G423" s="514">
        <v>243.81</v>
      </c>
      <c r="H423" s="437" t="str">
        <f>VLOOKUP(D423,'COA LTD'!A:F,3,0)</f>
        <v>PL</v>
      </c>
      <c r="I423" s="437" t="str">
        <f>VLOOKUP(D423,'COA LTD'!A:F,4,0)</f>
        <v>Marketing expenses</v>
      </c>
      <c r="J423" s="437" t="str">
        <f>VLOOKUP(D423,'COA LTD'!A:F,5,0)</f>
        <v>Fees and fines</v>
      </c>
      <c r="K423" s="439">
        <f t="shared" si="6"/>
        <v>3.4308682990853532</v>
      </c>
      <c r="L423" s="437"/>
      <c r="M423" s="437"/>
      <c r="N423" s="437"/>
      <c r="O423" s="437"/>
      <c r="P423" s="437"/>
      <c r="Q423" s="437"/>
      <c r="R423" s="437"/>
      <c r="S423" s="437"/>
      <c r="T423" s="437"/>
      <c r="U423" s="437"/>
      <c r="V423" s="437"/>
      <c r="W423" s="437"/>
      <c r="X423" s="437"/>
      <c r="Y423" s="437"/>
      <c r="Z423" s="437"/>
    </row>
    <row r="424" spans="1:26" ht="15.75" customHeight="1">
      <c r="A424" t="s">
        <v>1391</v>
      </c>
      <c r="B424" t="s">
        <v>1413</v>
      </c>
      <c r="C424" t="s">
        <v>1417</v>
      </c>
      <c r="D424" s="516">
        <v>82200412</v>
      </c>
      <c r="E424" t="s">
        <v>1614</v>
      </c>
      <c r="F424" s="514">
        <v>11489.81</v>
      </c>
      <c r="G424" s="514">
        <v>3316.92</v>
      </c>
      <c r="H424" s="437" t="str">
        <f>VLOOKUP(D424,'COA LTD'!A:F,3,0)</f>
        <v>PL</v>
      </c>
      <c r="I424" s="437" t="str">
        <f>VLOOKUP(D424,'COA LTD'!A:F,4,0)</f>
        <v>Marketing expenses</v>
      </c>
      <c r="J424" s="437" t="str">
        <f>VLOOKUP(D424,'COA LTD'!A:F,5,0)</f>
        <v>Rent and related</v>
      </c>
      <c r="K424" s="439">
        <f t="shared" si="6"/>
        <v>3.4639997346936311</v>
      </c>
      <c r="L424" s="437"/>
      <c r="M424" s="437"/>
      <c r="N424" s="437"/>
      <c r="O424" s="437"/>
      <c r="P424" s="437"/>
      <c r="Q424" s="437"/>
      <c r="R424" s="437"/>
      <c r="S424" s="437"/>
      <c r="T424" s="437"/>
      <c r="U424" s="437"/>
      <c r="V424" s="437"/>
      <c r="W424" s="437"/>
      <c r="X424" s="437"/>
      <c r="Y424" s="437"/>
      <c r="Z424" s="437"/>
    </row>
    <row r="425" spans="1:26" ht="15.75" customHeight="1">
      <c r="A425" t="s">
        <v>1391</v>
      </c>
      <c r="B425" t="s">
        <v>1413</v>
      </c>
      <c r="C425" t="s">
        <v>1418</v>
      </c>
      <c r="D425" s="516">
        <v>82200500</v>
      </c>
      <c r="E425" t="s">
        <v>786</v>
      </c>
      <c r="F425" s="514">
        <v>107986.72</v>
      </c>
      <c r="G425" s="514">
        <v>33124.83</v>
      </c>
      <c r="H425" s="437" t="str">
        <f>VLOOKUP(D425,'COA LTD'!A:F,3,0)</f>
        <v>PL</v>
      </c>
      <c r="I425" s="437" t="str">
        <f>VLOOKUP(D425,'COA LTD'!A:F,4,0)</f>
        <v>Marketing expenses</v>
      </c>
      <c r="J425" s="437" t="str">
        <f>VLOOKUP(D425,'COA LTD'!A:F,5,0)</f>
        <v>Depreciation</v>
      </c>
      <c r="K425" s="439">
        <f t="shared" ref="K425:K488" si="7">F425/G425</f>
        <v>3.2599931833612428</v>
      </c>
      <c r="L425" s="437"/>
      <c r="M425" s="437"/>
      <c r="N425" s="437"/>
      <c r="O425" s="437"/>
      <c r="P425" s="437"/>
      <c r="Q425" s="437"/>
      <c r="R425" s="437"/>
      <c r="S425" s="437"/>
      <c r="T425" s="437"/>
      <c r="U425" s="437"/>
      <c r="V425" s="437"/>
      <c r="W425" s="437"/>
      <c r="X425" s="437"/>
      <c r="Y425" s="437"/>
      <c r="Z425" s="437"/>
    </row>
    <row r="426" spans="1:26" ht="15.75" customHeight="1">
      <c r="A426" t="s">
        <v>1391</v>
      </c>
      <c r="B426" t="s">
        <v>1413</v>
      </c>
      <c r="C426" t="s">
        <v>1419</v>
      </c>
      <c r="D426" s="516">
        <v>82200601</v>
      </c>
      <c r="E426" t="s">
        <v>1053</v>
      </c>
      <c r="F426" s="514">
        <v>4182.8</v>
      </c>
      <c r="G426" s="514">
        <v>1262.26</v>
      </c>
      <c r="H426" s="437" t="str">
        <f>VLOOKUP(D426,'COA LTD'!A:F,3,0)</f>
        <v>PL</v>
      </c>
      <c r="I426" s="437" t="str">
        <f>VLOOKUP(D426,'COA LTD'!A:F,4,0)</f>
        <v>Marketing expenses</v>
      </c>
      <c r="J426" s="437" t="str">
        <f>VLOOKUP(D426,'COA LTD'!A:F,5,0)</f>
        <v>Welfare</v>
      </c>
      <c r="K426" s="439">
        <f t="shared" si="7"/>
        <v>3.3137388493654241</v>
      </c>
      <c r="L426" s="437"/>
      <c r="M426" s="437"/>
      <c r="N426" s="437"/>
      <c r="O426" s="437"/>
      <c r="P426" s="437"/>
      <c r="Q426" s="437"/>
      <c r="R426" s="437"/>
      <c r="S426" s="437"/>
      <c r="T426" s="437"/>
      <c r="U426" s="437"/>
      <c r="V426" s="437"/>
      <c r="W426" s="437"/>
      <c r="X426" s="437"/>
      <c r="Y426" s="437"/>
      <c r="Z426" s="437"/>
    </row>
    <row r="427" spans="1:26" ht="15.75" customHeight="1">
      <c r="A427" t="s">
        <v>1391</v>
      </c>
      <c r="B427" t="s">
        <v>1413</v>
      </c>
      <c r="C427" t="s">
        <v>1419</v>
      </c>
      <c r="D427" s="516">
        <v>82200602</v>
      </c>
      <c r="E427" t="s">
        <v>787</v>
      </c>
      <c r="F427" s="514">
        <v>360812.2</v>
      </c>
      <c r="G427" s="514">
        <v>106943.14</v>
      </c>
      <c r="H427" s="437" t="str">
        <f>VLOOKUP(D427,'COA LTD'!A:F,3,0)</f>
        <v>PL</v>
      </c>
      <c r="I427" s="437" t="str">
        <f>VLOOKUP(D427,'COA LTD'!A:F,4,0)</f>
        <v>Marketing expenses</v>
      </c>
      <c r="J427" s="437" t="str">
        <f>VLOOKUP(D427,'COA LTD'!A:F,5,0)</f>
        <v xml:space="preserve"> Company events</v>
      </c>
      <c r="K427" s="439">
        <f t="shared" si="7"/>
        <v>3.3738695160811627</v>
      </c>
      <c r="L427" s="437"/>
      <c r="M427" s="437"/>
      <c r="N427" s="437"/>
      <c r="O427" s="437"/>
      <c r="P427" s="437"/>
      <c r="Q427" s="437"/>
      <c r="R427" s="437"/>
      <c r="S427" s="437"/>
      <c r="T427" s="437"/>
      <c r="U427" s="437"/>
      <c r="V427" s="437"/>
      <c r="W427" s="437"/>
      <c r="X427" s="437"/>
      <c r="Y427" s="437"/>
      <c r="Z427" s="437"/>
    </row>
    <row r="428" spans="1:26" ht="15.75" customHeight="1">
      <c r="A428" t="s">
        <v>1391</v>
      </c>
      <c r="B428" t="s">
        <v>1413</v>
      </c>
      <c r="C428" t="s">
        <v>1419</v>
      </c>
      <c r="D428" s="516">
        <v>82200603</v>
      </c>
      <c r="E428" t="s">
        <v>788</v>
      </c>
      <c r="F428" s="514">
        <v>59157.19</v>
      </c>
      <c r="G428" s="514">
        <v>17764</v>
      </c>
      <c r="H428" s="437" t="str">
        <f>VLOOKUP(D428,'COA LTD'!A:F,3,0)</f>
        <v>PL</v>
      </c>
      <c r="I428" s="437" t="str">
        <f>VLOOKUP(D428,'COA LTD'!A:F,4,0)</f>
        <v>Marketing expenses</v>
      </c>
      <c r="J428" s="437" t="str">
        <f>VLOOKUP(D428,'COA LTD'!A:F,5,0)</f>
        <v>Benefits</v>
      </c>
      <c r="K428" s="439">
        <f t="shared" si="7"/>
        <v>3.3301728214366135</v>
      </c>
      <c r="L428" s="437"/>
      <c r="M428" s="437"/>
      <c r="N428" s="437"/>
      <c r="O428" s="437"/>
      <c r="P428" s="437"/>
      <c r="Q428" s="437"/>
      <c r="R428" s="437"/>
      <c r="S428" s="437"/>
      <c r="T428" s="437"/>
      <c r="U428" s="437"/>
      <c r="V428" s="437"/>
      <c r="W428" s="437"/>
      <c r="X428" s="437"/>
      <c r="Y428" s="437"/>
      <c r="Z428" s="437"/>
    </row>
    <row r="429" spans="1:26" ht="15.75" customHeight="1">
      <c r="A429" t="s">
        <v>1391</v>
      </c>
      <c r="B429" t="s">
        <v>1413</v>
      </c>
      <c r="C429" t="s">
        <v>1419</v>
      </c>
      <c r="D429" s="516">
        <v>82200604</v>
      </c>
      <c r="E429" t="s">
        <v>789</v>
      </c>
      <c r="F429" s="514">
        <v>317248.46000000002</v>
      </c>
      <c r="G429" s="514">
        <v>94035.67</v>
      </c>
      <c r="H429" s="437" t="str">
        <f>VLOOKUP(D429,'COA LTD'!A:F,3,0)</f>
        <v>PL</v>
      </c>
      <c r="I429" s="437" t="str">
        <f>VLOOKUP(D429,'COA LTD'!A:F,4,0)</f>
        <v>Marketing expenses</v>
      </c>
      <c r="J429" s="437" t="str">
        <f>VLOOKUP(D429,'COA LTD'!A:F,5,0)</f>
        <v>Refreshments &amp; Meals</v>
      </c>
      <c r="K429" s="439">
        <f t="shared" si="7"/>
        <v>3.3737034042507488</v>
      </c>
      <c r="L429" s="437"/>
      <c r="M429" s="437"/>
      <c r="N429" s="437"/>
      <c r="O429" s="437"/>
      <c r="P429" s="437"/>
      <c r="Q429" s="437"/>
      <c r="R429" s="437"/>
      <c r="S429" s="437"/>
      <c r="T429" s="437"/>
      <c r="U429" s="437"/>
      <c r="V429" s="437"/>
      <c r="W429" s="437"/>
      <c r="X429" s="437"/>
      <c r="Y429" s="437"/>
      <c r="Z429" s="437"/>
    </row>
    <row r="430" spans="1:26" ht="15.75" customHeight="1">
      <c r="A430" t="s">
        <v>1391</v>
      </c>
      <c r="B430" t="s">
        <v>1413</v>
      </c>
      <c r="C430" t="s">
        <v>1419</v>
      </c>
      <c r="D430" s="516">
        <v>82200605</v>
      </c>
      <c r="E430" t="s">
        <v>790</v>
      </c>
      <c r="F430" s="514">
        <v>12110.43</v>
      </c>
      <c r="G430" s="514">
        <v>3325.12</v>
      </c>
      <c r="H430" s="437" t="str">
        <f>VLOOKUP(D430,'COA LTD'!A:F,3,0)</f>
        <v>PL</v>
      </c>
      <c r="I430" s="437" t="str">
        <f>VLOOKUP(D430,'COA LTD'!A:F,4,0)</f>
        <v>Marketing expenses</v>
      </c>
      <c r="J430" s="437" t="str">
        <f>VLOOKUP(D430,'COA LTD'!A:F,5,0)</f>
        <v>Conferences and seminars</v>
      </c>
      <c r="K430" s="439">
        <f t="shared" si="7"/>
        <v>3.6421031421422385</v>
      </c>
      <c r="L430" s="437"/>
      <c r="M430" s="437"/>
      <c r="N430" s="437"/>
      <c r="O430" s="437"/>
      <c r="P430" s="437"/>
      <c r="Q430" s="437"/>
      <c r="R430" s="437"/>
      <c r="S430" s="437"/>
      <c r="T430" s="437"/>
      <c r="U430" s="437"/>
      <c r="V430" s="437"/>
      <c r="W430" s="437"/>
      <c r="X430" s="437"/>
      <c r="Y430" s="437"/>
      <c r="Z430" s="437"/>
    </row>
    <row r="431" spans="1:26" ht="15.75" customHeight="1">
      <c r="A431" t="s">
        <v>1391</v>
      </c>
      <c r="B431" t="s">
        <v>1413</v>
      </c>
      <c r="C431" t="s">
        <v>1420</v>
      </c>
      <c r="D431" s="516">
        <v>82200802</v>
      </c>
      <c r="E431" t="s">
        <v>792</v>
      </c>
      <c r="F431" s="514">
        <v>20451.88</v>
      </c>
      <c r="G431" s="514">
        <v>6291.36</v>
      </c>
      <c r="H431" s="437" t="str">
        <f>VLOOKUP(D431,'COA LTD'!A:F,3,0)</f>
        <v>PL</v>
      </c>
      <c r="I431" s="437" t="str">
        <f>VLOOKUP(D431,'COA LTD'!A:F,4,0)</f>
        <v>Marketing expenses</v>
      </c>
      <c r="J431" s="437" t="str">
        <f>VLOOKUP(D431,'COA LTD'!A:F,5,0)</f>
        <v>insurance</v>
      </c>
      <c r="K431" s="439">
        <f t="shared" si="7"/>
        <v>3.2507883827979964</v>
      </c>
      <c r="L431" s="437"/>
      <c r="M431" s="437"/>
      <c r="N431" s="437"/>
      <c r="O431" s="437"/>
      <c r="P431" s="437"/>
      <c r="Q431" s="437"/>
      <c r="R431" s="437"/>
      <c r="S431" s="437"/>
      <c r="T431" s="437"/>
      <c r="U431" s="437"/>
      <c r="V431" s="437"/>
      <c r="W431" s="437"/>
      <c r="X431" s="437"/>
      <c r="Y431" s="437"/>
      <c r="Z431" s="437"/>
    </row>
    <row r="432" spans="1:26" ht="15.75" customHeight="1">
      <c r="A432" t="s">
        <v>1391</v>
      </c>
      <c r="B432" t="s">
        <v>1413</v>
      </c>
      <c r="C432" t="s">
        <v>1421</v>
      </c>
      <c r="D432" s="516">
        <v>82110900</v>
      </c>
      <c r="E432" t="s">
        <v>793</v>
      </c>
      <c r="F432" s="514">
        <v>759668120.21000004</v>
      </c>
      <c r="G432" s="514">
        <v>225249411.19</v>
      </c>
      <c r="H432" s="437" t="str">
        <f>VLOOKUP(D432,'COA LTD'!A:F,3,0)</f>
        <v>PL</v>
      </c>
      <c r="I432" s="437" t="str">
        <f>VLOOKUP(D432,'COA LTD'!A:F,4,0)</f>
        <v>Marketing expenses</v>
      </c>
      <c r="J432" s="437" t="str">
        <f>VLOOKUP(D432,'COA LTD'!A:F,5,0)</f>
        <v>User Acquisition</v>
      </c>
      <c r="K432" s="439">
        <f t="shared" si="7"/>
        <v>3.3725642886107829</v>
      </c>
      <c r="L432" s="437"/>
      <c r="M432" s="437"/>
      <c r="N432" s="437"/>
      <c r="O432" s="437"/>
      <c r="P432" s="437"/>
      <c r="Q432" s="437"/>
      <c r="R432" s="437"/>
      <c r="S432" s="437"/>
      <c r="T432" s="437"/>
      <c r="U432" s="437"/>
      <c r="V432" s="437"/>
      <c r="W432" s="437"/>
      <c r="X432" s="437"/>
      <c r="Y432" s="437"/>
      <c r="Z432" s="437"/>
    </row>
    <row r="433" spans="1:26" ht="15.75" customHeight="1">
      <c r="A433" t="s">
        <v>1391</v>
      </c>
      <c r="B433" t="s">
        <v>1413</v>
      </c>
      <c r="C433" t="s">
        <v>1421</v>
      </c>
      <c r="D433" s="516">
        <v>82110902</v>
      </c>
      <c r="E433" t="s">
        <v>1054</v>
      </c>
      <c r="F433" s="514">
        <v>41210</v>
      </c>
      <c r="G433" s="514">
        <v>11776.81</v>
      </c>
      <c r="H433" s="437" t="str">
        <f>VLOOKUP(D433,'COA LTD'!A:F,3,0)</f>
        <v>PL</v>
      </c>
      <c r="I433" s="437" t="str">
        <f>VLOOKUP(D433,'COA LTD'!A:F,4,0)</f>
        <v>Marketing expenses</v>
      </c>
      <c r="J433" s="437" t="str">
        <f>VLOOKUP(D433,'COA LTD'!A:F,5,0)</f>
        <v>PR</v>
      </c>
      <c r="K433" s="439">
        <f t="shared" si="7"/>
        <v>3.4992497968465148</v>
      </c>
      <c r="L433" s="437"/>
      <c r="M433" s="437"/>
      <c r="N433" s="437"/>
      <c r="O433" s="437"/>
      <c r="P433" s="437"/>
      <c r="Q433" s="437"/>
      <c r="R433" s="437"/>
      <c r="S433" s="437"/>
      <c r="T433" s="437"/>
      <c r="U433" s="437"/>
      <c r="V433" s="437"/>
      <c r="W433" s="437"/>
      <c r="X433" s="437"/>
      <c r="Y433" s="437"/>
      <c r="Z433" s="437"/>
    </row>
    <row r="434" spans="1:26" ht="15.75" customHeight="1">
      <c r="A434" t="s">
        <v>1391</v>
      </c>
      <c r="B434" t="s">
        <v>1413</v>
      </c>
      <c r="C434" t="s">
        <v>1421</v>
      </c>
      <c r="D434" s="516">
        <v>82110903</v>
      </c>
      <c r="E434" t="s">
        <v>794</v>
      </c>
      <c r="F434" s="514">
        <v>54677.75</v>
      </c>
      <c r="G434" s="514">
        <v>16129.79</v>
      </c>
      <c r="H434" s="437" t="str">
        <f>VLOOKUP(D434,'COA LTD'!A:F,3,0)</f>
        <v>PL</v>
      </c>
      <c r="I434" s="437" t="str">
        <f>VLOOKUP(D434,'COA LTD'!A:F,4,0)</f>
        <v>Marketing expenses</v>
      </c>
      <c r="J434" s="437" t="str">
        <f>VLOOKUP(D434,'COA LTD'!A:F,5,0)</f>
        <v>PR</v>
      </c>
      <c r="K434" s="439">
        <f t="shared" si="7"/>
        <v>3.3898612443187419</v>
      </c>
      <c r="L434" s="437"/>
      <c r="M434" s="437"/>
      <c r="N434" s="437"/>
      <c r="O434" s="437"/>
      <c r="P434" s="437"/>
      <c r="Q434" s="437"/>
      <c r="R434" s="437"/>
      <c r="S434" s="437"/>
      <c r="T434" s="437"/>
      <c r="U434" s="437"/>
      <c r="V434" s="437"/>
      <c r="W434" s="437"/>
      <c r="X434" s="437"/>
      <c r="Y434" s="437"/>
      <c r="Z434" s="437"/>
    </row>
    <row r="435" spans="1:26" ht="15.75" customHeight="1">
      <c r="A435" t="s">
        <v>1391</v>
      </c>
      <c r="B435" t="s">
        <v>1413</v>
      </c>
      <c r="C435" t="s">
        <v>1421</v>
      </c>
      <c r="D435" s="516">
        <v>82110904</v>
      </c>
      <c r="E435" t="s">
        <v>795</v>
      </c>
      <c r="F435" s="514">
        <v>5045304.71</v>
      </c>
      <c r="G435" s="514">
        <v>1477985.36</v>
      </c>
      <c r="H435" s="437" t="str">
        <f>VLOOKUP(D435,'COA LTD'!A:F,3,0)</f>
        <v>PL</v>
      </c>
      <c r="I435" s="437" t="str">
        <f>VLOOKUP(D435,'COA LTD'!A:F,4,0)</f>
        <v>Marketing expenses</v>
      </c>
      <c r="J435" s="437" t="str">
        <f>VLOOKUP(D435,'COA LTD'!A:F,5,0)</f>
        <v>PR</v>
      </c>
      <c r="K435" s="439">
        <f t="shared" si="7"/>
        <v>3.4136364584829173</v>
      </c>
      <c r="L435" s="437"/>
      <c r="M435" s="437"/>
      <c r="N435" s="437"/>
      <c r="O435" s="437"/>
      <c r="P435" s="437"/>
      <c r="Q435" s="437"/>
      <c r="R435" s="437"/>
      <c r="S435" s="437"/>
      <c r="T435" s="437"/>
      <c r="U435" s="437"/>
      <c r="V435" s="437"/>
      <c r="W435" s="437"/>
      <c r="X435" s="437"/>
      <c r="Y435" s="437"/>
      <c r="Z435" s="437"/>
    </row>
    <row r="436" spans="1:26" ht="15.75" customHeight="1">
      <c r="A436" t="s">
        <v>1391</v>
      </c>
      <c r="B436" t="s">
        <v>1413</v>
      </c>
      <c r="C436" t="s">
        <v>1421</v>
      </c>
      <c r="D436" s="516">
        <v>82110905</v>
      </c>
      <c r="E436" t="s">
        <v>796</v>
      </c>
      <c r="F436" s="514">
        <v>513540.09</v>
      </c>
      <c r="G436" s="514">
        <v>162597.44</v>
      </c>
      <c r="H436" s="437" t="str">
        <f>VLOOKUP(D436,'COA LTD'!A:F,3,0)</f>
        <v>PL</v>
      </c>
      <c r="I436" s="437" t="str">
        <f>VLOOKUP(D436,'COA LTD'!A:F,4,0)</f>
        <v>Marketing expenses</v>
      </c>
      <c r="J436" s="437" t="str">
        <f>VLOOKUP(D436,'COA LTD'!A:F,5,0)</f>
        <v>PR</v>
      </c>
      <c r="K436" s="439">
        <f t="shared" si="7"/>
        <v>3.1583528621360828</v>
      </c>
      <c r="L436" s="437"/>
      <c r="M436" s="437"/>
      <c r="N436" s="437"/>
      <c r="O436" s="437"/>
      <c r="P436" s="437"/>
      <c r="Q436" s="437"/>
      <c r="R436" s="437"/>
      <c r="S436" s="437"/>
      <c r="T436" s="437"/>
      <c r="U436" s="437"/>
      <c r="V436" s="437"/>
      <c r="W436" s="437"/>
      <c r="X436" s="437"/>
      <c r="Y436" s="437"/>
      <c r="Z436" s="437"/>
    </row>
    <row r="437" spans="1:26" ht="15.75" customHeight="1">
      <c r="A437" t="s">
        <v>1391</v>
      </c>
      <c r="B437" t="s">
        <v>1413</v>
      </c>
      <c r="C437" t="s">
        <v>1421</v>
      </c>
      <c r="D437" s="516">
        <v>82110906</v>
      </c>
      <c r="E437" t="s">
        <v>797</v>
      </c>
      <c r="F437" s="514">
        <v>2408656.73</v>
      </c>
      <c r="G437" s="514">
        <v>731169.24</v>
      </c>
      <c r="H437" s="437" t="str">
        <f>VLOOKUP(D437,'COA LTD'!A:F,3,0)</f>
        <v>PL</v>
      </c>
      <c r="I437" s="437" t="str">
        <f>VLOOKUP(D437,'COA LTD'!A:F,4,0)</f>
        <v>Marketing expenses</v>
      </c>
      <c r="J437" s="437" t="str">
        <f>VLOOKUP(D437,'COA LTD'!A:F,5,0)</f>
        <v xml:space="preserve">Softwere subscription </v>
      </c>
      <c r="K437" s="439">
        <f t="shared" si="7"/>
        <v>3.2942533660196101</v>
      </c>
      <c r="L437" s="437"/>
      <c r="M437" s="437"/>
      <c r="N437" s="437"/>
      <c r="O437" s="437"/>
      <c r="P437" s="437"/>
      <c r="Q437" s="437"/>
      <c r="R437" s="437"/>
      <c r="S437" s="437"/>
      <c r="T437" s="437"/>
      <c r="U437" s="437"/>
      <c r="V437" s="437"/>
      <c r="W437" s="437"/>
      <c r="X437" s="437"/>
      <c r="Y437" s="437"/>
      <c r="Z437" s="437"/>
    </row>
    <row r="438" spans="1:26" ht="15.75" customHeight="1">
      <c r="A438" t="s">
        <v>1391</v>
      </c>
      <c r="B438" t="s">
        <v>1413</v>
      </c>
      <c r="C438" t="s">
        <v>1421</v>
      </c>
      <c r="D438" s="516">
        <v>82110909</v>
      </c>
      <c r="E438" t="s">
        <v>1422</v>
      </c>
      <c r="F438" s="514">
        <v>75149.429999999993</v>
      </c>
      <c r="G438" s="514">
        <v>21808.15</v>
      </c>
      <c r="H438" s="437" t="str">
        <f>VLOOKUP(D438,'COA LTD'!A:F,3,0)</f>
        <v>PL</v>
      </c>
      <c r="I438" s="437" t="str">
        <f>VLOOKUP(D438,'COA LTD'!A:F,4,0)</f>
        <v>Marketing expenses</v>
      </c>
      <c r="J438" s="437" t="str">
        <f>VLOOKUP(D438,'COA LTD'!A:F,5,0)</f>
        <v xml:space="preserve">Gift to Users </v>
      </c>
      <c r="K438" s="439">
        <f t="shared" si="7"/>
        <v>3.4459332864089798</v>
      </c>
      <c r="L438" s="437"/>
      <c r="M438" s="437"/>
      <c r="N438" s="437"/>
      <c r="O438" s="437"/>
      <c r="P438" s="437"/>
      <c r="Q438" s="437"/>
      <c r="R438" s="437"/>
      <c r="S438" s="437"/>
      <c r="T438" s="437"/>
      <c r="U438" s="437"/>
      <c r="V438" s="437"/>
      <c r="W438" s="437"/>
      <c r="X438" s="437"/>
      <c r="Y438" s="437"/>
      <c r="Z438" s="437"/>
    </row>
    <row r="439" spans="1:26" ht="15.75" customHeight="1">
      <c r="A439" t="s">
        <v>1391</v>
      </c>
      <c r="B439" t="s">
        <v>1413</v>
      </c>
      <c r="C439" t="s">
        <v>1421</v>
      </c>
      <c r="D439" s="516">
        <v>82110910</v>
      </c>
      <c r="E439" t="s">
        <v>1254</v>
      </c>
      <c r="F439" s="514">
        <v>1714376</v>
      </c>
      <c r="G439" s="514">
        <v>496864.3</v>
      </c>
      <c r="H439" s="437" t="str">
        <f>VLOOKUP(D439,'COA LTD'!A:F,3,0)</f>
        <v>PL</v>
      </c>
      <c r="I439" s="437" t="str">
        <f>VLOOKUP(D439,'COA LTD'!A:F,4,0)</f>
        <v>Marketing expenses</v>
      </c>
      <c r="J439" s="437" t="str">
        <f>VLOOKUP(D439,'COA LTD'!A:F,5,0)</f>
        <v xml:space="preserve">Softwere subscription </v>
      </c>
      <c r="K439" s="439">
        <f t="shared" si="7"/>
        <v>3.4503907807423477</v>
      </c>
      <c r="L439" s="437"/>
      <c r="M439" s="437"/>
      <c r="N439" s="437"/>
      <c r="O439" s="437"/>
      <c r="P439" s="437"/>
      <c r="Q439" s="437"/>
      <c r="R439" s="437"/>
      <c r="S439" s="437"/>
      <c r="T439" s="437"/>
      <c r="U439" s="437"/>
      <c r="V439" s="437"/>
      <c r="W439" s="437"/>
      <c r="X439" s="437"/>
      <c r="Y439" s="437"/>
      <c r="Z439" s="437"/>
    </row>
    <row r="440" spans="1:26" ht="15.75" customHeight="1">
      <c r="A440" t="s">
        <v>1391</v>
      </c>
      <c r="B440" t="s">
        <v>1413</v>
      </c>
      <c r="C440" t="s">
        <v>1421</v>
      </c>
      <c r="D440" s="516">
        <v>82110913</v>
      </c>
      <c r="E440" t="s">
        <v>1575</v>
      </c>
      <c r="F440" s="514">
        <v>22398.52</v>
      </c>
      <c r="G440" s="514">
        <v>6365.02</v>
      </c>
      <c r="H440" s="437" t="str">
        <f>VLOOKUP(D440,'COA LTD'!A:F,3,0)</f>
        <v>PL</v>
      </c>
      <c r="I440" s="437" t="str">
        <f>VLOOKUP(D440,'COA LTD'!A:F,4,0)</f>
        <v>Marketing expenses</v>
      </c>
      <c r="J440" s="437" t="str">
        <f>VLOOKUP(D440,'COA LTD'!A:F,5,0)</f>
        <v>PR</v>
      </c>
      <c r="K440" s="439">
        <f t="shared" si="7"/>
        <v>3.5190022969291532</v>
      </c>
      <c r="L440" s="437"/>
      <c r="M440" s="437"/>
      <c r="N440" s="437"/>
      <c r="O440" s="437"/>
      <c r="P440" s="437"/>
      <c r="Q440" s="437"/>
      <c r="R440" s="437"/>
      <c r="S440" s="437"/>
      <c r="T440" s="437"/>
      <c r="U440" s="437"/>
      <c r="V440" s="437"/>
      <c r="W440" s="437"/>
      <c r="X440" s="437"/>
      <c r="Y440" s="437"/>
      <c r="Z440" s="437"/>
    </row>
    <row r="441" spans="1:26" ht="15.75" customHeight="1">
      <c r="A441" t="s">
        <v>1391</v>
      </c>
      <c r="B441" t="s">
        <v>1413</v>
      </c>
      <c r="C441" t="s">
        <v>1421</v>
      </c>
      <c r="D441" s="516">
        <v>82110915</v>
      </c>
      <c r="E441" t="s">
        <v>1298</v>
      </c>
      <c r="F441" s="514">
        <v>40585.47</v>
      </c>
      <c r="G441" s="514">
        <v>11533.24</v>
      </c>
      <c r="H441" s="437" t="str">
        <f>VLOOKUP(D441,'COA LTD'!A:F,3,0)</f>
        <v>PL</v>
      </c>
      <c r="I441" s="437" t="str">
        <f>VLOOKUP(D441,'COA LTD'!A:F,4,0)</f>
        <v>Marketing expenses</v>
      </c>
      <c r="J441" s="437" t="str">
        <f>VLOOKUP(D441,'COA LTD'!A:F,5,0)</f>
        <v>PR</v>
      </c>
      <c r="K441" s="439">
        <f t="shared" si="7"/>
        <v>3.5189998647387899</v>
      </c>
      <c r="L441" s="437"/>
      <c r="M441" s="437"/>
      <c r="N441" s="437"/>
      <c r="O441" s="437"/>
      <c r="P441" s="437"/>
      <c r="Q441" s="437"/>
      <c r="R441" s="437"/>
      <c r="S441" s="437"/>
      <c r="T441" s="437"/>
      <c r="U441" s="437"/>
      <c r="V441" s="437"/>
      <c r="W441" s="437"/>
      <c r="X441" s="437"/>
      <c r="Y441" s="437"/>
      <c r="Z441" s="437"/>
    </row>
    <row r="442" spans="1:26" ht="15.75" customHeight="1">
      <c r="A442" t="s">
        <v>1391</v>
      </c>
      <c r="B442" t="s">
        <v>1413</v>
      </c>
      <c r="C442" t="s">
        <v>1421</v>
      </c>
      <c r="D442" s="516">
        <v>82110916</v>
      </c>
      <c r="E442" t="s">
        <v>1299</v>
      </c>
      <c r="F442" s="514">
        <v>14000</v>
      </c>
      <c r="G442" s="514">
        <v>3978.4</v>
      </c>
      <c r="H442" s="437" t="str">
        <f>VLOOKUP(D442,'COA LTD'!A:F,3,0)</f>
        <v>PL</v>
      </c>
      <c r="I442" s="437" t="str">
        <f>VLOOKUP(D442,'COA LTD'!A:F,4,0)</f>
        <v>Marketing expenses</v>
      </c>
      <c r="J442" s="437" t="str">
        <f>VLOOKUP(D442,'COA LTD'!A:F,5,0)</f>
        <v>PR</v>
      </c>
      <c r="K442" s="439">
        <f t="shared" si="7"/>
        <v>3.5190026141162276</v>
      </c>
      <c r="L442" s="437"/>
      <c r="M442" s="437"/>
      <c r="N442" s="437"/>
      <c r="O442" s="437"/>
      <c r="P442" s="437"/>
      <c r="Q442" s="437"/>
      <c r="R442" s="437"/>
      <c r="S442" s="437"/>
      <c r="T442" s="437"/>
      <c r="U442" s="437"/>
      <c r="V442" s="437"/>
      <c r="W442" s="437"/>
      <c r="X442" s="437"/>
      <c r="Y442" s="437"/>
      <c r="Z442" s="437"/>
    </row>
    <row r="443" spans="1:26" ht="15.75" customHeight="1">
      <c r="A443" t="s">
        <v>1391</v>
      </c>
      <c r="B443" t="s">
        <v>1413</v>
      </c>
      <c r="C443" t="s">
        <v>1423</v>
      </c>
      <c r="D443" s="516">
        <v>82111000</v>
      </c>
      <c r="E443" t="s">
        <v>999</v>
      </c>
      <c r="F443" s="514">
        <v>4396.32</v>
      </c>
      <c r="G443" s="514">
        <v>1276.76</v>
      </c>
      <c r="H443" s="437" t="str">
        <f>VLOOKUP(D443,'COA LTD'!A:F,3,0)</f>
        <v>PL</v>
      </c>
      <c r="I443" s="437" t="str">
        <f>VLOOKUP(D443,'COA LTD'!A:F,4,0)</f>
        <v>Marketing expenses</v>
      </c>
      <c r="J443" s="437" t="str">
        <f>VLOOKUP(D443,'COA LTD'!A:F,5,0)</f>
        <v>travel</v>
      </c>
      <c r="K443" s="439">
        <f t="shared" si="7"/>
        <v>3.443340956796892</v>
      </c>
      <c r="L443" s="437"/>
      <c r="M443" s="437"/>
      <c r="N443" s="437"/>
      <c r="O443" s="437"/>
      <c r="P443" s="437"/>
      <c r="Q443" s="437"/>
      <c r="R443" s="437"/>
      <c r="S443" s="437"/>
      <c r="T443" s="437"/>
      <c r="U443" s="437"/>
      <c r="V443" s="437"/>
      <c r="W443" s="437"/>
      <c r="X443" s="437"/>
      <c r="Y443" s="437"/>
      <c r="Z443" s="437"/>
    </row>
    <row r="444" spans="1:26" ht="15.75" customHeight="1">
      <c r="A444" t="s">
        <v>1391</v>
      </c>
      <c r="B444" t="s">
        <v>1413</v>
      </c>
      <c r="C444" t="s">
        <v>1423</v>
      </c>
      <c r="D444" s="516">
        <v>82111001</v>
      </c>
      <c r="E444" t="s">
        <v>1000</v>
      </c>
      <c r="F444" s="514">
        <v>1697.22</v>
      </c>
      <c r="G444" s="514">
        <v>497.43</v>
      </c>
      <c r="H444" s="437" t="str">
        <f>VLOOKUP(D444,'COA LTD'!A:F,3,0)</f>
        <v>PL</v>
      </c>
      <c r="I444" s="437" t="str">
        <f>VLOOKUP(D444,'COA LTD'!A:F,4,0)</f>
        <v>Marketing expenses</v>
      </c>
      <c r="J444" s="437" t="str">
        <f>VLOOKUP(D444,'COA LTD'!A:F,5,0)</f>
        <v>travel</v>
      </c>
      <c r="K444" s="439">
        <f t="shared" si="7"/>
        <v>3.4119775646824677</v>
      </c>
      <c r="L444" s="437"/>
      <c r="M444" s="437"/>
      <c r="N444" s="437"/>
      <c r="O444" s="437"/>
      <c r="P444" s="437"/>
      <c r="Q444" s="437"/>
      <c r="R444" s="437"/>
      <c r="S444" s="437"/>
      <c r="T444" s="437"/>
      <c r="U444" s="437"/>
      <c r="V444" s="437"/>
      <c r="W444" s="437"/>
      <c r="X444" s="437"/>
      <c r="Y444" s="437"/>
      <c r="Z444" s="437"/>
    </row>
    <row r="445" spans="1:26" ht="15.75" customHeight="1">
      <c r="A445" t="s">
        <v>1391</v>
      </c>
      <c r="B445" t="s">
        <v>1413</v>
      </c>
      <c r="C445" t="s">
        <v>1423</v>
      </c>
      <c r="D445" s="516">
        <v>82111002</v>
      </c>
      <c r="E445" t="s">
        <v>1001</v>
      </c>
      <c r="F445" s="514">
        <v>670</v>
      </c>
      <c r="G445" s="514">
        <v>196.36</v>
      </c>
      <c r="H445" s="437" t="str">
        <f>VLOOKUP(D445,'COA LTD'!A:F,3,0)</f>
        <v>PL</v>
      </c>
      <c r="I445" s="437" t="str">
        <f>VLOOKUP(D445,'COA LTD'!A:F,4,0)</f>
        <v>Marketing expenses</v>
      </c>
      <c r="J445" s="437" t="str">
        <f>VLOOKUP(D445,'COA LTD'!A:F,5,0)</f>
        <v>travel</v>
      </c>
      <c r="K445" s="439">
        <f t="shared" si="7"/>
        <v>3.4121002240782232</v>
      </c>
      <c r="L445" s="437"/>
      <c r="M445" s="437"/>
      <c r="N445" s="437"/>
      <c r="O445" s="437"/>
      <c r="P445" s="437"/>
      <c r="Q445" s="437"/>
      <c r="R445" s="437"/>
      <c r="S445" s="437"/>
      <c r="T445" s="437"/>
      <c r="U445" s="437"/>
      <c r="V445" s="437"/>
      <c r="W445" s="437"/>
      <c r="X445" s="437"/>
      <c r="Y445" s="437"/>
      <c r="Z445" s="437"/>
    </row>
    <row r="446" spans="1:26" ht="15.75" customHeight="1">
      <c r="A446" t="s">
        <v>1391</v>
      </c>
      <c r="B446" t="s">
        <v>1413</v>
      </c>
      <c r="C446" t="s">
        <v>1424</v>
      </c>
      <c r="D446" s="516">
        <v>82110907</v>
      </c>
      <c r="E446" t="s">
        <v>799</v>
      </c>
      <c r="F446" s="514">
        <v>81535692.670000002</v>
      </c>
      <c r="G446" s="514">
        <v>24276612.890000001</v>
      </c>
      <c r="H446" s="437" t="str">
        <f>VLOOKUP(D446,'COA LTD'!A:F,3,0)</f>
        <v>PL</v>
      </c>
      <c r="I446" s="437" t="str">
        <f>VLOOKUP(D446,'COA LTD'!A:F,4,0)</f>
        <v>Marketing expenses</v>
      </c>
      <c r="J446" s="437" t="str">
        <f>VLOOKUP(D446,'COA LTD'!A:F,5,0)</f>
        <v xml:space="preserve">IC expenses </v>
      </c>
      <c r="K446" s="439">
        <f t="shared" si="7"/>
        <v>3.3586107353380465</v>
      </c>
      <c r="L446" s="437"/>
      <c r="M446" s="437"/>
      <c r="N446" s="437"/>
      <c r="O446" s="437"/>
      <c r="P446" s="437"/>
      <c r="Q446" s="437"/>
      <c r="R446" s="437"/>
      <c r="S446" s="437"/>
      <c r="T446" s="437"/>
      <c r="U446" s="437"/>
      <c r="V446" s="437"/>
      <c r="W446" s="437"/>
      <c r="X446" s="437"/>
      <c r="Y446" s="437"/>
      <c r="Z446" s="437"/>
    </row>
    <row r="447" spans="1:26" ht="15.75" customHeight="1">
      <c r="A447" t="s">
        <v>1391</v>
      </c>
      <c r="B447" t="s">
        <v>1413</v>
      </c>
      <c r="C447" t="s">
        <v>1424</v>
      </c>
      <c r="D447" s="516">
        <v>82110908</v>
      </c>
      <c r="E447" t="s">
        <v>800</v>
      </c>
      <c r="F447" s="514">
        <v>2297852.5699999998</v>
      </c>
      <c r="G447" s="514">
        <v>680715.42</v>
      </c>
      <c r="H447" s="437" t="str">
        <f>VLOOKUP(D447,'COA LTD'!A:F,3,0)</f>
        <v>PL</v>
      </c>
      <c r="I447" s="437" t="str">
        <f>VLOOKUP(D447,'COA LTD'!A:F,4,0)</f>
        <v>Marketing expenses</v>
      </c>
      <c r="J447" s="437" t="str">
        <f>VLOOKUP(D447,'COA LTD'!A:F,5,0)</f>
        <v xml:space="preserve">IC expenses </v>
      </c>
      <c r="K447" s="439">
        <f t="shared" si="7"/>
        <v>3.3756434810893512</v>
      </c>
      <c r="L447" s="437"/>
      <c r="M447" s="437"/>
      <c r="N447" s="437"/>
      <c r="O447" s="437"/>
      <c r="P447" s="437"/>
      <c r="Q447" s="437"/>
      <c r="R447" s="437"/>
      <c r="S447" s="437"/>
      <c r="T447" s="437"/>
      <c r="U447" s="437"/>
      <c r="V447" s="437"/>
      <c r="W447" s="437"/>
      <c r="X447" s="437"/>
      <c r="Y447" s="437"/>
      <c r="Z447" s="437"/>
    </row>
    <row r="448" spans="1:26" ht="15.75" customHeight="1">
      <c r="A448" t="s">
        <v>1391</v>
      </c>
      <c r="B448" t="s">
        <v>1425</v>
      </c>
      <c r="C448" t="s">
        <v>1426</v>
      </c>
      <c r="D448" s="516">
        <v>83120100</v>
      </c>
      <c r="E448" t="s">
        <v>801</v>
      </c>
      <c r="F448" s="514">
        <v>2750930</v>
      </c>
      <c r="G448" s="514">
        <v>808664.92</v>
      </c>
      <c r="H448" s="437" t="str">
        <f>VLOOKUP(D448,'COA LTD'!A:F,3,0)</f>
        <v>PL</v>
      </c>
      <c r="I448" s="437" t="str">
        <f>VLOOKUP(D448,'COA LTD'!A:F,4,0)</f>
        <v>General and administrative expenses</v>
      </c>
      <c r="J448" s="437" t="str">
        <f>VLOOKUP(D448,'COA LTD'!A:F,5,0)</f>
        <v xml:space="preserve">Salary </v>
      </c>
      <c r="K448" s="439">
        <f t="shared" si="7"/>
        <v>3.4018169107669465</v>
      </c>
      <c r="L448" s="437"/>
      <c r="M448" s="437"/>
      <c r="N448" s="437"/>
      <c r="O448" s="437"/>
      <c r="P448" s="437"/>
      <c r="Q448" s="437"/>
      <c r="R448" s="437"/>
      <c r="S448" s="437"/>
      <c r="T448" s="437"/>
      <c r="U448" s="437"/>
      <c r="V448" s="437"/>
      <c r="W448" s="437"/>
      <c r="X448" s="437"/>
      <c r="Y448" s="437"/>
      <c r="Z448" s="437"/>
    </row>
    <row r="449" spans="1:26" ht="15.75" customHeight="1">
      <c r="A449" t="s">
        <v>1391</v>
      </c>
      <c r="B449" t="s">
        <v>1425</v>
      </c>
      <c r="C449" t="s">
        <v>1426</v>
      </c>
      <c r="D449" s="516">
        <v>83120102</v>
      </c>
      <c r="E449" t="s">
        <v>802</v>
      </c>
      <c r="F449" s="514">
        <v>16885.23</v>
      </c>
      <c r="G449" s="514">
        <v>5119.01</v>
      </c>
      <c r="H449" s="437" t="str">
        <f>VLOOKUP(D449,'COA LTD'!A:F,3,0)</f>
        <v>PL</v>
      </c>
      <c r="I449" s="437" t="str">
        <f>VLOOKUP(D449,'COA LTD'!A:F,4,0)</f>
        <v>General and administrative expenses</v>
      </c>
      <c r="J449" s="437" t="str">
        <f>VLOOKUP(D449,'COA LTD'!A:F,5,0)</f>
        <v xml:space="preserve">option expenses </v>
      </c>
      <c r="K449" s="439">
        <f t="shared" si="7"/>
        <v>3.2985342869031316</v>
      </c>
      <c r="L449" s="437"/>
      <c r="M449" s="437"/>
      <c r="N449" s="437"/>
      <c r="O449" s="437"/>
      <c r="P449" s="437"/>
      <c r="Q449" s="437"/>
      <c r="R449" s="437"/>
      <c r="S449" s="437"/>
      <c r="T449" s="437"/>
      <c r="U449" s="437"/>
      <c r="V449" s="437"/>
      <c r="W449" s="437"/>
      <c r="X449" s="437"/>
      <c r="Y449" s="437"/>
      <c r="Z449" s="437"/>
    </row>
    <row r="450" spans="1:26" ht="15.75" customHeight="1">
      <c r="A450" t="s">
        <v>1391</v>
      </c>
      <c r="B450" t="s">
        <v>1425</v>
      </c>
      <c r="C450" t="s">
        <v>1426</v>
      </c>
      <c r="D450" s="516">
        <v>83120104</v>
      </c>
      <c r="E450" t="s">
        <v>803</v>
      </c>
      <c r="F450" s="514">
        <v>814371</v>
      </c>
      <c r="G450" s="514">
        <v>235330.6</v>
      </c>
      <c r="H450" s="437" t="str">
        <f>VLOOKUP(D450,'COA LTD'!A:F,3,0)</f>
        <v>PL</v>
      </c>
      <c r="I450" s="437" t="str">
        <f>VLOOKUP(D450,'COA LTD'!A:F,4,0)</f>
        <v>General and administrative expenses</v>
      </c>
      <c r="J450" s="437" t="str">
        <f>VLOOKUP(D450,'COA LTD'!A:F,5,0)</f>
        <v xml:space="preserve">Salary </v>
      </c>
      <c r="K450" s="439">
        <f t="shared" si="7"/>
        <v>3.4605401932430375</v>
      </c>
      <c r="L450" s="437"/>
      <c r="M450" s="437"/>
      <c r="N450" s="437"/>
      <c r="O450" s="437"/>
      <c r="P450" s="437"/>
      <c r="Q450" s="437"/>
      <c r="R450" s="437"/>
      <c r="S450" s="437"/>
      <c r="T450" s="437"/>
      <c r="U450" s="437"/>
      <c r="V450" s="437"/>
      <c r="W450" s="437"/>
      <c r="X450" s="437"/>
      <c r="Y450" s="437"/>
      <c r="Z450" s="437"/>
    </row>
    <row r="451" spans="1:26" ht="15.75" customHeight="1">
      <c r="A451" t="s">
        <v>1391</v>
      </c>
      <c r="B451" t="s">
        <v>1425</v>
      </c>
      <c r="C451" t="s">
        <v>1426</v>
      </c>
      <c r="D451" s="516">
        <v>83120107</v>
      </c>
      <c r="E451" t="s">
        <v>804</v>
      </c>
      <c r="F451" s="514">
        <v>56686.16</v>
      </c>
      <c r="G451" s="514">
        <v>16773.060000000001</v>
      </c>
      <c r="H451" s="437" t="str">
        <f>VLOOKUP(D451,'COA LTD'!A:F,3,0)</f>
        <v>PL</v>
      </c>
      <c r="I451" s="437" t="str">
        <f>VLOOKUP(D451,'COA LTD'!A:F,4,0)</f>
        <v>General and administrative expenses</v>
      </c>
      <c r="J451" s="437" t="str">
        <f>VLOOKUP(D451,'COA LTD'!A:F,5,0)</f>
        <v xml:space="preserve">Salary </v>
      </c>
      <c r="K451" s="439">
        <f t="shared" si="7"/>
        <v>3.3795956134420315</v>
      </c>
      <c r="L451" s="437"/>
      <c r="M451" s="437"/>
      <c r="N451" s="437"/>
      <c r="O451" s="437"/>
      <c r="P451" s="437"/>
      <c r="Q451" s="437"/>
      <c r="R451" s="437"/>
      <c r="S451" s="437"/>
      <c r="T451" s="437"/>
      <c r="U451" s="437"/>
      <c r="V451" s="437"/>
      <c r="W451" s="437"/>
      <c r="X451" s="437"/>
      <c r="Y451" s="437"/>
      <c r="Z451" s="437"/>
    </row>
    <row r="452" spans="1:26" ht="15.75" customHeight="1">
      <c r="A452" t="s">
        <v>1391</v>
      </c>
      <c r="B452" t="s">
        <v>1425</v>
      </c>
      <c r="C452" t="s">
        <v>1426</v>
      </c>
      <c r="D452" s="516">
        <v>83120108</v>
      </c>
      <c r="E452" t="s">
        <v>805</v>
      </c>
      <c r="F452" s="514">
        <v>161226</v>
      </c>
      <c r="G452" s="514">
        <v>47339.33</v>
      </c>
      <c r="H452" s="437" t="str">
        <f>VLOOKUP(D452,'COA LTD'!A:F,3,0)</f>
        <v>PL</v>
      </c>
      <c r="I452" s="437" t="str">
        <f>VLOOKUP(D452,'COA LTD'!A:F,4,0)</f>
        <v>General and administrative expenses</v>
      </c>
      <c r="J452" s="437" t="str">
        <f>VLOOKUP(D452,'COA LTD'!A:F,5,0)</f>
        <v xml:space="preserve">Salary </v>
      </c>
      <c r="K452" s="439">
        <f t="shared" si="7"/>
        <v>3.4057516234386922</v>
      </c>
      <c r="L452" s="437"/>
      <c r="M452" s="437"/>
      <c r="N452" s="437"/>
      <c r="O452" s="437"/>
      <c r="P452" s="437"/>
      <c r="Q452" s="437"/>
      <c r="R452" s="437"/>
      <c r="S452" s="437"/>
      <c r="T452" s="437"/>
      <c r="U452" s="437"/>
      <c r="V452" s="437"/>
      <c r="W452" s="437"/>
      <c r="X452" s="437"/>
      <c r="Y452" s="437"/>
      <c r="Z452" s="437"/>
    </row>
    <row r="453" spans="1:26" ht="15.75" customHeight="1">
      <c r="A453" t="s">
        <v>1391</v>
      </c>
      <c r="B453" t="s">
        <v>1425</v>
      </c>
      <c r="C453" t="s">
        <v>1426</v>
      </c>
      <c r="D453" s="516">
        <v>83120109</v>
      </c>
      <c r="E453" t="s">
        <v>806</v>
      </c>
      <c r="F453" s="514">
        <v>161509</v>
      </c>
      <c r="G453" s="514">
        <v>47462.2</v>
      </c>
      <c r="H453" s="437" t="str">
        <f>VLOOKUP(D453,'COA LTD'!A:F,3,0)</f>
        <v>PL</v>
      </c>
      <c r="I453" s="437" t="str">
        <f>VLOOKUP(D453,'COA LTD'!A:F,4,0)</f>
        <v>General and administrative expenses</v>
      </c>
      <c r="J453" s="437" t="str">
        <f>VLOOKUP(D453,'COA LTD'!A:F,5,0)</f>
        <v xml:space="preserve">Salary </v>
      </c>
      <c r="K453" s="439">
        <f t="shared" si="7"/>
        <v>3.4028974636658229</v>
      </c>
      <c r="L453" s="437"/>
      <c r="M453" s="437"/>
      <c r="N453" s="437"/>
      <c r="O453" s="437"/>
      <c r="P453" s="437"/>
      <c r="Q453" s="437"/>
      <c r="R453" s="437"/>
      <c r="S453" s="437"/>
      <c r="T453" s="437"/>
      <c r="U453" s="437"/>
      <c r="V453" s="437"/>
      <c r="W453" s="437"/>
      <c r="X453" s="437"/>
      <c r="Y453" s="437"/>
      <c r="Z453" s="437"/>
    </row>
    <row r="454" spans="1:26" ht="15.75" customHeight="1">
      <c r="A454" t="s">
        <v>1391</v>
      </c>
      <c r="B454" t="s">
        <v>1425</v>
      </c>
      <c r="C454" t="s">
        <v>1426</v>
      </c>
      <c r="D454" s="516">
        <v>83120110</v>
      </c>
      <c r="E454" t="s">
        <v>807</v>
      </c>
      <c r="F454" s="514">
        <v>106022</v>
      </c>
      <c r="G454" s="514">
        <v>31139.54</v>
      </c>
      <c r="H454" s="437" t="str">
        <f>VLOOKUP(D454,'COA LTD'!A:F,3,0)</f>
        <v>PL</v>
      </c>
      <c r="I454" s="437" t="str">
        <f>VLOOKUP(D454,'COA LTD'!A:F,4,0)</f>
        <v>General and administrative expenses</v>
      </c>
      <c r="J454" s="437" t="str">
        <f>VLOOKUP(D454,'COA LTD'!A:F,5,0)</f>
        <v xml:space="preserve">Salary </v>
      </c>
      <c r="K454" s="439">
        <f t="shared" si="7"/>
        <v>3.4047387983252162</v>
      </c>
      <c r="L454" s="437"/>
      <c r="M454" s="437"/>
      <c r="N454" s="437"/>
      <c r="O454" s="437"/>
      <c r="P454" s="437"/>
      <c r="Q454" s="437"/>
      <c r="R454" s="437"/>
      <c r="S454" s="437"/>
      <c r="T454" s="437"/>
      <c r="U454" s="437"/>
      <c r="V454" s="437"/>
      <c r="W454" s="437"/>
      <c r="X454" s="437"/>
      <c r="Y454" s="437"/>
      <c r="Z454" s="437"/>
    </row>
    <row r="455" spans="1:26" ht="15.75" customHeight="1">
      <c r="A455" t="s">
        <v>1391</v>
      </c>
      <c r="B455" t="s">
        <v>1425</v>
      </c>
      <c r="C455" t="s">
        <v>1426</v>
      </c>
      <c r="D455" s="516">
        <v>83120111</v>
      </c>
      <c r="E455" t="s">
        <v>808</v>
      </c>
      <c r="F455" s="514">
        <v>11627.66</v>
      </c>
      <c r="G455" s="514">
        <v>3379.6</v>
      </c>
      <c r="H455" s="437" t="str">
        <f>VLOOKUP(D455,'COA LTD'!A:F,3,0)</f>
        <v>PL</v>
      </c>
      <c r="I455" s="437" t="str">
        <f>VLOOKUP(D455,'COA LTD'!A:F,4,0)</f>
        <v>General and administrative expenses</v>
      </c>
      <c r="J455" s="437" t="str">
        <f>VLOOKUP(D455,'COA LTD'!A:F,5,0)</f>
        <v xml:space="preserve">Salary </v>
      </c>
      <c r="K455" s="439">
        <f t="shared" si="7"/>
        <v>3.440543259557344</v>
      </c>
      <c r="L455" s="437"/>
      <c r="M455" s="437"/>
      <c r="N455" s="437"/>
      <c r="O455" s="437"/>
      <c r="P455" s="437"/>
      <c r="Q455" s="437"/>
      <c r="R455" s="437"/>
      <c r="S455" s="437"/>
      <c r="T455" s="437"/>
      <c r="U455" s="437"/>
      <c r="V455" s="437"/>
      <c r="W455" s="437"/>
      <c r="X455" s="437"/>
      <c r="Y455" s="437"/>
      <c r="Z455" s="437"/>
    </row>
    <row r="456" spans="1:26" ht="15.75" customHeight="1">
      <c r="A456" t="s">
        <v>1391</v>
      </c>
      <c r="B456" t="s">
        <v>1425</v>
      </c>
      <c r="C456" t="s">
        <v>1426</v>
      </c>
      <c r="D456" s="516">
        <v>83120112</v>
      </c>
      <c r="E456" t="s">
        <v>809</v>
      </c>
      <c r="F456" s="514">
        <v>191500</v>
      </c>
      <c r="G456" s="514">
        <v>56032.81</v>
      </c>
      <c r="H456" s="437" t="str">
        <f>VLOOKUP(D456,'COA LTD'!A:F,3,0)</f>
        <v>PL</v>
      </c>
      <c r="I456" s="437" t="str">
        <f>VLOOKUP(D456,'COA LTD'!A:F,4,0)</f>
        <v>General and administrative expenses</v>
      </c>
      <c r="J456" s="437" t="str">
        <f>VLOOKUP(D456,'COA LTD'!A:F,5,0)</f>
        <v xml:space="preserve">Salary </v>
      </c>
      <c r="K456" s="439">
        <f t="shared" si="7"/>
        <v>3.4176404859938314</v>
      </c>
      <c r="L456" s="437"/>
      <c r="M456" s="437"/>
      <c r="N456" s="437"/>
      <c r="O456" s="437"/>
      <c r="P456" s="437"/>
      <c r="Q456" s="437"/>
      <c r="R456" s="437"/>
      <c r="S456" s="437"/>
      <c r="T456" s="437"/>
      <c r="U456" s="437"/>
      <c r="V456" s="437"/>
      <c r="W456" s="437"/>
      <c r="X456" s="437"/>
      <c r="Y456" s="437"/>
      <c r="Z456" s="437"/>
    </row>
    <row r="457" spans="1:26" ht="15.75" customHeight="1">
      <c r="A457" t="s">
        <v>1391</v>
      </c>
      <c r="B457" t="s">
        <v>1425</v>
      </c>
      <c r="C457" t="s">
        <v>1426</v>
      </c>
      <c r="D457" s="516">
        <v>83120113</v>
      </c>
      <c r="E457" t="s">
        <v>1002</v>
      </c>
      <c r="F457" s="514">
        <v>-7852</v>
      </c>
      <c r="G457" s="514">
        <v>-2250.4899999999998</v>
      </c>
      <c r="H457" s="437" t="str">
        <f>VLOOKUP(D457,'COA LTD'!A:F,3,0)</f>
        <v>PL</v>
      </c>
      <c r="I457" s="437" t="str">
        <f>VLOOKUP(D457,'COA LTD'!A:F,4,0)</f>
        <v>General and administrative expenses</v>
      </c>
      <c r="J457" s="437" t="str">
        <f>VLOOKUP(D457,'COA LTD'!A:F,5,0)</f>
        <v xml:space="preserve">salary </v>
      </c>
      <c r="K457" s="439">
        <f t="shared" si="7"/>
        <v>3.4890179472026097</v>
      </c>
      <c r="L457" s="437"/>
      <c r="M457" s="437"/>
      <c r="N457" s="437"/>
      <c r="O457" s="437"/>
      <c r="P457" s="437"/>
      <c r="Q457" s="437"/>
      <c r="R457" s="437"/>
      <c r="S457" s="437"/>
      <c r="T457" s="437"/>
      <c r="U457" s="437"/>
      <c r="V457" s="437"/>
      <c r="W457" s="437"/>
      <c r="X457" s="437"/>
      <c r="Y457" s="437"/>
      <c r="Z457" s="437"/>
    </row>
    <row r="458" spans="1:26" ht="15.75" customHeight="1">
      <c r="A458" t="s">
        <v>1391</v>
      </c>
      <c r="B458" t="s">
        <v>1425</v>
      </c>
      <c r="C458" t="s">
        <v>1426</v>
      </c>
      <c r="D458" s="516">
        <v>83120114</v>
      </c>
      <c r="E458" t="s">
        <v>810</v>
      </c>
      <c r="F458" s="514">
        <v>42901</v>
      </c>
      <c r="G458" s="514">
        <v>12447.25</v>
      </c>
      <c r="H458" s="437" t="str">
        <f>VLOOKUP(D458,'COA LTD'!A:F,3,0)</f>
        <v>PL</v>
      </c>
      <c r="I458" s="437" t="str">
        <f>VLOOKUP(D458,'COA LTD'!A:F,4,0)</f>
        <v>General and administrative expenses</v>
      </c>
      <c r="J458" s="437" t="str">
        <f>VLOOKUP(D458,'COA LTD'!A:F,5,0)</f>
        <v xml:space="preserve">Salary </v>
      </c>
      <c r="K458" s="439">
        <f t="shared" si="7"/>
        <v>3.4466247564723131</v>
      </c>
      <c r="L458" s="437"/>
      <c r="M458" s="437"/>
      <c r="N458" s="437"/>
      <c r="O458" s="437"/>
      <c r="P458" s="437"/>
      <c r="Q458" s="437"/>
      <c r="R458" s="437"/>
      <c r="S458" s="437"/>
      <c r="T458" s="437"/>
      <c r="U458" s="437"/>
      <c r="V458" s="437"/>
      <c r="W458" s="437"/>
      <c r="X458" s="437"/>
      <c r="Y458" s="437"/>
      <c r="Z458" s="437"/>
    </row>
    <row r="459" spans="1:26" ht="15.75" customHeight="1">
      <c r="A459" t="s">
        <v>1391</v>
      </c>
      <c r="B459" t="s">
        <v>1425</v>
      </c>
      <c r="C459" t="s">
        <v>1426</v>
      </c>
      <c r="D459" s="516">
        <v>83120115</v>
      </c>
      <c r="E459" t="s">
        <v>811</v>
      </c>
      <c r="F459" s="514">
        <v>-42901</v>
      </c>
      <c r="G459" s="514">
        <v>-12447.25</v>
      </c>
      <c r="H459" s="437" t="str">
        <f>VLOOKUP(D459,'COA LTD'!A:F,3,0)</f>
        <v>PL</v>
      </c>
      <c r="I459" s="437" t="str">
        <f>VLOOKUP(D459,'COA LTD'!A:F,4,0)</f>
        <v>General and administrative expenses</v>
      </c>
      <c r="J459" s="437" t="str">
        <f>VLOOKUP(D459,'COA LTD'!A:F,5,0)</f>
        <v xml:space="preserve">Salary </v>
      </c>
      <c r="K459" s="439">
        <f t="shared" si="7"/>
        <v>3.4466247564723131</v>
      </c>
      <c r="L459" s="437"/>
      <c r="M459" s="437"/>
      <c r="N459" s="437"/>
      <c r="O459" s="437"/>
      <c r="P459" s="437"/>
      <c r="Q459" s="437"/>
      <c r="R459" s="437"/>
      <c r="S459" s="437"/>
      <c r="T459" s="437"/>
      <c r="U459" s="437"/>
      <c r="V459" s="437"/>
      <c r="W459" s="437"/>
      <c r="X459" s="437"/>
      <c r="Y459" s="437"/>
      <c r="Z459" s="437"/>
    </row>
    <row r="460" spans="1:26" ht="15.75" customHeight="1">
      <c r="A460" t="s">
        <v>1391</v>
      </c>
      <c r="B460" t="s">
        <v>1425</v>
      </c>
      <c r="C460" t="s">
        <v>1426</v>
      </c>
      <c r="D460" s="516">
        <v>83120116</v>
      </c>
      <c r="E460" t="s">
        <v>1211</v>
      </c>
      <c r="F460" s="514">
        <v>750</v>
      </c>
      <c r="G460" s="514">
        <v>214.45</v>
      </c>
      <c r="H460" s="437" t="str">
        <f>VLOOKUP(D460,'COA LTD'!A:F,3,0)</f>
        <v>PL</v>
      </c>
      <c r="I460" s="437" t="str">
        <f>VLOOKUP(D460,'COA LTD'!A:F,4,0)</f>
        <v>General and administrative expenses</v>
      </c>
      <c r="J460" s="437" t="str">
        <f>VLOOKUP(D460,'COA LTD'!A:F,5,0)</f>
        <v xml:space="preserve">salary </v>
      </c>
      <c r="K460" s="439">
        <f t="shared" si="7"/>
        <v>3.4973187223128934</v>
      </c>
      <c r="L460" s="437"/>
      <c r="M460" s="437"/>
      <c r="N460" s="437"/>
      <c r="O460" s="437"/>
      <c r="P460" s="437"/>
      <c r="Q460" s="437"/>
      <c r="R460" s="437"/>
      <c r="S460" s="437"/>
      <c r="T460" s="437"/>
      <c r="U460" s="437"/>
      <c r="V460" s="437"/>
      <c r="W460" s="437"/>
      <c r="X460" s="437"/>
      <c r="Y460" s="437"/>
      <c r="Z460" s="437"/>
    </row>
    <row r="461" spans="1:26" ht="15.75" customHeight="1">
      <c r="A461" t="s">
        <v>1391</v>
      </c>
      <c r="B461" t="s">
        <v>1425</v>
      </c>
      <c r="C461" t="s">
        <v>1426</v>
      </c>
      <c r="D461" s="516">
        <v>83120117</v>
      </c>
      <c r="E461" t="s">
        <v>1212</v>
      </c>
      <c r="F461" s="514">
        <v>-750</v>
      </c>
      <c r="G461" s="514">
        <v>-214.45</v>
      </c>
      <c r="H461" s="437" t="str">
        <f>VLOOKUP(D461,'COA LTD'!A:F,3,0)</f>
        <v>PL</v>
      </c>
      <c r="I461" s="437" t="str">
        <f>VLOOKUP(D461,'COA LTD'!A:F,4,0)</f>
        <v>General and administrative expenses</v>
      </c>
      <c r="J461" s="437" t="str">
        <f>VLOOKUP(D461,'COA LTD'!A:F,5,0)</f>
        <v xml:space="preserve">salary </v>
      </c>
      <c r="K461" s="439">
        <f t="shared" si="7"/>
        <v>3.4973187223128934</v>
      </c>
      <c r="L461" s="437"/>
      <c r="M461" s="437"/>
      <c r="N461" s="437"/>
      <c r="O461" s="437"/>
      <c r="P461" s="437"/>
      <c r="Q461" s="437"/>
      <c r="R461" s="437"/>
      <c r="S461" s="437"/>
      <c r="T461" s="437"/>
      <c r="U461" s="437"/>
      <c r="V461" s="437"/>
      <c r="W461" s="437"/>
      <c r="X461" s="437"/>
      <c r="Y461" s="437"/>
      <c r="Z461" s="437"/>
    </row>
    <row r="462" spans="1:26" ht="15.75" customHeight="1">
      <c r="A462" t="s">
        <v>1391</v>
      </c>
      <c r="B462" t="s">
        <v>1425</v>
      </c>
      <c r="C462" t="s">
        <v>1426</v>
      </c>
      <c r="D462" s="516">
        <v>83120118</v>
      </c>
      <c r="E462" t="s">
        <v>812</v>
      </c>
      <c r="F462" s="514">
        <v>90557</v>
      </c>
      <c r="G462" s="514">
        <v>26502.32</v>
      </c>
      <c r="H462" s="437" t="str">
        <f>VLOOKUP(D462,'COA LTD'!A:F,3,0)</f>
        <v>PL</v>
      </c>
      <c r="I462" s="437" t="str">
        <f>VLOOKUP(D462,'COA LTD'!A:F,4,0)</f>
        <v>General and administrative expenses</v>
      </c>
      <c r="J462" s="437" t="str">
        <f>VLOOKUP(D462,'COA LTD'!A:F,5,0)</f>
        <v xml:space="preserve">Salary </v>
      </c>
      <c r="K462" s="439">
        <f t="shared" si="7"/>
        <v>3.4169461390549958</v>
      </c>
      <c r="L462" s="437"/>
      <c r="M462" s="437"/>
      <c r="N462" s="437"/>
      <c r="O462" s="437"/>
      <c r="P462" s="437"/>
      <c r="Q462" s="437"/>
      <c r="R462" s="437"/>
      <c r="S462" s="437"/>
      <c r="T462" s="437"/>
      <c r="U462" s="437"/>
      <c r="V462" s="437"/>
      <c r="W462" s="437"/>
      <c r="X462" s="437"/>
      <c r="Y462" s="437"/>
      <c r="Z462" s="437"/>
    </row>
    <row r="463" spans="1:26" ht="15.75" customHeight="1">
      <c r="A463" t="s">
        <v>1391</v>
      </c>
      <c r="B463" t="s">
        <v>1425</v>
      </c>
      <c r="C463" t="s">
        <v>1426</v>
      </c>
      <c r="D463" s="516">
        <v>83120119</v>
      </c>
      <c r="E463" t="s">
        <v>813</v>
      </c>
      <c r="F463" s="514">
        <v>-90557</v>
      </c>
      <c r="G463" s="514">
        <v>-26502.32</v>
      </c>
      <c r="H463" s="437" t="str">
        <f>VLOOKUP(D463,'COA LTD'!A:F,3,0)</f>
        <v>PL</v>
      </c>
      <c r="I463" s="437" t="str">
        <f>VLOOKUP(D463,'COA LTD'!A:F,4,0)</f>
        <v>General and administrative expenses</v>
      </c>
      <c r="J463" s="437" t="str">
        <f>VLOOKUP(D463,'COA LTD'!A:F,5,0)</f>
        <v xml:space="preserve">Salary </v>
      </c>
      <c r="K463" s="439">
        <f t="shared" si="7"/>
        <v>3.4169461390549958</v>
      </c>
      <c r="L463" s="437"/>
      <c r="M463" s="437"/>
      <c r="N463" s="437"/>
      <c r="O463" s="437"/>
      <c r="P463" s="437"/>
      <c r="Q463" s="437"/>
      <c r="R463" s="437"/>
      <c r="S463" s="437"/>
      <c r="T463" s="437"/>
      <c r="U463" s="437"/>
      <c r="V463" s="437"/>
      <c r="W463" s="437"/>
      <c r="X463" s="437"/>
      <c r="Y463" s="437"/>
      <c r="Z463" s="437"/>
    </row>
    <row r="464" spans="1:26" ht="15.75" customHeight="1">
      <c r="A464" t="s">
        <v>1391</v>
      </c>
      <c r="B464" t="s">
        <v>1425</v>
      </c>
      <c r="C464" t="s">
        <v>1426</v>
      </c>
      <c r="D464" s="516">
        <v>83120120</v>
      </c>
      <c r="E464" t="s">
        <v>952</v>
      </c>
      <c r="F464" s="514">
        <v>13908</v>
      </c>
      <c r="G464" s="514">
        <v>4026.58</v>
      </c>
      <c r="H464" s="437" t="str">
        <f>VLOOKUP(D464,'COA LTD'!A:F,3,0)</f>
        <v>PL</v>
      </c>
      <c r="I464" s="437" t="str">
        <f>VLOOKUP(D464,'COA LTD'!A:F,4,0)</f>
        <v>General and administrative expenses</v>
      </c>
      <c r="J464" s="437" t="str">
        <f>VLOOKUP(D464,'COA LTD'!A:F,5,0)</f>
        <v xml:space="preserve">salary </v>
      </c>
      <c r="K464" s="439">
        <f t="shared" si="7"/>
        <v>3.4540478520233053</v>
      </c>
      <c r="L464" s="437"/>
      <c r="M464" s="437"/>
      <c r="N464" s="437"/>
      <c r="O464" s="437"/>
      <c r="P464" s="437"/>
      <c r="Q464" s="437"/>
      <c r="R464" s="437"/>
      <c r="S464" s="437"/>
      <c r="T464" s="437"/>
      <c r="U464" s="437"/>
      <c r="V464" s="437"/>
      <c r="W464" s="437"/>
      <c r="X464" s="437"/>
      <c r="Y464" s="437"/>
      <c r="Z464" s="437"/>
    </row>
    <row r="465" spans="1:26" ht="15.75" customHeight="1">
      <c r="A465" t="s">
        <v>1391</v>
      </c>
      <c r="B465" t="s">
        <v>1425</v>
      </c>
      <c r="C465" t="s">
        <v>1426</v>
      </c>
      <c r="D465" s="516">
        <v>83120121</v>
      </c>
      <c r="E465" t="s">
        <v>953</v>
      </c>
      <c r="F465" s="514">
        <v>-13908</v>
      </c>
      <c r="G465" s="514">
        <v>-4026.58</v>
      </c>
      <c r="H465" s="437" t="str">
        <f>VLOOKUP(D465,'COA LTD'!A:F,3,0)</f>
        <v>PL</v>
      </c>
      <c r="I465" s="437" t="str">
        <f>VLOOKUP(D465,'COA LTD'!A:F,4,0)</f>
        <v>General and administrative expenses</v>
      </c>
      <c r="J465" s="437" t="str">
        <f>VLOOKUP(D465,'COA LTD'!A:F,5,0)</f>
        <v xml:space="preserve">salary </v>
      </c>
      <c r="K465" s="439">
        <f t="shared" si="7"/>
        <v>3.4540478520233053</v>
      </c>
      <c r="L465" s="437"/>
      <c r="M465" s="437"/>
      <c r="N465" s="437"/>
      <c r="O465" s="437"/>
      <c r="P465" s="437"/>
      <c r="Q465" s="437"/>
      <c r="R465" s="437"/>
      <c r="S465" s="437"/>
      <c r="T465" s="437"/>
      <c r="U465" s="437"/>
      <c r="V465" s="437"/>
      <c r="W465" s="437"/>
      <c r="X465" s="437"/>
      <c r="Y465" s="437"/>
      <c r="Z465" s="437"/>
    </row>
    <row r="466" spans="1:26" ht="15.75" customHeight="1">
      <c r="A466" t="s">
        <v>1391</v>
      </c>
      <c r="B466" t="s">
        <v>1425</v>
      </c>
      <c r="C466" t="s">
        <v>1426</v>
      </c>
      <c r="D466" s="516">
        <v>83130100</v>
      </c>
      <c r="E466" t="s">
        <v>814</v>
      </c>
      <c r="F466" s="514">
        <v>2268619</v>
      </c>
      <c r="G466" s="514">
        <v>670490.55000000005</v>
      </c>
      <c r="H466" s="437" t="str">
        <f>VLOOKUP(D466,'COA LTD'!A:F,3,0)</f>
        <v>PL</v>
      </c>
      <c r="I466" s="437" t="str">
        <f>VLOOKUP(D466,'COA LTD'!A:F,4,0)</f>
        <v>General and administrative expenses</v>
      </c>
      <c r="J466" s="437" t="str">
        <f>VLOOKUP(D466,'COA LTD'!A:F,5,0)</f>
        <v xml:space="preserve">Salary </v>
      </c>
      <c r="K466" s="439">
        <f t="shared" si="7"/>
        <v>3.3835212144302402</v>
      </c>
      <c r="L466" s="437"/>
      <c r="M466" s="437"/>
      <c r="N466" s="437"/>
      <c r="O466" s="437"/>
      <c r="P466" s="437"/>
      <c r="Q466" s="437"/>
      <c r="R466" s="437"/>
      <c r="S466" s="437"/>
      <c r="T466" s="437"/>
      <c r="U466" s="437"/>
      <c r="V466" s="437"/>
      <c r="W466" s="437"/>
      <c r="X466" s="437"/>
      <c r="Y466" s="437"/>
      <c r="Z466" s="437"/>
    </row>
    <row r="467" spans="1:26" ht="15.75" customHeight="1">
      <c r="A467" t="s">
        <v>1391</v>
      </c>
      <c r="B467" t="s">
        <v>1425</v>
      </c>
      <c r="C467" t="s">
        <v>1426</v>
      </c>
      <c r="D467" s="516">
        <v>83130102</v>
      </c>
      <c r="E467" t="s">
        <v>815</v>
      </c>
      <c r="F467" s="514">
        <v>225166.52</v>
      </c>
      <c r="G467" s="514">
        <v>67799</v>
      </c>
      <c r="H467" s="437" t="str">
        <f>VLOOKUP(D467,'COA LTD'!A:F,3,0)</f>
        <v>PL</v>
      </c>
      <c r="I467" s="437" t="str">
        <f>VLOOKUP(D467,'COA LTD'!A:F,4,0)</f>
        <v>General and administrative expenses</v>
      </c>
      <c r="J467" s="437" t="str">
        <f>VLOOKUP(D467,'COA LTD'!A:F,5,0)</f>
        <v xml:space="preserve">option expenses </v>
      </c>
      <c r="K467" s="439">
        <f t="shared" si="7"/>
        <v>3.3210891016091679</v>
      </c>
      <c r="L467" s="437"/>
      <c r="M467" s="437"/>
      <c r="N467" s="437"/>
      <c r="O467" s="437"/>
      <c r="P467" s="437"/>
      <c r="Q467" s="437"/>
      <c r="R467" s="437"/>
      <c r="S467" s="437"/>
      <c r="T467" s="437"/>
      <c r="U467" s="437"/>
      <c r="V467" s="437"/>
      <c r="W467" s="437"/>
      <c r="X467" s="437"/>
      <c r="Y467" s="437"/>
      <c r="Z467" s="437"/>
    </row>
    <row r="468" spans="1:26" ht="15.75" customHeight="1">
      <c r="A468" t="s">
        <v>1391</v>
      </c>
      <c r="B468" t="s">
        <v>1425</v>
      </c>
      <c r="C468" t="s">
        <v>1426</v>
      </c>
      <c r="D468" s="516">
        <v>83130104</v>
      </c>
      <c r="E468" t="s">
        <v>816</v>
      </c>
      <c r="F468" s="514">
        <v>291058</v>
      </c>
      <c r="G468" s="514">
        <v>78073.759999999995</v>
      </c>
      <c r="H468" s="437" t="str">
        <f>VLOOKUP(D468,'COA LTD'!A:F,3,0)</f>
        <v>PL</v>
      </c>
      <c r="I468" s="437" t="str">
        <f>VLOOKUP(D468,'COA LTD'!A:F,4,0)</f>
        <v>General and administrative expenses</v>
      </c>
      <c r="J468" s="437" t="str">
        <f>VLOOKUP(D468,'COA LTD'!A:F,5,0)</f>
        <v xml:space="preserve">Salary </v>
      </c>
      <c r="K468" s="439">
        <f t="shared" si="7"/>
        <v>3.7279874826061921</v>
      </c>
      <c r="L468" s="437"/>
      <c r="M468" s="437"/>
      <c r="N468" s="437"/>
      <c r="O468" s="437"/>
      <c r="P468" s="437"/>
      <c r="Q468" s="437"/>
      <c r="R468" s="437"/>
      <c r="S468" s="437"/>
      <c r="T468" s="437"/>
      <c r="U468" s="437"/>
      <c r="V468" s="437"/>
      <c r="W468" s="437"/>
      <c r="X468" s="437"/>
      <c r="Y468" s="437"/>
      <c r="Z468" s="437"/>
    </row>
    <row r="469" spans="1:26" ht="15.75" customHeight="1">
      <c r="A469" t="s">
        <v>1391</v>
      </c>
      <c r="B469" t="s">
        <v>1425</v>
      </c>
      <c r="C469" t="s">
        <v>1426</v>
      </c>
      <c r="D469" s="516">
        <v>83130107</v>
      </c>
      <c r="E469" t="s">
        <v>817</v>
      </c>
      <c r="F469" s="514">
        <v>58269.46</v>
      </c>
      <c r="G469" s="514">
        <v>17359.38</v>
      </c>
      <c r="H469" s="437" t="str">
        <f>VLOOKUP(D469,'COA LTD'!A:F,3,0)</f>
        <v>PL</v>
      </c>
      <c r="I469" s="437" t="str">
        <f>VLOOKUP(D469,'COA LTD'!A:F,4,0)</f>
        <v>General and administrative expenses</v>
      </c>
      <c r="J469" s="437" t="str">
        <f>VLOOKUP(D469,'COA LTD'!A:F,5,0)</f>
        <v xml:space="preserve">Salary </v>
      </c>
      <c r="K469" s="439">
        <f t="shared" si="7"/>
        <v>3.3566555948426728</v>
      </c>
      <c r="L469" s="437"/>
      <c r="M469" s="437"/>
      <c r="N469" s="437"/>
      <c r="O469" s="437"/>
      <c r="P469" s="437"/>
      <c r="Q469" s="437"/>
      <c r="R469" s="437"/>
      <c r="S469" s="437"/>
      <c r="T469" s="437"/>
      <c r="U469" s="437"/>
      <c r="V469" s="437"/>
      <c r="W469" s="437"/>
      <c r="X469" s="437"/>
      <c r="Y469" s="437"/>
      <c r="Z469" s="437"/>
    </row>
    <row r="470" spans="1:26" ht="15.75" customHeight="1">
      <c r="A470" t="s">
        <v>1391</v>
      </c>
      <c r="B470" t="s">
        <v>1425</v>
      </c>
      <c r="C470" t="s">
        <v>1426</v>
      </c>
      <c r="D470" s="516">
        <v>83130108</v>
      </c>
      <c r="E470" t="s">
        <v>818</v>
      </c>
      <c r="F470" s="514">
        <v>143696</v>
      </c>
      <c r="G470" s="514">
        <v>42268.19</v>
      </c>
      <c r="H470" s="437" t="str">
        <f>VLOOKUP(D470,'COA LTD'!A:F,3,0)</f>
        <v>PL</v>
      </c>
      <c r="I470" s="437" t="str">
        <f>VLOOKUP(D470,'COA LTD'!A:F,4,0)</f>
        <v>General and administrative expenses</v>
      </c>
      <c r="J470" s="437" t="str">
        <f>VLOOKUP(D470,'COA LTD'!A:F,5,0)</f>
        <v xml:space="preserve">Salary </v>
      </c>
      <c r="K470" s="439">
        <f t="shared" si="7"/>
        <v>3.3996251081487046</v>
      </c>
      <c r="L470" s="437"/>
      <c r="M470" s="437"/>
      <c r="N470" s="437"/>
      <c r="O470" s="437"/>
      <c r="P470" s="437"/>
      <c r="Q470" s="437"/>
      <c r="R470" s="437"/>
      <c r="S470" s="437"/>
      <c r="T470" s="437"/>
      <c r="U470" s="437"/>
      <c r="V470" s="437"/>
      <c r="W470" s="437"/>
      <c r="X470" s="437"/>
      <c r="Y470" s="437"/>
      <c r="Z470" s="437"/>
    </row>
    <row r="471" spans="1:26" ht="15.75" customHeight="1">
      <c r="A471" t="s">
        <v>1391</v>
      </c>
      <c r="B471" t="s">
        <v>1425</v>
      </c>
      <c r="C471" t="s">
        <v>1426</v>
      </c>
      <c r="D471" s="516">
        <v>83130109</v>
      </c>
      <c r="E471" t="s">
        <v>819</v>
      </c>
      <c r="F471" s="514">
        <v>141900</v>
      </c>
      <c r="G471" s="514">
        <v>41860.75</v>
      </c>
      <c r="H471" s="437" t="str">
        <f>VLOOKUP(D471,'COA LTD'!A:F,3,0)</f>
        <v>PL</v>
      </c>
      <c r="I471" s="437" t="str">
        <f>VLOOKUP(D471,'COA LTD'!A:F,4,0)</f>
        <v>General and administrative expenses</v>
      </c>
      <c r="J471" s="437" t="str">
        <f>VLOOKUP(D471,'COA LTD'!A:F,5,0)</f>
        <v xml:space="preserve">Salary </v>
      </c>
      <c r="K471" s="439">
        <f t="shared" si="7"/>
        <v>3.3898102637912602</v>
      </c>
      <c r="L471" s="437"/>
      <c r="M471" s="437"/>
      <c r="N471" s="437"/>
      <c r="O471" s="437"/>
      <c r="P471" s="437"/>
      <c r="Q471" s="437"/>
      <c r="R471" s="437"/>
      <c r="S471" s="437"/>
      <c r="T471" s="437"/>
      <c r="U471" s="437"/>
      <c r="V471" s="437"/>
      <c r="W471" s="437"/>
      <c r="X471" s="437"/>
      <c r="Y471" s="437"/>
      <c r="Z471" s="437"/>
    </row>
    <row r="472" spans="1:26" ht="15.75" customHeight="1">
      <c r="A472" t="s">
        <v>1391</v>
      </c>
      <c r="B472" t="s">
        <v>1425</v>
      </c>
      <c r="C472" t="s">
        <v>1426</v>
      </c>
      <c r="D472" s="516">
        <v>83130110</v>
      </c>
      <c r="E472" t="s">
        <v>820</v>
      </c>
      <c r="F472" s="514">
        <v>94626</v>
      </c>
      <c r="G472" s="514">
        <v>27840.98</v>
      </c>
      <c r="H472" s="437" t="str">
        <f>VLOOKUP(D472,'COA LTD'!A:F,3,0)</f>
        <v>PL</v>
      </c>
      <c r="I472" s="437" t="str">
        <f>VLOOKUP(D472,'COA LTD'!A:F,4,0)</f>
        <v>General and administrative expenses</v>
      </c>
      <c r="J472" s="437" t="str">
        <f>VLOOKUP(D472,'COA LTD'!A:F,5,0)</f>
        <v xml:space="preserve">Salary </v>
      </c>
      <c r="K472" s="439">
        <f t="shared" si="7"/>
        <v>3.3988027720288581</v>
      </c>
      <c r="L472" s="437"/>
      <c r="M472" s="437"/>
      <c r="N472" s="437"/>
      <c r="O472" s="437"/>
      <c r="P472" s="437"/>
      <c r="Q472" s="437"/>
      <c r="R472" s="437"/>
      <c r="S472" s="437"/>
      <c r="T472" s="437"/>
      <c r="U472" s="437"/>
      <c r="V472" s="437"/>
      <c r="W472" s="437"/>
      <c r="X472" s="437"/>
      <c r="Y472" s="437"/>
      <c r="Z472" s="437"/>
    </row>
    <row r="473" spans="1:26" ht="15.75" customHeight="1">
      <c r="A473" t="s">
        <v>1391</v>
      </c>
      <c r="B473" t="s">
        <v>1425</v>
      </c>
      <c r="C473" t="s">
        <v>1426</v>
      </c>
      <c r="D473" s="516">
        <v>83130111</v>
      </c>
      <c r="E473" t="s">
        <v>821</v>
      </c>
      <c r="F473" s="514">
        <v>7650.12</v>
      </c>
      <c r="G473" s="514">
        <v>2235.69</v>
      </c>
      <c r="H473" s="437" t="str">
        <f>VLOOKUP(D473,'COA LTD'!A:F,3,0)</f>
        <v>PL</v>
      </c>
      <c r="I473" s="437" t="str">
        <f>VLOOKUP(D473,'COA LTD'!A:F,4,0)</f>
        <v>General and administrative expenses</v>
      </c>
      <c r="J473" s="437" t="str">
        <f>VLOOKUP(D473,'COA LTD'!A:F,5,0)</f>
        <v xml:space="preserve">Salary </v>
      </c>
      <c r="K473" s="439">
        <f t="shared" si="7"/>
        <v>3.4218160836251892</v>
      </c>
      <c r="L473" s="437"/>
      <c r="M473" s="437"/>
      <c r="N473" s="437"/>
      <c r="O473" s="437"/>
      <c r="P473" s="437"/>
      <c r="Q473" s="437"/>
      <c r="R473" s="437"/>
      <c r="S473" s="437"/>
      <c r="T473" s="437"/>
      <c r="U473" s="437"/>
      <c r="V473" s="437"/>
      <c r="W473" s="437"/>
      <c r="X473" s="437"/>
      <c r="Y473" s="437"/>
      <c r="Z473" s="437"/>
    </row>
    <row r="474" spans="1:26" ht="15.75" customHeight="1">
      <c r="A474" t="s">
        <v>1391</v>
      </c>
      <c r="B474" t="s">
        <v>1425</v>
      </c>
      <c r="C474" t="s">
        <v>1426</v>
      </c>
      <c r="D474" s="516">
        <v>83130112</v>
      </c>
      <c r="E474" t="s">
        <v>822</v>
      </c>
      <c r="F474" s="514">
        <v>152957</v>
      </c>
      <c r="G474" s="514">
        <v>44754.58</v>
      </c>
      <c r="H474" s="437" t="str">
        <f>VLOOKUP(D474,'COA LTD'!A:F,3,0)</f>
        <v>PL</v>
      </c>
      <c r="I474" s="437" t="str">
        <f>VLOOKUP(D474,'COA LTD'!A:F,4,0)</f>
        <v>General and administrative expenses</v>
      </c>
      <c r="J474" s="437" t="str">
        <f>VLOOKUP(D474,'COA LTD'!A:F,5,0)</f>
        <v xml:space="preserve">Salary </v>
      </c>
      <c r="K474" s="439">
        <f t="shared" si="7"/>
        <v>3.4176837320336824</v>
      </c>
      <c r="L474" s="437"/>
      <c r="M474" s="437"/>
      <c r="N474" s="437"/>
      <c r="O474" s="437"/>
      <c r="P474" s="437"/>
      <c r="Q474" s="437"/>
      <c r="R474" s="437"/>
      <c r="S474" s="437"/>
      <c r="T474" s="437"/>
      <c r="U474" s="437"/>
      <c r="V474" s="437"/>
      <c r="W474" s="437"/>
      <c r="X474" s="437"/>
      <c r="Y474" s="437"/>
      <c r="Z474" s="437"/>
    </row>
    <row r="475" spans="1:26" ht="15.75" customHeight="1">
      <c r="A475" t="s">
        <v>1391</v>
      </c>
      <c r="B475" t="s">
        <v>1425</v>
      </c>
      <c r="C475" t="s">
        <v>1426</v>
      </c>
      <c r="D475" s="516">
        <v>83130114</v>
      </c>
      <c r="E475" t="s">
        <v>823</v>
      </c>
      <c r="F475" s="514">
        <v>27110</v>
      </c>
      <c r="G475" s="514">
        <v>8046.15</v>
      </c>
      <c r="H475" s="437" t="str">
        <f>VLOOKUP(D475,'COA LTD'!A:F,3,0)</f>
        <v>PL</v>
      </c>
      <c r="I475" s="437" t="str">
        <f>VLOOKUP(D475,'COA LTD'!A:F,4,0)</f>
        <v>General and administrative expenses</v>
      </c>
      <c r="J475" s="437" t="str">
        <f>VLOOKUP(D475,'COA LTD'!A:F,5,0)</f>
        <v xml:space="preserve">Salary </v>
      </c>
      <c r="K475" s="439">
        <f t="shared" si="7"/>
        <v>3.3693132740503224</v>
      </c>
      <c r="L475" s="437"/>
      <c r="M475" s="437"/>
      <c r="N475" s="437"/>
      <c r="O475" s="437"/>
      <c r="P475" s="437"/>
      <c r="Q475" s="437"/>
      <c r="R475" s="437"/>
      <c r="S475" s="437"/>
      <c r="T475" s="437"/>
      <c r="U475" s="437"/>
      <c r="V475" s="437"/>
      <c r="W475" s="437"/>
      <c r="X475" s="437"/>
      <c r="Y475" s="437"/>
      <c r="Z475" s="437"/>
    </row>
    <row r="476" spans="1:26" ht="15.75" customHeight="1">
      <c r="A476" t="s">
        <v>1391</v>
      </c>
      <c r="B476" t="s">
        <v>1425</v>
      </c>
      <c r="C476" t="s">
        <v>1426</v>
      </c>
      <c r="D476" s="516">
        <v>83130115</v>
      </c>
      <c r="E476" t="s">
        <v>824</v>
      </c>
      <c r="F476" s="514">
        <v>-27110</v>
      </c>
      <c r="G476" s="514">
        <v>-8046.15</v>
      </c>
      <c r="H476" s="437" t="str">
        <f>VLOOKUP(D476,'COA LTD'!A:F,3,0)</f>
        <v>PL</v>
      </c>
      <c r="I476" s="437" t="str">
        <f>VLOOKUP(D476,'COA LTD'!A:F,4,0)</f>
        <v>General and administrative expenses</v>
      </c>
      <c r="J476" s="437" t="str">
        <f>VLOOKUP(D476,'COA LTD'!A:F,5,0)</f>
        <v xml:space="preserve">Salary </v>
      </c>
      <c r="K476" s="439">
        <f t="shared" si="7"/>
        <v>3.3693132740503224</v>
      </c>
      <c r="L476" s="437"/>
      <c r="M476" s="437"/>
      <c r="N476" s="437"/>
      <c r="O476" s="437"/>
      <c r="P476" s="437"/>
      <c r="Q476" s="437"/>
      <c r="R476" s="437"/>
      <c r="S476" s="437"/>
      <c r="T476" s="437"/>
      <c r="U476" s="437"/>
      <c r="V476" s="437"/>
      <c r="W476" s="437"/>
      <c r="X476" s="437"/>
      <c r="Y476" s="437"/>
      <c r="Z476" s="437"/>
    </row>
    <row r="477" spans="1:26" ht="15.75" customHeight="1">
      <c r="A477" t="s">
        <v>1391</v>
      </c>
      <c r="B477" t="s">
        <v>1425</v>
      </c>
      <c r="C477" t="s">
        <v>1426</v>
      </c>
      <c r="D477" s="516">
        <v>83130116</v>
      </c>
      <c r="E477" t="s">
        <v>825</v>
      </c>
      <c r="F477" s="514">
        <v>7114</v>
      </c>
      <c r="G477" s="514">
        <v>2104.62</v>
      </c>
      <c r="H477" s="437" t="str">
        <f>VLOOKUP(D477,'COA LTD'!A:F,3,0)</f>
        <v>PL</v>
      </c>
      <c r="I477" s="437" t="str">
        <f>VLOOKUP(D477,'COA LTD'!A:F,4,0)</f>
        <v>General and administrative expenses</v>
      </c>
      <c r="J477" s="437" t="str">
        <f>VLOOKUP(D477,'COA LTD'!A:F,5,0)</f>
        <v xml:space="preserve">Salary </v>
      </c>
      <c r="K477" s="439">
        <f t="shared" si="7"/>
        <v>3.3801826457982918</v>
      </c>
      <c r="L477" s="437"/>
      <c r="M477" s="437"/>
      <c r="N477" s="437"/>
      <c r="O477" s="437"/>
      <c r="P477" s="437"/>
      <c r="Q477" s="437"/>
      <c r="R477" s="437"/>
      <c r="S477" s="437"/>
      <c r="T477" s="437"/>
      <c r="U477" s="437"/>
      <c r="V477" s="437"/>
      <c r="W477" s="437"/>
      <c r="X477" s="437"/>
      <c r="Y477" s="437"/>
      <c r="Z477" s="437"/>
    </row>
    <row r="478" spans="1:26" ht="15.75" customHeight="1">
      <c r="A478" t="s">
        <v>1391</v>
      </c>
      <c r="B478" t="s">
        <v>1425</v>
      </c>
      <c r="C478" t="s">
        <v>1426</v>
      </c>
      <c r="D478" s="516">
        <v>83130117</v>
      </c>
      <c r="E478" t="s">
        <v>826</v>
      </c>
      <c r="F478" s="514">
        <v>-7114</v>
      </c>
      <c r="G478" s="514">
        <v>-2104.62</v>
      </c>
      <c r="H478" s="437" t="str">
        <f>VLOOKUP(D478,'COA LTD'!A:F,3,0)</f>
        <v>PL</v>
      </c>
      <c r="I478" s="437" t="str">
        <f>VLOOKUP(D478,'COA LTD'!A:F,4,0)</f>
        <v>General and administrative expenses</v>
      </c>
      <c r="J478" s="437" t="str">
        <f>VLOOKUP(D478,'COA LTD'!A:F,5,0)</f>
        <v xml:space="preserve">Salary </v>
      </c>
      <c r="K478" s="439">
        <f t="shared" si="7"/>
        <v>3.3801826457982918</v>
      </c>
      <c r="L478" s="437"/>
      <c r="M478" s="437"/>
      <c r="N478" s="437"/>
      <c r="O478" s="437"/>
      <c r="P478" s="437"/>
      <c r="Q478" s="437"/>
      <c r="R478" s="437"/>
      <c r="S478" s="437"/>
      <c r="T478" s="437"/>
      <c r="U478" s="437"/>
      <c r="V478" s="437"/>
      <c r="W478" s="437"/>
      <c r="X478" s="437"/>
      <c r="Y478" s="437"/>
      <c r="Z478" s="437"/>
    </row>
    <row r="479" spans="1:26" ht="15.75" customHeight="1">
      <c r="A479" t="s">
        <v>1391</v>
      </c>
      <c r="B479" t="s">
        <v>1425</v>
      </c>
      <c r="C479" t="s">
        <v>1426</v>
      </c>
      <c r="D479" s="516">
        <v>83130118</v>
      </c>
      <c r="E479" t="s">
        <v>827</v>
      </c>
      <c r="F479" s="514">
        <v>83457</v>
      </c>
      <c r="G479" s="514">
        <v>24487.64</v>
      </c>
      <c r="H479" s="437" t="str">
        <f>VLOOKUP(D479,'COA LTD'!A:F,3,0)</f>
        <v>PL</v>
      </c>
      <c r="I479" s="437" t="str">
        <f>VLOOKUP(D479,'COA LTD'!A:F,4,0)</f>
        <v>General and administrative expenses</v>
      </c>
      <c r="J479" s="437" t="str">
        <f>VLOOKUP(D479,'COA LTD'!A:F,5,0)</f>
        <v xml:space="preserve">Salary </v>
      </c>
      <c r="K479" s="439">
        <f t="shared" si="7"/>
        <v>3.4081275288267876</v>
      </c>
      <c r="L479" s="437"/>
      <c r="M479" s="437"/>
      <c r="N479" s="437"/>
      <c r="O479" s="437"/>
      <c r="P479" s="437"/>
      <c r="Q479" s="437"/>
      <c r="R479" s="437"/>
      <c r="S479" s="437"/>
      <c r="T479" s="437"/>
      <c r="U479" s="437"/>
      <c r="V479" s="437"/>
      <c r="W479" s="437"/>
      <c r="X479" s="437"/>
      <c r="Y479" s="437"/>
      <c r="Z479" s="437"/>
    </row>
    <row r="480" spans="1:26" ht="15.75" customHeight="1">
      <c r="A480" t="s">
        <v>1391</v>
      </c>
      <c r="B480" t="s">
        <v>1425</v>
      </c>
      <c r="C480" t="s">
        <v>1426</v>
      </c>
      <c r="D480" s="516">
        <v>83130119</v>
      </c>
      <c r="E480" t="s">
        <v>828</v>
      </c>
      <c r="F480" s="514">
        <v>-83457</v>
      </c>
      <c r="G480" s="514">
        <v>-24487.64</v>
      </c>
      <c r="H480" s="437" t="str">
        <f>VLOOKUP(D480,'COA LTD'!A:F,3,0)</f>
        <v>PL</v>
      </c>
      <c r="I480" s="437" t="str">
        <f>VLOOKUP(D480,'COA LTD'!A:F,4,0)</f>
        <v>General and administrative expenses</v>
      </c>
      <c r="J480" s="437" t="str">
        <f>VLOOKUP(D480,'COA LTD'!A:F,5,0)</f>
        <v xml:space="preserve">Salary </v>
      </c>
      <c r="K480" s="439">
        <f t="shared" si="7"/>
        <v>3.4081275288267876</v>
      </c>
      <c r="L480" s="437"/>
      <c r="M480" s="437"/>
      <c r="N480" s="437"/>
      <c r="O480" s="437"/>
      <c r="P480" s="437"/>
      <c r="Q480" s="437"/>
      <c r="R480" s="437"/>
      <c r="S480" s="437"/>
      <c r="T480" s="437"/>
      <c r="U480" s="437"/>
      <c r="V480" s="437"/>
      <c r="W480" s="437"/>
      <c r="X480" s="437"/>
      <c r="Y480" s="437"/>
      <c r="Z480" s="437"/>
    </row>
    <row r="481" spans="1:26" ht="15.75" customHeight="1">
      <c r="A481" t="s">
        <v>1391</v>
      </c>
      <c r="B481" t="s">
        <v>1425</v>
      </c>
      <c r="C481" t="s">
        <v>1426</v>
      </c>
      <c r="D481" s="516">
        <v>83130120</v>
      </c>
      <c r="E481" t="s">
        <v>954</v>
      </c>
      <c r="F481" s="514">
        <v>23920</v>
      </c>
      <c r="G481" s="514">
        <v>6856.77</v>
      </c>
      <c r="H481" s="437" t="str">
        <f>VLOOKUP(D481,'COA LTD'!A:F,3,0)</f>
        <v>PL</v>
      </c>
      <c r="I481" s="437" t="str">
        <f>VLOOKUP(D481,'COA LTD'!A:F,4,0)</f>
        <v>General and administrative expenses</v>
      </c>
      <c r="J481" s="437" t="str">
        <f>VLOOKUP(D481,'COA LTD'!A:F,5,0)</f>
        <v xml:space="preserve">salary </v>
      </c>
      <c r="K481" s="439">
        <f t="shared" si="7"/>
        <v>3.4885230217726422</v>
      </c>
      <c r="L481" s="437"/>
      <c r="M481" s="437"/>
      <c r="N481" s="437"/>
      <c r="O481" s="437"/>
      <c r="P481" s="437"/>
      <c r="Q481" s="437"/>
      <c r="R481" s="437"/>
      <c r="S481" s="437"/>
      <c r="T481" s="437"/>
      <c r="U481" s="437"/>
      <c r="V481" s="437"/>
      <c r="W481" s="437"/>
      <c r="X481" s="437"/>
      <c r="Y481" s="437"/>
      <c r="Z481" s="437"/>
    </row>
    <row r="482" spans="1:26" ht="15.75" customHeight="1">
      <c r="A482" t="s">
        <v>1391</v>
      </c>
      <c r="B482" t="s">
        <v>1425</v>
      </c>
      <c r="C482" t="s">
        <v>1426</v>
      </c>
      <c r="D482" s="516">
        <v>83130121</v>
      </c>
      <c r="E482" t="s">
        <v>955</v>
      </c>
      <c r="F482" s="514">
        <v>-23920</v>
      </c>
      <c r="G482" s="514">
        <v>-6856.77</v>
      </c>
      <c r="H482" s="437" t="str">
        <f>VLOOKUP(D482,'COA LTD'!A:F,3,0)</f>
        <v>PL</v>
      </c>
      <c r="I482" s="437" t="str">
        <f>VLOOKUP(D482,'COA LTD'!A:F,4,0)</f>
        <v>General and administrative expenses</v>
      </c>
      <c r="J482" s="437" t="str">
        <f>VLOOKUP(D482,'COA LTD'!A:F,5,0)</f>
        <v xml:space="preserve">salary </v>
      </c>
      <c r="K482" s="439">
        <f t="shared" si="7"/>
        <v>3.4885230217726422</v>
      </c>
      <c r="L482" s="437"/>
      <c r="M482" s="437"/>
      <c r="N482" s="437"/>
      <c r="O482" s="437"/>
      <c r="P482" s="437"/>
      <c r="Q482" s="437"/>
      <c r="R482" s="437"/>
      <c r="S482" s="437"/>
      <c r="T482" s="437"/>
      <c r="U482" s="437"/>
      <c r="V482" s="437"/>
      <c r="W482" s="437"/>
      <c r="X482" s="437"/>
      <c r="Y482" s="437"/>
      <c r="Z482" s="437"/>
    </row>
    <row r="483" spans="1:26" ht="15.75" customHeight="1">
      <c r="A483" t="s">
        <v>1391</v>
      </c>
      <c r="B483" t="s">
        <v>1425</v>
      </c>
      <c r="C483" t="s">
        <v>1426</v>
      </c>
      <c r="D483" s="516">
        <v>83130123</v>
      </c>
      <c r="E483" t="s">
        <v>829</v>
      </c>
      <c r="F483" s="514">
        <v>45480</v>
      </c>
      <c r="G483" s="514">
        <v>13446.93</v>
      </c>
      <c r="H483" s="437" t="str">
        <f>VLOOKUP(D483,'COA LTD'!A:F,3,0)</f>
        <v>PL</v>
      </c>
      <c r="I483" s="437" t="str">
        <f>VLOOKUP(D483,'COA LTD'!A:F,4,0)</f>
        <v>General and administrative expenses</v>
      </c>
      <c r="J483" s="437" t="str">
        <f>VLOOKUP(D483,'COA LTD'!A:F,5,0)</f>
        <v xml:space="preserve">Salary </v>
      </c>
      <c r="K483" s="439">
        <f t="shared" si="7"/>
        <v>3.38218463247745</v>
      </c>
      <c r="L483" s="437"/>
      <c r="M483" s="437"/>
      <c r="N483" s="437"/>
      <c r="O483" s="437"/>
      <c r="P483" s="437"/>
      <c r="Q483" s="437"/>
      <c r="R483" s="437"/>
      <c r="S483" s="437"/>
      <c r="T483" s="437"/>
      <c r="U483" s="437"/>
      <c r="V483" s="437"/>
      <c r="W483" s="437"/>
      <c r="X483" s="437"/>
      <c r="Y483" s="437"/>
      <c r="Z483" s="437"/>
    </row>
    <row r="484" spans="1:26" ht="15.75" customHeight="1">
      <c r="A484" t="s">
        <v>1391</v>
      </c>
      <c r="B484" t="s">
        <v>1425</v>
      </c>
      <c r="C484" t="s">
        <v>1426</v>
      </c>
      <c r="D484" s="516">
        <v>83130124</v>
      </c>
      <c r="E484" t="s">
        <v>830</v>
      </c>
      <c r="F484" s="514">
        <v>-45480</v>
      </c>
      <c r="G484" s="514">
        <v>-13446.93</v>
      </c>
      <c r="H484" s="437" t="str">
        <f>VLOOKUP(D484,'COA LTD'!A:F,3,0)</f>
        <v>PL</v>
      </c>
      <c r="I484" s="437" t="str">
        <f>VLOOKUP(D484,'COA LTD'!A:F,4,0)</f>
        <v>General and administrative expenses</v>
      </c>
      <c r="J484" s="437" t="str">
        <f>VLOOKUP(D484,'COA LTD'!A:F,5,0)</f>
        <v xml:space="preserve">Salary </v>
      </c>
      <c r="K484" s="439">
        <f t="shared" si="7"/>
        <v>3.38218463247745</v>
      </c>
      <c r="L484" s="437"/>
      <c r="M484" s="437"/>
      <c r="N484" s="437"/>
      <c r="O484" s="437"/>
      <c r="P484" s="437"/>
      <c r="Q484" s="437"/>
      <c r="R484" s="437"/>
      <c r="S484" s="437"/>
      <c r="T484" s="437"/>
      <c r="U484" s="437"/>
      <c r="V484" s="437"/>
      <c r="W484" s="437"/>
      <c r="X484" s="437"/>
      <c r="Y484" s="437"/>
      <c r="Z484" s="437"/>
    </row>
    <row r="485" spans="1:26" ht="15.75" customHeight="1">
      <c r="A485" t="s">
        <v>1391</v>
      </c>
      <c r="B485" t="s">
        <v>1425</v>
      </c>
      <c r="C485" t="s">
        <v>1426</v>
      </c>
      <c r="D485" s="516">
        <v>83140100</v>
      </c>
      <c r="E485" t="s">
        <v>831</v>
      </c>
      <c r="F485" s="514">
        <v>72679</v>
      </c>
      <c r="G485" s="514">
        <v>21296.75</v>
      </c>
      <c r="H485" s="437" t="str">
        <f>VLOOKUP(D485,'COA LTD'!A:F,3,0)</f>
        <v>PL</v>
      </c>
      <c r="I485" s="437" t="str">
        <f>VLOOKUP(D485,'COA LTD'!A:F,4,0)</f>
        <v>General and administrative expenses</v>
      </c>
      <c r="J485" s="437" t="str">
        <f>VLOOKUP(D485,'COA LTD'!A:F,5,0)</f>
        <v xml:space="preserve">Salary </v>
      </c>
      <c r="K485" s="439">
        <f t="shared" si="7"/>
        <v>3.412680338549309</v>
      </c>
      <c r="L485" s="437"/>
      <c r="M485" s="437"/>
      <c r="N485" s="437"/>
      <c r="O485" s="437"/>
      <c r="P485" s="437"/>
      <c r="Q485" s="437"/>
      <c r="R485" s="437"/>
      <c r="S485" s="437"/>
      <c r="T485" s="437"/>
      <c r="U485" s="437"/>
      <c r="V485" s="437"/>
      <c r="W485" s="437"/>
      <c r="X485" s="437"/>
      <c r="Y485" s="437"/>
      <c r="Z485" s="437"/>
    </row>
    <row r="486" spans="1:26" ht="15.75" customHeight="1">
      <c r="A486" t="s">
        <v>1391</v>
      </c>
      <c r="B486" t="s">
        <v>1425</v>
      </c>
      <c r="C486" t="s">
        <v>1426</v>
      </c>
      <c r="D486" s="516">
        <v>83140101</v>
      </c>
      <c r="E486" t="s">
        <v>1427</v>
      </c>
      <c r="F486" s="514">
        <v>1039644</v>
      </c>
      <c r="G486" s="514">
        <v>311408.2</v>
      </c>
      <c r="H486" s="437" t="str">
        <f>VLOOKUP(D486,'COA LTD'!A:F,3,0)</f>
        <v>PL</v>
      </c>
      <c r="I486" s="437" t="str">
        <f>VLOOKUP(D486,'COA LTD'!A:F,4,0)</f>
        <v>General and administrative expenses</v>
      </c>
      <c r="J486" s="437" t="str">
        <f>VLOOKUP(D486,'COA LTD'!A:F,5,0)</f>
        <v xml:space="preserve">Salary </v>
      </c>
      <c r="K486" s="439">
        <f t="shared" si="7"/>
        <v>3.3385248044206928</v>
      </c>
      <c r="L486" s="437"/>
      <c r="M486" s="437"/>
      <c r="N486" s="437"/>
      <c r="O486" s="437"/>
      <c r="P486" s="437"/>
      <c r="Q486" s="437"/>
      <c r="R486" s="437"/>
      <c r="S486" s="437"/>
      <c r="T486" s="437"/>
      <c r="U486" s="437"/>
      <c r="V486" s="437"/>
      <c r="W486" s="437"/>
      <c r="X486" s="437"/>
      <c r="Y486" s="437"/>
      <c r="Z486" s="437"/>
    </row>
    <row r="487" spans="1:26" ht="15.75" customHeight="1">
      <c r="A487" t="s">
        <v>1391</v>
      </c>
      <c r="B487" t="s">
        <v>1425</v>
      </c>
      <c r="C487" t="s">
        <v>1426</v>
      </c>
      <c r="D487" s="516">
        <v>83140102</v>
      </c>
      <c r="E487" t="s">
        <v>1735</v>
      </c>
      <c r="F487" s="514">
        <v>286817</v>
      </c>
      <c r="G487" s="514">
        <v>85617</v>
      </c>
      <c r="H487" s="437" t="str">
        <f>VLOOKUP(D487,'COA LTD'!A:F,3,0)</f>
        <v>PL</v>
      </c>
      <c r="I487" s="437" t="str">
        <f>VLOOKUP(D487,'COA LTD'!A:F,4,0)</f>
        <v>General and administrative expenses</v>
      </c>
      <c r="J487" s="437" t="str">
        <f>VLOOKUP(D487,'COA LTD'!A:F,5,0)</f>
        <v xml:space="preserve">option expenses </v>
      </c>
      <c r="K487" s="439">
        <f t="shared" si="7"/>
        <v>3.3500005839961688</v>
      </c>
      <c r="L487" s="437"/>
      <c r="M487" s="437"/>
      <c r="N487" s="437"/>
      <c r="O487" s="437"/>
      <c r="P487" s="437"/>
      <c r="Q487" s="437"/>
      <c r="R487" s="437"/>
      <c r="S487" s="437"/>
      <c r="T487" s="437"/>
      <c r="U487" s="437"/>
      <c r="V487" s="437"/>
      <c r="W487" s="437"/>
      <c r="X487" s="437"/>
      <c r="Y487" s="437"/>
      <c r="Z487" s="437"/>
    </row>
    <row r="488" spans="1:26" ht="15.75" customHeight="1">
      <c r="A488" t="s">
        <v>1391</v>
      </c>
      <c r="B488" t="s">
        <v>1425</v>
      </c>
      <c r="C488" t="s">
        <v>1426</v>
      </c>
      <c r="D488" s="516">
        <v>83140104</v>
      </c>
      <c r="E488" t="s">
        <v>956</v>
      </c>
      <c r="F488" s="514">
        <v>457470</v>
      </c>
      <c r="G488" s="514">
        <v>130104.43</v>
      </c>
      <c r="H488" s="437" t="str">
        <f>VLOOKUP(D488,'COA LTD'!A:F,3,0)</f>
        <v>PL</v>
      </c>
      <c r="I488" s="437" t="str">
        <f>VLOOKUP(D488,'COA LTD'!A:F,4,0)</f>
        <v>General and administrative expenses</v>
      </c>
      <c r="J488" s="437" t="str">
        <f>VLOOKUP(D488,'COA LTD'!A:F,5,0)</f>
        <v xml:space="preserve">salary </v>
      </c>
      <c r="K488" s="439">
        <f t="shared" si="7"/>
        <v>3.5161754292301963</v>
      </c>
      <c r="L488" s="437"/>
      <c r="M488" s="437"/>
      <c r="N488" s="437"/>
      <c r="O488" s="437"/>
      <c r="P488" s="437"/>
      <c r="Q488" s="437"/>
      <c r="R488" s="437"/>
      <c r="S488" s="437"/>
      <c r="T488" s="437"/>
      <c r="U488" s="437"/>
      <c r="V488" s="437"/>
      <c r="W488" s="437"/>
      <c r="X488" s="437"/>
      <c r="Y488" s="437"/>
      <c r="Z488" s="437"/>
    </row>
    <row r="489" spans="1:26" ht="15.75" customHeight="1">
      <c r="A489" t="s">
        <v>1391</v>
      </c>
      <c r="B489" t="s">
        <v>1425</v>
      </c>
      <c r="C489" t="s">
        <v>1426</v>
      </c>
      <c r="D489" s="516">
        <v>83140105</v>
      </c>
      <c r="E489" t="s">
        <v>833</v>
      </c>
      <c r="F489" s="514">
        <v>1172654.53</v>
      </c>
      <c r="G489" s="514">
        <v>345999.34</v>
      </c>
      <c r="H489" s="437" t="str">
        <f>VLOOKUP(D489,'COA LTD'!A:F,3,0)</f>
        <v>PL</v>
      </c>
      <c r="I489" s="437" t="str">
        <f>VLOOKUP(D489,'COA LTD'!A:F,4,0)</f>
        <v>General and administrative expenses</v>
      </c>
      <c r="J489" s="437" t="str">
        <f>VLOOKUP(D489,'COA LTD'!A:F,5,0)</f>
        <v xml:space="preserve">Salary </v>
      </c>
      <c r="K489" s="439">
        <f t="shared" ref="K489:K552" si="8">F489/G489</f>
        <v>3.3891814071090423</v>
      </c>
      <c r="L489" s="437"/>
      <c r="M489" s="437"/>
      <c r="N489" s="437"/>
      <c r="O489" s="437"/>
      <c r="P489" s="437"/>
      <c r="Q489" s="437"/>
      <c r="R489" s="437"/>
      <c r="S489" s="437"/>
      <c r="T489" s="437"/>
      <c r="U489" s="437"/>
      <c r="V489" s="437"/>
      <c r="W489" s="437"/>
      <c r="X489" s="437"/>
      <c r="Y489" s="437"/>
      <c r="Z489" s="437"/>
    </row>
    <row r="490" spans="1:26" ht="15.75" customHeight="1">
      <c r="A490" t="s">
        <v>1391</v>
      </c>
      <c r="B490" t="s">
        <v>1425</v>
      </c>
      <c r="C490" t="s">
        <v>1426</v>
      </c>
      <c r="D490" s="516">
        <v>83140107</v>
      </c>
      <c r="E490" t="s">
        <v>834</v>
      </c>
      <c r="F490" s="514">
        <v>1134.43</v>
      </c>
      <c r="G490" s="514">
        <v>332.87</v>
      </c>
      <c r="H490" s="437" t="str">
        <f>VLOOKUP(D490,'COA LTD'!A:F,3,0)</f>
        <v>PL</v>
      </c>
      <c r="I490" s="437" t="str">
        <f>VLOOKUP(D490,'COA LTD'!A:F,4,0)</f>
        <v>General and administrative expenses</v>
      </c>
      <c r="J490" s="437" t="str">
        <f>VLOOKUP(D490,'COA LTD'!A:F,5,0)</f>
        <v xml:space="preserve">Salary </v>
      </c>
      <c r="K490" s="439">
        <f t="shared" si="8"/>
        <v>3.4080271577492716</v>
      </c>
      <c r="L490" s="437"/>
      <c r="M490" s="437"/>
      <c r="N490" s="437"/>
      <c r="O490" s="437"/>
      <c r="P490" s="437"/>
      <c r="Q490" s="437"/>
      <c r="R490" s="437"/>
      <c r="S490" s="437"/>
      <c r="T490" s="437"/>
      <c r="U490" s="437"/>
      <c r="V490" s="437"/>
      <c r="W490" s="437"/>
      <c r="X490" s="437"/>
      <c r="Y490" s="437"/>
      <c r="Z490" s="437"/>
    </row>
    <row r="491" spans="1:26" ht="15.75" customHeight="1">
      <c r="A491" t="s">
        <v>1391</v>
      </c>
      <c r="B491" t="s">
        <v>1425</v>
      </c>
      <c r="C491" t="s">
        <v>1426</v>
      </c>
      <c r="D491" s="516">
        <v>83140108</v>
      </c>
      <c r="E491" t="s">
        <v>835</v>
      </c>
      <c r="F491" s="514">
        <v>3547</v>
      </c>
      <c r="G491" s="514">
        <v>1036.94</v>
      </c>
      <c r="H491" s="437" t="str">
        <f>VLOOKUP(D491,'COA LTD'!A:F,3,0)</f>
        <v>PL</v>
      </c>
      <c r="I491" s="437" t="str">
        <f>VLOOKUP(D491,'COA LTD'!A:F,4,0)</f>
        <v>General and administrative expenses</v>
      </c>
      <c r="J491" s="437" t="str">
        <f>VLOOKUP(D491,'COA LTD'!A:F,5,0)</f>
        <v xml:space="preserve">Salary </v>
      </c>
      <c r="K491" s="439">
        <f t="shared" si="8"/>
        <v>3.420641502883484</v>
      </c>
      <c r="L491" s="437"/>
      <c r="M491" s="437"/>
      <c r="N491" s="437"/>
      <c r="O491" s="437"/>
      <c r="P491" s="437"/>
      <c r="Q491" s="437"/>
      <c r="R491" s="437"/>
      <c r="S491" s="437"/>
      <c r="T491" s="437"/>
      <c r="U491" s="437"/>
      <c r="V491" s="437"/>
      <c r="W491" s="437"/>
      <c r="X491" s="437"/>
      <c r="Y491" s="437"/>
      <c r="Z491" s="437"/>
    </row>
    <row r="492" spans="1:26" ht="15.75" customHeight="1">
      <c r="A492" t="s">
        <v>1391</v>
      </c>
      <c r="B492" t="s">
        <v>1425</v>
      </c>
      <c r="C492" t="s">
        <v>1426</v>
      </c>
      <c r="D492" s="516">
        <v>83140109</v>
      </c>
      <c r="E492" t="s">
        <v>1157</v>
      </c>
      <c r="F492" s="514">
        <v>4550</v>
      </c>
      <c r="G492" s="514">
        <v>1336.1</v>
      </c>
      <c r="H492" s="437" t="str">
        <f>VLOOKUP(D492,'COA LTD'!A:F,3,0)</f>
        <v>PL</v>
      </c>
      <c r="I492" s="437" t="str">
        <f>VLOOKUP(D492,'COA LTD'!A:F,4,0)</f>
        <v>General and administrative expenses</v>
      </c>
      <c r="J492" s="437" t="str">
        <f>VLOOKUP(D492,'COA LTD'!A:F,5,0)</f>
        <v xml:space="preserve">salary </v>
      </c>
      <c r="K492" s="439">
        <f t="shared" si="8"/>
        <v>3.4054337250205826</v>
      </c>
      <c r="L492" s="437"/>
      <c r="M492" s="437"/>
      <c r="N492" s="437"/>
      <c r="O492" s="437"/>
      <c r="P492" s="437"/>
      <c r="Q492" s="437"/>
      <c r="R492" s="437"/>
      <c r="S492" s="437"/>
      <c r="T492" s="437"/>
      <c r="U492" s="437"/>
      <c r="V492" s="437"/>
      <c r="W492" s="437"/>
      <c r="X492" s="437"/>
      <c r="Y492" s="437"/>
      <c r="Z492" s="437"/>
    </row>
    <row r="493" spans="1:26" ht="15.75" customHeight="1">
      <c r="A493" t="s">
        <v>1391</v>
      </c>
      <c r="B493" t="s">
        <v>1425</v>
      </c>
      <c r="C493" t="s">
        <v>1426</v>
      </c>
      <c r="D493" s="516">
        <v>83140110</v>
      </c>
      <c r="E493" t="s">
        <v>1158</v>
      </c>
      <c r="F493" s="514">
        <v>5250</v>
      </c>
      <c r="G493" s="514">
        <v>1541.65</v>
      </c>
      <c r="H493" s="437" t="str">
        <f>VLOOKUP(D493,'COA LTD'!A:F,3,0)</f>
        <v>PL</v>
      </c>
      <c r="I493" s="437" t="str">
        <f>VLOOKUP(D493,'COA LTD'!A:F,4,0)</f>
        <v>General and administrative expenses</v>
      </c>
      <c r="J493" s="437" t="str">
        <f>VLOOKUP(D493,'COA LTD'!A:F,5,0)</f>
        <v xml:space="preserve">salary </v>
      </c>
      <c r="K493" s="439">
        <f t="shared" si="8"/>
        <v>3.4054422209969837</v>
      </c>
      <c r="L493" s="437"/>
      <c r="M493" s="437"/>
      <c r="N493" s="437"/>
      <c r="O493" s="437"/>
      <c r="P493" s="437"/>
      <c r="Q493" s="437"/>
      <c r="R493" s="437"/>
      <c r="S493" s="437"/>
      <c r="T493" s="437"/>
      <c r="U493" s="437"/>
      <c r="V493" s="437"/>
      <c r="W493" s="437"/>
      <c r="X493" s="437"/>
      <c r="Y493" s="437"/>
      <c r="Z493" s="437"/>
    </row>
    <row r="494" spans="1:26" ht="15.75" customHeight="1">
      <c r="A494" t="s">
        <v>1391</v>
      </c>
      <c r="B494" t="s">
        <v>1425</v>
      </c>
      <c r="C494" t="s">
        <v>1426</v>
      </c>
      <c r="D494" s="516">
        <v>83140111</v>
      </c>
      <c r="E494" t="s">
        <v>836</v>
      </c>
      <c r="F494" s="514">
        <v>1604.35</v>
      </c>
      <c r="G494" s="514">
        <v>465.25</v>
      </c>
      <c r="H494" s="437" t="str">
        <f>VLOOKUP(D494,'COA LTD'!A:F,3,0)</f>
        <v>PL</v>
      </c>
      <c r="I494" s="437" t="str">
        <f>VLOOKUP(D494,'COA LTD'!A:F,4,0)</f>
        <v>General and administrative expenses</v>
      </c>
      <c r="J494" s="437" t="str">
        <f>VLOOKUP(D494,'COA LTD'!A:F,5,0)</f>
        <v xml:space="preserve">Salary </v>
      </c>
      <c r="K494" s="439">
        <f t="shared" si="8"/>
        <v>3.4483610961848465</v>
      </c>
      <c r="L494" s="437"/>
      <c r="M494" s="437"/>
      <c r="N494" s="437"/>
      <c r="O494" s="437"/>
      <c r="P494" s="437"/>
      <c r="Q494" s="437"/>
      <c r="R494" s="437"/>
      <c r="S494" s="437"/>
      <c r="T494" s="437"/>
      <c r="U494" s="437"/>
      <c r="V494" s="437"/>
      <c r="W494" s="437"/>
      <c r="X494" s="437"/>
      <c r="Y494" s="437"/>
      <c r="Z494" s="437"/>
    </row>
    <row r="495" spans="1:26" ht="15.75" customHeight="1">
      <c r="A495" t="s">
        <v>1391</v>
      </c>
      <c r="B495" t="s">
        <v>1425</v>
      </c>
      <c r="C495" t="s">
        <v>1426</v>
      </c>
      <c r="D495" s="516">
        <v>83140112</v>
      </c>
      <c r="E495" t="s">
        <v>1159</v>
      </c>
      <c r="F495" s="514">
        <v>5830</v>
      </c>
      <c r="G495" s="514">
        <v>1711.96</v>
      </c>
      <c r="H495" s="437" t="str">
        <f>VLOOKUP(D495,'COA LTD'!A:F,3,0)</f>
        <v>PL</v>
      </c>
      <c r="I495" s="437" t="str">
        <f>VLOOKUP(D495,'COA LTD'!A:F,4,0)</f>
        <v>General and administrative expenses</v>
      </c>
      <c r="J495" s="437" t="str">
        <f>VLOOKUP(D495,'COA LTD'!A:F,5,0)</f>
        <v xml:space="preserve">salary </v>
      </c>
      <c r="K495" s="439">
        <f t="shared" si="8"/>
        <v>3.4054533984438886</v>
      </c>
      <c r="L495" s="437"/>
      <c r="M495" s="437"/>
      <c r="N495" s="437"/>
      <c r="O495" s="437"/>
      <c r="P495" s="437"/>
      <c r="Q495" s="437"/>
      <c r="R495" s="437"/>
      <c r="S495" s="437"/>
      <c r="T495" s="437"/>
      <c r="U495" s="437"/>
      <c r="V495" s="437"/>
      <c r="W495" s="437"/>
      <c r="X495" s="437"/>
      <c r="Y495" s="437"/>
      <c r="Z495" s="437"/>
    </row>
    <row r="496" spans="1:26" ht="15.75" customHeight="1">
      <c r="A496" t="s">
        <v>1391</v>
      </c>
      <c r="B496" t="s">
        <v>1425</v>
      </c>
      <c r="C496" t="s">
        <v>1426</v>
      </c>
      <c r="D496" s="516">
        <v>83140118</v>
      </c>
      <c r="E496" t="s">
        <v>1080</v>
      </c>
      <c r="F496" s="514">
        <v>6622</v>
      </c>
      <c r="G496" s="514">
        <v>1914.42</v>
      </c>
      <c r="H496" s="437" t="str">
        <f>VLOOKUP(D496,'COA LTD'!A:F,3,0)</f>
        <v>PL</v>
      </c>
      <c r="I496" s="437" t="str">
        <f>VLOOKUP(D496,'COA LTD'!A:F,4,0)</f>
        <v>General and administrative expenses</v>
      </c>
      <c r="J496" s="437" t="str">
        <f>VLOOKUP(D496,'COA LTD'!A:F,5,0)</f>
        <v xml:space="preserve">salary </v>
      </c>
      <c r="K496" s="439">
        <f t="shared" si="8"/>
        <v>3.4590110842970714</v>
      </c>
      <c r="L496" s="437"/>
      <c r="M496" s="437"/>
      <c r="N496" s="437"/>
      <c r="O496" s="437"/>
      <c r="P496" s="437"/>
      <c r="Q496" s="437"/>
      <c r="R496" s="437"/>
      <c r="S496" s="437"/>
      <c r="T496" s="437"/>
      <c r="U496" s="437"/>
      <c r="V496" s="437"/>
      <c r="W496" s="437"/>
      <c r="X496" s="437"/>
      <c r="Y496" s="437"/>
      <c r="Z496" s="437"/>
    </row>
    <row r="497" spans="1:26" ht="15.75" customHeight="1">
      <c r="A497" t="s">
        <v>1391</v>
      </c>
      <c r="B497" t="s">
        <v>1425</v>
      </c>
      <c r="C497" t="s">
        <v>1426</v>
      </c>
      <c r="D497" s="516">
        <v>83140119</v>
      </c>
      <c r="E497" t="s">
        <v>1081</v>
      </c>
      <c r="F497" s="514">
        <v>-6622</v>
      </c>
      <c r="G497" s="514">
        <v>-1914.42</v>
      </c>
      <c r="H497" s="437" t="str">
        <f>VLOOKUP(D497,'COA LTD'!A:F,3,0)</f>
        <v>PL</v>
      </c>
      <c r="I497" s="437" t="str">
        <f>VLOOKUP(D497,'COA LTD'!A:F,4,0)</f>
        <v>General and administrative expenses</v>
      </c>
      <c r="J497" s="437" t="str">
        <f>VLOOKUP(D497,'COA LTD'!A:F,5,0)</f>
        <v xml:space="preserve">salary </v>
      </c>
      <c r="K497" s="439">
        <f t="shared" si="8"/>
        <v>3.4590110842970714</v>
      </c>
      <c r="L497" s="437"/>
      <c r="M497" s="437"/>
      <c r="N497" s="437"/>
      <c r="O497" s="437"/>
      <c r="P497" s="437"/>
      <c r="Q497" s="437"/>
      <c r="R497" s="437"/>
      <c r="S497" s="437"/>
      <c r="T497" s="437"/>
      <c r="U497" s="437"/>
      <c r="V497" s="437"/>
      <c r="W497" s="437"/>
      <c r="X497" s="437"/>
      <c r="Y497" s="437"/>
      <c r="Z497" s="437"/>
    </row>
    <row r="498" spans="1:26" ht="15.75" customHeight="1">
      <c r="A498" t="s">
        <v>1391</v>
      </c>
      <c r="B498" t="s">
        <v>1425</v>
      </c>
      <c r="C498" t="s">
        <v>1426</v>
      </c>
      <c r="D498" s="516">
        <v>83140120</v>
      </c>
      <c r="E498" t="s">
        <v>957</v>
      </c>
      <c r="F498" s="514">
        <v>1100</v>
      </c>
      <c r="G498" s="514">
        <v>316.68</v>
      </c>
      <c r="H498" s="437" t="str">
        <f>VLOOKUP(D498,'COA LTD'!A:F,3,0)</f>
        <v>PL</v>
      </c>
      <c r="I498" s="437" t="str">
        <f>VLOOKUP(D498,'COA LTD'!A:F,4,0)</f>
        <v>General and administrative expenses</v>
      </c>
      <c r="J498" s="437" t="str">
        <f>VLOOKUP(D498,'COA LTD'!A:F,5,0)</f>
        <v xml:space="preserve">salary </v>
      </c>
      <c r="K498" s="439">
        <f t="shared" si="8"/>
        <v>3.4735379562965769</v>
      </c>
      <c r="L498" s="437"/>
      <c r="M498" s="437"/>
      <c r="N498" s="437"/>
      <c r="O498" s="437"/>
      <c r="P498" s="437"/>
      <c r="Q498" s="437"/>
      <c r="R498" s="437"/>
      <c r="S498" s="437"/>
      <c r="T498" s="437"/>
      <c r="U498" s="437"/>
      <c r="V498" s="437"/>
      <c r="W498" s="437"/>
      <c r="X498" s="437"/>
      <c r="Y498" s="437"/>
      <c r="Z498" s="437"/>
    </row>
    <row r="499" spans="1:26" ht="15.75" customHeight="1">
      <c r="A499" t="s">
        <v>1391</v>
      </c>
      <c r="B499" t="s">
        <v>1425</v>
      </c>
      <c r="C499" t="s">
        <v>1426</v>
      </c>
      <c r="D499" s="516">
        <v>83140121</v>
      </c>
      <c r="E499" t="s">
        <v>958</v>
      </c>
      <c r="F499" s="514">
        <v>-1100</v>
      </c>
      <c r="G499" s="514">
        <v>-316.68</v>
      </c>
      <c r="H499" s="437" t="str">
        <f>VLOOKUP(D499,'COA LTD'!A:F,3,0)</f>
        <v>PL</v>
      </c>
      <c r="I499" s="437" t="str">
        <f>VLOOKUP(D499,'COA LTD'!A:F,4,0)</f>
        <v>General and administrative expenses</v>
      </c>
      <c r="J499" s="437" t="str">
        <f>VLOOKUP(D499,'COA LTD'!A:F,5,0)</f>
        <v xml:space="preserve">salary </v>
      </c>
      <c r="K499" s="439">
        <f t="shared" si="8"/>
        <v>3.4735379562965769</v>
      </c>
      <c r="L499" s="437"/>
      <c r="M499" s="437"/>
      <c r="N499" s="437"/>
      <c r="O499" s="437"/>
      <c r="P499" s="437"/>
      <c r="Q499" s="437"/>
      <c r="R499" s="437"/>
      <c r="S499" s="437"/>
      <c r="T499" s="437"/>
      <c r="U499" s="437"/>
      <c r="V499" s="437"/>
      <c r="W499" s="437"/>
      <c r="X499" s="437"/>
      <c r="Y499" s="437"/>
      <c r="Z499" s="437"/>
    </row>
    <row r="500" spans="1:26" ht="15.75" customHeight="1">
      <c r="A500" t="s">
        <v>1391</v>
      </c>
      <c r="B500" t="s">
        <v>1425</v>
      </c>
      <c r="C500" t="s">
        <v>1426</v>
      </c>
      <c r="D500" s="516">
        <v>83150100</v>
      </c>
      <c r="E500" t="s">
        <v>1116</v>
      </c>
      <c r="F500" s="514">
        <v>293876</v>
      </c>
      <c r="G500" s="514">
        <v>84915.88</v>
      </c>
      <c r="H500" s="437" t="str">
        <f>VLOOKUP(D500,'COA LTD'!A:F,3,0)</f>
        <v>PL</v>
      </c>
      <c r="I500" s="437" t="str">
        <f>VLOOKUP(D500,'COA LTD'!A:F,4,0)</f>
        <v>General and administrative expenses</v>
      </c>
      <c r="J500" s="437" t="str">
        <f>VLOOKUP(D500,'COA LTD'!A:F,5,0)</f>
        <v xml:space="preserve">salary </v>
      </c>
      <c r="K500" s="439">
        <f t="shared" si="8"/>
        <v>3.4607896661967112</v>
      </c>
      <c r="L500" s="437"/>
      <c r="M500" s="437"/>
      <c r="N500" s="437"/>
      <c r="O500" s="437"/>
      <c r="P500" s="437"/>
      <c r="Q500" s="437"/>
      <c r="R500" s="437"/>
      <c r="S500" s="437"/>
      <c r="T500" s="437"/>
      <c r="U500" s="437"/>
      <c r="V500" s="437"/>
      <c r="W500" s="437"/>
      <c r="X500" s="437"/>
      <c r="Y500" s="437"/>
      <c r="Z500" s="437"/>
    </row>
    <row r="501" spans="1:26" ht="15.75" customHeight="1">
      <c r="A501" t="s">
        <v>1391</v>
      </c>
      <c r="B501" t="s">
        <v>1425</v>
      </c>
      <c r="C501" t="s">
        <v>1426</v>
      </c>
      <c r="D501" s="516">
        <v>83150104</v>
      </c>
      <c r="E501" t="s">
        <v>1576</v>
      </c>
      <c r="F501" s="514">
        <v>107600</v>
      </c>
      <c r="G501" s="514">
        <v>30576.87</v>
      </c>
      <c r="H501" s="437" t="str">
        <f>VLOOKUP(D501,'COA LTD'!A:F,3,0)</f>
        <v>PL</v>
      </c>
      <c r="I501" s="437" t="str">
        <f>VLOOKUP(D501,'COA LTD'!A:F,4,0)</f>
        <v>General and administrative expenses</v>
      </c>
      <c r="J501" s="437" t="str">
        <f>VLOOKUP(D501,'COA LTD'!A:F,5,0)</f>
        <v>Legal</v>
      </c>
      <c r="K501" s="439">
        <f t="shared" si="8"/>
        <v>3.5189998191443403</v>
      </c>
      <c r="L501" s="437"/>
      <c r="M501" s="437"/>
      <c r="N501" s="437"/>
      <c r="O501" s="437"/>
      <c r="P501" s="437"/>
      <c r="Q501" s="437"/>
      <c r="R501" s="437"/>
      <c r="S501" s="437"/>
      <c r="T501" s="437"/>
      <c r="U501" s="437"/>
      <c r="V501" s="437"/>
      <c r="W501" s="437"/>
      <c r="X501" s="437"/>
      <c r="Y501" s="437"/>
      <c r="Z501" s="437"/>
    </row>
    <row r="502" spans="1:26" ht="15.75" customHeight="1">
      <c r="A502" t="s">
        <v>1391</v>
      </c>
      <c r="B502" t="s">
        <v>1425</v>
      </c>
      <c r="C502" t="s">
        <v>1426</v>
      </c>
      <c r="D502" s="516">
        <v>83150107</v>
      </c>
      <c r="E502" t="s">
        <v>1114</v>
      </c>
      <c r="F502" s="514">
        <v>2143.92</v>
      </c>
      <c r="G502" s="514">
        <v>619.95000000000005</v>
      </c>
      <c r="H502" s="437" t="str">
        <f>VLOOKUP(D502,'COA LTD'!A:F,3,0)</f>
        <v>PL</v>
      </c>
      <c r="I502" s="437" t="str">
        <f>VLOOKUP(D502,'COA LTD'!A:F,4,0)</f>
        <v>General and administrative expenses</v>
      </c>
      <c r="J502" s="437" t="str">
        <f>VLOOKUP(D502,'COA LTD'!A:F,5,0)</f>
        <v xml:space="preserve">salary </v>
      </c>
      <c r="K502" s="439">
        <f t="shared" si="8"/>
        <v>3.4582143721267844</v>
      </c>
      <c r="L502" s="437"/>
      <c r="M502" s="437"/>
      <c r="N502" s="437"/>
      <c r="O502" s="437"/>
      <c r="P502" s="437"/>
      <c r="Q502" s="437"/>
      <c r="R502" s="437"/>
      <c r="S502" s="437"/>
      <c r="T502" s="437"/>
      <c r="U502" s="437"/>
      <c r="V502" s="437"/>
      <c r="W502" s="437"/>
      <c r="X502" s="437"/>
      <c r="Y502" s="437"/>
      <c r="Z502" s="437"/>
    </row>
    <row r="503" spans="1:26" ht="15.75" customHeight="1">
      <c r="A503" t="s">
        <v>1391</v>
      </c>
      <c r="B503" t="s">
        <v>1425</v>
      </c>
      <c r="C503" t="s">
        <v>1426</v>
      </c>
      <c r="D503" s="516">
        <v>83150108</v>
      </c>
      <c r="E503" t="s">
        <v>1117</v>
      </c>
      <c r="F503" s="514">
        <v>18970</v>
      </c>
      <c r="G503" s="514">
        <v>5484.15</v>
      </c>
      <c r="H503" s="437" t="str">
        <f>VLOOKUP(D503,'COA LTD'!A:F,3,0)</f>
        <v>PL</v>
      </c>
      <c r="I503" s="437" t="str">
        <f>VLOOKUP(D503,'COA LTD'!A:F,4,0)</f>
        <v>General and administrative expenses</v>
      </c>
      <c r="J503" s="437" t="str">
        <f>VLOOKUP(D503,'COA LTD'!A:F,5,0)</f>
        <v xml:space="preserve">salary </v>
      </c>
      <c r="K503" s="439">
        <f t="shared" si="8"/>
        <v>3.4590592890420577</v>
      </c>
      <c r="L503" s="437"/>
      <c r="M503" s="437"/>
      <c r="N503" s="437"/>
      <c r="O503" s="437"/>
      <c r="P503" s="437"/>
      <c r="Q503" s="437"/>
      <c r="R503" s="437"/>
      <c r="S503" s="437"/>
      <c r="T503" s="437"/>
      <c r="U503" s="437"/>
      <c r="V503" s="437"/>
      <c r="W503" s="437"/>
      <c r="X503" s="437"/>
      <c r="Y503" s="437"/>
      <c r="Z503" s="437"/>
    </row>
    <row r="504" spans="1:26" ht="15.75" customHeight="1">
      <c r="A504" t="s">
        <v>1391</v>
      </c>
      <c r="B504" t="s">
        <v>1425</v>
      </c>
      <c r="C504" t="s">
        <v>1426</v>
      </c>
      <c r="D504" s="516">
        <v>83150109</v>
      </c>
      <c r="E504" t="s">
        <v>1118</v>
      </c>
      <c r="F504" s="514">
        <v>18950</v>
      </c>
      <c r="G504" s="514">
        <v>5475.96</v>
      </c>
      <c r="H504" s="437" t="str">
        <f>VLOOKUP(D504,'COA LTD'!A:F,3,0)</f>
        <v>PL</v>
      </c>
      <c r="I504" s="437" t="str">
        <f>VLOOKUP(D504,'COA LTD'!A:F,4,0)</f>
        <v>General and administrative expenses</v>
      </c>
      <c r="J504" s="437" t="str">
        <f>VLOOKUP(D504,'COA LTD'!A:F,5,0)</f>
        <v xml:space="preserve">salary </v>
      </c>
      <c r="K504" s="439">
        <f t="shared" si="8"/>
        <v>3.4605804279067049</v>
      </c>
      <c r="L504" s="437"/>
      <c r="M504" s="437"/>
      <c r="N504" s="437"/>
      <c r="O504" s="437"/>
      <c r="P504" s="437"/>
      <c r="Q504" s="437"/>
      <c r="R504" s="437"/>
      <c r="S504" s="437"/>
      <c r="T504" s="437"/>
      <c r="U504" s="437"/>
      <c r="V504" s="437"/>
      <c r="W504" s="437"/>
      <c r="X504" s="437"/>
      <c r="Y504" s="437"/>
      <c r="Z504" s="437"/>
    </row>
    <row r="505" spans="1:26" ht="15.75" customHeight="1">
      <c r="A505" t="s">
        <v>1391</v>
      </c>
      <c r="B505" t="s">
        <v>1425</v>
      </c>
      <c r="C505" t="s">
        <v>1426</v>
      </c>
      <c r="D505" s="516">
        <v>83150110</v>
      </c>
      <c r="E505" t="s">
        <v>1119</v>
      </c>
      <c r="F505" s="514">
        <v>7068</v>
      </c>
      <c r="G505" s="514">
        <v>2043.6</v>
      </c>
      <c r="H505" s="437" t="str">
        <f>VLOOKUP(D505,'COA LTD'!A:F,3,0)</f>
        <v>PL</v>
      </c>
      <c r="I505" s="437" t="str">
        <f>VLOOKUP(D505,'COA LTD'!A:F,4,0)</f>
        <v>General and administrative expenses</v>
      </c>
      <c r="J505" s="437" t="str">
        <f>VLOOKUP(D505,'COA LTD'!A:F,5,0)</f>
        <v xml:space="preserve">salary </v>
      </c>
      <c r="K505" s="439">
        <f t="shared" si="8"/>
        <v>3.4586024662360542</v>
      </c>
      <c r="L505" s="437"/>
      <c r="M505" s="437"/>
      <c r="N505" s="437"/>
      <c r="O505" s="437"/>
      <c r="P505" s="437"/>
      <c r="Q505" s="437"/>
      <c r="R505" s="437"/>
      <c r="S505" s="437"/>
      <c r="T505" s="437"/>
      <c r="U505" s="437"/>
      <c r="V505" s="437"/>
      <c r="W505" s="437"/>
      <c r="X505" s="437"/>
      <c r="Y505" s="437"/>
      <c r="Z505" s="437"/>
    </row>
    <row r="506" spans="1:26" ht="15.75" customHeight="1">
      <c r="A506" t="s">
        <v>1391</v>
      </c>
      <c r="B506" t="s">
        <v>1425</v>
      </c>
      <c r="C506" t="s">
        <v>1426</v>
      </c>
      <c r="D506" s="516">
        <v>83150111</v>
      </c>
      <c r="E506" t="s">
        <v>1115</v>
      </c>
      <c r="F506" s="514">
        <v>714</v>
      </c>
      <c r="G506" s="514">
        <v>206.35</v>
      </c>
      <c r="H506" s="437" t="str">
        <f>VLOOKUP(D506,'COA LTD'!A:F,3,0)</f>
        <v>PL</v>
      </c>
      <c r="I506" s="437" t="str">
        <f>VLOOKUP(D506,'COA LTD'!A:F,4,0)</f>
        <v>General and administrative expenses</v>
      </c>
      <c r="J506" s="437" t="str">
        <f>VLOOKUP(D506,'COA LTD'!A:F,5,0)</f>
        <v xml:space="preserve">salary </v>
      </c>
      <c r="K506" s="439">
        <f t="shared" si="8"/>
        <v>3.4601405379210082</v>
      </c>
      <c r="L506" s="437"/>
      <c r="M506" s="437"/>
      <c r="N506" s="437"/>
      <c r="O506" s="437"/>
      <c r="P506" s="437"/>
      <c r="Q506" s="437"/>
      <c r="R506" s="437"/>
      <c r="S506" s="437"/>
      <c r="T506" s="437"/>
      <c r="U506" s="437"/>
      <c r="V506" s="437"/>
      <c r="W506" s="437"/>
      <c r="X506" s="437"/>
      <c r="Y506" s="437"/>
      <c r="Z506" s="437"/>
    </row>
    <row r="507" spans="1:26" ht="15.75" customHeight="1">
      <c r="A507" t="s">
        <v>1391</v>
      </c>
      <c r="B507" t="s">
        <v>1425</v>
      </c>
      <c r="C507" t="s">
        <v>1426</v>
      </c>
      <c r="D507" s="516">
        <v>83150112</v>
      </c>
      <c r="E507" t="s">
        <v>1120</v>
      </c>
      <c r="F507" s="514">
        <v>24285</v>
      </c>
      <c r="G507" s="514">
        <v>7017.59</v>
      </c>
      <c r="H507" s="437" t="str">
        <f>VLOOKUP(D507,'COA LTD'!A:F,3,0)</f>
        <v>PL</v>
      </c>
      <c r="I507" s="437" t="str">
        <f>VLOOKUP(D507,'COA LTD'!A:F,4,0)</f>
        <v>General and administrative expenses</v>
      </c>
      <c r="J507" s="437" t="str">
        <f>VLOOKUP(D507,'COA LTD'!A:F,5,0)</f>
        <v xml:space="preserve">salary </v>
      </c>
      <c r="K507" s="439">
        <f t="shared" si="8"/>
        <v>3.460589746622416</v>
      </c>
      <c r="L507" s="437"/>
      <c r="M507" s="437"/>
      <c r="N507" s="437"/>
      <c r="O507" s="437"/>
      <c r="P507" s="437"/>
      <c r="Q507" s="437"/>
      <c r="R507" s="437"/>
      <c r="S507" s="437"/>
      <c r="T507" s="437"/>
      <c r="U507" s="437"/>
      <c r="V507" s="437"/>
      <c r="W507" s="437"/>
      <c r="X507" s="437"/>
      <c r="Y507" s="437"/>
      <c r="Z507" s="437"/>
    </row>
    <row r="508" spans="1:26" ht="15.75" customHeight="1">
      <c r="A508" t="s">
        <v>1391</v>
      </c>
      <c r="B508" t="s">
        <v>1425</v>
      </c>
      <c r="C508" t="s">
        <v>1426</v>
      </c>
      <c r="D508" s="516">
        <v>83150114</v>
      </c>
      <c r="E508" t="s">
        <v>1121</v>
      </c>
      <c r="F508" s="514">
        <v>13915</v>
      </c>
      <c r="G508" s="514">
        <v>4016.07</v>
      </c>
      <c r="H508" s="437" t="str">
        <f>VLOOKUP(D508,'COA LTD'!A:F,3,0)</f>
        <v>PL</v>
      </c>
      <c r="I508" s="437" t="str">
        <f>VLOOKUP(D508,'COA LTD'!A:F,4,0)</f>
        <v>General and administrative expenses</v>
      </c>
      <c r="J508" s="437" t="str">
        <f>VLOOKUP(D508,'COA LTD'!A:F,5,0)</f>
        <v xml:space="preserve">salary </v>
      </c>
      <c r="K508" s="439">
        <f t="shared" si="8"/>
        <v>3.4648300452930352</v>
      </c>
      <c r="L508" s="437"/>
      <c r="M508" s="437"/>
      <c r="N508" s="437"/>
      <c r="O508" s="437"/>
      <c r="P508" s="437"/>
      <c r="Q508" s="437"/>
      <c r="R508" s="437"/>
      <c r="S508" s="437"/>
      <c r="T508" s="437"/>
      <c r="U508" s="437"/>
      <c r="V508" s="437"/>
      <c r="W508" s="437"/>
      <c r="X508" s="437"/>
      <c r="Y508" s="437"/>
      <c r="Z508" s="437"/>
    </row>
    <row r="509" spans="1:26" ht="15.75" customHeight="1">
      <c r="A509" t="s">
        <v>1391</v>
      </c>
      <c r="B509" t="s">
        <v>1425</v>
      </c>
      <c r="C509" t="s">
        <v>1426</v>
      </c>
      <c r="D509" s="516">
        <v>83150115</v>
      </c>
      <c r="E509" t="s">
        <v>1122</v>
      </c>
      <c r="F509" s="514">
        <v>-13915</v>
      </c>
      <c r="G509" s="514">
        <v>-4016.07</v>
      </c>
      <c r="H509" s="437" t="str">
        <f>VLOOKUP(D509,'COA LTD'!A:F,3,0)</f>
        <v>PL</v>
      </c>
      <c r="I509" s="437" t="str">
        <f>VLOOKUP(D509,'COA LTD'!A:F,4,0)</f>
        <v>General and administrative expenses</v>
      </c>
      <c r="J509" s="437" t="str">
        <f>VLOOKUP(D509,'COA LTD'!A:F,5,0)</f>
        <v xml:space="preserve">salary </v>
      </c>
      <c r="K509" s="439">
        <f t="shared" si="8"/>
        <v>3.4648300452930352</v>
      </c>
      <c r="L509" s="437"/>
      <c r="M509" s="437"/>
      <c r="N509" s="437"/>
      <c r="O509" s="437"/>
      <c r="P509" s="437"/>
      <c r="Q509" s="437"/>
      <c r="R509" s="437"/>
      <c r="S509" s="437"/>
      <c r="T509" s="437"/>
      <c r="U509" s="437"/>
      <c r="V509" s="437"/>
      <c r="W509" s="437"/>
      <c r="X509" s="437"/>
      <c r="Y509" s="437"/>
      <c r="Z509" s="437"/>
    </row>
    <row r="510" spans="1:26" ht="15.75" customHeight="1">
      <c r="A510" t="s">
        <v>1391</v>
      </c>
      <c r="B510" t="s">
        <v>1425</v>
      </c>
      <c r="C510" t="s">
        <v>1426</v>
      </c>
      <c r="D510" s="516">
        <v>83150118</v>
      </c>
      <c r="E510" t="s">
        <v>1123</v>
      </c>
      <c r="F510" s="514">
        <v>6851</v>
      </c>
      <c r="G510" s="514">
        <v>1979.17</v>
      </c>
      <c r="H510" s="437" t="str">
        <f>VLOOKUP(D510,'COA LTD'!A:F,3,0)</f>
        <v>PL</v>
      </c>
      <c r="I510" s="437" t="str">
        <f>VLOOKUP(D510,'COA LTD'!A:F,4,0)</f>
        <v>General and administrative expenses</v>
      </c>
      <c r="J510" s="437" t="str">
        <f>VLOOKUP(D510,'COA LTD'!A:F,5,0)</f>
        <v xml:space="preserve">salary </v>
      </c>
      <c r="K510" s="439">
        <f t="shared" si="8"/>
        <v>3.4615520647544171</v>
      </c>
      <c r="L510" s="437"/>
      <c r="M510" s="437"/>
      <c r="N510" s="437"/>
      <c r="O510" s="437"/>
      <c r="P510" s="437"/>
      <c r="Q510" s="437"/>
      <c r="R510" s="437"/>
      <c r="S510" s="437"/>
      <c r="T510" s="437"/>
      <c r="U510" s="437"/>
      <c r="V510" s="437"/>
      <c r="W510" s="437"/>
      <c r="X510" s="437"/>
      <c r="Y510" s="437"/>
      <c r="Z510" s="437"/>
    </row>
    <row r="511" spans="1:26" ht="15.75" customHeight="1">
      <c r="A511" t="s">
        <v>1391</v>
      </c>
      <c r="B511" t="s">
        <v>1425</v>
      </c>
      <c r="C511" t="s">
        <v>1426</v>
      </c>
      <c r="D511" s="516">
        <v>83150119</v>
      </c>
      <c r="E511" t="s">
        <v>1124</v>
      </c>
      <c r="F511" s="514">
        <v>-6851</v>
      </c>
      <c r="G511" s="514">
        <v>-1979.17</v>
      </c>
      <c r="H511" s="437" t="str">
        <f>VLOOKUP(D511,'COA LTD'!A:F,3,0)</f>
        <v>PL</v>
      </c>
      <c r="I511" s="437" t="str">
        <f>VLOOKUP(D511,'COA LTD'!A:F,4,0)</f>
        <v>General and administrative expenses</v>
      </c>
      <c r="J511" s="437" t="str">
        <f>VLOOKUP(D511,'COA LTD'!A:F,5,0)</f>
        <v xml:space="preserve">salary </v>
      </c>
      <c r="K511" s="439">
        <f t="shared" si="8"/>
        <v>3.4615520647544171</v>
      </c>
      <c r="L511" s="437"/>
      <c r="M511" s="437"/>
      <c r="N511" s="437"/>
      <c r="O511" s="437"/>
      <c r="P511" s="437"/>
      <c r="Q511" s="437"/>
      <c r="R511" s="437"/>
      <c r="S511" s="437"/>
      <c r="T511" s="437"/>
      <c r="U511" s="437"/>
      <c r="V511" s="437"/>
      <c r="W511" s="437"/>
      <c r="X511" s="437"/>
      <c r="Y511" s="437"/>
      <c r="Z511" s="437"/>
    </row>
    <row r="512" spans="1:26" ht="15.75" customHeight="1">
      <c r="A512" t="s">
        <v>1391</v>
      </c>
      <c r="B512" t="s">
        <v>1425</v>
      </c>
      <c r="C512" t="s">
        <v>1426</v>
      </c>
      <c r="D512" s="516">
        <v>83150120</v>
      </c>
      <c r="E512" t="s">
        <v>1177</v>
      </c>
      <c r="F512" s="514">
        <v>800</v>
      </c>
      <c r="G512" s="514">
        <v>226.24</v>
      </c>
      <c r="H512" s="437" t="str">
        <f>VLOOKUP(D512,'COA LTD'!A:F,3,0)</f>
        <v>PL</v>
      </c>
      <c r="I512" s="437" t="str">
        <f>VLOOKUP(D512,'COA LTD'!A:F,4,0)</f>
        <v>General and administrative expenses</v>
      </c>
      <c r="J512" s="437" t="str">
        <f>VLOOKUP(D512,'COA LTD'!A:F,5,0)</f>
        <v xml:space="preserve">salary </v>
      </c>
      <c r="K512" s="439">
        <f t="shared" si="8"/>
        <v>3.536067892503536</v>
      </c>
      <c r="L512" s="437"/>
      <c r="M512" s="437"/>
      <c r="N512" s="437"/>
      <c r="O512" s="437"/>
      <c r="P512" s="437"/>
      <c r="Q512" s="437"/>
      <c r="R512" s="437"/>
      <c r="S512" s="437"/>
      <c r="T512" s="437"/>
      <c r="U512" s="437"/>
      <c r="V512" s="437"/>
      <c r="W512" s="437"/>
      <c r="X512" s="437"/>
      <c r="Y512" s="437"/>
      <c r="Z512" s="437"/>
    </row>
    <row r="513" spans="1:26" ht="15.75" customHeight="1">
      <c r="A513" t="s">
        <v>1391</v>
      </c>
      <c r="B513" t="s">
        <v>1425</v>
      </c>
      <c r="C513" t="s">
        <v>1426</v>
      </c>
      <c r="D513" s="516">
        <v>83150121</v>
      </c>
      <c r="E513" t="s">
        <v>1178</v>
      </c>
      <c r="F513" s="514">
        <v>-800</v>
      </c>
      <c r="G513" s="514">
        <v>-226.24</v>
      </c>
      <c r="H513" s="437" t="str">
        <f>VLOOKUP(D513,'COA LTD'!A:F,3,0)</f>
        <v>PL</v>
      </c>
      <c r="I513" s="437" t="str">
        <f>VLOOKUP(D513,'COA LTD'!A:F,4,0)</f>
        <v>General and administrative expenses</v>
      </c>
      <c r="J513" s="437" t="str">
        <f>VLOOKUP(D513,'COA LTD'!A:F,5,0)</f>
        <v xml:space="preserve">salary </v>
      </c>
      <c r="K513" s="439">
        <f t="shared" si="8"/>
        <v>3.536067892503536</v>
      </c>
      <c r="L513" s="437"/>
      <c r="M513" s="437"/>
      <c r="N513" s="437"/>
      <c r="O513" s="437"/>
      <c r="P513" s="437"/>
      <c r="Q513" s="437"/>
      <c r="R513" s="437"/>
      <c r="S513" s="437"/>
      <c r="T513" s="437"/>
      <c r="U513" s="437"/>
      <c r="V513" s="437"/>
      <c r="W513" s="437"/>
      <c r="X513" s="437"/>
      <c r="Y513" s="437"/>
      <c r="Z513" s="437"/>
    </row>
    <row r="514" spans="1:26" ht="15.75" customHeight="1">
      <c r="A514" t="s">
        <v>1391</v>
      </c>
      <c r="B514" t="s">
        <v>1425</v>
      </c>
      <c r="C514" t="s">
        <v>1426</v>
      </c>
      <c r="D514" s="516">
        <v>83200122</v>
      </c>
      <c r="E514" t="s">
        <v>1295</v>
      </c>
      <c r="F514" s="514">
        <v>80380.62</v>
      </c>
      <c r="G514" s="514">
        <v>23572.03</v>
      </c>
      <c r="H514" s="437" t="str">
        <f>VLOOKUP(D514,'COA LTD'!A:F,3,0)</f>
        <v>PL</v>
      </c>
      <c r="I514" s="437" t="str">
        <f>VLOOKUP(D514,'COA LTD'!A:F,4,0)</f>
        <v>General and administrative expenses</v>
      </c>
      <c r="J514" s="437" t="str">
        <f>VLOOKUP(D514,'COA LTD'!A:F,5,0)</f>
        <v xml:space="preserve">salary </v>
      </c>
      <c r="K514" s="439">
        <f t="shared" si="8"/>
        <v>3.409999902426732</v>
      </c>
      <c r="L514" s="437"/>
      <c r="M514" s="437"/>
      <c r="N514" s="437"/>
      <c r="O514" s="437"/>
      <c r="P514" s="437"/>
      <c r="Q514" s="437"/>
      <c r="R514" s="437"/>
      <c r="S514" s="437"/>
      <c r="T514" s="437"/>
      <c r="U514" s="437"/>
      <c r="V514" s="437"/>
      <c r="W514" s="437"/>
      <c r="X514" s="437"/>
      <c r="Y514" s="437"/>
      <c r="Z514" s="437"/>
    </row>
    <row r="515" spans="1:26" ht="15.75" customHeight="1">
      <c r="A515" t="s">
        <v>1391</v>
      </c>
      <c r="B515" t="s">
        <v>1425</v>
      </c>
      <c r="C515" t="s">
        <v>1428</v>
      </c>
      <c r="D515" s="516">
        <v>83120200</v>
      </c>
      <c r="E515" t="s">
        <v>837</v>
      </c>
      <c r="F515" s="514">
        <v>72423.899999999994</v>
      </c>
      <c r="G515" s="514">
        <v>20878.64</v>
      </c>
      <c r="H515" s="437" t="str">
        <f>VLOOKUP(D515,'COA LTD'!A:F,3,0)</f>
        <v>PL</v>
      </c>
      <c r="I515" s="437" t="str">
        <f>VLOOKUP(D515,'COA LTD'!A:F,4,0)</f>
        <v>General and administrative expenses</v>
      </c>
      <c r="J515" s="437" t="str">
        <f>VLOOKUP(D515,'COA LTD'!A:F,5,0)</f>
        <v xml:space="preserve"> Professional Services</v>
      </c>
      <c r="K515" s="439">
        <f t="shared" si="8"/>
        <v>3.4688035236011538</v>
      </c>
      <c r="L515" s="437"/>
      <c r="M515" s="437"/>
      <c r="N515" s="437"/>
      <c r="O515" s="437"/>
      <c r="P515" s="437"/>
      <c r="Q515" s="437"/>
      <c r="R515" s="437"/>
      <c r="S515" s="437"/>
      <c r="T515" s="437"/>
      <c r="U515" s="437"/>
      <c r="V515" s="437"/>
      <c r="W515" s="437"/>
      <c r="X515" s="437"/>
      <c r="Y515" s="437"/>
      <c r="Z515" s="437"/>
    </row>
    <row r="516" spans="1:26" ht="15.75" customHeight="1">
      <c r="A516" t="s">
        <v>1391</v>
      </c>
      <c r="B516" t="s">
        <v>1425</v>
      </c>
      <c r="C516" t="s">
        <v>1428</v>
      </c>
      <c r="D516" s="516">
        <v>83120201</v>
      </c>
      <c r="E516" t="s">
        <v>909</v>
      </c>
      <c r="F516" s="514">
        <v>591844.76</v>
      </c>
      <c r="G516" s="514">
        <v>172554.54</v>
      </c>
      <c r="H516" s="437" t="str">
        <f>VLOOKUP(D516,'COA LTD'!A:F,3,0)</f>
        <v>PL</v>
      </c>
      <c r="I516" s="437" t="str">
        <f>VLOOKUP(D516,'COA LTD'!A:F,4,0)</f>
        <v>General and administrative expenses</v>
      </c>
      <c r="J516" s="437" t="str">
        <f>VLOOKUP(D516,'COA LTD'!A:F,5,0)</f>
        <v xml:space="preserve"> Professional Services</v>
      </c>
      <c r="K516" s="439">
        <f t="shared" si="8"/>
        <v>3.4298996711416576</v>
      </c>
      <c r="L516" s="437"/>
      <c r="M516" s="437"/>
      <c r="N516" s="437"/>
      <c r="O516" s="437"/>
      <c r="P516" s="437"/>
      <c r="Q516" s="437"/>
      <c r="R516" s="437"/>
      <c r="S516" s="437"/>
      <c r="T516" s="437"/>
      <c r="U516" s="437"/>
      <c r="V516" s="437"/>
      <c r="W516" s="437"/>
      <c r="X516" s="437"/>
      <c r="Y516" s="437"/>
      <c r="Z516" s="437"/>
    </row>
    <row r="517" spans="1:26" ht="15.75" customHeight="1">
      <c r="A517" t="s">
        <v>1391</v>
      </c>
      <c r="B517" t="s">
        <v>1425</v>
      </c>
      <c r="C517" t="s">
        <v>1428</v>
      </c>
      <c r="D517" s="516">
        <v>83120202</v>
      </c>
      <c r="E517" t="s">
        <v>1261</v>
      </c>
      <c r="F517" s="514">
        <v>69650</v>
      </c>
      <c r="G517" s="514">
        <v>20000</v>
      </c>
      <c r="H517" s="437" t="str">
        <f>VLOOKUP(D517,'COA LTD'!A:F,3,0)</f>
        <v>PL</v>
      </c>
      <c r="I517" s="437" t="str">
        <f>VLOOKUP(D517,'COA LTD'!A:F,4,0)</f>
        <v>General and administrative expenses</v>
      </c>
      <c r="J517" s="437" t="str">
        <f>VLOOKUP(D517,'COA LTD'!A:F,5,0)</f>
        <v xml:space="preserve"> Professional Services</v>
      </c>
      <c r="K517" s="439">
        <f t="shared" si="8"/>
        <v>3.4824999999999999</v>
      </c>
      <c r="L517" s="437"/>
      <c r="M517" s="437"/>
      <c r="N517" s="437"/>
      <c r="O517" s="437"/>
      <c r="P517" s="437"/>
      <c r="Q517" s="437"/>
      <c r="R517" s="437"/>
      <c r="S517" s="437"/>
      <c r="T517" s="437"/>
      <c r="U517" s="437"/>
      <c r="V517" s="437"/>
      <c r="W517" s="437"/>
      <c r="X517" s="437"/>
      <c r="Y517" s="437"/>
      <c r="Z517" s="437"/>
    </row>
    <row r="518" spans="1:26" ht="15.75" customHeight="1">
      <c r="A518" t="s">
        <v>1391</v>
      </c>
      <c r="B518" t="s">
        <v>1425</v>
      </c>
      <c r="C518" t="s">
        <v>1428</v>
      </c>
      <c r="D518" s="516">
        <v>83120203</v>
      </c>
      <c r="E518" t="s">
        <v>838</v>
      </c>
      <c r="F518" s="514">
        <v>0</v>
      </c>
      <c r="G518" s="514">
        <v>0.48</v>
      </c>
      <c r="H518" s="437" t="str">
        <f>VLOOKUP(D518,'COA LTD'!A:F,3,0)</f>
        <v>PL</v>
      </c>
      <c r="I518" s="437" t="str">
        <f>VLOOKUP(D518,'COA LTD'!A:F,4,0)</f>
        <v>General and administrative expenses</v>
      </c>
      <c r="J518" s="437" t="str">
        <f>VLOOKUP(D518,'COA LTD'!A:F,5,0)</f>
        <v xml:space="preserve"> Professional Services</v>
      </c>
      <c r="K518" s="439">
        <f t="shared" si="8"/>
        <v>0</v>
      </c>
      <c r="L518" s="437"/>
      <c r="M518" s="437"/>
      <c r="N518" s="437"/>
      <c r="O518" s="437"/>
      <c r="P518" s="437"/>
      <c r="Q518" s="437"/>
      <c r="R518" s="437"/>
      <c r="S518" s="437"/>
      <c r="T518" s="437"/>
      <c r="U518" s="437"/>
      <c r="V518" s="437"/>
      <c r="W518" s="437"/>
      <c r="X518" s="437"/>
      <c r="Y518" s="437"/>
      <c r="Z518" s="437"/>
    </row>
    <row r="519" spans="1:26" ht="15.75" customHeight="1">
      <c r="A519" t="s">
        <v>1391</v>
      </c>
      <c r="B519" t="s">
        <v>1425</v>
      </c>
      <c r="C519" t="s">
        <v>1428</v>
      </c>
      <c r="D519" s="516">
        <v>83120204</v>
      </c>
      <c r="E519" t="s">
        <v>839</v>
      </c>
      <c r="F519" s="514">
        <v>335302.92</v>
      </c>
      <c r="G519" s="514">
        <v>98196.34</v>
      </c>
      <c r="H519" s="437" t="str">
        <f>VLOOKUP(D519,'COA LTD'!A:F,3,0)</f>
        <v>PL</v>
      </c>
      <c r="I519" s="437" t="str">
        <f>VLOOKUP(D519,'COA LTD'!A:F,4,0)</f>
        <v>General and administrative expenses</v>
      </c>
      <c r="J519" s="437" t="str">
        <f>VLOOKUP(D519,'COA LTD'!A:F,5,0)</f>
        <v xml:space="preserve"> Professional Services</v>
      </c>
      <c r="K519" s="439">
        <f t="shared" si="8"/>
        <v>3.4146172861432511</v>
      </c>
      <c r="L519" s="437"/>
      <c r="M519" s="437"/>
      <c r="N519" s="437"/>
      <c r="O519" s="437"/>
      <c r="P519" s="437"/>
      <c r="Q519" s="437"/>
      <c r="R519" s="437"/>
      <c r="S519" s="437"/>
      <c r="T519" s="437"/>
      <c r="U519" s="437"/>
      <c r="V519" s="437"/>
      <c r="W519" s="437"/>
      <c r="X519" s="437"/>
      <c r="Y519" s="437"/>
      <c r="Z519" s="437"/>
    </row>
    <row r="520" spans="1:26" ht="15.75" customHeight="1">
      <c r="A520" t="s">
        <v>1391</v>
      </c>
      <c r="B520" t="s">
        <v>1425</v>
      </c>
      <c r="C520" t="s">
        <v>1428</v>
      </c>
      <c r="D520" s="516">
        <v>83120205</v>
      </c>
      <c r="E520" t="s">
        <v>1055</v>
      </c>
      <c r="F520" s="514">
        <v>225660.36</v>
      </c>
      <c r="G520" s="514">
        <v>67779.13</v>
      </c>
      <c r="H520" s="437" t="str">
        <f>VLOOKUP(D520,'COA LTD'!A:F,3,0)</f>
        <v>PL</v>
      </c>
      <c r="I520" s="437" t="str">
        <f>VLOOKUP(D520,'COA LTD'!A:F,4,0)</f>
        <v>General and administrative expenses</v>
      </c>
      <c r="J520" s="437" t="str">
        <f>VLOOKUP(D520,'COA LTD'!A:F,5,0)</f>
        <v xml:space="preserve"> Professional Services</v>
      </c>
      <c r="K520" s="439">
        <f t="shared" si="8"/>
        <v>3.3293487243049591</v>
      </c>
      <c r="L520" s="437"/>
      <c r="M520" s="437"/>
      <c r="N520" s="437"/>
      <c r="O520" s="437"/>
      <c r="P520" s="437"/>
      <c r="Q520" s="437"/>
      <c r="R520" s="437"/>
      <c r="S520" s="437"/>
      <c r="T520" s="437"/>
      <c r="U520" s="437"/>
      <c r="V520" s="437"/>
      <c r="W520" s="437"/>
      <c r="X520" s="437"/>
      <c r="Y520" s="437"/>
      <c r="Z520" s="437"/>
    </row>
    <row r="521" spans="1:26" ht="15.75" customHeight="1">
      <c r="A521" t="s">
        <v>1391</v>
      </c>
      <c r="B521" t="s">
        <v>1425</v>
      </c>
      <c r="C521" t="s">
        <v>1428</v>
      </c>
      <c r="D521" s="516">
        <v>83120206</v>
      </c>
      <c r="E521" t="s">
        <v>1056</v>
      </c>
      <c r="F521" s="514">
        <v>56395.8</v>
      </c>
      <c r="G521" s="514">
        <v>16035</v>
      </c>
      <c r="H521" s="437" t="str">
        <f>VLOOKUP(D521,'COA LTD'!A:F,3,0)</f>
        <v>PL</v>
      </c>
      <c r="I521" s="437" t="str">
        <f>VLOOKUP(D521,'COA LTD'!A:F,4,0)</f>
        <v>General and administrative expenses</v>
      </c>
      <c r="J521" s="437" t="str">
        <f>VLOOKUP(D521,'COA LTD'!A:F,5,0)</f>
        <v xml:space="preserve"> Professional Services</v>
      </c>
      <c r="K521" s="439">
        <f t="shared" si="8"/>
        <v>3.517043966323667</v>
      </c>
      <c r="L521" s="437"/>
      <c r="M521" s="437"/>
      <c r="N521" s="437"/>
      <c r="O521" s="437"/>
      <c r="P521" s="437"/>
      <c r="Q521" s="437"/>
      <c r="R521" s="437"/>
      <c r="S521" s="437"/>
      <c r="T521" s="437"/>
      <c r="U521" s="437"/>
      <c r="V521" s="437"/>
      <c r="W521" s="437"/>
      <c r="X521" s="437"/>
      <c r="Y521" s="437"/>
      <c r="Z521" s="437"/>
    </row>
    <row r="522" spans="1:26" ht="15.75" customHeight="1">
      <c r="A522" t="s">
        <v>1391</v>
      </c>
      <c r="B522" t="s">
        <v>1425</v>
      </c>
      <c r="C522" t="s">
        <v>1428</v>
      </c>
      <c r="D522" s="516">
        <v>83120208</v>
      </c>
      <c r="E522" t="s">
        <v>1057</v>
      </c>
      <c r="F522" s="514">
        <v>24315.53</v>
      </c>
      <c r="G522" s="514">
        <v>7458.75</v>
      </c>
      <c r="H522" s="437" t="str">
        <f>VLOOKUP(D522,'COA LTD'!A:F,3,0)</f>
        <v>PL</v>
      </c>
      <c r="I522" s="437" t="str">
        <f>VLOOKUP(D522,'COA LTD'!A:F,4,0)</f>
        <v>General and administrative expenses</v>
      </c>
      <c r="J522" s="437" t="str">
        <f>VLOOKUP(D522,'COA LTD'!A:F,5,0)</f>
        <v xml:space="preserve"> Professional Services</v>
      </c>
      <c r="K522" s="439">
        <f t="shared" si="8"/>
        <v>3.2600006703536115</v>
      </c>
      <c r="L522" s="437"/>
      <c r="M522" s="437"/>
      <c r="N522" s="437"/>
      <c r="O522" s="437"/>
      <c r="P522" s="437"/>
      <c r="Q522" s="437"/>
      <c r="R522" s="437"/>
      <c r="S522" s="437"/>
      <c r="T522" s="437"/>
      <c r="U522" s="437"/>
      <c r="V522" s="437"/>
      <c r="W522" s="437"/>
      <c r="X522" s="437"/>
      <c r="Y522" s="437"/>
      <c r="Z522" s="437"/>
    </row>
    <row r="523" spans="1:26" ht="15.75" customHeight="1">
      <c r="A523" t="s">
        <v>1391</v>
      </c>
      <c r="B523" t="s">
        <v>1425</v>
      </c>
      <c r="C523" t="s">
        <v>1428</v>
      </c>
      <c r="D523" s="516">
        <v>83120209</v>
      </c>
      <c r="E523" t="s">
        <v>1058</v>
      </c>
      <c r="F523" s="514">
        <v>541129.68999999994</v>
      </c>
      <c r="G523" s="514">
        <v>160408.45000000001</v>
      </c>
      <c r="H523" s="437" t="str">
        <f>VLOOKUP(D523,'COA LTD'!A:F,3,0)</f>
        <v>PL</v>
      </c>
      <c r="I523" s="437" t="str">
        <f>VLOOKUP(D523,'COA LTD'!A:F,4,0)</f>
        <v>General and administrative expenses</v>
      </c>
      <c r="J523" s="437" t="str">
        <f>VLOOKUP(D523,'COA LTD'!A:F,5,0)</f>
        <v xml:space="preserve"> Professional Services</v>
      </c>
      <c r="K523" s="439">
        <f t="shared" si="8"/>
        <v>3.3734487802855768</v>
      </c>
      <c r="L523" s="437"/>
      <c r="M523" s="437"/>
      <c r="N523" s="437"/>
      <c r="O523" s="437"/>
      <c r="P523" s="437"/>
      <c r="Q523" s="437"/>
      <c r="R523" s="437"/>
      <c r="S523" s="437"/>
      <c r="T523" s="437"/>
      <c r="U523" s="437"/>
      <c r="V523" s="437"/>
      <c r="W523" s="437"/>
      <c r="X523" s="437"/>
      <c r="Y523" s="437"/>
      <c r="Z523" s="437"/>
    </row>
    <row r="524" spans="1:26" ht="15.75" customHeight="1">
      <c r="A524" t="s">
        <v>1391</v>
      </c>
      <c r="B524" t="s">
        <v>1425</v>
      </c>
      <c r="C524" t="s">
        <v>1428</v>
      </c>
      <c r="D524" s="516">
        <v>83120210</v>
      </c>
      <c r="E524" t="s">
        <v>1059</v>
      </c>
      <c r="F524" s="514">
        <v>80967.48</v>
      </c>
      <c r="G524" s="514">
        <v>24982.07</v>
      </c>
      <c r="H524" s="437" t="str">
        <f>VLOOKUP(D524,'COA LTD'!A:F,3,0)</f>
        <v>PL</v>
      </c>
      <c r="I524" s="437" t="str">
        <f>VLOOKUP(D524,'COA LTD'!A:F,4,0)</f>
        <v>General and administrative expenses</v>
      </c>
      <c r="J524" s="437" t="str">
        <f>VLOOKUP(D524,'COA LTD'!A:F,5,0)</f>
        <v xml:space="preserve"> Professional Services</v>
      </c>
      <c r="K524" s="439">
        <f t="shared" si="8"/>
        <v>3.2410236621705084</v>
      </c>
      <c r="L524" s="437"/>
      <c r="M524" s="437"/>
      <c r="N524" s="437"/>
      <c r="O524" s="437"/>
      <c r="P524" s="437"/>
      <c r="Q524" s="437"/>
      <c r="R524" s="437"/>
      <c r="S524" s="437"/>
      <c r="T524" s="437"/>
      <c r="U524" s="437"/>
      <c r="V524" s="437"/>
      <c r="W524" s="437"/>
      <c r="X524" s="437"/>
      <c r="Y524" s="437"/>
      <c r="Z524" s="437"/>
    </row>
    <row r="525" spans="1:26" ht="15.75" customHeight="1">
      <c r="A525" t="s">
        <v>1391</v>
      </c>
      <c r="B525" t="s">
        <v>1425</v>
      </c>
      <c r="C525" t="s">
        <v>1428</v>
      </c>
      <c r="D525" s="516">
        <v>83120211</v>
      </c>
      <c r="E525" t="s">
        <v>1060</v>
      </c>
      <c r="F525" s="514">
        <v>195246.84</v>
      </c>
      <c r="G525" s="514">
        <v>55512.87</v>
      </c>
      <c r="H525" s="437" t="str">
        <f>VLOOKUP(D525,'COA LTD'!A:F,3,0)</f>
        <v>PL</v>
      </c>
      <c r="I525" s="437" t="str">
        <f>VLOOKUP(D525,'COA LTD'!A:F,4,0)</f>
        <v>General and administrative expenses</v>
      </c>
      <c r="J525" s="437" t="str">
        <f>VLOOKUP(D525,'COA LTD'!A:F,5,0)</f>
        <v xml:space="preserve"> Professional Services</v>
      </c>
      <c r="K525" s="439">
        <f t="shared" si="8"/>
        <v>3.5171454835608391</v>
      </c>
      <c r="L525" s="437"/>
      <c r="M525" s="437"/>
      <c r="N525" s="437"/>
      <c r="O525" s="437"/>
      <c r="P525" s="437"/>
      <c r="Q525" s="437"/>
      <c r="R525" s="437"/>
      <c r="S525" s="437"/>
      <c r="T525" s="437"/>
      <c r="U525" s="437"/>
      <c r="V525" s="437"/>
      <c r="W525" s="437"/>
      <c r="X525" s="437"/>
      <c r="Y525" s="437"/>
      <c r="Z525" s="437"/>
    </row>
    <row r="526" spans="1:26" ht="15.75" customHeight="1">
      <c r="A526" t="s">
        <v>1391</v>
      </c>
      <c r="B526" t="s">
        <v>1425</v>
      </c>
      <c r="C526" t="s">
        <v>1428</v>
      </c>
      <c r="D526" s="516">
        <v>83120213</v>
      </c>
      <c r="E526" t="s">
        <v>1061</v>
      </c>
      <c r="F526" s="514">
        <v>73580</v>
      </c>
      <c r="G526" s="514">
        <v>22000</v>
      </c>
      <c r="H526" s="437" t="str">
        <f>VLOOKUP(D526,'COA LTD'!A:F,3,0)</f>
        <v>PL</v>
      </c>
      <c r="I526" s="437" t="str">
        <f>VLOOKUP(D526,'COA LTD'!A:F,4,0)</f>
        <v>General and administrative expenses</v>
      </c>
      <c r="J526" s="437" t="str">
        <f>VLOOKUP(D526,'COA LTD'!A:F,5,0)</f>
        <v xml:space="preserve"> Professional Services</v>
      </c>
      <c r="K526" s="439">
        <f t="shared" si="8"/>
        <v>3.3445454545454547</v>
      </c>
      <c r="L526" s="437"/>
      <c r="M526" s="437"/>
      <c r="N526" s="437"/>
      <c r="O526" s="437"/>
      <c r="P526" s="437"/>
      <c r="Q526" s="437"/>
      <c r="R526" s="437"/>
      <c r="S526" s="437"/>
      <c r="T526" s="437"/>
      <c r="U526" s="437"/>
      <c r="V526" s="437"/>
      <c r="W526" s="437"/>
      <c r="X526" s="437"/>
      <c r="Y526" s="437"/>
      <c r="Z526" s="437"/>
    </row>
    <row r="527" spans="1:26" ht="15.75" customHeight="1">
      <c r="A527" t="s">
        <v>1391</v>
      </c>
      <c r="B527" t="s">
        <v>1425</v>
      </c>
      <c r="C527" t="s">
        <v>1428</v>
      </c>
      <c r="D527" s="516">
        <v>83120214</v>
      </c>
      <c r="E527" t="s">
        <v>1062</v>
      </c>
      <c r="F527" s="514">
        <v>409054.43</v>
      </c>
      <c r="G527" s="514">
        <v>118531.53</v>
      </c>
      <c r="H527" s="437" t="str">
        <f>VLOOKUP(D527,'COA LTD'!A:F,3,0)</f>
        <v>PL</v>
      </c>
      <c r="I527" s="437" t="str">
        <f>VLOOKUP(D527,'COA LTD'!A:F,4,0)</f>
        <v>General and administrative expenses</v>
      </c>
      <c r="J527" s="437" t="str">
        <f>VLOOKUP(D527,'COA LTD'!A:F,5,0)</f>
        <v xml:space="preserve"> Professional Services</v>
      </c>
      <c r="K527" s="439">
        <f t="shared" si="8"/>
        <v>3.4510178852833504</v>
      </c>
      <c r="L527" s="437"/>
      <c r="M527" s="437"/>
      <c r="N527" s="437"/>
      <c r="O527" s="437"/>
      <c r="P527" s="437"/>
      <c r="Q527" s="437"/>
      <c r="R527" s="437"/>
      <c r="S527" s="437"/>
      <c r="T527" s="437"/>
      <c r="U527" s="437"/>
      <c r="V527" s="437"/>
      <c r="W527" s="437"/>
      <c r="X527" s="437"/>
      <c r="Y527" s="437"/>
      <c r="Z527" s="437"/>
    </row>
    <row r="528" spans="1:26" ht="15.75" customHeight="1">
      <c r="A528" t="s">
        <v>1391</v>
      </c>
      <c r="B528" t="s">
        <v>1425</v>
      </c>
      <c r="C528" t="s">
        <v>1428</v>
      </c>
      <c r="D528" s="516">
        <v>83130200</v>
      </c>
      <c r="E528" t="s">
        <v>840</v>
      </c>
      <c r="F528" s="514">
        <v>73636.789999999994</v>
      </c>
      <c r="G528" s="514">
        <v>21618.6</v>
      </c>
      <c r="H528" s="437" t="str">
        <f>VLOOKUP(D528,'COA LTD'!A:F,3,0)</f>
        <v>PL</v>
      </c>
      <c r="I528" s="437" t="str">
        <f>VLOOKUP(D528,'COA LTD'!A:F,4,0)</f>
        <v>General and administrative expenses</v>
      </c>
      <c r="J528" s="437" t="str">
        <f>VLOOKUP(D528,'COA LTD'!A:F,5,0)</f>
        <v xml:space="preserve"> Professional Services</v>
      </c>
      <c r="K528" s="439">
        <f t="shared" si="8"/>
        <v>3.4061775508127261</v>
      </c>
      <c r="L528" s="437"/>
      <c r="M528" s="437"/>
      <c r="N528" s="437"/>
      <c r="O528" s="437"/>
      <c r="P528" s="437"/>
      <c r="Q528" s="437"/>
      <c r="R528" s="437"/>
      <c r="S528" s="437"/>
      <c r="T528" s="437"/>
      <c r="U528" s="437"/>
      <c r="V528" s="437"/>
      <c r="W528" s="437"/>
      <c r="X528" s="437"/>
      <c r="Y528" s="437"/>
      <c r="Z528" s="437"/>
    </row>
    <row r="529" spans="1:26" ht="15.75" customHeight="1">
      <c r="A529" t="s">
        <v>1391</v>
      </c>
      <c r="B529" t="s">
        <v>1425</v>
      </c>
      <c r="C529" t="s">
        <v>1428</v>
      </c>
      <c r="D529" s="516">
        <v>83140200</v>
      </c>
      <c r="E529" t="s">
        <v>841</v>
      </c>
      <c r="F529" s="514">
        <v>2043568.15</v>
      </c>
      <c r="G529" s="514">
        <v>587351.01</v>
      </c>
      <c r="H529" s="437" t="str">
        <f>VLOOKUP(D529,'COA LTD'!A:F,3,0)</f>
        <v>PL</v>
      </c>
      <c r="I529" s="437" t="str">
        <f>VLOOKUP(D529,'COA LTD'!A:F,4,0)</f>
        <v>General and administrative expenses</v>
      </c>
      <c r="J529" s="437" t="str">
        <f>VLOOKUP(D529,'COA LTD'!A:F,5,0)</f>
        <v xml:space="preserve"> Professional Services</v>
      </c>
      <c r="K529" s="439">
        <f t="shared" si="8"/>
        <v>3.4792962218622896</v>
      </c>
      <c r="L529" s="437"/>
      <c r="M529" s="437"/>
      <c r="N529" s="437"/>
      <c r="O529" s="437"/>
      <c r="P529" s="437"/>
      <c r="Q529" s="437"/>
      <c r="R529" s="437"/>
      <c r="S529" s="437"/>
      <c r="T529" s="437"/>
      <c r="U529" s="437"/>
      <c r="V529" s="437"/>
      <c r="W529" s="437"/>
      <c r="X529" s="437"/>
      <c r="Y529" s="437"/>
      <c r="Z529" s="437"/>
    </row>
    <row r="530" spans="1:26" ht="15.75" customHeight="1">
      <c r="A530" t="s">
        <v>1391</v>
      </c>
      <c r="B530" t="s">
        <v>1425</v>
      </c>
      <c r="C530" t="s">
        <v>1428</v>
      </c>
      <c r="D530" s="516">
        <v>83140201</v>
      </c>
      <c r="E530" t="s">
        <v>1112</v>
      </c>
      <c r="F530" s="514">
        <v>-50172.89</v>
      </c>
      <c r="G530" s="514">
        <v>-14370.75</v>
      </c>
      <c r="H530" s="437" t="str">
        <f>VLOOKUP(D530,'COA LTD'!A:F,3,0)</f>
        <v>PL</v>
      </c>
      <c r="I530" s="437" t="str">
        <f>VLOOKUP(D530,'COA LTD'!A:F,4,0)</f>
        <v>General and administrative expenses</v>
      </c>
      <c r="J530" s="437" t="str">
        <f>VLOOKUP(D530,'COA LTD'!A:F,5,0)</f>
        <v>Cash  Back</v>
      </c>
      <c r="K530" s="439">
        <f t="shared" si="8"/>
        <v>3.4913202164118085</v>
      </c>
      <c r="L530" s="437"/>
      <c r="M530" s="437"/>
      <c r="N530" s="437"/>
      <c r="O530" s="437"/>
      <c r="P530" s="437"/>
      <c r="Q530" s="437"/>
      <c r="R530" s="437"/>
      <c r="S530" s="437"/>
      <c r="T530" s="437"/>
      <c r="U530" s="437"/>
      <c r="V530" s="437"/>
      <c r="W530" s="437"/>
      <c r="X530" s="437"/>
      <c r="Y530" s="437"/>
      <c r="Z530" s="437"/>
    </row>
    <row r="531" spans="1:26" ht="15.75" customHeight="1">
      <c r="A531" t="s">
        <v>1391</v>
      </c>
      <c r="B531" t="s">
        <v>1425</v>
      </c>
      <c r="C531" t="s">
        <v>1428</v>
      </c>
      <c r="D531" s="516">
        <v>83140202</v>
      </c>
      <c r="E531" t="s">
        <v>1184</v>
      </c>
      <c r="F531" s="514">
        <v>51212.44</v>
      </c>
      <c r="G531" s="514">
        <v>14827.17</v>
      </c>
      <c r="H531" s="437" t="str">
        <f>VLOOKUP(D531,'COA LTD'!A:F,3,0)</f>
        <v>PL</v>
      </c>
      <c r="I531" s="437" t="str">
        <f>VLOOKUP(D531,'COA LTD'!A:F,4,0)</f>
        <v>General and administrative expenses</v>
      </c>
      <c r="J531" s="437" t="str">
        <f>VLOOKUP(D531,'COA LTD'!A:F,5,0)</f>
        <v>Office exp</v>
      </c>
      <c r="K531" s="439">
        <f t="shared" si="8"/>
        <v>3.4539591843891992</v>
      </c>
      <c r="L531" s="437"/>
      <c r="M531" s="437"/>
      <c r="N531" s="437"/>
      <c r="O531" s="437"/>
      <c r="P531" s="437"/>
      <c r="Q531" s="437"/>
      <c r="R531" s="437"/>
      <c r="S531" s="437"/>
      <c r="T531" s="437"/>
      <c r="U531" s="437"/>
      <c r="V531" s="437"/>
      <c r="W531" s="437"/>
      <c r="X531" s="437"/>
      <c r="Y531" s="437"/>
      <c r="Z531" s="437"/>
    </row>
    <row r="532" spans="1:26" ht="15.75" customHeight="1">
      <c r="A532" t="s">
        <v>1391</v>
      </c>
      <c r="B532" t="s">
        <v>1425</v>
      </c>
      <c r="C532" t="s">
        <v>1428</v>
      </c>
      <c r="D532" s="516">
        <v>83140203</v>
      </c>
      <c r="E532" t="s">
        <v>1190</v>
      </c>
      <c r="F532" s="514">
        <v>-35096.07</v>
      </c>
      <c r="G532" s="514">
        <v>-10180.049999999999</v>
      </c>
      <c r="H532" s="437" t="str">
        <f>VLOOKUP(D532,'COA LTD'!A:F,3,0)</f>
        <v>PL</v>
      </c>
      <c r="I532" s="437" t="str">
        <f>VLOOKUP(D532,'COA LTD'!A:F,4,0)</f>
        <v>Financial expenses, net</v>
      </c>
      <c r="J532" s="437" t="str">
        <f>VLOOKUP(D532,'COA LTD'!A:F,5,0)</f>
        <v xml:space="preserve"> Income -interest</v>
      </c>
      <c r="K532" s="439">
        <f t="shared" si="8"/>
        <v>3.4475341476711807</v>
      </c>
      <c r="L532" s="437"/>
      <c r="M532" s="437"/>
      <c r="N532" s="437"/>
      <c r="O532" s="437"/>
      <c r="P532" s="437"/>
      <c r="Q532" s="437"/>
      <c r="R532" s="437"/>
      <c r="S532" s="437"/>
      <c r="T532" s="437"/>
      <c r="U532" s="437"/>
      <c r="V532" s="437"/>
      <c r="W532" s="437"/>
      <c r="X532" s="437"/>
      <c r="Y532" s="437"/>
      <c r="Z532" s="437"/>
    </row>
    <row r="533" spans="1:26" ht="15.75" customHeight="1">
      <c r="A533" t="s">
        <v>1391</v>
      </c>
      <c r="B533" t="s">
        <v>1425</v>
      </c>
      <c r="C533" t="s">
        <v>1428</v>
      </c>
      <c r="D533" s="516">
        <v>83150205</v>
      </c>
      <c r="E533" t="s">
        <v>1064</v>
      </c>
      <c r="F533" s="514">
        <v>399788.96</v>
      </c>
      <c r="G533" s="514">
        <v>118595.07</v>
      </c>
      <c r="H533" s="437" t="str">
        <f>VLOOKUP(D533,'COA LTD'!A:F,3,0)</f>
        <v>PL</v>
      </c>
      <c r="I533" s="437" t="str">
        <f>VLOOKUP(D533,'COA LTD'!A:F,4,0)</f>
        <v>General and administrative expenses</v>
      </c>
      <c r="J533" s="437" t="str">
        <f>VLOOKUP(D533,'COA LTD'!A:F,5,0)</f>
        <v>Legal</v>
      </c>
      <c r="K533" s="439">
        <f t="shared" si="8"/>
        <v>3.3710419834483845</v>
      </c>
      <c r="L533" s="437"/>
      <c r="M533" s="437"/>
      <c r="N533" s="437"/>
      <c r="O533" s="437"/>
      <c r="P533" s="437"/>
      <c r="Q533" s="437"/>
      <c r="R533" s="437"/>
      <c r="S533" s="437"/>
      <c r="T533" s="437"/>
      <c r="U533" s="437"/>
      <c r="V533" s="437"/>
      <c r="W533" s="437"/>
      <c r="X533" s="437"/>
      <c r="Y533" s="437"/>
      <c r="Z533" s="437"/>
    </row>
    <row r="534" spans="1:26" ht="15.75" customHeight="1">
      <c r="A534" t="s">
        <v>1391</v>
      </c>
      <c r="B534" t="s">
        <v>1425</v>
      </c>
      <c r="C534" t="s">
        <v>1428</v>
      </c>
      <c r="D534" s="516">
        <v>83150206</v>
      </c>
      <c r="E534" t="s">
        <v>842</v>
      </c>
      <c r="F534" s="514">
        <v>1142253.27</v>
      </c>
      <c r="G534" s="514">
        <v>336368.59</v>
      </c>
      <c r="H534" s="437" t="str">
        <f>VLOOKUP(D534,'COA LTD'!A:F,3,0)</f>
        <v>PL</v>
      </c>
      <c r="I534" s="437" t="str">
        <f>VLOOKUP(D534,'COA LTD'!A:F,4,0)</f>
        <v>General and administrative expenses</v>
      </c>
      <c r="J534" s="437" t="str">
        <f>VLOOKUP(D534,'COA LTD'!A:F,5,0)</f>
        <v>Legal</v>
      </c>
      <c r="K534" s="439">
        <f t="shared" si="8"/>
        <v>3.3958380894006779</v>
      </c>
      <c r="L534" s="437"/>
      <c r="M534" s="437"/>
      <c r="N534" s="437"/>
      <c r="O534" s="437"/>
      <c r="P534" s="437"/>
      <c r="Q534" s="437"/>
      <c r="R534" s="437"/>
      <c r="S534" s="437"/>
      <c r="T534" s="437"/>
      <c r="U534" s="437"/>
      <c r="V534" s="437"/>
      <c r="W534" s="437"/>
      <c r="X534" s="437"/>
      <c r="Y534" s="437"/>
      <c r="Z534" s="437"/>
    </row>
    <row r="535" spans="1:26" ht="15.75" customHeight="1">
      <c r="A535" t="s">
        <v>1391</v>
      </c>
      <c r="B535" t="s">
        <v>1425</v>
      </c>
      <c r="C535" t="s">
        <v>1428</v>
      </c>
      <c r="D535" s="516">
        <v>83150207</v>
      </c>
      <c r="E535" t="s">
        <v>1300</v>
      </c>
      <c r="F535" s="514">
        <v>2192871.39</v>
      </c>
      <c r="G535" s="514">
        <v>652663.91</v>
      </c>
      <c r="H535" s="437" t="str">
        <f>VLOOKUP(D535,'COA LTD'!A:F,3,0)</f>
        <v>PL</v>
      </c>
      <c r="I535" s="437" t="str">
        <f>VLOOKUP(D535,'COA LTD'!A:F,4,0)</f>
        <v>General and administrative expenses</v>
      </c>
      <c r="J535" s="437" t="str">
        <f>VLOOKUP(D535,'COA LTD'!A:F,5,0)</f>
        <v>Legal</v>
      </c>
      <c r="K535" s="439">
        <f t="shared" si="8"/>
        <v>3.3598784250227656</v>
      </c>
      <c r="L535" s="437"/>
      <c r="M535" s="437"/>
      <c r="N535" s="437"/>
      <c r="O535" s="437"/>
      <c r="P535" s="437"/>
      <c r="Q535" s="437"/>
      <c r="R535" s="437"/>
      <c r="S535" s="437"/>
      <c r="T535" s="437"/>
      <c r="U535" s="437"/>
      <c r="V535" s="437"/>
      <c r="W535" s="437"/>
      <c r="X535" s="437"/>
      <c r="Y535" s="437"/>
      <c r="Z535" s="437"/>
    </row>
    <row r="536" spans="1:26" ht="15.75" customHeight="1">
      <c r="A536" t="s">
        <v>1391</v>
      </c>
      <c r="B536" t="s">
        <v>1425</v>
      </c>
      <c r="C536" t="s">
        <v>1428</v>
      </c>
      <c r="D536" s="516">
        <v>83150209</v>
      </c>
      <c r="E536" t="s">
        <v>1705</v>
      </c>
      <c r="F536" s="514">
        <v>50000</v>
      </c>
      <c r="G536" s="514">
        <v>14208.58</v>
      </c>
      <c r="H536" s="437" t="str">
        <f>VLOOKUP(D536,'COA LTD'!A:F,3,0)</f>
        <v>PL</v>
      </c>
      <c r="I536" s="437" t="str">
        <f>VLOOKUP(D536,'COA LTD'!A:F,4,0)</f>
        <v>General and administrative expenses</v>
      </c>
      <c r="J536" s="437" t="str">
        <f>VLOOKUP(D536,'COA LTD'!A:F,5,0)</f>
        <v>Legal</v>
      </c>
      <c r="K536" s="439">
        <f t="shared" si="8"/>
        <v>3.5190004912524686</v>
      </c>
      <c r="L536" s="437"/>
      <c r="M536" s="437"/>
      <c r="N536" s="437"/>
      <c r="O536" s="437"/>
      <c r="P536" s="437"/>
      <c r="Q536" s="437"/>
      <c r="R536" s="437"/>
      <c r="S536" s="437"/>
      <c r="T536" s="437"/>
      <c r="U536" s="437"/>
      <c r="V536" s="437"/>
      <c r="W536" s="437"/>
      <c r="X536" s="437"/>
      <c r="Y536" s="437"/>
      <c r="Z536" s="437"/>
    </row>
    <row r="537" spans="1:26" ht="15.75" customHeight="1">
      <c r="A537" t="s">
        <v>1391</v>
      </c>
      <c r="B537" t="s">
        <v>1425</v>
      </c>
      <c r="C537" t="s">
        <v>1428</v>
      </c>
      <c r="D537" s="516">
        <v>83150210</v>
      </c>
      <c r="E537" t="s">
        <v>1577</v>
      </c>
      <c r="F537" s="514">
        <v>29646.25</v>
      </c>
      <c r="G537" s="514">
        <v>8424.6200000000008</v>
      </c>
      <c r="H537" s="437" t="str">
        <f>VLOOKUP(D537,'COA LTD'!A:F,3,0)</f>
        <v>PL</v>
      </c>
      <c r="I537" s="437" t="str">
        <f>VLOOKUP(D537,'COA LTD'!A:F,4,0)</f>
        <v>General and administrative expenses</v>
      </c>
      <c r="J537" s="437" t="str">
        <f>VLOOKUP(D537,'COA LTD'!A:F,5,0)</f>
        <v>Legal</v>
      </c>
      <c r="K537" s="439">
        <f t="shared" si="8"/>
        <v>3.5190014505105269</v>
      </c>
      <c r="L537" s="437"/>
      <c r="M537" s="437"/>
      <c r="N537" s="437"/>
      <c r="O537" s="437"/>
      <c r="P537" s="437"/>
      <c r="Q537" s="437"/>
      <c r="R537" s="437"/>
      <c r="S537" s="437"/>
      <c r="T537" s="437"/>
      <c r="U537" s="437"/>
      <c r="V537" s="437"/>
      <c r="W537" s="437"/>
      <c r="X537" s="437"/>
      <c r="Y537" s="437"/>
      <c r="Z537" s="437"/>
    </row>
    <row r="538" spans="1:26" ht="15.75" customHeight="1">
      <c r="A538" t="s">
        <v>1391</v>
      </c>
      <c r="B538" t="s">
        <v>1425</v>
      </c>
      <c r="C538" t="s">
        <v>1428</v>
      </c>
      <c r="D538" s="516">
        <v>83150211</v>
      </c>
      <c r="E538" t="s">
        <v>1578</v>
      </c>
      <c r="F538" s="514">
        <v>57709.01</v>
      </c>
      <c r="G538" s="514">
        <v>16496.87</v>
      </c>
      <c r="H538" s="437" t="str">
        <f>VLOOKUP(D538,'COA LTD'!A:F,3,0)</f>
        <v>PL</v>
      </c>
      <c r="I538" s="437" t="str">
        <f>VLOOKUP(D538,'COA LTD'!A:F,4,0)</f>
        <v>General and administrative expenses</v>
      </c>
      <c r="J538" s="437" t="str">
        <f>VLOOKUP(D538,'COA LTD'!A:F,5,0)</f>
        <v>Legal</v>
      </c>
      <c r="K538" s="439">
        <f t="shared" si="8"/>
        <v>3.4981793515982127</v>
      </c>
      <c r="L538" s="437"/>
      <c r="M538" s="437"/>
      <c r="N538" s="437"/>
      <c r="O538" s="437"/>
      <c r="P538" s="437"/>
      <c r="Q538" s="437"/>
      <c r="R538" s="437"/>
      <c r="S538" s="437"/>
      <c r="T538" s="437"/>
      <c r="U538" s="437"/>
      <c r="V538" s="437"/>
      <c r="W538" s="437"/>
      <c r="X538" s="437"/>
      <c r="Y538" s="437"/>
      <c r="Z538" s="437"/>
    </row>
    <row r="539" spans="1:26" ht="15.75" customHeight="1">
      <c r="A539" t="s">
        <v>1391</v>
      </c>
      <c r="B539" t="s">
        <v>1425</v>
      </c>
      <c r="C539" t="s">
        <v>1428</v>
      </c>
      <c r="D539" s="516">
        <v>83150212</v>
      </c>
      <c r="E539" t="s">
        <v>1579</v>
      </c>
      <c r="F539" s="514">
        <v>17943.91</v>
      </c>
      <c r="G539" s="514">
        <v>5099.1499999999996</v>
      </c>
      <c r="H539" s="437" t="str">
        <f>VLOOKUP(D539,'COA LTD'!A:F,3,0)</f>
        <v>PL</v>
      </c>
      <c r="I539" s="437" t="str">
        <f>VLOOKUP(D539,'COA LTD'!A:F,4,0)</f>
        <v>General and administrative expenses</v>
      </c>
      <c r="J539" s="437" t="str">
        <f>VLOOKUP(D539,'COA LTD'!A:F,5,0)</f>
        <v>Legal</v>
      </c>
      <c r="K539" s="439">
        <f t="shared" si="8"/>
        <v>3.5190002255277841</v>
      </c>
      <c r="L539" s="437"/>
      <c r="M539" s="437"/>
      <c r="N539" s="437"/>
      <c r="O539" s="437"/>
      <c r="P539" s="437"/>
      <c r="Q539" s="437"/>
      <c r="R539" s="437"/>
      <c r="S539" s="437"/>
      <c r="T539" s="437"/>
      <c r="U539" s="437"/>
      <c r="V539" s="437"/>
      <c r="W539" s="437"/>
      <c r="X539" s="437"/>
      <c r="Y539" s="437"/>
      <c r="Z539" s="437"/>
    </row>
    <row r="540" spans="1:26" ht="15.75" customHeight="1">
      <c r="A540" t="s">
        <v>1391</v>
      </c>
      <c r="B540" t="s">
        <v>1425</v>
      </c>
      <c r="C540" t="s">
        <v>1428</v>
      </c>
      <c r="D540" s="516">
        <v>83200207</v>
      </c>
      <c r="E540" t="s">
        <v>1003</v>
      </c>
      <c r="F540" s="514">
        <v>7488.5</v>
      </c>
      <c r="G540" s="514">
        <v>2198.83</v>
      </c>
      <c r="H540" s="437" t="str">
        <f>VLOOKUP(D540,'COA LTD'!A:F,3,0)</f>
        <v>PL</v>
      </c>
      <c r="I540" s="437" t="str">
        <f>VLOOKUP(D540,'COA LTD'!A:F,4,0)</f>
        <v>General and administrative expenses</v>
      </c>
      <c r="J540" s="437" t="str">
        <f>VLOOKUP(D540,'COA LTD'!A:F,5,0)</f>
        <v>Recruitment</v>
      </c>
      <c r="K540" s="439">
        <f t="shared" si="8"/>
        <v>3.4056748361628686</v>
      </c>
      <c r="L540" s="437"/>
      <c r="M540" s="437"/>
      <c r="N540" s="437"/>
      <c r="O540" s="437"/>
      <c r="P540" s="437"/>
      <c r="Q540" s="437"/>
      <c r="R540" s="437"/>
      <c r="S540" s="437"/>
      <c r="T540" s="437"/>
      <c r="U540" s="437"/>
      <c r="V540" s="437"/>
      <c r="W540" s="437"/>
      <c r="X540" s="437"/>
      <c r="Y540" s="437"/>
      <c r="Z540" s="437"/>
    </row>
    <row r="541" spans="1:26" ht="15.75" customHeight="1">
      <c r="A541" t="s">
        <v>1391</v>
      </c>
      <c r="B541" t="s">
        <v>1425</v>
      </c>
      <c r="C541" t="s">
        <v>1429</v>
      </c>
      <c r="D541" s="516">
        <v>83120300</v>
      </c>
      <c r="E541" t="s">
        <v>844</v>
      </c>
      <c r="F541" s="514">
        <v>73504.25</v>
      </c>
      <c r="G541" s="514">
        <v>21093.1</v>
      </c>
      <c r="H541" s="437" t="str">
        <f>VLOOKUP(D541,'COA LTD'!A:F,3,0)</f>
        <v>PL</v>
      </c>
      <c r="I541" s="437" t="str">
        <f>VLOOKUP(D541,'COA LTD'!A:F,4,0)</f>
        <v>General and administrative expenses</v>
      </c>
      <c r="J541" s="437" t="str">
        <f>VLOOKUP(D541,'COA LTD'!A:F,5,0)</f>
        <v xml:space="preserve">Softwere subscription </v>
      </c>
      <c r="K541" s="439">
        <f t="shared" si="8"/>
        <v>3.484753307953786</v>
      </c>
      <c r="L541" s="437"/>
      <c r="M541" s="437"/>
      <c r="N541" s="437"/>
      <c r="O541" s="437"/>
      <c r="P541" s="437"/>
      <c r="Q541" s="437"/>
      <c r="R541" s="437"/>
      <c r="S541" s="437"/>
      <c r="T541" s="437"/>
      <c r="U541" s="437"/>
      <c r="V541" s="437"/>
      <c r="W541" s="437"/>
      <c r="X541" s="437"/>
      <c r="Y541" s="437"/>
      <c r="Z541" s="437"/>
    </row>
    <row r="542" spans="1:26" ht="15.75" customHeight="1">
      <c r="A542" t="s">
        <v>1391</v>
      </c>
      <c r="B542" t="s">
        <v>1425</v>
      </c>
      <c r="C542" t="s">
        <v>1429</v>
      </c>
      <c r="D542" s="516">
        <v>83130300</v>
      </c>
      <c r="E542" t="s">
        <v>845</v>
      </c>
      <c r="F542" s="514">
        <v>101182.38</v>
      </c>
      <c r="G542" s="514">
        <v>29721.34</v>
      </c>
      <c r="H542" s="437" t="str">
        <f>VLOOKUP(D542,'COA LTD'!A:F,3,0)</f>
        <v>PL</v>
      </c>
      <c r="I542" s="437" t="str">
        <f>VLOOKUP(D542,'COA LTD'!A:F,4,0)</f>
        <v>General and administrative expenses</v>
      </c>
      <c r="J542" s="437" t="str">
        <f>VLOOKUP(D542,'COA LTD'!A:F,5,0)</f>
        <v xml:space="preserve">Softwere subscription </v>
      </c>
      <c r="K542" s="439">
        <f t="shared" si="8"/>
        <v>3.4043680399335967</v>
      </c>
      <c r="L542" s="437"/>
      <c r="M542" s="437"/>
      <c r="N542" s="437"/>
      <c r="O542" s="437"/>
      <c r="P542" s="437"/>
      <c r="Q542" s="437"/>
      <c r="R542" s="437"/>
      <c r="S542" s="437"/>
      <c r="T542" s="437"/>
      <c r="U542" s="437"/>
      <c r="V542" s="437"/>
      <c r="W542" s="437"/>
      <c r="X542" s="437"/>
      <c r="Y542" s="437"/>
      <c r="Z542" s="437"/>
    </row>
    <row r="543" spans="1:26" ht="15.75" customHeight="1">
      <c r="A543" t="s">
        <v>1391</v>
      </c>
      <c r="B543" t="s">
        <v>1425</v>
      </c>
      <c r="C543" t="s">
        <v>1429</v>
      </c>
      <c r="D543" s="516">
        <v>83150301</v>
      </c>
      <c r="E543" t="s">
        <v>1736</v>
      </c>
      <c r="F543" s="514">
        <v>300000</v>
      </c>
      <c r="G543" s="514">
        <v>85251.49</v>
      </c>
      <c r="H543" s="437" t="str">
        <f>VLOOKUP(D543,'COA LTD'!A:F,3,0)</f>
        <v>PL</v>
      </c>
      <c r="I543" s="437" t="str">
        <f>VLOOKUP(D543,'COA LTD'!A:F,4,0)</f>
        <v>General and administrative expenses</v>
      </c>
      <c r="J543" s="437" t="str">
        <f>VLOOKUP(D543,'COA LTD'!A:F,5,0)</f>
        <v>Legal</v>
      </c>
      <c r="K543" s="439">
        <f t="shared" si="8"/>
        <v>3.5190000784737014</v>
      </c>
      <c r="L543" s="437"/>
      <c r="M543" s="437"/>
      <c r="N543" s="437"/>
      <c r="O543" s="437"/>
      <c r="P543" s="437"/>
      <c r="Q543" s="437"/>
      <c r="R543" s="437"/>
      <c r="S543" s="437"/>
      <c r="T543" s="437"/>
      <c r="U543" s="437"/>
      <c r="V543" s="437"/>
      <c r="W543" s="437"/>
      <c r="X543" s="437"/>
      <c r="Y543" s="437"/>
      <c r="Z543" s="437"/>
    </row>
    <row r="544" spans="1:26" ht="15.75" customHeight="1">
      <c r="A544" t="s">
        <v>1391</v>
      </c>
      <c r="B544" t="s">
        <v>1425</v>
      </c>
      <c r="C544" t="s">
        <v>1430</v>
      </c>
      <c r="D544" s="516">
        <v>83200401</v>
      </c>
      <c r="E544" t="s">
        <v>846</v>
      </c>
      <c r="F544" s="514">
        <v>382512.57</v>
      </c>
      <c r="G544" s="514">
        <v>89185.62</v>
      </c>
      <c r="H544" s="437" t="str">
        <f>VLOOKUP(D544,'COA LTD'!A:F,3,0)</f>
        <v>PL</v>
      </c>
      <c r="I544" s="437" t="str">
        <f>VLOOKUP(D544,'COA LTD'!A:F,4,0)</f>
        <v>General and administrative expenses</v>
      </c>
      <c r="J544" s="437" t="str">
        <f>VLOOKUP(D544,'COA LTD'!A:F,5,0)</f>
        <v>Rent and related</v>
      </c>
      <c r="K544" s="439">
        <f t="shared" si="8"/>
        <v>4.2889489359383273</v>
      </c>
      <c r="L544" s="437"/>
      <c r="M544" s="437"/>
      <c r="N544" s="437"/>
      <c r="O544" s="437"/>
      <c r="P544" s="437"/>
      <c r="Q544" s="437"/>
      <c r="R544" s="437"/>
      <c r="S544" s="437"/>
      <c r="T544" s="437"/>
      <c r="U544" s="437"/>
      <c r="V544" s="437"/>
      <c r="W544" s="437"/>
      <c r="X544" s="437"/>
      <c r="Y544" s="437"/>
      <c r="Z544" s="437"/>
    </row>
    <row r="545" spans="1:26" ht="15.75" customHeight="1">
      <c r="A545" t="s">
        <v>1391</v>
      </c>
      <c r="B545" t="s">
        <v>1425</v>
      </c>
      <c r="C545" t="s">
        <v>1430</v>
      </c>
      <c r="D545" s="516">
        <v>83200402</v>
      </c>
      <c r="E545" t="s">
        <v>847</v>
      </c>
      <c r="F545" s="514">
        <v>91500.19</v>
      </c>
      <c r="G545" s="514">
        <v>26590.32</v>
      </c>
      <c r="H545" s="665" t="str">
        <f>VLOOKUP(D545,'COA LTD'!A:F,3,0)</f>
        <v>PL</v>
      </c>
      <c r="I545" s="437" t="str">
        <f>VLOOKUP(D545,'COA LTD'!A:F,4,0)</f>
        <v>General and administrative expenses</v>
      </c>
      <c r="J545" s="665" t="str">
        <f>VLOOKUP(D545,'COA LTD'!A:F,5,0)</f>
        <v>Rent and related</v>
      </c>
      <c r="K545" s="439">
        <f t="shared" si="8"/>
        <v>3.4411090201246171</v>
      </c>
      <c r="L545" s="437"/>
      <c r="M545" s="437"/>
      <c r="N545" s="437"/>
      <c r="O545" s="437"/>
      <c r="P545" s="437"/>
      <c r="Q545" s="437"/>
      <c r="R545" s="437"/>
      <c r="S545" s="437"/>
      <c r="T545" s="437"/>
      <c r="U545" s="437"/>
      <c r="V545" s="437"/>
      <c r="W545" s="437"/>
      <c r="X545" s="437"/>
      <c r="Y545" s="437"/>
      <c r="Z545" s="437"/>
    </row>
    <row r="546" spans="1:26" ht="15.75" customHeight="1">
      <c r="A546" t="s">
        <v>1391</v>
      </c>
      <c r="B546" t="s">
        <v>1425</v>
      </c>
      <c r="C546" t="s">
        <v>1430</v>
      </c>
      <c r="D546" s="516">
        <v>83200403</v>
      </c>
      <c r="E546" t="s">
        <v>1070</v>
      </c>
      <c r="F546" s="514">
        <v>1516.07</v>
      </c>
      <c r="G546" s="514">
        <v>435.22</v>
      </c>
      <c r="H546" s="665" t="str">
        <f>VLOOKUP(D546,'COA LTD'!A:F,3,0)</f>
        <v>PL</v>
      </c>
      <c r="I546" s="437" t="str">
        <f>VLOOKUP(D546,'COA LTD'!A:F,4,0)</f>
        <v>General and administrative expenses</v>
      </c>
      <c r="J546" s="665" t="str">
        <f>VLOOKUP(D546,'COA LTD'!A:F,5,0)</f>
        <v>Rent and related</v>
      </c>
      <c r="K546" s="666">
        <f t="shared" si="8"/>
        <v>3.4834566426175262</v>
      </c>
      <c r="L546" s="437"/>
      <c r="M546" s="437"/>
      <c r="N546" s="437"/>
      <c r="O546" s="437"/>
      <c r="P546" s="437"/>
      <c r="Q546" s="437"/>
      <c r="R546" s="437"/>
      <c r="S546" s="437"/>
      <c r="T546" s="437"/>
      <c r="U546" s="437"/>
      <c r="V546" s="437"/>
      <c r="W546" s="437"/>
      <c r="X546" s="437"/>
      <c r="Y546" s="437"/>
      <c r="Z546" s="437"/>
    </row>
    <row r="547" spans="1:26" ht="15.75" customHeight="1">
      <c r="A547" t="s">
        <v>1391</v>
      </c>
      <c r="B547" t="s">
        <v>1425</v>
      </c>
      <c r="C547" t="s">
        <v>1430</v>
      </c>
      <c r="D547" s="516">
        <v>83200404</v>
      </c>
      <c r="E547" t="s">
        <v>973</v>
      </c>
      <c r="F547" s="514">
        <v>17135.3</v>
      </c>
      <c r="G547" s="514">
        <v>4927.75</v>
      </c>
      <c r="H547" s="665" t="str">
        <f>VLOOKUP(D547,'COA LTD'!A:F,3,0)</f>
        <v>PL</v>
      </c>
      <c r="I547" s="437" t="str">
        <f>VLOOKUP(D547,'COA LTD'!A:F,4,0)</f>
        <v>General and administrative expenses</v>
      </c>
      <c r="J547" s="665" t="str">
        <f>VLOOKUP(D547,'COA LTD'!A:F,5,0)</f>
        <v>Rent and related</v>
      </c>
      <c r="K547" s="439">
        <f t="shared" si="8"/>
        <v>3.4773070874131196</v>
      </c>
      <c r="L547" s="437"/>
      <c r="M547" s="437"/>
      <c r="N547" s="437"/>
      <c r="O547" s="437"/>
      <c r="P547" s="437"/>
      <c r="Q547" s="437"/>
      <c r="R547" s="437"/>
      <c r="S547" s="437"/>
      <c r="T547" s="437"/>
      <c r="U547" s="437"/>
      <c r="V547" s="437"/>
      <c r="W547" s="437"/>
      <c r="X547" s="437"/>
      <c r="Y547" s="437"/>
      <c r="Z547" s="437"/>
    </row>
    <row r="548" spans="1:26" ht="15.75" customHeight="1">
      <c r="A548" t="s">
        <v>1391</v>
      </c>
      <c r="B548" t="s">
        <v>1425</v>
      </c>
      <c r="C548" t="s">
        <v>1430</v>
      </c>
      <c r="D548" s="516">
        <v>83200405</v>
      </c>
      <c r="E548" t="s">
        <v>1260</v>
      </c>
      <c r="F548" s="514">
        <v>22728.95</v>
      </c>
      <c r="G548" s="514">
        <v>6569.36</v>
      </c>
      <c r="H548" s="665" t="str">
        <f>VLOOKUP(D548,'COA LTD'!A:F,3,0)</f>
        <v>PL</v>
      </c>
      <c r="I548" s="437" t="str">
        <f>VLOOKUP(D548,'COA LTD'!A:F,4,0)</f>
        <v>General and administrative expenses</v>
      </c>
      <c r="J548" s="665" t="str">
        <f>VLOOKUP(D548,'COA LTD'!A:F,5,0)</f>
        <v>Design</v>
      </c>
      <c r="K548" s="439">
        <f t="shared" si="8"/>
        <v>3.4598423590730301</v>
      </c>
      <c r="L548" s="437"/>
      <c r="M548" s="437"/>
      <c r="N548" s="437"/>
      <c r="O548" s="437"/>
      <c r="P548" s="437"/>
      <c r="Q548" s="437"/>
      <c r="R548" s="437"/>
      <c r="S548" s="437"/>
      <c r="T548" s="437"/>
      <c r="U548" s="437"/>
      <c r="V548" s="437"/>
      <c r="W548" s="437"/>
      <c r="X548" s="437"/>
      <c r="Y548" s="437"/>
      <c r="Z548" s="437"/>
    </row>
    <row r="549" spans="1:26" ht="15.75" customHeight="1">
      <c r="A549" t="s">
        <v>1391</v>
      </c>
      <c r="B549" t="s">
        <v>1425</v>
      </c>
      <c r="C549" t="s">
        <v>1430</v>
      </c>
      <c r="D549" s="516">
        <v>83200406</v>
      </c>
      <c r="E549" t="s">
        <v>848</v>
      </c>
      <c r="F549" s="514">
        <v>24163.7</v>
      </c>
      <c r="G549" s="514">
        <v>7099.11</v>
      </c>
      <c r="H549" s="437" t="str">
        <f>VLOOKUP(D549,'COA LTD'!A:F,3,0)</f>
        <v>PL</v>
      </c>
      <c r="I549" s="437" t="str">
        <f>VLOOKUP(D549,'COA LTD'!A:F,4,0)</f>
        <v>General and administrative expenses</v>
      </c>
      <c r="J549" s="437" t="str">
        <f>VLOOKUP(D549,'COA LTD'!A:F,5,0)</f>
        <v>Rent and related</v>
      </c>
      <c r="K549" s="439">
        <f t="shared" si="8"/>
        <v>3.4037646972648687</v>
      </c>
      <c r="L549" s="437"/>
      <c r="M549" s="437"/>
      <c r="N549" s="437"/>
      <c r="O549" s="437"/>
      <c r="P549" s="437"/>
      <c r="Q549" s="437"/>
      <c r="R549" s="437"/>
      <c r="S549" s="437"/>
      <c r="T549" s="437"/>
      <c r="U549" s="437"/>
      <c r="V549" s="437"/>
      <c r="W549" s="437"/>
      <c r="X549" s="437"/>
      <c r="Y549" s="437"/>
      <c r="Z549" s="437"/>
    </row>
    <row r="550" spans="1:26" ht="15.75" customHeight="1">
      <c r="A550" t="s">
        <v>1391</v>
      </c>
      <c r="B550" t="s">
        <v>1425</v>
      </c>
      <c r="C550" t="s">
        <v>1430</v>
      </c>
      <c r="D550" s="516">
        <v>83200407</v>
      </c>
      <c r="E550" t="s">
        <v>959</v>
      </c>
      <c r="F550" s="514">
        <v>135401.29</v>
      </c>
      <c r="G550" s="514">
        <v>39518.11</v>
      </c>
      <c r="H550" s="437" t="str">
        <f>VLOOKUP(D550,'COA LTD'!A:F,3,0)</f>
        <v>PL</v>
      </c>
      <c r="I550" s="437" t="str">
        <f>VLOOKUP(D550,'COA LTD'!A:F,4,0)</f>
        <v>General and administrative expenses</v>
      </c>
      <c r="J550" s="437" t="str">
        <f>VLOOKUP(D550,'COA LTD'!A:F,5,0)</f>
        <v>Rent and related</v>
      </c>
      <c r="K550" s="439">
        <f t="shared" si="8"/>
        <v>3.4263098614786993</v>
      </c>
      <c r="L550" s="437"/>
      <c r="M550" s="437"/>
      <c r="N550" s="437"/>
      <c r="O550" s="437"/>
      <c r="P550" s="437"/>
      <c r="Q550" s="437"/>
      <c r="R550" s="437"/>
      <c r="S550" s="437"/>
      <c r="T550" s="437"/>
      <c r="U550" s="437"/>
      <c r="V550" s="437"/>
      <c r="W550" s="437"/>
      <c r="X550" s="437"/>
      <c r="Y550" s="437"/>
      <c r="Z550" s="437"/>
    </row>
    <row r="551" spans="1:26" ht="15.75" customHeight="1">
      <c r="A551" t="s">
        <v>1391</v>
      </c>
      <c r="B551" t="s">
        <v>1425</v>
      </c>
      <c r="C551" t="s">
        <v>1430</v>
      </c>
      <c r="D551" s="516">
        <v>83200408</v>
      </c>
      <c r="E551" t="s">
        <v>849</v>
      </c>
      <c r="F551" s="514">
        <v>173680.45</v>
      </c>
      <c r="G551" s="514">
        <v>50870.87</v>
      </c>
      <c r="H551" s="437" t="str">
        <f>VLOOKUP(D551,'COA LTD'!A:F,3,0)</f>
        <v>PL</v>
      </c>
      <c r="I551" s="437" t="str">
        <f>VLOOKUP(D551,'COA LTD'!A:F,4,0)</f>
        <v>General and administrative expenses</v>
      </c>
      <c r="J551" s="437" t="str">
        <f>VLOOKUP(D551,'COA LTD'!A:F,5,0)</f>
        <v>Office exp</v>
      </c>
      <c r="K551" s="439">
        <f t="shared" si="8"/>
        <v>3.4141434970544045</v>
      </c>
      <c r="L551" s="437"/>
      <c r="M551" s="437"/>
      <c r="N551" s="437"/>
      <c r="O551" s="437"/>
      <c r="P551" s="437"/>
      <c r="Q551" s="437"/>
      <c r="R551" s="437"/>
      <c r="S551" s="437"/>
      <c r="T551" s="437"/>
      <c r="U551" s="437"/>
      <c r="V551" s="437"/>
      <c r="W551" s="437"/>
      <c r="X551" s="437"/>
      <c r="Y551" s="437"/>
      <c r="Z551" s="437"/>
    </row>
    <row r="552" spans="1:26" ht="15.75" customHeight="1">
      <c r="A552" t="s">
        <v>1391</v>
      </c>
      <c r="B552" t="s">
        <v>1425</v>
      </c>
      <c r="C552" t="s">
        <v>1430</v>
      </c>
      <c r="D552" s="516">
        <v>83200409</v>
      </c>
      <c r="E552" t="s">
        <v>960</v>
      </c>
      <c r="F552" s="514">
        <v>10788.48</v>
      </c>
      <c r="G552" s="514">
        <v>3161.1</v>
      </c>
      <c r="H552" s="437" t="str">
        <f>VLOOKUP(D552,'COA LTD'!A:F,3,0)</f>
        <v>PL</v>
      </c>
      <c r="I552" s="437" t="str">
        <f>VLOOKUP(D552,'COA LTD'!A:F,4,0)</f>
        <v>General and administrative expenses</v>
      </c>
      <c r="J552" s="437" t="str">
        <f>VLOOKUP(D552,'COA LTD'!A:F,5,0)</f>
        <v>Rent and related</v>
      </c>
      <c r="K552" s="439">
        <f t="shared" si="8"/>
        <v>3.4128879187624559</v>
      </c>
      <c r="L552" s="437"/>
      <c r="M552" s="437"/>
      <c r="N552" s="437"/>
      <c r="O552" s="437"/>
      <c r="P552" s="437"/>
      <c r="Q552" s="437"/>
      <c r="R552" s="437"/>
      <c r="S552" s="437"/>
      <c r="T552" s="437"/>
      <c r="U552" s="437"/>
      <c r="V552" s="437"/>
      <c r="W552" s="437"/>
      <c r="X552" s="437"/>
      <c r="Y552" s="437"/>
      <c r="Z552" s="437"/>
    </row>
    <row r="553" spans="1:26" ht="15.75" customHeight="1">
      <c r="A553" t="s">
        <v>1391</v>
      </c>
      <c r="B553" t="s">
        <v>1425</v>
      </c>
      <c r="C553" t="s">
        <v>1430</v>
      </c>
      <c r="D553" s="516">
        <v>83200410</v>
      </c>
      <c r="E553" t="s">
        <v>1136</v>
      </c>
      <c r="F553" s="514">
        <v>3236.32</v>
      </c>
      <c r="G553" s="514">
        <v>932.41</v>
      </c>
      <c r="H553" s="437" t="str">
        <f>VLOOKUP(D553,'COA LTD'!A:F,3,0)</f>
        <v>PL</v>
      </c>
      <c r="I553" s="437" t="str">
        <f>VLOOKUP(D553,'COA LTD'!A:F,4,0)</f>
        <v>General and administrative expenses</v>
      </c>
      <c r="J553" s="437" t="str">
        <f>VLOOKUP(D553,'COA LTD'!A:F,5,0)</f>
        <v>Fees and fines</v>
      </c>
      <c r="K553" s="439">
        <f t="shared" ref="K553:K602" si="9">F553/G553</f>
        <v>3.4709194453083945</v>
      </c>
      <c r="L553" s="437"/>
      <c r="M553" s="437"/>
      <c r="N553" s="437"/>
      <c r="O553" s="437"/>
      <c r="P553" s="437"/>
      <c r="Q553" s="437"/>
      <c r="R553" s="437"/>
      <c r="S553" s="437"/>
      <c r="T553" s="437"/>
      <c r="U553" s="437"/>
      <c r="V553" s="437"/>
      <c r="W553" s="437"/>
      <c r="X553" s="437"/>
      <c r="Y553" s="437"/>
      <c r="Z553" s="437"/>
    </row>
    <row r="554" spans="1:26" ht="15.75" customHeight="1">
      <c r="A554" t="s">
        <v>1391</v>
      </c>
      <c r="B554" t="s">
        <v>1425</v>
      </c>
      <c r="C554" t="s">
        <v>1430</v>
      </c>
      <c r="D554" s="516">
        <v>83200413</v>
      </c>
      <c r="E554" t="s">
        <v>1615</v>
      </c>
      <c r="F554" s="514">
        <v>12310.51</v>
      </c>
      <c r="G554" s="514">
        <v>3553.84</v>
      </c>
      <c r="H554" s="437" t="str">
        <f>VLOOKUP(D554,'COA LTD'!A:F,3,0)</f>
        <v>PL</v>
      </c>
      <c r="I554" s="437" t="str">
        <f>VLOOKUP(D554,'COA LTD'!A:F,4,0)</f>
        <v>General and administrative expenses</v>
      </c>
      <c r="J554" s="437" t="str">
        <f>VLOOKUP(D554,'COA LTD'!A:F,5,0)</f>
        <v>Rent and related</v>
      </c>
      <c r="K554" s="439">
        <f t="shared" si="9"/>
        <v>3.4640023186187334</v>
      </c>
      <c r="L554" s="437"/>
      <c r="M554" s="437"/>
      <c r="N554" s="437"/>
      <c r="O554" s="437"/>
      <c r="P554" s="437"/>
      <c r="Q554" s="437"/>
      <c r="R554" s="437"/>
      <c r="S554" s="437"/>
      <c r="T554" s="437"/>
      <c r="U554" s="437"/>
      <c r="V554" s="437"/>
      <c r="W554" s="437"/>
      <c r="X554" s="437"/>
      <c r="Y554" s="437"/>
      <c r="Z554" s="437"/>
    </row>
    <row r="555" spans="1:26" ht="15.75" customHeight="1">
      <c r="A555" t="s">
        <v>1391</v>
      </c>
      <c r="B555" t="s">
        <v>1425</v>
      </c>
      <c r="C555" t="s">
        <v>1431</v>
      </c>
      <c r="D555" s="516">
        <v>83200500</v>
      </c>
      <c r="E555" t="s">
        <v>851</v>
      </c>
      <c r="F555" s="514">
        <v>98394.26</v>
      </c>
      <c r="G555" s="514">
        <v>30171.52</v>
      </c>
      <c r="H555" s="437" t="str">
        <f>VLOOKUP(D555,'COA LTD'!A:F,3,0)</f>
        <v>PL</v>
      </c>
      <c r="I555" s="437" t="str">
        <f>VLOOKUP(D555,'COA LTD'!A:F,4,0)</f>
        <v>General and administrative expenses</v>
      </c>
      <c r="J555" s="437" t="str">
        <f>VLOOKUP(D555,'COA LTD'!A:F,5,0)</f>
        <v>Depreciation</v>
      </c>
      <c r="K555" s="439">
        <f t="shared" si="9"/>
        <v>3.2611635078378547</v>
      </c>
      <c r="L555" s="437"/>
      <c r="M555" s="437"/>
      <c r="N555" s="437"/>
      <c r="O555" s="437"/>
      <c r="P555" s="437"/>
      <c r="Q555" s="437"/>
      <c r="R555" s="437"/>
      <c r="S555" s="437"/>
      <c r="T555" s="437"/>
      <c r="U555" s="437"/>
      <c r="V555" s="437"/>
      <c r="W555" s="437"/>
      <c r="X555" s="437"/>
      <c r="Y555" s="437"/>
      <c r="Z555" s="437"/>
    </row>
    <row r="556" spans="1:26" ht="15.75" customHeight="1">
      <c r="A556" t="s">
        <v>1391</v>
      </c>
      <c r="B556" t="s">
        <v>1425</v>
      </c>
      <c r="C556" t="s">
        <v>1432</v>
      </c>
      <c r="D556" s="516">
        <v>83200601</v>
      </c>
      <c r="E556" t="s">
        <v>911</v>
      </c>
      <c r="F556" s="514">
        <v>71129.97</v>
      </c>
      <c r="G556" s="514">
        <v>20969.419999999998</v>
      </c>
      <c r="H556" s="437" t="str">
        <f>VLOOKUP(D556,'COA LTD'!A:F,3,0)</f>
        <v>PL</v>
      </c>
      <c r="I556" s="437" t="str">
        <f>VLOOKUP(D556,'COA LTD'!A:F,4,0)</f>
        <v>General and administrative expenses</v>
      </c>
      <c r="J556" s="437" t="str">
        <f>VLOOKUP(D556,'COA LTD'!A:F,5,0)</f>
        <v>Welfare</v>
      </c>
      <c r="K556" s="439">
        <f t="shared" si="9"/>
        <v>3.3920809445373314</v>
      </c>
      <c r="L556" s="437"/>
      <c r="M556" s="437"/>
      <c r="N556" s="437"/>
      <c r="O556" s="437"/>
      <c r="P556" s="437"/>
      <c r="Q556" s="437"/>
      <c r="R556" s="437"/>
      <c r="S556" s="437"/>
      <c r="T556" s="437"/>
      <c r="U556" s="437"/>
      <c r="V556" s="437"/>
      <c r="W556" s="437"/>
      <c r="X556" s="437"/>
      <c r="Y556" s="437"/>
      <c r="Z556" s="437"/>
    </row>
    <row r="557" spans="1:26" ht="15.75" customHeight="1">
      <c r="A557" t="s">
        <v>1391</v>
      </c>
      <c r="B557" t="s">
        <v>1425</v>
      </c>
      <c r="C557" t="s">
        <v>1432</v>
      </c>
      <c r="D557" s="516">
        <v>83200602</v>
      </c>
      <c r="E557" t="s">
        <v>852</v>
      </c>
      <c r="F557" s="514">
        <v>338802.02</v>
      </c>
      <c r="G557" s="514">
        <v>100410.54</v>
      </c>
      <c r="H557" s="437" t="str">
        <f>VLOOKUP(D557,'COA LTD'!A:F,3,0)</f>
        <v>PL</v>
      </c>
      <c r="I557" s="437" t="str">
        <f>VLOOKUP(D557,'COA LTD'!A:F,4,0)</f>
        <v>General and administrative expenses</v>
      </c>
      <c r="J557" s="437" t="str">
        <f>VLOOKUP(D557,'COA LTD'!A:F,5,0)</f>
        <v>Company events</v>
      </c>
      <c r="K557" s="439">
        <f t="shared" si="9"/>
        <v>3.3741678911397153</v>
      </c>
      <c r="L557" s="437"/>
      <c r="M557" s="437"/>
      <c r="N557" s="437"/>
      <c r="O557" s="437"/>
      <c r="P557" s="437"/>
      <c r="Q557" s="437"/>
      <c r="R557" s="437"/>
      <c r="S557" s="437"/>
      <c r="T557" s="437"/>
      <c r="U557" s="437"/>
      <c r="V557" s="437"/>
      <c r="W557" s="437"/>
      <c r="X557" s="437"/>
      <c r="Y557" s="437"/>
      <c r="Z557" s="437"/>
    </row>
    <row r="558" spans="1:26" ht="15.75" customHeight="1">
      <c r="A558" t="s">
        <v>1391</v>
      </c>
      <c r="B558" t="s">
        <v>1425</v>
      </c>
      <c r="C558" t="s">
        <v>1432</v>
      </c>
      <c r="D558" s="516">
        <v>83200603</v>
      </c>
      <c r="E558" t="s">
        <v>854</v>
      </c>
      <c r="F558" s="514">
        <v>73077.03</v>
      </c>
      <c r="G558" s="514">
        <v>21579.97</v>
      </c>
      <c r="H558" s="437" t="str">
        <f>VLOOKUP(D558,'COA LTD'!A:F,3,0)</f>
        <v>PL</v>
      </c>
      <c r="I558" s="437" t="str">
        <f>VLOOKUP(D558,'COA LTD'!A:F,4,0)</f>
        <v>General and administrative expenses</v>
      </c>
      <c r="J558" s="437" t="str">
        <f>VLOOKUP(D558,'COA LTD'!A:F,5,0)</f>
        <v>Benefits</v>
      </c>
      <c r="K558" s="439">
        <f t="shared" si="9"/>
        <v>3.3863360329045866</v>
      </c>
      <c r="L558" s="437"/>
      <c r="M558" s="437"/>
      <c r="N558" s="437"/>
      <c r="O558" s="437"/>
      <c r="P558" s="437"/>
      <c r="Q558" s="437"/>
      <c r="R558" s="437"/>
      <c r="S558" s="437"/>
      <c r="T558" s="437"/>
      <c r="U558" s="437"/>
      <c r="V558" s="437"/>
      <c r="W558" s="437"/>
      <c r="X558" s="437"/>
      <c r="Y558" s="437"/>
      <c r="Z558" s="437"/>
    </row>
    <row r="559" spans="1:26" ht="15.75" customHeight="1">
      <c r="A559" t="s">
        <v>1391</v>
      </c>
      <c r="B559" t="s">
        <v>1425</v>
      </c>
      <c r="C559" t="s">
        <v>1432</v>
      </c>
      <c r="D559" s="516">
        <v>83200604</v>
      </c>
      <c r="E559" t="s">
        <v>855</v>
      </c>
      <c r="F559" s="514">
        <v>337073.24</v>
      </c>
      <c r="G559" s="514">
        <v>99716.29</v>
      </c>
      <c r="H559" s="437" t="str">
        <f>VLOOKUP(D559,'COA LTD'!A:F,3,0)</f>
        <v>PL</v>
      </c>
      <c r="I559" s="437" t="str">
        <f>VLOOKUP(D559,'COA LTD'!A:F,4,0)</f>
        <v>General and administrative expenses</v>
      </c>
      <c r="J559" s="437" t="str">
        <f>VLOOKUP(D559,'COA LTD'!A:F,5,0)</f>
        <v>Refreshments &amp; Meals</v>
      </c>
      <c r="K559" s="439">
        <f t="shared" si="9"/>
        <v>3.3803227135706715</v>
      </c>
      <c r="L559" s="437"/>
      <c r="M559" s="437"/>
      <c r="N559" s="437"/>
      <c r="O559" s="437"/>
      <c r="P559" s="437"/>
      <c r="Q559" s="437"/>
      <c r="R559" s="437"/>
      <c r="S559" s="437"/>
      <c r="T559" s="437"/>
      <c r="U559" s="437"/>
      <c r="V559" s="437"/>
      <c r="W559" s="437"/>
      <c r="X559" s="437"/>
      <c r="Y559" s="437"/>
      <c r="Z559" s="437"/>
    </row>
    <row r="560" spans="1:26" ht="15.75" customHeight="1">
      <c r="A560" t="s">
        <v>1391</v>
      </c>
      <c r="B560" t="s">
        <v>1425</v>
      </c>
      <c r="C560" t="s">
        <v>1432</v>
      </c>
      <c r="D560" s="516">
        <v>83200605</v>
      </c>
      <c r="E560" t="s">
        <v>856</v>
      </c>
      <c r="F560" s="514">
        <v>18652.97</v>
      </c>
      <c r="G560" s="514">
        <v>5488.36</v>
      </c>
      <c r="H560" s="437" t="str">
        <f>VLOOKUP(D560,'COA LTD'!A:F,3,0)</f>
        <v>PL</v>
      </c>
      <c r="I560" s="437" t="str">
        <f>VLOOKUP(D560,'COA LTD'!A:F,4,0)</f>
        <v>General and administrative expenses</v>
      </c>
      <c r="J560" s="437" t="str">
        <f>VLOOKUP(D560,'COA LTD'!A:F,5,0)</f>
        <v>Conferences and seminars</v>
      </c>
      <c r="K560" s="439">
        <f t="shared" si="9"/>
        <v>3.3986418529396762</v>
      </c>
      <c r="L560" s="437"/>
      <c r="M560" s="437"/>
      <c r="N560" s="437"/>
      <c r="O560" s="437"/>
      <c r="P560" s="437"/>
      <c r="Q560" s="437"/>
      <c r="R560" s="437"/>
      <c r="S560" s="437"/>
      <c r="T560" s="437"/>
      <c r="U560" s="437"/>
      <c r="V560" s="437"/>
      <c r="W560" s="437"/>
      <c r="X560" s="437"/>
      <c r="Y560" s="437"/>
      <c r="Z560" s="437"/>
    </row>
    <row r="561" spans="1:26" ht="15.75" customHeight="1">
      <c r="A561" t="s">
        <v>1391</v>
      </c>
      <c r="B561" t="s">
        <v>1425</v>
      </c>
      <c r="C561" t="s">
        <v>1432</v>
      </c>
      <c r="D561" s="516">
        <v>83200606</v>
      </c>
      <c r="E561" t="s">
        <v>857</v>
      </c>
      <c r="F561" s="514">
        <v>1208109.6000000001</v>
      </c>
      <c r="G561" s="514">
        <v>359315.87</v>
      </c>
      <c r="H561" s="437" t="str">
        <f>VLOOKUP(D561,'COA LTD'!A:F,3,0)</f>
        <v>PL</v>
      </c>
      <c r="I561" s="437" t="str">
        <f>VLOOKUP(D561,'COA LTD'!A:F,4,0)</f>
        <v>General and administrative expenses</v>
      </c>
      <c r="J561" s="437" t="str">
        <f>VLOOKUP(D561,'COA LTD'!A:F,5,0)</f>
        <v>Donation</v>
      </c>
      <c r="K561" s="439">
        <f t="shared" si="9"/>
        <v>3.3622494881731777</v>
      </c>
      <c r="L561" s="437"/>
      <c r="M561" s="437"/>
      <c r="N561" s="437"/>
      <c r="O561" s="437"/>
      <c r="P561" s="437"/>
      <c r="Q561" s="437"/>
      <c r="R561" s="437"/>
      <c r="S561" s="437"/>
      <c r="T561" s="437"/>
      <c r="U561" s="437"/>
      <c r="V561" s="437"/>
      <c r="W561" s="437"/>
      <c r="X561" s="437"/>
      <c r="Y561" s="437"/>
      <c r="Z561" s="437"/>
    </row>
    <row r="562" spans="1:26" ht="15.75" customHeight="1">
      <c r="A562" t="s">
        <v>1391</v>
      </c>
      <c r="B562" t="s">
        <v>1425</v>
      </c>
      <c r="C562" t="s">
        <v>1433</v>
      </c>
      <c r="D562" s="516">
        <v>83140801</v>
      </c>
      <c r="E562" t="s">
        <v>912</v>
      </c>
      <c r="F562" s="514">
        <v>518668.32</v>
      </c>
      <c r="G562" s="514">
        <v>162134.57</v>
      </c>
      <c r="H562" s="437" t="str">
        <f>VLOOKUP(D562,'COA LTD'!A:F,3,0)</f>
        <v>PL</v>
      </c>
      <c r="I562" s="437" t="str">
        <f>VLOOKUP(D562,'COA LTD'!A:F,4,0)</f>
        <v>General and administrative expenses</v>
      </c>
      <c r="J562" s="437" t="str">
        <f>VLOOKUP(D562,'COA LTD'!A:F,5,0)</f>
        <v>insurance</v>
      </c>
      <c r="K562" s="439">
        <f t="shared" si="9"/>
        <v>3.1989989550038587</v>
      </c>
      <c r="L562" s="437"/>
      <c r="M562" s="437"/>
      <c r="N562" s="437"/>
      <c r="O562" s="437"/>
      <c r="P562" s="437"/>
      <c r="Q562" s="437"/>
      <c r="R562" s="437"/>
      <c r="S562" s="437"/>
      <c r="T562" s="437"/>
      <c r="U562" s="437"/>
      <c r="V562" s="437"/>
      <c r="W562" s="437"/>
      <c r="X562" s="437"/>
      <c r="Y562" s="437"/>
      <c r="Z562" s="437"/>
    </row>
    <row r="563" spans="1:26" ht="15.75" customHeight="1">
      <c r="A563" t="s">
        <v>1391</v>
      </c>
      <c r="B563" t="s">
        <v>1425</v>
      </c>
      <c r="C563" t="s">
        <v>1433</v>
      </c>
      <c r="D563" s="516">
        <v>83200802</v>
      </c>
      <c r="E563" t="s">
        <v>858</v>
      </c>
      <c r="F563" s="514">
        <v>18656.75</v>
      </c>
      <c r="G563" s="514">
        <v>5738.64</v>
      </c>
      <c r="H563" s="437" t="str">
        <f>VLOOKUP(D563,'COA LTD'!A:F,3,0)</f>
        <v>PL</v>
      </c>
      <c r="I563" s="437" t="str">
        <f>VLOOKUP(D563,'COA LTD'!A:F,4,0)</f>
        <v>General and administrative expenses</v>
      </c>
      <c r="J563" s="437" t="str">
        <f>VLOOKUP(D563,'COA LTD'!A:F,5,0)</f>
        <v>insurance</v>
      </c>
      <c r="K563" s="439">
        <f t="shared" si="9"/>
        <v>3.2510751676355372</v>
      </c>
      <c r="L563" s="437"/>
      <c r="M563" s="437"/>
      <c r="N563" s="437"/>
      <c r="O563" s="437"/>
      <c r="P563" s="437"/>
      <c r="Q563" s="437"/>
      <c r="R563" s="437"/>
      <c r="S563" s="437"/>
      <c r="T563" s="437"/>
      <c r="U563" s="437"/>
      <c r="V563" s="437"/>
      <c r="W563" s="437"/>
      <c r="X563" s="437"/>
      <c r="Y563" s="437"/>
      <c r="Z563" s="437"/>
    </row>
    <row r="564" spans="1:26" ht="15.75" customHeight="1">
      <c r="A564" t="s">
        <v>1391</v>
      </c>
      <c r="B564" t="s">
        <v>1425</v>
      </c>
      <c r="C564" t="s">
        <v>1434</v>
      </c>
      <c r="D564" s="516">
        <v>83141000</v>
      </c>
      <c r="E564" t="s">
        <v>1168</v>
      </c>
      <c r="F564" s="514">
        <v>40338.94</v>
      </c>
      <c r="G564" s="514">
        <v>11742.8</v>
      </c>
      <c r="H564" s="437" t="str">
        <f>VLOOKUP(D564,'COA LTD'!A:F,3,0)</f>
        <v>PL</v>
      </c>
      <c r="I564" s="437" t="str">
        <f>VLOOKUP(D564,'COA LTD'!A:F,4,0)</f>
        <v>General and administrative expenses</v>
      </c>
      <c r="J564" s="437" t="str">
        <f>VLOOKUP(D564,'COA LTD'!A:F,5,0)</f>
        <v>travel</v>
      </c>
      <c r="K564" s="439">
        <f t="shared" si="9"/>
        <v>3.4352062540450321</v>
      </c>
      <c r="L564" s="437"/>
      <c r="M564" s="437"/>
      <c r="N564" s="437"/>
      <c r="O564" s="437"/>
      <c r="P564" s="437"/>
      <c r="Q564" s="437"/>
      <c r="R564" s="437"/>
      <c r="S564" s="437"/>
      <c r="T564" s="437"/>
      <c r="U564" s="437"/>
      <c r="V564" s="437"/>
      <c r="W564" s="437"/>
      <c r="X564" s="437"/>
      <c r="Y564" s="437"/>
      <c r="Z564" s="437"/>
    </row>
    <row r="565" spans="1:26" ht="15.75" customHeight="1">
      <c r="A565" t="s">
        <v>1391</v>
      </c>
      <c r="B565" t="s">
        <v>1425</v>
      </c>
      <c r="C565" t="s">
        <v>1434</v>
      </c>
      <c r="D565" s="516">
        <v>83141001</v>
      </c>
      <c r="E565" t="s">
        <v>1296</v>
      </c>
      <c r="F565" s="514">
        <v>19026.04</v>
      </c>
      <c r="G565" s="514">
        <v>5558.56</v>
      </c>
      <c r="H565" s="437" t="str">
        <f>VLOOKUP(D565,'COA LTD'!A:F,3,0)</f>
        <v>PL</v>
      </c>
      <c r="I565" s="437" t="str">
        <f>VLOOKUP(D565,'COA LTD'!A:F,4,0)</f>
        <v>General and administrative expenses</v>
      </c>
      <c r="J565" s="437" t="str">
        <f>VLOOKUP(D565,'COA LTD'!A:F,5,0)</f>
        <v>travel</v>
      </c>
      <c r="K565" s="439">
        <f t="shared" si="9"/>
        <v>3.4228361302207766</v>
      </c>
      <c r="L565" s="437"/>
      <c r="M565" s="437"/>
      <c r="N565" s="437"/>
      <c r="O565" s="437"/>
      <c r="P565" s="437"/>
      <c r="Q565" s="437"/>
      <c r="R565" s="437"/>
      <c r="S565" s="437"/>
      <c r="T565" s="437"/>
      <c r="U565" s="437"/>
      <c r="V565" s="437"/>
      <c r="W565" s="437"/>
      <c r="X565" s="437"/>
      <c r="Y565" s="437"/>
      <c r="Z565" s="437"/>
    </row>
    <row r="566" spans="1:26" ht="15.75" customHeight="1">
      <c r="A566" t="s">
        <v>1391</v>
      </c>
      <c r="B566" t="s">
        <v>1425</v>
      </c>
      <c r="C566" t="s">
        <v>1434</v>
      </c>
      <c r="D566" s="516">
        <v>83141002</v>
      </c>
      <c r="E566" t="s">
        <v>1297</v>
      </c>
      <c r="F566" s="514">
        <v>18282.43</v>
      </c>
      <c r="G566" s="514">
        <v>5319.4</v>
      </c>
      <c r="H566" s="437" t="str">
        <f>VLOOKUP(D566,'COA LTD'!A:F,3,0)</f>
        <v>PL</v>
      </c>
      <c r="I566" s="437" t="str">
        <f>VLOOKUP(D566,'COA LTD'!A:F,4,0)</f>
        <v>General and administrative expenses</v>
      </c>
      <c r="J566" s="437" t="str">
        <f>VLOOKUP(D566,'COA LTD'!A:F,5,0)</f>
        <v>travel</v>
      </c>
      <c r="K566" s="439">
        <f t="shared" si="9"/>
        <v>3.4369346166860928</v>
      </c>
      <c r="L566" s="437"/>
      <c r="M566" s="437"/>
      <c r="N566" s="437"/>
      <c r="O566" s="437"/>
      <c r="P566" s="437"/>
      <c r="Q566" s="437"/>
      <c r="R566" s="437"/>
      <c r="S566" s="437"/>
      <c r="T566" s="437"/>
      <c r="U566" s="437"/>
      <c r="V566" s="437"/>
      <c r="W566" s="437"/>
      <c r="X566" s="437"/>
      <c r="Y566" s="437"/>
      <c r="Z566" s="437"/>
    </row>
    <row r="567" spans="1:26" ht="15.75" customHeight="1">
      <c r="A567" t="s">
        <v>1391</v>
      </c>
      <c r="B567" t="s">
        <v>1425</v>
      </c>
      <c r="C567" t="s">
        <v>1435</v>
      </c>
      <c r="D567" s="516">
        <v>83200208</v>
      </c>
      <c r="E567" t="s">
        <v>859</v>
      </c>
      <c r="F567" s="514">
        <v>659533.23</v>
      </c>
      <c r="G567" s="514">
        <v>195554.4</v>
      </c>
      <c r="H567" s="437" t="str">
        <f>VLOOKUP(D567,'COA LTD'!A:F,3,0)</f>
        <v>PL</v>
      </c>
      <c r="I567" s="437" t="str">
        <f>VLOOKUP(D567,'COA LTD'!A:F,4,0)</f>
        <v>General and administrative expenses</v>
      </c>
      <c r="J567" s="437" t="str">
        <f>VLOOKUP(D567,'COA LTD'!A:F,5,0)</f>
        <v xml:space="preserve">IC expenses </v>
      </c>
      <c r="K567" s="439">
        <f t="shared" si="9"/>
        <v>3.372633037149765</v>
      </c>
      <c r="L567" s="437"/>
      <c r="M567" s="437"/>
      <c r="N567" s="437"/>
      <c r="O567" s="437"/>
      <c r="P567" s="437"/>
      <c r="Q567" s="437"/>
      <c r="R567" s="437"/>
      <c r="S567" s="437"/>
      <c r="T567" s="437"/>
      <c r="U567" s="437"/>
      <c r="V567" s="437"/>
      <c r="W567" s="437"/>
      <c r="X567" s="437"/>
      <c r="Y567" s="437"/>
      <c r="Z567" s="437"/>
    </row>
    <row r="568" spans="1:26" ht="15.75" customHeight="1">
      <c r="A568" t="s">
        <v>1391</v>
      </c>
      <c r="B568" t="s">
        <v>1425</v>
      </c>
      <c r="C568" t="s">
        <v>1435</v>
      </c>
      <c r="D568" s="516">
        <v>83200210</v>
      </c>
      <c r="E568" t="s">
        <v>1737</v>
      </c>
      <c r="F568" s="514">
        <v>901576</v>
      </c>
      <c r="G568" s="514">
        <v>269127</v>
      </c>
      <c r="H568" s="437" t="str">
        <f>VLOOKUP(D568,'COA LTD'!A:F,3,0)</f>
        <v>PL</v>
      </c>
      <c r="I568" s="437" t="str">
        <f>VLOOKUP(D568,'COA LTD'!A:F,4,0)</f>
        <v>Financial expenses, net</v>
      </c>
      <c r="J568" s="437" t="str">
        <f>VLOOKUP(D568,'COA LTD'!A:F,5,0)</f>
        <v>IC Expenses</v>
      </c>
      <c r="K568" s="439">
        <f t="shared" si="9"/>
        <v>3.3500020436448219</v>
      </c>
      <c r="L568" s="437"/>
      <c r="M568" s="437"/>
      <c r="N568" s="437"/>
      <c r="O568" s="437"/>
      <c r="P568" s="437"/>
      <c r="Q568" s="437"/>
      <c r="R568" s="437"/>
      <c r="S568" s="437"/>
      <c r="T568" s="437"/>
      <c r="U568" s="437"/>
      <c r="V568" s="437"/>
      <c r="W568" s="437"/>
      <c r="X568" s="437"/>
      <c r="Y568" s="437"/>
      <c r="Z568" s="437"/>
    </row>
    <row r="569" spans="1:26" ht="15.75" customHeight="1">
      <c r="A569" t="s">
        <v>1391</v>
      </c>
      <c r="B569" t="s">
        <v>1436</v>
      </c>
      <c r="C569" t="s">
        <v>1580</v>
      </c>
      <c r="D569" s="516">
        <v>84200207</v>
      </c>
      <c r="E569" t="s">
        <v>1581</v>
      </c>
      <c r="F569" s="514">
        <v>17203.09</v>
      </c>
      <c r="G569" s="514">
        <v>4959.09</v>
      </c>
      <c r="H569" s="437" t="str">
        <f>VLOOKUP(D569,'COA LTD'!A:F,3,0)</f>
        <v>PL</v>
      </c>
      <c r="I569" s="437" t="str">
        <f>VLOOKUP(D569,'COA LTD'!A:F,4,0)</f>
        <v>General and administrative expenses</v>
      </c>
      <c r="J569" s="437" t="str">
        <f>VLOOKUP(D569,'COA LTD'!A:F,5,0)</f>
        <v>Allocation</v>
      </c>
      <c r="K569" s="439">
        <f t="shared" si="9"/>
        <v>3.4690013692028172</v>
      </c>
      <c r="L569" s="437"/>
      <c r="M569" s="437"/>
      <c r="N569" s="437"/>
      <c r="O569" s="437"/>
      <c r="P569" s="437"/>
      <c r="Q569" s="437"/>
      <c r="R569" s="437"/>
      <c r="S569" s="437"/>
      <c r="T569" s="437"/>
      <c r="U569" s="437"/>
      <c r="V569" s="437"/>
      <c r="W569" s="437"/>
      <c r="X569" s="437"/>
      <c r="Y569" s="437"/>
      <c r="Z569" s="437"/>
    </row>
    <row r="570" spans="1:26" ht="15.75" customHeight="1">
      <c r="A570" t="s">
        <v>1391</v>
      </c>
      <c r="B570" t="s">
        <v>1436</v>
      </c>
      <c r="C570" t="s">
        <v>1437</v>
      </c>
      <c r="D570" s="516">
        <v>84200401</v>
      </c>
      <c r="E570" t="s">
        <v>860</v>
      </c>
      <c r="F570" s="514">
        <v>2708634.26</v>
      </c>
      <c r="G570" s="514">
        <v>777216.66</v>
      </c>
      <c r="H570" s="437" t="str">
        <f>VLOOKUP(D570,'COA LTD'!A:F,3,0)</f>
        <v>PL</v>
      </c>
      <c r="I570" s="437" t="str">
        <f>VLOOKUP(D570,'COA LTD'!A:F,4,0)</f>
        <v>General and administrative expenses</v>
      </c>
      <c r="J570" s="437" t="str">
        <f>VLOOKUP(D570,'COA LTD'!A:F,5,0)</f>
        <v>Allocation</v>
      </c>
      <c r="K570" s="439">
        <f t="shared" si="9"/>
        <v>3.4850440030454308</v>
      </c>
      <c r="L570" s="437"/>
      <c r="M570" s="437"/>
      <c r="N570" s="437"/>
      <c r="O570" s="437"/>
      <c r="P570" s="437"/>
      <c r="Q570" s="437"/>
      <c r="R570" s="437"/>
      <c r="S570" s="437"/>
      <c r="T570" s="437"/>
      <c r="U570" s="437"/>
      <c r="V570" s="437"/>
      <c r="W570" s="437"/>
      <c r="X570" s="437"/>
      <c r="Y570" s="437"/>
      <c r="Z570" s="437"/>
    </row>
    <row r="571" spans="1:26" ht="15.75" customHeight="1">
      <c r="A571" t="s">
        <v>1391</v>
      </c>
      <c r="B571" t="s">
        <v>1436</v>
      </c>
      <c r="C571" t="s">
        <v>1437</v>
      </c>
      <c r="D571" s="516">
        <v>84200402</v>
      </c>
      <c r="E571" t="s">
        <v>862</v>
      </c>
      <c r="F571" s="514">
        <v>664813.54</v>
      </c>
      <c r="G571" s="514">
        <v>193593.85</v>
      </c>
      <c r="H571" s="437" t="str">
        <f>VLOOKUP(D571,'COA LTD'!A:F,3,0)</f>
        <v>PL</v>
      </c>
      <c r="I571" s="437" t="str">
        <f>VLOOKUP(D571,'COA LTD'!A:F,4,0)</f>
        <v>General and administrative expenses</v>
      </c>
      <c r="J571" s="437" t="str">
        <f>VLOOKUP(D571,'COA LTD'!A:F,5,0)</f>
        <v>Allocation</v>
      </c>
      <c r="K571" s="439">
        <f t="shared" si="9"/>
        <v>3.4340633238090983</v>
      </c>
      <c r="L571" s="437"/>
      <c r="M571" s="437"/>
      <c r="N571" s="437"/>
      <c r="O571" s="437"/>
      <c r="P571" s="437"/>
      <c r="Q571" s="437"/>
      <c r="R571" s="437"/>
      <c r="S571" s="437"/>
      <c r="T571" s="437"/>
      <c r="U571" s="437"/>
      <c r="V571" s="437"/>
      <c r="W571" s="437"/>
      <c r="X571" s="437"/>
      <c r="Y571" s="437"/>
      <c r="Z571" s="437"/>
    </row>
    <row r="572" spans="1:26" ht="15.75" customHeight="1">
      <c r="A572" t="s">
        <v>1391</v>
      </c>
      <c r="B572" t="s">
        <v>1436</v>
      </c>
      <c r="C572" t="s">
        <v>1437</v>
      </c>
      <c r="D572" s="516">
        <v>84200403</v>
      </c>
      <c r="E572" t="s">
        <v>1065</v>
      </c>
      <c r="F572" s="514">
        <v>10580.72</v>
      </c>
      <c r="G572" s="514">
        <v>3040.28</v>
      </c>
      <c r="H572" s="437" t="str">
        <f>VLOOKUP(D572,'COA LTD'!A:F,3,0)</f>
        <v>PL</v>
      </c>
      <c r="I572" s="437" t="str">
        <f>VLOOKUP(D572,'COA LTD'!A:F,4,0)</f>
        <v>General and administrative expenses</v>
      </c>
      <c r="J572" s="437" t="str">
        <f>VLOOKUP(D572,'COA LTD'!A:F,5,0)</f>
        <v>Allocation</v>
      </c>
      <c r="K572" s="439">
        <f t="shared" si="9"/>
        <v>3.4801794571552618</v>
      </c>
      <c r="L572" s="437"/>
      <c r="M572" s="437"/>
      <c r="N572" s="437"/>
      <c r="O572" s="437"/>
      <c r="P572" s="437"/>
      <c r="Q572" s="437"/>
      <c r="R572" s="437"/>
      <c r="S572" s="437"/>
      <c r="T572" s="437"/>
      <c r="U572" s="437"/>
      <c r="V572" s="437"/>
      <c r="W572" s="437"/>
      <c r="X572" s="437"/>
      <c r="Y572" s="437"/>
      <c r="Z572" s="437"/>
    </row>
    <row r="573" spans="1:26" ht="15.75" customHeight="1">
      <c r="A573" t="s">
        <v>1391</v>
      </c>
      <c r="B573" t="s">
        <v>1436</v>
      </c>
      <c r="C573" t="s">
        <v>1437</v>
      </c>
      <c r="D573" s="516">
        <v>84200404</v>
      </c>
      <c r="E573" t="s">
        <v>913</v>
      </c>
      <c r="F573" s="514">
        <v>120690.24000000001</v>
      </c>
      <c r="G573" s="514">
        <v>34747.49</v>
      </c>
      <c r="H573" s="437" t="str">
        <f>VLOOKUP(D573,'COA LTD'!A:F,3,0)</f>
        <v>PL</v>
      </c>
      <c r="I573" s="437" t="str">
        <f>VLOOKUP(D573,'COA LTD'!A:F,4,0)</f>
        <v>General and administrative expenses</v>
      </c>
      <c r="J573" s="437" t="str">
        <f>VLOOKUP(D573,'COA LTD'!A:F,5,0)</f>
        <v>Allocation</v>
      </c>
      <c r="K573" s="439">
        <f t="shared" si="9"/>
        <v>3.4733513125696276</v>
      </c>
      <c r="L573" s="437"/>
      <c r="M573" s="437"/>
      <c r="N573" s="437"/>
      <c r="O573" s="437"/>
      <c r="P573" s="437"/>
      <c r="Q573" s="437"/>
      <c r="R573" s="437"/>
      <c r="S573" s="437"/>
      <c r="T573" s="437"/>
      <c r="U573" s="437"/>
      <c r="V573" s="437"/>
      <c r="W573" s="437"/>
      <c r="X573" s="437"/>
      <c r="Y573" s="437"/>
      <c r="Z573" s="437"/>
    </row>
    <row r="574" spans="1:26" ht="15.75" customHeight="1">
      <c r="A574" t="s">
        <v>1391</v>
      </c>
      <c r="B574" t="s">
        <v>1436</v>
      </c>
      <c r="C574" t="s">
        <v>1437</v>
      </c>
      <c r="D574" s="516">
        <v>84200405</v>
      </c>
      <c r="E574" t="s">
        <v>1251</v>
      </c>
      <c r="F574" s="514">
        <v>150911.66</v>
      </c>
      <c r="G574" s="514">
        <v>43611.95</v>
      </c>
      <c r="H574" s="437" t="str">
        <f>VLOOKUP(D574,'COA LTD'!A:F,3,0)</f>
        <v>PL</v>
      </c>
      <c r="I574" s="437" t="str">
        <f>VLOOKUP(D574,'COA LTD'!A:F,4,0)</f>
        <v>General and administrative expenses</v>
      </c>
      <c r="J574" s="437" t="str">
        <f>VLOOKUP(D574,'COA LTD'!A:F,5,0)</f>
        <v>Allocation</v>
      </c>
      <c r="K574" s="439">
        <f t="shared" si="9"/>
        <v>3.4603281898653928</v>
      </c>
      <c r="L574" s="437"/>
      <c r="M574" s="437"/>
      <c r="N574" s="437"/>
      <c r="O574" s="437"/>
      <c r="P574" s="437"/>
      <c r="Q574" s="437"/>
      <c r="R574" s="437"/>
      <c r="S574" s="437"/>
      <c r="T574" s="437"/>
      <c r="U574" s="437"/>
      <c r="V574" s="437"/>
      <c r="W574" s="437"/>
      <c r="X574" s="437"/>
      <c r="Y574" s="437"/>
      <c r="Z574" s="437"/>
    </row>
    <row r="575" spans="1:26" ht="15.75" customHeight="1">
      <c r="A575" t="s">
        <v>1391</v>
      </c>
      <c r="B575" t="s">
        <v>1436</v>
      </c>
      <c r="C575" t="s">
        <v>1437</v>
      </c>
      <c r="D575" s="516">
        <v>84200406</v>
      </c>
      <c r="E575" t="s">
        <v>863</v>
      </c>
      <c r="F575" s="514">
        <v>172289.87</v>
      </c>
      <c r="G575" s="514">
        <v>50688.17</v>
      </c>
      <c r="H575" s="437" t="str">
        <f>VLOOKUP(D575,'COA LTD'!A:F,3,0)</f>
        <v>PL</v>
      </c>
      <c r="I575" s="437" t="str">
        <f>VLOOKUP(D575,'COA LTD'!A:F,4,0)</f>
        <v>General and administrative expenses</v>
      </c>
      <c r="J575" s="437" t="str">
        <f>VLOOKUP(D575,'COA LTD'!A:F,5,0)</f>
        <v>Allocation</v>
      </c>
      <c r="K575" s="439">
        <f t="shared" si="9"/>
        <v>3.3990153915598058</v>
      </c>
      <c r="L575" s="437"/>
      <c r="M575" s="437"/>
      <c r="N575" s="437"/>
      <c r="O575" s="437"/>
      <c r="P575" s="437"/>
      <c r="Q575" s="437"/>
      <c r="R575" s="437"/>
      <c r="S575" s="437"/>
      <c r="T575" s="437"/>
      <c r="U575" s="437"/>
      <c r="V575" s="437"/>
      <c r="W575" s="437"/>
      <c r="X575" s="437"/>
      <c r="Y575" s="437"/>
      <c r="Z575" s="437"/>
    </row>
    <row r="576" spans="1:26" ht="15.75" customHeight="1">
      <c r="A576" t="s">
        <v>1391</v>
      </c>
      <c r="B576" t="s">
        <v>1436</v>
      </c>
      <c r="C576" t="s">
        <v>1437</v>
      </c>
      <c r="D576" s="516">
        <v>84200407</v>
      </c>
      <c r="E576" t="s">
        <v>914</v>
      </c>
      <c r="F576" s="514">
        <v>988942.78</v>
      </c>
      <c r="G576" s="514">
        <v>288991.71999999997</v>
      </c>
      <c r="H576" s="437" t="str">
        <f>VLOOKUP(D576,'COA LTD'!A:F,3,0)</f>
        <v>PL</v>
      </c>
      <c r="I576" s="437" t="str">
        <f>VLOOKUP(D576,'COA LTD'!A:F,4,0)</f>
        <v>General and administrative expenses</v>
      </c>
      <c r="J576" s="437" t="str">
        <f>VLOOKUP(D576,'COA LTD'!A:F,5,0)</f>
        <v>Allocation</v>
      </c>
      <c r="K576" s="439">
        <f t="shared" si="9"/>
        <v>3.4220453790163958</v>
      </c>
      <c r="L576" s="437"/>
      <c r="M576" s="437"/>
      <c r="N576" s="437"/>
      <c r="O576" s="437"/>
      <c r="P576" s="437"/>
      <c r="Q576" s="437"/>
      <c r="R576" s="437"/>
      <c r="S576" s="437"/>
      <c r="T576" s="437"/>
      <c r="U576" s="437"/>
      <c r="V576" s="437"/>
      <c r="W576" s="437"/>
      <c r="X576" s="437"/>
      <c r="Y576" s="437"/>
      <c r="Z576" s="437"/>
    </row>
    <row r="577" spans="1:26" ht="15.75" customHeight="1">
      <c r="A577" t="s">
        <v>1391</v>
      </c>
      <c r="B577" t="s">
        <v>1436</v>
      </c>
      <c r="C577" t="s">
        <v>1437</v>
      </c>
      <c r="D577" s="516">
        <v>84200408</v>
      </c>
      <c r="E577" t="s">
        <v>915</v>
      </c>
      <c r="F577" s="514">
        <v>561879.68000000005</v>
      </c>
      <c r="G577" s="514">
        <v>163420.51</v>
      </c>
      <c r="H577" s="437" t="str">
        <f>VLOOKUP(D577,'COA LTD'!A:F,3,0)</f>
        <v>PL</v>
      </c>
      <c r="I577" s="437" t="str">
        <f>VLOOKUP(D577,'COA LTD'!A:F,4,0)</f>
        <v>General and administrative expenses</v>
      </c>
      <c r="J577" s="437" t="str">
        <f>VLOOKUP(D577,'COA LTD'!A:F,5,0)</f>
        <v>Allocation</v>
      </c>
      <c r="K577" s="439">
        <f t="shared" si="9"/>
        <v>3.4382445630600467</v>
      </c>
      <c r="L577" s="437"/>
      <c r="M577" s="437"/>
      <c r="N577" s="437"/>
      <c r="O577" s="437"/>
      <c r="P577" s="437"/>
      <c r="Q577" s="437"/>
      <c r="R577" s="437"/>
      <c r="S577" s="437"/>
      <c r="T577" s="437"/>
      <c r="U577" s="437"/>
      <c r="V577" s="437"/>
      <c r="W577" s="437"/>
      <c r="X577" s="437"/>
      <c r="Y577" s="437"/>
      <c r="Z577" s="437"/>
    </row>
    <row r="578" spans="1:26" ht="15.75" customHeight="1">
      <c r="A578" t="s">
        <v>1391</v>
      </c>
      <c r="B578" t="s">
        <v>1436</v>
      </c>
      <c r="C578" t="s">
        <v>1437</v>
      </c>
      <c r="D578" s="516">
        <v>84200409</v>
      </c>
      <c r="E578" t="s">
        <v>916</v>
      </c>
      <c r="F578" s="514">
        <v>67863</v>
      </c>
      <c r="G578" s="514">
        <v>19911.439999999999</v>
      </c>
      <c r="H578" s="437" t="str">
        <f>VLOOKUP(D578,'COA LTD'!A:F,3,0)</f>
        <v>PL</v>
      </c>
      <c r="I578" s="437" t="str">
        <f>VLOOKUP(D578,'COA LTD'!A:F,4,0)</f>
        <v>General and administrative expenses</v>
      </c>
      <c r="J578" s="437" t="str">
        <f>VLOOKUP(D578,'COA LTD'!A:F,5,0)</f>
        <v>Allocation</v>
      </c>
      <c r="K578" s="439">
        <f t="shared" si="9"/>
        <v>3.4082416942220153</v>
      </c>
      <c r="L578" s="437"/>
      <c r="M578" s="437"/>
      <c r="N578" s="437"/>
      <c r="O578" s="437"/>
      <c r="P578" s="437"/>
      <c r="Q578" s="437"/>
      <c r="R578" s="437"/>
      <c r="S578" s="437"/>
      <c r="T578" s="437"/>
      <c r="U578" s="437"/>
      <c r="V578" s="437"/>
      <c r="W578" s="437"/>
      <c r="X578" s="437"/>
      <c r="Y578" s="437"/>
      <c r="Z578" s="437"/>
    </row>
    <row r="579" spans="1:26" ht="15.75" customHeight="1">
      <c r="A579" t="s">
        <v>1391</v>
      </c>
      <c r="B579" t="s">
        <v>1436</v>
      </c>
      <c r="C579" t="s">
        <v>1437</v>
      </c>
      <c r="D579" s="516">
        <v>84200410</v>
      </c>
      <c r="E579" t="s">
        <v>1109</v>
      </c>
      <c r="F579" s="514">
        <v>5274.41</v>
      </c>
      <c r="G579" s="514">
        <v>1538.72</v>
      </c>
      <c r="H579" s="437" t="str">
        <f>VLOOKUP(D579,'COA LTD'!A:F,3,0)</f>
        <v>PL</v>
      </c>
      <c r="I579" s="437" t="str">
        <f>VLOOKUP(D579,'COA LTD'!A:F,4,0)</f>
        <v>General and administrative expenses</v>
      </c>
      <c r="J579" s="437" t="str">
        <f>VLOOKUP(D579,'COA LTD'!A:F,5,0)</f>
        <v>Allocation</v>
      </c>
      <c r="K579" s="439">
        <f t="shared" si="9"/>
        <v>3.4277906311739628</v>
      </c>
      <c r="L579" s="437"/>
      <c r="M579" s="437"/>
      <c r="N579" s="437"/>
      <c r="O579" s="437"/>
      <c r="P579" s="437"/>
      <c r="Q579" s="437"/>
      <c r="R579" s="437"/>
      <c r="S579" s="437"/>
      <c r="T579" s="437"/>
      <c r="U579" s="437"/>
      <c r="V579" s="437"/>
      <c r="W579" s="437"/>
      <c r="X579" s="437"/>
      <c r="Y579" s="437"/>
      <c r="Z579" s="437"/>
    </row>
    <row r="580" spans="1:26" ht="15.75" customHeight="1">
      <c r="A580" t="s">
        <v>1391</v>
      </c>
      <c r="B580" t="s">
        <v>1436</v>
      </c>
      <c r="C580" t="s">
        <v>1437</v>
      </c>
      <c r="D580" s="516">
        <v>84200412</v>
      </c>
      <c r="E580" t="s">
        <v>1616</v>
      </c>
      <c r="F580" s="514">
        <v>82070.080000000002</v>
      </c>
      <c r="G580" s="514">
        <v>23692.29</v>
      </c>
      <c r="H580" s="437" t="str">
        <f>VLOOKUP(D580,'COA LTD'!A:F,3,0)</f>
        <v>PL</v>
      </c>
      <c r="I580" s="437" t="str">
        <f>VLOOKUP(D580,'COA LTD'!A:F,4,0)</f>
        <v>General and administrative expenses</v>
      </c>
      <c r="J580" s="437" t="str">
        <f>VLOOKUP(D580,'COA LTD'!A:F,5,0)</f>
        <v>Allocation</v>
      </c>
      <c r="K580" s="439">
        <f t="shared" si="9"/>
        <v>3.4639994698697341</v>
      </c>
      <c r="L580" s="437"/>
      <c r="M580" s="437"/>
      <c r="N580" s="437"/>
      <c r="O580" s="437"/>
      <c r="P580" s="437"/>
      <c r="Q580" s="437"/>
      <c r="R580" s="437"/>
      <c r="S580" s="437"/>
      <c r="T580" s="437"/>
      <c r="U580" s="437"/>
      <c r="V580" s="437"/>
      <c r="W580" s="437"/>
      <c r="X580" s="437"/>
      <c r="Y580" s="437"/>
      <c r="Z580" s="437"/>
    </row>
    <row r="581" spans="1:26" ht="15.75" customHeight="1">
      <c r="A581" t="s">
        <v>1391</v>
      </c>
      <c r="B581" t="s">
        <v>1436</v>
      </c>
      <c r="C581" t="s">
        <v>1438</v>
      </c>
      <c r="D581" s="516">
        <v>84200501</v>
      </c>
      <c r="E581" t="s">
        <v>864</v>
      </c>
      <c r="F581" s="514">
        <v>4106.1400000000003</v>
      </c>
      <c r="G581" s="514">
        <v>1179.4100000000001</v>
      </c>
      <c r="H581" s="437" t="str">
        <f>VLOOKUP(D581,'COA LTD'!A:F,3,0)</f>
        <v>PL</v>
      </c>
      <c r="I581" s="437" t="str">
        <f>VLOOKUP(D581,'COA LTD'!A:F,4,0)</f>
        <v>General and administrative expenses</v>
      </c>
      <c r="J581" s="437" t="str">
        <f>VLOOKUP(D581,'COA LTD'!A:F,5,0)</f>
        <v>Allocation</v>
      </c>
      <c r="K581" s="439">
        <f t="shared" si="9"/>
        <v>3.4815204212275628</v>
      </c>
      <c r="L581" s="437"/>
      <c r="M581" s="437"/>
      <c r="N581" s="437"/>
      <c r="O581" s="437"/>
      <c r="P581" s="437"/>
      <c r="Q581" s="437"/>
      <c r="R581" s="437"/>
      <c r="S581" s="437"/>
      <c r="T581" s="437"/>
      <c r="U581" s="437"/>
      <c r="V581" s="437"/>
      <c r="W581" s="437"/>
      <c r="X581" s="437"/>
      <c r="Y581" s="437"/>
      <c r="Z581" s="437"/>
    </row>
    <row r="582" spans="1:26" ht="15.75" customHeight="1">
      <c r="A582" t="s">
        <v>1391</v>
      </c>
      <c r="B582" t="s">
        <v>1436</v>
      </c>
      <c r="C582" t="s">
        <v>1438</v>
      </c>
      <c r="D582" s="516">
        <v>84200502</v>
      </c>
      <c r="E582" t="s">
        <v>865</v>
      </c>
      <c r="F582" s="514">
        <v>602054.82999999996</v>
      </c>
      <c r="G582" s="514">
        <v>185047.46</v>
      </c>
      <c r="H582" s="437" t="str">
        <f>VLOOKUP(D582,'COA LTD'!A:F,3,0)</f>
        <v>PL</v>
      </c>
      <c r="I582" s="437" t="str">
        <f>VLOOKUP(D582,'COA LTD'!A:F,4,0)</f>
        <v>General and administrative expenses</v>
      </c>
      <c r="J582" s="437" t="str">
        <f>VLOOKUP(D582,'COA LTD'!A:F,5,0)</f>
        <v>Allocation</v>
      </c>
      <c r="K582" s="439">
        <f t="shared" si="9"/>
        <v>3.2535157737371807</v>
      </c>
      <c r="L582" s="437"/>
      <c r="M582" s="437"/>
      <c r="N582" s="437"/>
      <c r="O582" s="437"/>
      <c r="P582" s="437"/>
      <c r="Q582" s="437"/>
      <c r="R582" s="437"/>
      <c r="S582" s="437"/>
      <c r="T582" s="437"/>
      <c r="U582" s="437"/>
      <c r="V582" s="437"/>
      <c r="W582" s="437"/>
      <c r="X582" s="437"/>
      <c r="Y582" s="437"/>
      <c r="Z582" s="437"/>
    </row>
    <row r="583" spans="1:26" ht="15.75" customHeight="1">
      <c r="A583" t="s">
        <v>1391</v>
      </c>
      <c r="B583" t="s">
        <v>1436</v>
      </c>
      <c r="C583" t="s">
        <v>1438</v>
      </c>
      <c r="D583" s="516">
        <v>84200503</v>
      </c>
      <c r="E583" t="s">
        <v>866</v>
      </c>
      <c r="F583" s="514">
        <v>27458.35</v>
      </c>
      <c r="G583" s="514">
        <v>8349.61</v>
      </c>
      <c r="H583" s="437" t="str">
        <f>VLOOKUP(D583,'COA LTD'!A:F,3,0)</f>
        <v>PL</v>
      </c>
      <c r="I583" s="437" t="str">
        <f>VLOOKUP(D583,'COA LTD'!A:F,4,0)</f>
        <v>General and administrative expenses</v>
      </c>
      <c r="J583" s="437" t="str">
        <f>VLOOKUP(D583,'COA LTD'!A:F,5,0)</f>
        <v>Allocation</v>
      </c>
      <c r="K583" s="439">
        <f t="shared" si="9"/>
        <v>3.2885787479894266</v>
      </c>
      <c r="L583" s="437"/>
      <c r="M583" s="437"/>
      <c r="N583" s="437"/>
      <c r="O583" s="437"/>
      <c r="P583" s="437"/>
      <c r="Q583" s="437"/>
      <c r="R583" s="437"/>
      <c r="S583" s="437"/>
      <c r="T583" s="437"/>
      <c r="U583" s="437"/>
      <c r="V583" s="437"/>
      <c r="W583" s="437"/>
      <c r="X583" s="437"/>
      <c r="Y583" s="437"/>
      <c r="Z583" s="437"/>
    </row>
    <row r="584" spans="1:26" ht="15.75" customHeight="1">
      <c r="A584" t="s">
        <v>1391</v>
      </c>
      <c r="B584" t="s">
        <v>1436</v>
      </c>
      <c r="C584" t="s">
        <v>1438</v>
      </c>
      <c r="D584" s="516">
        <v>84200504</v>
      </c>
      <c r="E584" t="s">
        <v>867</v>
      </c>
      <c r="F584" s="514">
        <v>53047.1</v>
      </c>
      <c r="G584" s="514">
        <v>16067.95</v>
      </c>
      <c r="H584" s="437" t="str">
        <f>VLOOKUP(D584,'COA LTD'!A:F,3,0)</f>
        <v>PL</v>
      </c>
      <c r="I584" s="437" t="str">
        <f>VLOOKUP(D584,'COA LTD'!A:F,4,0)</f>
        <v>General and administrative expenses</v>
      </c>
      <c r="J584" s="437" t="str">
        <f>VLOOKUP(D584,'COA LTD'!A:F,5,0)</f>
        <v>Allocation</v>
      </c>
      <c r="K584" s="439">
        <f t="shared" si="9"/>
        <v>3.3014230191156928</v>
      </c>
      <c r="L584" s="437"/>
      <c r="M584" s="437"/>
      <c r="N584" s="437"/>
      <c r="O584" s="437"/>
      <c r="P584" s="437"/>
      <c r="Q584" s="437"/>
      <c r="R584" s="437"/>
      <c r="S584" s="437"/>
      <c r="T584" s="437"/>
      <c r="U584" s="437"/>
      <c r="V584" s="437"/>
      <c r="W584" s="437"/>
      <c r="X584" s="437"/>
      <c r="Y584" s="437"/>
      <c r="Z584" s="437"/>
    </row>
    <row r="585" spans="1:26" ht="15.75" customHeight="1">
      <c r="A585" t="s">
        <v>1391</v>
      </c>
      <c r="B585" t="s">
        <v>1436</v>
      </c>
      <c r="C585" t="s">
        <v>1438</v>
      </c>
      <c r="D585" s="516">
        <v>84200505</v>
      </c>
      <c r="E585" t="s">
        <v>868</v>
      </c>
      <c r="F585" s="514">
        <v>20186.599999999999</v>
      </c>
      <c r="G585" s="514">
        <v>6165.63</v>
      </c>
      <c r="H585" s="437" t="str">
        <f>VLOOKUP(D585,'COA LTD'!A:F,3,0)</f>
        <v>PL</v>
      </c>
      <c r="I585" s="437" t="str">
        <f>VLOOKUP(D585,'COA LTD'!A:F,4,0)</f>
        <v>General and administrative expenses</v>
      </c>
      <c r="J585" s="437" t="str">
        <f>VLOOKUP(D585,'COA LTD'!A:F,5,0)</f>
        <v>Allocation</v>
      </c>
      <c r="K585" s="439">
        <f t="shared" si="9"/>
        <v>3.274053097574781</v>
      </c>
      <c r="L585" s="437"/>
      <c r="M585" s="437"/>
      <c r="N585" s="437"/>
      <c r="O585" s="437"/>
      <c r="P585" s="437"/>
      <c r="Q585" s="437"/>
      <c r="R585" s="437"/>
      <c r="S585" s="437"/>
      <c r="T585" s="437"/>
      <c r="U585" s="437"/>
      <c r="V585" s="437"/>
      <c r="W585" s="437"/>
      <c r="X585" s="437"/>
      <c r="Y585" s="437"/>
      <c r="Z585" s="437"/>
    </row>
    <row r="586" spans="1:26" ht="15.75" customHeight="1">
      <c r="A586" t="s">
        <v>1391</v>
      </c>
      <c r="B586" t="s">
        <v>1436</v>
      </c>
      <c r="C586" t="s">
        <v>1439</v>
      </c>
      <c r="D586" s="516">
        <v>84200602</v>
      </c>
      <c r="E586" t="s">
        <v>869</v>
      </c>
      <c r="F586" s="514">
        <v>2294759.1</v>
      </c>
      <c r="G586" s="514">
        <v>680441.13</v>
      </c>
      <c r="H586" s="437" t="str">
        <f>VLOOKUP(D586,'COA LTD'!A:F,3,0)</f>
        <v>PL</v>
      </c>
      <c r="I586" s="437" t="str">
        <f>VLOOKUP(D586,'COA LTD'!A:F,4,0)</f>
        <v>General and administrative expenses</v>
      </c>
      <c r="J586" s="437" t="str">
        <f>VLOOKUP(D586,'COA LTD'!A:F,5,0)</f>
        <v>Allocation</v>
      </c>
      <c r="K586" s="439">
        <f t="shared" si="9"/>
        <v>3.3724579523874461</v>
      </c>
      <c r="L586" s="437"/>
      <c r="M586" s="437"/>
      <c r="N586" s="437"/>
      <c r="O586" s="437"/>
      <c r="P586" s="437"/>
      <c r="Q586" s="437"/>
      <c r="R586" s="437"/>
      <c r="S586" s="437"/>
      <c r="T586" s="437"/>
      <c r="U586" s="437"/>
      <c r="V586" s="437"/>
      <c r="W586" s="437"/>
      <c r="X586" s="437"/>
      <c r="Y586" s="437"/>
      <c r="Z586" s="437"/>
    </row>
    <row r="587" spans="1:26" ht="15.75" customHeight="1">
      <c r="A587" t="s">
        <v>1391</v>
      </c>
      <c r="B587" t="s">
        <v>1436</v>
      </c>
      <c r="C587" t="s">
        <v>1439</v>
      </c>
      <c r="D587" s="516">
        <v>84200603</v>
      </c>
      <c r="E587" t="s">
        <v>870</v>
      </c>
      <c r="F587" s="514">
        <v>355144.86</v>
      </c>
      <c r="G587" s="514">
        <v>106479.67</v>
      </c>
      <c r="H587" s="437" t="str">
        <f>VLOOKUP(D587,'COA LTD'!A:F,3,0)</f>
        <v>PL</v>
      </c>
      <c r="I587" s="437" t="str">
        <f>VLOOKUP(D587,'COA LTD'!A:F,4,0)</f>
        <v>General and administrative expenses</v>
      </c>
      <c r="J587" s="437" t="str">
        <f>VLOOKUP(D587,'COA LTD'!A:F,5,0)</f>
        <v>Allocation</v>
      </c>
      <c r="K587" s="439">
        <f t="shared" si="9"/>
        <v>3.3353302090436605</v>
      </c>
      <c r="L587" s="437"/>
      <c r="M587" s="437"/>
      <c r="N587" s="437"/>
      <c r="O587" s="437"/>
      <c r="P587" s="437"/>
      <c r="Q587" s="437"/>
      <c r="R587" s="437"/>
      <c r="S587" s="437"/>
      <c r="T587" s="437"/>
      <c r="U587" s="437"/>
      <c r="V587" s="437"/>
      <c r="W587" s="437"/>
      <c r="X587" s="437"/>
      <c r="Y587" s="437"/>
      <c r="Z587" s="437"/>
    </row>
    <row r="588" spans="1:26" ht="15.75" customHeight="1">
      <c r="A588" t="s">
        <v>1391</v>
      </c>
      <c r="B588" t="s">
        <v>1436</v>
      </c>
      <c r="C588" t="s">
        <v>1439</v>
      </c>
      <c r="D588" s="516">
        <v>84200604</v>
      </c>
      <c r="E588" t="s">
        <v>871</v>
      </c>
      <c r="F588" s="514">
        <v>2078132.37</v>
      </c>
      <c r="G588" s="514">
        <v>615669.02</v>
      </c>
      <c r="H588" s="437" t="str">
        <f>VLOOKUP(D588,'COA LTD'!A:F,3,0)</f>
        <v>PL</v>
      </c>
      <c r="I588" s="437" t="str">
        <f>VLOOKUP(D588,'COA LTD'!A:F,4,0)</f>
        <v>General and administrative expenses</v>
      </c>
      <c r="J588" s="437" t="str">
        <f>VLOOKUP(D588,'COA LTD'!A:F,5,0)</f>
        <v>Allocation</v>
      </c>
      <c r="K588" s="439">
        <f t="shared" si="9"/>
        <v>3.3754051324524985</v>
      </c>
      <c r="L588" s="437"/>
      <c r="M588" s="437"/>
      <c r="N588" s="437"/>
      <c r="O588" s="437"/>
      <c r="P588" s="437"/>
      <c r="Q588" s="437"/>
      <c r="R588" s="437"/>
      <c r="S588" s="437"/>
      <c r="T588" s="437"/>
      <c r="U588" s="437"/>
      <c r="V588" s="437"/>
      <c r="W588" s="437"/>
      <c r="X588" s="437"/>
      <c r="Y588" s="437"/>
      <c r="Z588" s="437"/>
    </row>
    <row r="589" spans="1:26" ht="15.75" customHeight="1">
      <c r="A589" t="s">
        <v>1391</v>
      </c>
      <c r="B589" t="s">
        <v>1436</v>
      </c>
      <c r="C589" t="s">
        <v>1439</v>
      </c>
      <c r="D589" s="516">
        <v>84200605</v>
      </c>
      <c r="E589" t="s">
        <v>872</v>
      </c>
      <c r="F589" s="514">
        <v>76939.320000000007</v>
      </c>
      <c r="G589" s="514">
        <v>23043.91</v>
      </c>
      <c r="H589" s="437" t="str">
        <f>VLOOKUP(D589,'COA LTD'!A:F,3,0)</f>
        <v>PL</v>
      </c>
      <c r="I589" s="437" t="str">
        <f>VLOOKUP(D589,'COA LTD'!A:F,4,0)</f>
        <v>General and administrative expenses</v>
      </c>
      <c r="J589" s="437" t="str">
        <f>VLOOKUP(D589,'COA LTD'!A:F,5,0)</f>
        <v>Allocation</v>
      </c>
      <c r="K589" s="439">
        <f t="shared" si="9"/>
        <v>3.3388135954358442</v>
      </c>
      <c r="L589" s="437"/>
      <c r="M589" s="437"/>
      <c r="N589" s="437"/>
      <c r="O589" s="437"/>
      <c r="P589" s="437"/>
      <c r="Q589" s="437"/>
      <c r="R589" s="437"/>
      <c r="S589" s="437"/>
      <c r="T589" s="437"/>
      <c r="U589" s="437"/>
      <c r="V589" s="437"/>
      <c r="W589" s="437"/>
      <c r="X589" s="437"/>
      <c r="Y589" s="437"/>
      <c r="Z589" s="437"/>
    </row>
    <row r="590" spans="1:26" ht="15.75" customHeight="1">
      <c r="A590" t="s">
        <v>1391</v>
      </c>
      <c r="B590" t="s">
        <v>1436</v>
      </c>
      <c r="C590" t="s">
        <v>1439</v>
      </c>
      <c r="D590" s="516">
        <v>84200606</v>
      </c>
      <c r="E590" t="s">
        <v>873</v>
      </c>
      <c r="F590" s="514">
        <v>0</v>
      </c>
      <c r="G590" s="514">
        <v>83.07</v>
      </c>
      <c r="H590" s="437" t="str">
        <f>VLOOKUP(D590,'COA LTD'!A:F,3,0)</f>
        <v>PL</v>
      </c>
      <c r="I590" s="437" t="str">
        <f>VLOOKUP(D590,'COA LTD'!A:F,4,0)</f>
        <v>General and administrative expenses</v>
      </c>
      <c r="J590" s="437" t="str">
        <f>VLOOKUP(D590,'COA LTD'!A:F,5,0)</f>
        <v>Allocation</v>
      </c>
      <c r="K590" s="439">
        <f t="shared" si="9"/>
        <v>0</v>
      </c>
      <c r="L590" s="437"/>
      <c r="M590" s="437"/>
      <c r="N590" s="437"/>
      <c r="O590" s="437"/>
      <c r="P590" s="437"/>
      <c r="Q590" s="437"/>
      <c r="R590" s="437"/>
      <c r="S590" s="437"/>
      <c r="T590" s="437"/>
      <c r="U590" s="437"/>
      <c r="V590" s="437"/>
      <c r="W590" s="437"/>
      <c r="X590" s="437"/>
      <c r="Y590" s="437"/>
      <c r="Z590" s="437"/>
    </row>
    <row r="591" spans="1:26" ht="15.75" customHeight="1">
      <c r="A591" t="s">
        <v>1391</v>
      </c>
      <c r="B591" t="s">
        <v>1436</v>
      </c>
      <c r="C591" t="s">
        <v>1440</v>
      </c>
      <c r="D591" s="516">
        <v>84200802</v>
      </c>
      <c r="E591" t="s">
        <v>874</v>
      </c>
      <c r="F591" s="514">
        <v>130011.11</v>
      </c>
      <c r="G591" s="514">
        <v>40001.71</v>
      </c>
      <c r="H591" s="437" t="str">
        <f>VLOOKUP(D591,'COA LTD'!A:F,3,0)</f>
        <v>PL</v>
      </c>
      <c r="I591" s="437" t="str">
        <f>VLOOKUP(D591,'COA LTD'!A:F,4,0)</f>
        <v>General and administrative expenses</v>
      </c>
      <c r="J591" s="437" t="str">
        <f>VLOOKUP(D591,'COA LTD'!A:F,5,0)</f>
        <v>Allocation</v>
      </c>
      <c r="K591" s="439">
        <f t="shared" si="9"/>
        <v>3.2501388065660195</v>
      </c>
      <c r="L591" s="437"/>
      <c r="M591" s="437"/>
      <c r="N591" s="437"/>
      <c r="O591" s="437"/>
      <c r="P591" s="437"/>
      <c r="Q591" s="437"/>
      <c r="R591" s="437"/>
      <c r="S591" s="437"/>
      <c r="T591" s="437"/>
      <c r="U591" s="437"/>
      <c r="V591" s="437"/>
      <c r="W591" s="437"/>
      <c r="X591" s="437"/>
      <c r="Y591" s="437"/>
      <c r="Z591" s="437"/>
    </row>
    <row r="592" spans="1:26" ht="15.75" customHeight="1">
      <c r="A592" t="s">
        <v>1391</v>
      </c>
      <c r="B592" t="s">
        <v>1441</v>
      </c>
      <c r="C592" t="s">
        <v>1582</v>
      </c>
      <c r="D592" s="516">
        <v>85200207</v>
      </c>
      <c r="E592" t="s">
        <v>1581</v>
      </c>
      <c r="F592" s="514">
        <v>-17203.09</v>
      </c>
      <c r="G592" s="514">
        <v>-4959.09</v>
      </c>
      <c r="H592" s="437" t="str">
        <f>VLOOKUP(D592,'COA LTD'!A:F,3,0)</f>
        <v>PL</v>
      </c>
      <c r="I592" s="437" t="str">
        <f>VLOOKUP(D592,'COA LTD'!A:F,4,0)</f>
        <v>General and administrative expenses</v>
      </c>
      <c r="J592" s="437" t="str">
        <f>VLOOKUP(D592,'COA LTD'!A:F,5,0)</f>
        <v>Allocation</v>
      </c>
      <c r="K592" s="439">
        <f t="shared" si="9"/>
        <v>3.4690013692028172</v>
      </c>
      <c r="L592" s="437"/>
      <c r="M592" s="437"/>
      <c r="N592" s="437"/>
      <c r="O592" s="437"/>
      <c r="P592" s="437"/>
      <c r="Q592" s="437"/>
      <c r="R592" s="437"/>
      <c r="S592" s="437"/>
      <c r="T592" s="437"/>
      <c r="U592" s="437"/>
      <c r="V592" s="437"/>
      <c r="W592" s="437"/>
      <c r="X592" s="437"/>
      <c r="Y592" s="437"/>
      <c r="Z592" s="437"/>
    </row>
    <row r="593" spans="1:26" ht="15.75" customHeight="1">
      <c r="A593" t="s">
        <v>1391</v>
      </c>
      <c r="B593" t="s">
        <v>1441</v>
      </c>
      <c r="C593" t="s">
        <v>1442</v>
      </c>
      <c r="D593" s="516">
        <v>85200401</v>
      </c>
      <c r="E593" t="s">
        <v>860</v>
      </c>
      <c r="F593" s="514">
        <v>-2708634.26</v>
      </c>
      <c r="G593" s="514">
        <v>-777216.66</v>
      </c>
      <c r="H593" s="437" t="str">
        <f>VLOOKUP(D593,'COA LTD'!A:F,3,0)</f>
        <v>PL</v>
      </c>
      <c r="I593" s="437" t="str">
        <f>VLOOKUP(D593,'COA LTD'!A:F,4,0)</f>
        <v>General and administrative expenses</v>
      </c>
      <c r="J593" s="437" t="str">
        <f>VLOOKUP(D593,'COA LTD'!A:F,5,0)</f>
        <v>Allocation</v>
      </c>
      <c r="K593" s="439">
        <f t="shared" si="9"/>
        <v>3.4850440030454308</v>
      </c>
      <c r="L593" s="437"/>
      <c r="M593" s="437"/>
      <c r="N593" s="437"/>
      <c r="O593" s="437"/>
      <c r="P593" s="437"/>
      <c r="Q593" s="437"/>
      <c r="R593" s="437"/>
      <c r="S593" s="437"/>
      <c r="T593" s="437"/>
      <c r="U593" s="437"/>
      <c r="V593" s="437"/>
      <c r="W593" s="437"/>
      <c r="X593" s="437"/>
      <c r="Y593" s="437"/>
      <c r="Z593" s="437"/>
    </row>
    <row r="594" spans="1:26" ht="15.75" customHeight="1">
      <c r="A594" t="s">
        <v>1391</v>
      </c>
      <c r="B594" t="s">
        <v>1441</v>
      </c>
      <c r="C594" t="s">
        <v>1442</v>
      </c>
      <c r="D594" s="516">
        <v>85200402</v>
      </c>
      <c r="E594" t="s">
        <v>862</v>
      </c>
      <c r="F594" s="514">
        <v>-664813.55000000005</v>
      </c>
      <c r="G594" s="514">
        <v>-193594.67</v>
      </c>
      <c r="H594" s="437" t="str">
        <f>VLOOKUP(D594,'COA LTD'!A:F,3,0)</f>
        <v>PL</v>
      </c>
      <c r="I594" s="437" t="str">
        <f>VLOOKUP(D594,'COA LTD'!A:F,4,0)</f>
        <v>General and administrative expenses</v>
      </c>
      <c r="J594" s="437" t="str">
        <f>VLOOKUP(D594,'COA LTD'!A:F,5,0)</f>
        <v>Allocation</v>
      </c>
      <c r="K594" s="439">
        <f t="shared" si="9"/>
        <v>3.4340488299600396</v>
      </c>
      <c r="L594" s="437"/>
      <c r="M594" s="437"/>
      <c r="N594" s="437"/>
      <c r="O594" s="437"/>
      <c r="P594" s="437"/>
      <c r="Q594" s="437"/>
      <c r="R594" s="437"/>
      <c r="S594" s="437"/>
      <c r="T594" s="437"/>
      <c r="U594" s="437"/>
      <c r="V594" s="437"/>
      <c r="W594" s="437"/>
      <c r="X594" s="437"/>
      <c r="Y594" s="437"/>
      <c r="Z594" s="437"/>
    </row>
    <row r="595" spans="1:26" ht="15.75" customHeight="1">
      <c r="A595" t="s">
        <v>1391</v>
      </c>
      <c r="B595" t="s">
        <v>1441</v>
      </c>
      <c r="C595" t="s">
        <v>1442</v>
      </c>
      <c r="D595" s="516">
        <v>85200403</v>
      </c>
      <c r="E595" t="s">
        <v>1065</v>
      </c>
      <c r="F595" s="514">
        <v>-10580.7</v>
      </c>
      <c r="G595" s="514">
        <v>-3042.58</v>
      </c>
      <c r="H595" s="437" t="str">
        <f>VLOOKUP(D595,'COA LTD'!A:F,3,0)</f>
        <v>PL</v>
      </c>
      <c r="I595" s="437" t="str">
        <f>VLOOKUP(D595,'COA LTD'!A:F,4,0)</f>
        <v>General and administrative expenses</v>
      </c>
      <c r="J595" s="437" t="str">
        <f>VLOOKUP(D595,'COA LTD'!A:F,5,0)</f>
        <v>Allocation</v>
      </c>
      <c r="K595" s="439">
        <f t="shared" si="9"/>
        <v>3.477542085992809</v>
      </c>
      <c r="L595" s="437"/>
      <c r="M595" s="437"/>
      <c r="N595" s="437"/>
      <c r="O595" s="437"/>
      <c r="P595" s="437"/>
      <c r="Q595" s="437"/>
      <c r="R595" s="437"/>
      <c r="S595" s="437"/>
      <c r="T595" s="437"/>
      <c r="U595" s="437"/>
      <c r="V595" s="437"/>
      <c r="W595" s="437"/>
      <c r="X595" s="437"/>
      <c r="Y595" s="437"/>
      <c r="Z595" s="437"/>
    </row>
    <row r="596" spans="1:26" ht="15.75" customHeight="1">
      <c r="A596" t="s">
        <v>1391</v>
      </c>
      <c r="B596" t="s">
        <v>1441</v>
      </c>
      <c r="C596" t="s">
        <v>1442</v>
      </c>
      <c r="D596" s="516">
        <v>85200404</v>
      </c>
      <c r="E596" t="s">
        <v>913</v>
      </c>
      <c r="F596" s="514">
        <v>-120690.5</v>
      </c>
      <c r="G596" s="514">
        <v>-34746.620000000003</v>
      </c>
      <c r="H596" s="437" t="str">
        <f>VLOOKUP(D596,'COA LTD'!A:F,3,0)</f>
        <v>PL</v>
      </c>
      <c r="I596" s="437" t="str">
        <f>VLOOKUP(D596,'COA LTD'!A:F,4,0)</f>
        <v>General and administrative expenses</v>
      </c>
      <c r="J596" s="437" t="str">
        <f>VLOOKUP(D596,'COA LTD'!A:F,5,0)</f>
        <v>Allocation</v>
      </c>
      <c r="K596" s="439">
        <f t="shared" si="9"/>
        <v>3.4734457624943085</v>
      </c>
      <c r="L596" s="437"/>
      <c r="M596" s="437"/>
      <c r="N596" s="437"/>
      <c r="O596" s="437"/>
      <c r="P596" s="437"/>
      <c r="Q596" s="437"/>
      <c r="R596" s="437"/>
      <c r="S596" s="437"/>
      <c r="T596" s="437"/>
      <c r="U596" s="437"/>
      <c r="V596" s="437"/>
      <c r="W596" s="437"/>
      <c r="X596" s="437"/>
      <c r="Y596" s="437"/>
      <c r="Z596" s="437"/>
    </row>
    <row r="597" spans="1:26" ht="15.75" customHeight="1">
      <c r="A597" t="s">
        <v>1391</v>
      </c>
      <c r="B597" t="s">
        <v>1441</v>
      </c>
      <c r="C597" t="s">
        <v>1442</v>
      </c>
      <c r="D597" s="516">
        <v>85200405</v>
      </c>
      <c r="E597" t="s">
        <v>1251</v>
      </c>
      <c r="F597" s="514">
        <v>-150912.01</v>
      </c>
      <c r="G597" s="514">
        <v>-43612.84</v>
      </c>
      <c r="H597" s="437" t="str">
        <f>VLOOKUP(D597,'COA LTD'!A:F,3,0)</f>
        <v>PL</v>
      </c>
      <c r="I597" s="437" t="str">
        <f>VLOOKUP(D597,'COA LTD'!A:F,4,0)</f>
        <v>General and administrative expenses</v>
      </c>
      <c r="J597" s="437" t="str">
        <f>VLOOKUP(D597,'COA LTD'!A:F,5,0)</f>
        <v>Allocation</v>
      </c>
      <c r="K597" s="439">
        <f t="shared" si="9"/>
        <v>3.4602656006809007</v>
      </c>
      <c r="L597" s="437"/>
      <c r="M597" s="437"/>
      <c r="N597" s="437"/>
      <c r="O597" s="437"/>
      <c r="P597" s="437"/>
      <c r="Q597" s="437"/>
      <c r="R597" s="437"/>
      <c r="S597" s="437"/>
      <c r="T597" s="437"/>
      <c r="U597" s="437"/>
      <c r="V597" s="437"/>
      <c r="W597" s="437"/>
      <c r="X597" s="437"/>
      <c r="Y597" s="437"/>
      <c r="Z597" s="437"/>
    </row>
    <row r="598" spans="1:26" ht="15.75" customHeight="1">
      <c r="A598" t="s">
        <v>1391</v>
      </c>
      <c r="B598" t="s">
        <v>1441</v>
      </c>
      <c r="C598" t="s">
        <v>1442</v>
      </c>
      <c r="D598" s="516">
        <v>85200406</v>
      </c>
      <c r="E598" t="s">
        <v>863</v>
      </c>
      <c r="F598" s="514">
        <v>-172290.41</v>
      </c>
      <c r="G598" s="514">
        <v>-50687.199999999997</v>
      </c>
      <c r="H598" s="437" t="str">
        <f>VLOOKUP(D598,'COA LTD'!A:F,3,0)</f>
        <v>PL</v>
      </c>
      <c r="I598" s="437" t="str">
        <f>VLOOKUP(D598,'COA LTD'!A:F,4,0)</f>
        <v>General and administrative expenses</v>
      </c>
      <c r="J598" s="437" t="str">
        <f>VLOOKUP(D598,'COA LTD'!A:F,5,0)</f>
        <v>Allocation</v>
      </c>
      <c r="K598" s="439">
        <f t="shared" si="9"/>
        <v>3.3990910920311244</v>
      </c>
      <c r="L598" s="437"/>
      <c r="M598" s="437"/>
      <c r="N598" s="437"/>
      <c r="O598" s="437"/>
      <c r="P598" s="437"/>
      <c r="Q598" s="437"/>
      <c r="R598" s="437"/>
      <c r="S598" s="437"/>
      <c r="T598" s="437"/>
      <c r="U598" s="437"/>
      <c r="V598" s="437"/>
      <c r="W598" s="437"/>
      <c r="X598" s="437"/>
      <c r="Y598" s="437"/>
      <c r="Z598" s="437"/>
    </row>
    <row r="599" spans="1:26" ht="15.75" customHeight="1">
      <c r="A599" t="s">
        <v>1391</v>
      </c>
      <c r="B599" t="s">
        <v>1441</v>
      </c>
      <c r="C599" t="s">
        <v>1442</v>
      </c>
      <c r="D599" s="516">
        <v>85200407</v>
      </c>
      <c r="E599" t="s">
        <v>914</v>
      </c>
      <c r="F599" s="514">
        <v>-988942.27</v>
      </c>
      <c r="G599" s="514">
        <v>-288990.99</v>
      </c>
      <c r="H599" s="437" t="str">
        <f>VLOOKUP(D599,'COA LTD'!A:F,3,0)</f>
        <v>PL</v>
      </c>
      <c r="I599" s="437" t="str">
        <f>VLOOKUP(D599,'COA LTD'!A:F,4,0)</f>
        <v>General and administrative expenses</v>
      </c>
      <c r="J599" s="437" t="str">
        <f>VLOOKUP(D599,'COA LTD'!A:F,5,0)</f>
        <v>Allocation</v>
      </c>
      <c r="K599" s="439">
        <f t="shared" si="9"/>
        <v>3.4220522584458433</v>
      </c>
      <c r="L599" s="437"/>
      <c r="M599" s="437"/>
      <c r="N599" s="437"/>
      <c r="O599" s="437"/>
      <c r="P599" s="437"/>
      <c r="Q599" s="437"/>
      <c r="R599" s="437"/>
      <c r="S599" s="437"/>
      <c r="T599" s="437"/>
      <c r="U599" s="437"/>
      <c r="V599" s="437"/>
      <c r="W599" s="437"/>
      <c r="X599" s="437"/>
      <c r="Y599" s="437"/>
      <c r="Z599" s="437"/>
    </row>
    <row r="600" spans="1:26" ht="15.75" customHeight="1">
      <c r="A600" t="s">
        <v>1391</v>
      </c>
      <c r="B600" t="s">
        <v>1441</v>
      </c>
      <c r="C600" t="s">
        <v>1442</v>
      </c>
      <c r="D600" s="516">
        <v>85200408</v>
      </c>
      <c r="E600" t="s">
        <v>915</v>
      </c>
      <c r="F600" s="514">
        <v>-561879.68000000005</v>
      </c>
      <c r="G600" s="514">
        <v>-163420.51</v>
      </c>
      <c r="H600" s="437" t="str">
        <f>VLOOKUP(D600,'COA LTD'!A:F,3,0)</f>
        <v>PL</v>
      </c>
      <c r="I600" s="437" t="str">
        <f>VLOOKUP(D600,'COA LTD'!A:F,4,0)</f>
        <v>General and administrative expenses</v>
      </c>
      <c r="J600" s="437" t="str">
        <f>VLOOKUP(D600,'COA LTD'!A:F,5,0)</f>
        <v>Allocation</v>
      </c>
      <c r="K600" s="439">
        <f t="shared" si="9"/>
        <v>3.4382445630600467</v>
      </c>
      <c r="L600" s="437"/>
      <c r="M600" s="437"/>
      <c r="N600" s="437"/>
      <c r="O600" s="437"/>
      <c r="P600" s="437"/>
      <c r="Q600" s="437"/>
      <c r="R600" s="437"/>
      <c r="S600" s="437"/>
      <c r="T600" s="437"/>
      <c r="U600" s="437"/>
      <c r="V600" s="437"/>
      <c r="W600" s="437"/>
      <c r="X600" s="437"/>
      <c r="Y600" s="437"/>
      <c r="Z600" s="437"/>
    </row>
    <row r="601" spans="1:26" ht="15.75" customHeight="1">
      <c r="A601" t="s">
        <v>1391</v>
      </c>
      <c r="B601" t="s">
        <v>1441</v>
      </c>
      <c r="C601" t="s">
        <v>1442</v>
      </c>
      <c r="D601" s="516">
        <v>85200409</v>
      </c>
      <c r="E601" t="s">
        <v>916</v>
      </c>
      <c r="F601" s="514">
        <v>-67863.64</v>
      </c>
      <c r="G601" s="514">
        <v>-19911.080000000002</v>
      </c>
      <c r="H601" s="437" t="str">
        <f>VLOOKUP(D601,'COA LTD'!A:F,3,0)</f>
        <v>PL</v>
      </c>
      <c r="I601" s="437" t="str">
        <f>VLOOKUP(D601,'COA LTD'!A:F,4,0)</f>
        <v>General and administrative expenses</v>
      </c>
      <c r="J601" s="437" t="str">
        <f>VLOOKUP(D601,'COA LTD'!A:F,5,0)</f>
        <v>Allocation</v>
      </c>
      <c r="K601" s="439">
        <f t="shared" si="9"/>
        <v>3.4083354594527266</v>
      </c>
      <c r="L601" s="437"/>
      <c r="M601" s="437"/>
      <c r="N601" s="437"/>
      <c r="O601" s="437"/>
      <c r="P601" s="437"/>
      <c r="Q601" s="437"/>
      <c r="R601" s="437"/>
      <c r="S601" s="437"/>
      <c r="T601" s="437"/>
      <c r="U601" s="437"/>
      <c r="V601" s="437"/>
      <c r="W601" s="437"/>
      <c r="X601" s="437"/>
      <c r="Y601" s="437"/>
      <c r="Z601" s="437"/>
    </row>
    <row r="602" spans="1:26" ht="15.75" customHeight="1">
      <c r="A602" t="s">
        <v>1391</v>
      </c>
      <c r="B602" t="s">
        <v>1441</v>
      </c>
      <c r="C602" t="s">
        <v>1442</v>
      </c>
      <c r="D602" s="516">
        <v>85200410</v>
      </c>
      <c r="E602" t="s">
        <v>1109</v>
      </c>
      <c r="F602" s="514">
        <v>-5274.41</v>
      </c>
      <c r="G602" s="514">
        <v>-1538.72</v>
      </c>
      <c r="H602" s="437" t="str">
        <f>VLOOKUP(D602,'COA LTD'!A:F,3,0)</f>
        <v>PL</v>
      </c>
      <c r="I602" s="437" t="str">
        <f>VLOOKUP(D602,'COA LTD'!A:F,4,0)</f>
        <v>General and administrative expenses</v>
      </c>
      <c r="J602" s="437" t="str">
        <f>VLOOKUP(D602,'COA LTD'!A:F,5,0)</f>
        <v>Allocation</v>
      </c>
      <c r="K602" s="439">
        <f t="shared" si="9"/>
        <v>3.4277906311739628</v>
      </c>
      <c r="L602" s="437"/>
      <c r="M602" s="437"/>
      <c r="N602" s="437"/>
      <c r="O602" s="437"/>
      <c r="P602" s="437"/>
      <c r="Q602" s="437"/>
      <c r="R602" s="437"/>
      <c r="S602" s="437"/>
      <c r="T602" s="437"/>
      <c r="U602" s="437"/>
      <c r="V602" s="437"/>
      <c r="W602" s="437"/>
      <c r="X602" s="437"/>
      <c r="Y602" s="437"/>
      <c r="Z602" s="437"/>
    </row>
    <row r="603" spans="1:26" ht="15.75" customHeight="1">
      <c r="A603" t="s">
        <v>1391</v>
      </c>
      <c r="B603" t="s">
        <v>1441</v>
      </c>
      <c r="C603" t="s">
        <v>1442</v>
      </c>
      <c r="D603" s="516">
        <v>85200412</v>
      </c>
      <c r="E603" t="s">
        <v>1616</v>
      </c>
      <c r="F603" s="514">
        <v>-82070.080000000002</v>
      </c>
      <c r="G603" s="514">
        <v>-23692.29</v>
      </c>
      <c r="H603" s="437" t="str">
        <f>VLOOKUP(D603,'COA LTD'!A:F,3,0)</f>
        <v>PL</v>
      </c>
      <c r="I603" s="437" t="str">
        <f>VLOOKUP(D603,'COA LTD'!A:F,4,0)</f>
        <v>General and administrative expenses</v>
      </c>
      <c r="J603" s="437" t="str">
        <f>VLOOKUP(D603,'COA LTD'!A:F,5,0)</f>
        <v>Allocation</v>
      </c>
      <c r="K603" s="439">
        <f t="shared" ref="K603:K604" si="10">F603/G603</f>
        <v>3.4639994698697341</v>
      </c>
      <c r="L603" s="437"/>
      <c r="M603" s="437"/>
      <c r="N603" s="437"/>
      <c r="O603" s="437"/>
      <c r="P603" s="437"/>
      <c r="Q603" s="437"/>
      <c r="R603" s="437"/>
      <c r="S603" s="437"/>
      <c r="T603" s="437"/>
      <c r="U603" s="437"/>
      <c r="V603" s="437"/>
      <c r="W603" s="437"/>
      <c r="X603" s="437"/>
      <c r="Y603" s="437"/>
      <c r="Z603" s="437"/>
    </row>
    <row r="604" spans="1:26" ht="15.75" customHeight="1">
      <c r="A604" t="s">
        <v>1391</v>
      </c>
      <c r="B604" t="s">
        <v>1441</v>
      </c>
      <c r="C604" t="s">
        <v>1443</v>
      </c>
      <c r="D604" s="516">
        <v>85200501</v>
      </c>
      <c r="E604" t="s">
        <v>864</v>
      </c>
      <c r="F604" s="514">
        <v>-4111.8900000000003</v>
      </c>
      <c r="G604" s="514">
        <v>-1178.74</v>
      </c>
      <c r="H604" s="437" t="str">
        <f>VLOOKUP(D604,'COA LTD'!A:F,3,0)</f>
        <v>PL</v>
      </c>
      <c r="I604" s="437" t="str">
        <f>VLOOKUP(D604,'COA LTD'!A:F,4,0)</f>
        <v>General and administrative expenses</v>
      </c>
      <c r="J604" s="437" t="str">
        <f>VLOOKUP(D604,'COA LTD'!A:F,5,0)</f>
        <v>Allocation</v>
      </c>
      <c r="K604" s="439">
        <f t="shared" si="10"/>
        <v>3.4883774199569033</v>
      </c>
      <c r="L604" s="437"/>
      <c r="M604" s="437"/>
      <c r="N604" s="437"/>
      <c r="O604" s="437"/>
      <c r="P604" s="437"/>
      <c r="Q604" s="437"/>
      <c r="R604" s="437"/>
      <c r="S604" s="437"/>
      <c r="T604" s="437"/>
      <c r="U604" s="437"/>
      <c r="V604" s="437"/>
      <c r="W604" s="437"/>
      <c r="X604" s="437"/>
      <c r="Y604" s="437"/>
      <c r="Z604" s="437"/>
    </row>
    <row r="605" spans="1:26" ht="15.75" customHeight="1">
      <c r="A605" t="s">
        <v>1391</v>
      </c>
      <c r="B605" t="s">
        <v>1441</v>
      </c>
      <c r="C605" t="s">
        <v>1443</v>
      </c>
      <c r="D605" s="516">
        <v>85200502</v>
      </c>
      <c r="E605" t="s">
        <v>865</v>
      </c>
      <c r="F605" s="514">
        <v>-601809.13</v>
      </c>
      <c r="G605" s="514">
        <v>-185047.14</v>
      </c>
      <c r="H605" s="437" t="str">
        <f>VLOOKUP(D605,'COA LTD'!A:F,3,0)</f>
        <v>PL</v>
      </c>
      <c r="I605" s="437" t="str">
        <f>VLOOKUP(D605,'COA LTD'!A:F,4,0)</f>
        <v>General and administrative expenses</v>
      </c>
      <c r="J605" s="437" t="str">
        <f>VLOOKUP(D605,'COA LTD'!A:F,5,0)</f>
        <v>Allocation</v>
      </c>
      <c r="K605" s="439">
        <f t="shared" ref="K605:K606" si="11">F605/G605</f>
        <v>3.2521936302284917</v>
      </c>
      <c r="L605" s="437"/>
      <c r="M605" s="437"/>
      <c r="N605" s="437"/>
      <c r="O605" s="437"/>
      <c r="P605" s="437"/>
      <c r="Q605" s="437"/>
      <c r="R605" s="437"/>
      <c r="S605" s="437"/>
      <c r="T605" s="437"/>
      <c r="U605" s="437"/>
      <c r="V605" s="437"/>
      <c r="W605" s="437"/>
      <c r="X605" s="437"/>
      <c r="Y605" s="437"/>
      <c r="Z605" s="437"/>
    </row>
    <row r="606" spans="1:26" ht="15.75" customHeight="1">
      <c r="A606" t="s">
        <v>1391</v>
      </c>
      <c r="B606" t="s">
        <v>1441</v>
      </c>
      <c r="C606" t="s">
        <v>1443</v>
      </c>
      <c r="D606" s="516">
        <v>85200503</v>
      </c>
      <c r="E606" t="s">
        <v>866</v>
      </c>
      <c r="F606" s="514">
        <v>-27523.040000000001</v>
      </c>
      <c r="G606" s="514">
        <v>-8349.82</v>
      </c>
      <c r="H606" s="437" t="str">
        <f>VLOOKUP(D606,'COA LTD'!A:F,3,0)</f>
        <v>PL</v>
      </c>
      <c r="I606" s="437" t="str">
        <f>VLOOKUP(D606,'COA LTD'!A:F,4,0)</f>
        <v>General and administrative expenses</v>
      </c>
      <c r="J606" s="437" t="str">
        <f>VLOOKUP(D606,'COA LTD'!A:F,5,0)</f>
        <v>Allocation</v>
      </c>
      <c r="K606" s="439">
        <f t="shared" si="11"/>
        <v>3.2962435118361837</v>
      </c>
      <c r="L606" s="437"/>
      <c r="M606" s="437"/>
      <c r="N606" s="437"/>
      <c r="O606" s="437"/>
      <c r="P606" s="437"/>
      <c r="Q606" s="437"/>
      <c r="R606" s="437"/>
      <c r="S606" s="437"/>
      <c r="T606" s="437"/>
      <c r="U606" s="437"/>
      <c r="V606" s="437"/>
      <c r="W606" s="437"/>
      <c r="X606" s="437"/>
      <c r="Y606" s="437"/>
      <c r="Z606" s="437"/>
    </row>
    <row r="607" spans="1:26" ht="15.75" customHeight="1">
      <c r="A607" t="s">
        <v>1391</v>
      </c>
      <c r="B607" t="s">
        <v>1441</v>
      </c>
      <c r="C607" t="s">
        <v>1443</v>
      </c>
      <c r="D607" s="516">
        <v>85200504</v>
      </c>
      <c r="E607" t="s">
        <v>867</v>
      </c>
      <c r="F607" s="514">
        <v>-53178.81</v>
      </c>
      <c r="G607" s="514">
        <v>-16048.23</v>
      </c>
      <c r="H607" s="437" t="str">
        <f>VLOOKUP(D607,'COA LTD'!A:F,3,0)</f>
        <v>PL</v>
      </c>
      <c r="I607" s="437" t="str">
        <f>VLOOKUP(D607,'COA LTD'!A:F,4,0)</f>
        <v>General and administrative expenses</v>
      </c>
      <c r="J607" s="437" t="str">
        <f>VLOOKUP(D607,'COA LTD'!A:F,5,0)</f>
        <v>Allocation</v>
      </c>
      <c r="K607" s="439">
        <f t="shared" ref="K607:K609" si="12">F607/G607</f>
        <v>3.3136869299605003</v>
      </c>
      <c r="L607" s="437"/>
      <c r="M607" s="437"/>
      <c r="N607" s="437"/>
      <c r="O607" s="437"/>
      <c r="P607" s="437"/>
      <c r="Q607" s="437"/>
      <c r="R607" s="437"/>
      <c r="S607" s="437"/>
      <c r="T607" s="437"/>
      <c r="U607" s="437"/>
      <c r="V607" s="437"/>
      <c r="W607" s="437"/>
      <c r="X607" s="437"/>
      <c r="Y607" s="437"/>
      <c r="Z607" s="437"/>
    </row>
    <row r="608" spans="1:26" ht="15.75" customHeight="1">
      <c r="A608" t="s">
        <v>1391</v>
      </c>
      <c r="B608" t="s">
        <v>1441</v>
      </c>
      <c r="C608" t="s">
        <v>1443</v>
      </c>
      <c r="D608" s="516">
        <v>85200505</v>
      </c>
      <c r="E608" t="s">
        <v>868</v>
      </c>
      <c r="F608" s="514">
        <v>-20232.72</v>
      </c>
      <c r="G608" s="514">
        <v>-6164.89</v>
      </c>
      <c r="H608" s="437" t="str">
        <f>VLOOKUP(D608,'COA LTD'!A:F,3,0)</f>
        <v>PL</v>
      </c>
      <c r="I608" s="437" t="str">
        <f>VLOOKUP(D608,'COA LTD'!A:F,4,0)</f>
        <v>General and administrative expenses</v>
      </c>
      <c r="J608" s="437" t="str">
        <f>VLOOKUP(D608,'COA LTD'!A:F,5,0)</f>
        <v>Allocation</v>
      </c>
      <c r="K608" s="439">
        <f t="shared" si="12"/>
        <v>3.2819271714499365</v>
      </c>
      <c r="L608" s="437"/>
      <c r="M608" s="437"/>
      <c r="N608" s="437"/>
      <c r="O608" s="437"/>
      <c r="P608" s="437"/>
      <c r="Q608" s="437"/>
      <c r="R608" s="437"/>
      <c r="S608" s="437"/>
      <c r="T608" s="437"/>
      <c r="U608" s="437"/>
      <c r="V608" s="437"/>
      <c r="W608" s="437"/>
      <c r="X608" s="437"/>
      <c r="Y608" s="437"/>
      <c r="Z608" s="437"/>
    </row>
    <row r="609" spans="1:26" ht="15.75" customHeight="1">
      <c r="A609" t="s">
        <v>1391</v>
      </c>
      <c r="B609" t="s">
        <v>1441</v>
      </c>
      <c r="C609" t="s">
        <v>1444</v>
      </c>
      <c r="D609" s="516">
        <v>85200602</v>
      </c>
      <c r="E609" t="s">
        <v>869</v>
      </c>
      <c r="F609" s="514">
        <v>-2292159.1</v>
      </c>
      <c r="G609" s="514">
        <v>-679657.29</v>
      </c>
      <c r="H609" s="437" t="str">
        <f>VLOOKUP(D609,'COA LTD'!A:F,3,0)</f>
        <v>PL</v>
      </c>
      <c r="I609" s="437" t="str">
        <f>VLOOKUP(D609,'COA LTD'!A:F,4,0)</f>
        <v>General and administrative expenses</v>
      </c>
      <c r="J609" s="437" t="str">
        <f>VLOOKUP(D609,'COA LTD'!A:F,5,0)</f>
        <v>Allocation</v>
      </c>
      <c r="K609" s="439">
        <f t="shared" si="12"/>
        <v>3.3725219073277355</v>
      </c>
      <c r="L609" s="437"/>
      <c r="M609" s="437"/>
      <c r="N609" s="437"/>
      <c r="O609" s="437"/>
      <c r="P609" s="437"/>
      <c r="Q609" s="437"/>
      <c r="R609" s="437"/>
      <c r="S609" s="437"/>
      <c r="T609" s="437"/>
      <c r="U609" s="437"/>
      <c r="V609" s="437"/>
      <c r="W609" s="437"/>
      <c r="X609" s="437"/>
      <c r="Y609" s="437"/>
      <c r="Z609" s="437"/>
    </row>
    <row r="610" spans="1:26" ht="15.75" customHeight="1">
      <c r="A610" t="s">
        <v>1391</v>
      </c>
      <c r="B610" t="s">
        <v>1441</v>
      </c>
      <c r="C610" t="s">
        <v>1444</v>
      </c>
      <c r="D610" s="516">
        <v>85200603</v>
      </c>
      <c r="E610" t="s">
        <v>870</v>
      </c>
      <c r="F610" s="514">
        <v>-357744.91</v>
      </c>
      <c r="G610" s="514">
        <v>-107263.97</v>
      </c>
      <c r="H610" s="437" t="str">
        <f>VLOOKUP(D610,'COA LTD'!A:F,3,0)</f>
        <v>PL</v>
      </c>
      <c r="I610" s="437" t="str">
        <f>VLOOKUP(D610,'COA LTD'!A:F,4,0)</f>
        <v>General and administrative expenses</v>
      </c>
      <c r="J610" s="437" t="str">
        <f>VLOOKUP(D610,'COA LTD'!A:F,5,0)</f>
        <v>Allocation</v>
      </c>
      <c r="K610" s="439">
        <f t="shared" ref="K610:K612" si="13">F610/G610</f>
        <v>3.3351824475637062</v>
      </c>
      <c r="L610" s="437"/>
      <c r="M610" s="437"/>
      <c r="N610" s="437"/>
      <c r="O610" s="437"/>
      <c r="P610" s="437"/>
      <c r="Q610" s="437"/>
      <c r="R610" s="437"/>
      <c r="S610" s="437"/>
      <c r="T610" s="437"/>
      <c r="U610" s="437"/>
      <c r="V610" s="437"/>
      <c r="W610" s="437"/>
      <c r="X610" s="437"/>
      <c r="Y610" s="437"/>
      <c r="Z610" s="437"/>
    </row>
    <row r="611" spans="1:26" ht="15.75" customHeight="1">
      <c r="A611" t="s">
        <v>1391</v>
      </c>
      <c r="B611" t="s">
        <v>1441</v>
      </c>
      <c r="C611" t="s">
        <v>1444</v>
      </c>
      <c r="D611" s="516">
        <v>85200604</v>
      </c>
      <c r="E611" t="s">
        <v>871</v>
      </c>
      <c r="F611" s="514">
        <v>-2078132.37</v>
      </c>
      <c r="G611" s="514">
        <v>-615669.02</v>
      </c>
      <c r="H611" s="437" t="str">
        <f>VLOOKUP(D611,'COA LTD'!A:F,3,0)</f>
        <v>PL</v>
      </c>
      <c r="I611" s="437" t="str">
        <f>VLOOKUP(D611,'COA LTD'!A:F,4,0)</f>
        <v>General and administrative expenses</v>
      </c>
      <c r="J611" s="437" t="str">
        <f>VLOOKUP(D611,'COA LTD'!A:F,5,0)</f>
        <v>Allocation</v>
      </c>
      <c r="K611" s="439">
        <f t="shared" si="13"/>
        <v>3.3754051324524985</v>
      </c>
      <c r="L611" s="437"/>
      <c r="M611" s="437"/>
      <c r="N611" s="437"/>
      <c r="O611" s="437"/>
      <c r="P611" s="437"/>
      <c r="Q611" s="437"/>
      <c r="R611" s="437"/>
      <c r="S611" s="437"/>
      <c r="T611" s="437"/>
      <c r="U611" s="437"/>
      <c r="V611" s="437"/>
      <c r="W611" s="437"/>
      <c r="X611" s="437"/>
      <c r="Y611" s="437"/>
      <c r="Z611" s="437"/>
    </row>
    <row r="612" spans="1:26" ht="15.75" customHeight="1">
      <c r="A612" t="s">
        <v>1391</v>
      </c>
      <c r="B612" t="s">
        <v>1441</v>
      </c>
      <c r="C612" t="s">
        <v>1444</v>
      </c>
      <c r="D612" s="516">
        <v>85200605</v>
      </c>
      <c r="E612" t="s">
        <v>872</v>
      </c>
      <c r="F612" s="514">
        <v>-76938.3</v>
      </c>
      <c r="G612" s="514">
        <v>-21284.03</v>
      </c>
      <c r="H612" s="437" t="str">
        <f>VLOOKUP(D612,'COA LTD'!A:F,3,0)</f>
        <v>PL</v>
      </c>
      <c r="I612" s="437" t="str">
        <f>VLOOKUP(D612,'COA LTD'!A:F,4,0)</f>
        <v>General and administrative expenses</v>
      </c>
      <c r="J612" s="437" t="str">
        <f>VLOOKUP(D612,'COA LTD'!A:F,5,0)</f>
        <v>Allocation</v>
      </c>
      <c r="K612" s="439">
        <f t="shared" si="13"/>
        <v>3.6148370397899274</v>
      </c>
      <c r="L612" s="437"/>
      <c r="M612" s="437"/>
      <c r="N612" s="437"/>
      <c r="O612" s="437"/>
      <c r="P612" s="437"/>
      <c r="Q612" s="437"/>
      <c r="R612" s="437"/>
      <c r="S612" s="437"/>
      <c r="T612" s="437"/>
      <c r="U612" s="437"/>
      <c r="V612" s="437"/>
      <c r="W612" s="437"/>
      <c r="X612" s="437"/>
      <c r="Y612" s="437"/>
      <c r="Z612" s="437"/>
    </row>
    <row r="613" spans="1:26" ht="15.75" customHeight="1">
      <c r="A613" t="s">
        <v>1391</v>
      </c>
      <c r="B613" t="s">
        <v>1441</v>
      </c>
      <c r="C613" t="s">
        <v>1445</v>
      </c>
      <c r="D613" s="516">
        <v>85200802</v>
      </c>
      <c r="E613" t="s">
        <v>874</v>
      </c>
      <c r="F613" s="514">
        <v>-130011.11</v>
      </c>
      <c r="G613" s="514">
        <v>-40001.71</v>
      </c>
      <c r="H613" s="437" t="str">
        <f>VLOOKUP(D613,'COA LTD'!A:F,3,0)</f>
        <v>PL</v>
      </c>
      <c r="I613" s="437" t="str">
        <f>VLOOKUP(D613,'COA LTD'!A:F,4,0)</f>
        <v>General and administrative expenses</v>
      </c>
      <c r="J613" s="437" t="str">
        <f>VLOOKUP(D613,'COA LTD'!A:F,5,0)</f>
        <v>Allocation</v>
      </c>
      <c r="K613" s="439">
        <f t="shared" ref="K613:K623" si="14">F613/G613</f>
        <v>3.2501388065660195</v>
      </c>
      <c r="L613" s="437"/>
      <c r="M613" s="437"/>
      <c r="N613" s="437"/>
      <c r="O613" s="437"/>
      <c r="P613" s="437"/>
      <c r="Q613" s="437"/>
      <c r="R613" s="437"/>
      <c r="S613" s="437"/>
      <c r="T613" s="437"/>
      <c r="U613" s="437"/>
      <c r="V613" s="437"/>
      <c r="W613" s="437"/>
      <c r="X613" s="437"/>
      <c r="Y613" s="437"/>
      <c r="Z613" s="437"/>
    </row>
    <row r="614" spans="1:26" ht="15.75" customHeight="1">
      <c r="A614" t="s">
        <v>1446</v>
      </c>
      <c r="B614" t="s">
        <v>1447</v>
      </c>
      <c r="C614" t="s">
        <v>1448</v>
      </c>
      <c r="D614" s="516">
        <v>60203096</v>
      </c>
      <c r="E614" t="s">
        <v>1738</v>
      </c>
      <c r="F614" s="514">
        <v>-950419</v>
      </c>
      <c r="G614" s="514">
        <v>-270082</v>
      </c>
      <c r="H614" s="437" t="str">
        <f>VLOOKUP(D614,'COA LTD'!A:F,3,0)</f>
        <v>PL</v>
      </c>
      <c r="I614" s="437" t="str">
        <f>VLOOKUP(D614,'COA LTD'!A:F,4,0)</f>
        <v>Financial expenses, net</v>
      </c>
      <c r="J614" s="437" t="str">
        <f>VLOOKUP(D614,'COA LTD'!A:F,5,0)</f>
        <v xml:space="preserve"> Income -interest</v>
      </c>
      <c r="K614" s="439">
        <f t="shared" si="14"/>
        <v>3.5190016365400139</v>
      </c>
      <c r="L614" s="437"/>
      <c r="M614" s="437"/>
      <c r="N614" s="437"/>
      <c r="O614" s="437"/>
      <c r="P614" s="437"/>
      <c r="Q614" s="437"/>
      <c r="R614" s="437"/>
      <c r="S614" s="437"/>
      <c r="T614" s="437"/>
      <c r="U614" s="437"/>
      <c r="V614" s="437"/>
      <c r="W614" s="437"/>
      <c r="X614" s="437"/>
      <c r="Y614" s="437"/>
      <c r="Z614" s="437"/>
    </row>
    <row r="615" spans="1:26" ht="15.75" customHeight="1">
      <c r="A615" t="s">
        <v>1446</v>
      </c>
      <c r="B615" t="s">
        <v>1447</v>
      </c>
      <c r="C615" t="s">
        <v>1448</v>
      </c>
      <c r="D615" s="516">
        <v>90201100</v>
      </c>
      <c r="E615" t="s">
        <v>875</v>
      </c>
      <c r="F615" s="514">
        <v>199212.54</v>
      </c>
      <c r="G615" s="514">
        <v>61321.33</v>
      </c>
      <c r="H615" s="437" t="str">
        <f>VLOOKUP(D615,'COA LTD'!A:F,3,0)</f>
        <v>PL</v>
      </c>
      <c r="I615" s="437" t="str">
        <f>VLOOKUP(D615,'COA LTD'!A:F,4,0)</f>
        <v>Financial expenses, net</v>
      </c>
      <c r="J615" s="437" t="str">
        <f>VLOOKUP(D615,'COA LTD'!A:F,5,0)</f>
        <v>Bank fees</v>
      </c>
      <c r="K615" s="439">
        <f t="shared" si="14"/>
        <v>3.2486663286657351</v>
      </c>
      <c r="L615" s="437"/>
      <c r="M615" s="437"/>
      <c r="N615" s="437"/>
      <c r="O615" s="437"/>
      <c r="P615" s="437"/>
      <c r="Q615" s="437"/>
      <c r="R615" s="437"/>
      <c r="S615" s="437"/>
      <c r="T615" s="437"/>
      <c r="U615" s="437"/>
      <c r="V615" s="437"/>
      <c r="W615" s="437"/>
      <c r="X615" s="437"/>
      <c r="Y615" s="437"/>
      <c r="Z615" s="437"/>
    </row>
    <row r="616" spans="1:26" ht="15.75" customHeight="1">
      <c r="A616" t="s">
        <v>1446</v>
      </c>
      <c r="B616" t="s">
        <v>1447</v>
      </c>
      <c r="C616" t="s">
        <v>1448</v>
      </c>
      <c r="D616" s="516">
        <v>90201101</v>
      </c>
      <c r="E616" t="s">
        <v>1449</v>
      </c>
      <c r="F616" s="514">
        <v>29218.01</v>
      </c>
      <c r="G616" s="514">
        <v>9035.86</v>
      </c>
      <c r="H616" s="437" t="str">
        <f>VLOOKUP(D616,'COA LTD'!A:F,3,0)</f>
        <v>PL</v>
      </c>
      <c r="I616" s="437" t="str">
        <f>VLOOKUP(D616,'COA LTD'!A:F,4,0)</f>
        <v>Financial expenses, net</v>
      </c>
      <c r="J616" s="437" t="str">
        <f>VLOOKUP(D616,'COA LTD'!A:F,5,0)</f>
        <v>Loan interest</v>
      </c>
      <c r="K616" s="439">
        <f t="shared" si="14"/>
        <v>3.2335616089669381</v>
      </c>
      <c r="L616" s="437"/>
      <c r="M616" s="437"/>
      <c r="N616" s="437"/>
      <c r="O616" s="437"/>
      <c r="P616" s="437"/>
      <c r="Q616" s="437"/>
      <c r="R616" s="437"/>
      <c r="S616" s="437"/>
      <c r="T616" s="437"/>
      <c r="U616" s="437"/>
      <c r="V616" s="437"/>
      <c r="W616" s="437"/>
      <c r="X616" s="437"/>
      <c r="Y616" s="437"/>
      <c r="Z616" s="437"/>
    </row>
    <row r="617" spans="1:26" ht="15.75" customHeight="1">
      <c r="A617" t="s">
        <v>1446</v>
      </c>
      <c r="B617" t="s">
        <v>1447</v>
      </c>
      <c r="C617" t="s">
        <v>1448</v>
      </c>
      <c r="D617" s="516">
        <v>90201102</v>
      </c>
      <c r="E617" t="s">
        <v>1450</v>
      </c>
      <c r="F617" s="514">
        <v>38692.85</v>
      </c>
      <c r="G617" s="514">
        <v>11961.75</v>
      </c>
      <c r="H617" s="437" t="str">
        <f>VLOOKUP(D617,'COA LTD'!A:F,3,0)</f>
        <v>PL</v>
      </c>
      <c r="I617" s="437" t="str">
        <f>VLOOKUP(D617,'COA LTD'!A:F,4,0)</f>
        <v>Financial expenses, net</v>
      </c>
      <c r="J617" s="437" t="str">
        <f>VLOOKUP(D617,'COA LTD'!A:F,5,0)</f>
        <v>Loan interest</v>
      </c>
      <c r="K617" s="439">
        <f t="shared" si="14"/>
        <v>3.2347148201559137</v>
      </c>
      <c r="L617" s="437"/>
      <c r="M617" s="437"/>
      <c r="N617" s="437"/>
      <c r="O617" s="437"/>
      <c r="P617" s="437"/>
      <c r="Q617" s="437"/>
      <c r="R617" s="437"/>
      <c r="S617" s="437"/>
      <c r="T617" s="437"/>
      <c r="U617" s="437"/>
      <c r="V617" s="437"/>
      <c r="W617" s="437"/>
      <c r="X617" s="437"/>
      <c r="Y617" s="437"/>
      <c r="Z617" s="437"/>
    </row>
    <row r="618" spans="1:26" ht="15.75" customHeight="1">
      <c r="A618" t="s">
        <v>1446</v>
      </c>
      <c r="B618" t="s">
        <v>1447</v>
      </c>
      <c r="C618" t="s">
        <v>1448</v>
      </c>
      <c r="D618" s="516">
        <v>90201103</v>
      </c>
      <c r="E618" t="s">
        <v>1451</v>
      </c>
      <c r="F618" s="514">
        <v>77776.649999999994</v>
      </c>
      <c r="G618" s="514">
        <v>23986.06</v>
      </c>
      <c r="H618" s="437" t="str">
        <f>VLOOKUP(D618,'COA LTD'!A:F,3,0)</f>
        <v>PL</v>
      </c>
      <c r="I618" s="437" t="str">
        <f>VLOOKUP(D618,'COA LTD'!A:F,4,0)</f>
        <v>Financial expenses, net</v>
      </c>
      <c r="J618" s="437" t="str">
        <f>VLOOKUP(D618,'COA LTD'!A:F,5,0)</f>
        <v>Loan interest</v>
      </c>
      <c r="K618" s="439">
        <f t="shared" si="14"/>
        <v>3.24257714689282</v>
      </c>
      <c r="L618" s="437"/>
      <c r="M618" s="437"/>
      <c r="N618" s="437"/>
      <c r="O618" s="437"/>
      <c r="P618" s="437"/>
      <c r="Q618" s="437"/>
      <c r="R618" s="437"/>
      <c r="S618" s="437"/>
      <c r="T618" s="437"/>
      <c r="U618" s="437"/>
      <c r="V618" s="437"/>
      <c r="W618" s="437"/>
      <c r="X618" s="437"/>
      <c r="Y618" s="437"/>
      <c r="Z618" s="437"/>
    </row>
    <row r="619" spans="1:26" ht="15.75" customHeight="1">
      <c r="A619" t="s">
        <v>1446</v>
      </c>
      <c r="B619" t="s">
        <v>1447</v>
      </c>
      <c r="C619" t="s">
        <v>1448</v>
      </c>
      <c r="D619" s="516">
        <v>90201104</v>
      </c>
      <c r="E619" t="s">
        <v>880</v>
      </c>
      <c r="F619" s="514">
        <v>-6153378.4699999997</v>
      </c>
      <c r="G619" s="514">
        <v>248957.43</v>
      </c>
      <c r="H619" s="437" t="str">
        <f>VLOOKUP(D619,'COA LTD'!A:F,3,0)</f>
        <v>PL</v>
      </c>
      <c r="I619" s="437" t="str">
        <f>VLOOKUP(D619,'COA LTD'!A:F,4,0)</f>
        <v>Financial expenses, net</v>
      </c>
      <c r="J619" s="437" t="str">
        <f>VLOOKUP(D619,'COA LTD'!A:F,5,0)</f>
        <v xml:space="preserve">Exchange rate </v>
      </c>
      <c r="K619" s="439">
        <f t="shared" si="14"/>
        <v>-24.716588976677659</v>
      </c>
      <c r="L619" s="437"/>
      <c r="M619" s="437"/>
      <c r="N619" s="437"/>
      <c r="O619" s="437"/>
      <c r="P619" s="437"/>
      <c r="Q619" s="437"/>
      <c r="R619" s="437"/>
      <c r="S619" s="437"/>
      <c r="T619" s="437"/>
      <c r="U619" s="437"/>
      <c r="V619" s="437"/>
      <c r="W619" s="437"/>
      <c r="X619" s="437"/>
      <c r="Y619" s="437"/>
      <c r="Z619" s="437"/>
    </row>
    <row r="620" spans="1:26" ht="15.75" customHeight="1">
      <c r="A620" t="s">
        <v>1446</v>
      </c>
      <c r="B620" t="s">
        <v>1447</v>
      </c>
      <c r="C620" t="s">
        <v>1448</v>
      </c>
      <c r="D620" s="516">
        <v>90201105</v>
      </c>
      <c r="E620" t="s">
        <v>961</v>
      </c>
      <c r="F620" s="514">
        <v>-559843.67000000004</v>
      </c>
      <c r="G620" s="514">
        <v>-160325.62</v>
      </c>
      <c r="H620" s="437" t="str">
        <f>VLOOKUP(D620,'COA LTD'!A:F,3,0)</f>
        <v>PL</v>
      </c>
      <c r="I620" s="437" t="str">
        <f>VLOOKUP(D620,'COA LTD'!A:F,4,0)</f>
        <v>Financial expenses, net</v>
      </c>
      <c r="J620" s="437" t="str">
        <f>VLOOKUP(D620,'COA LTD'!A:F,5,0)</f>
        <v>Loan interest</v>
      </c>
      <c r="K620" s="439">
        <f t="shared" si="14"/>
        <v>3.4919164510325928</v>
      </c>
      <c r="L620" s="437"/>
      <c r="M620" s="437"/>
      <c r="N620" s="437"/>
      <c r="O620" s="437"/>
      <c r="P620" s="437"/>
      <c r="Q620" s="437"/>
      <c r="R620" s="437"/>
      <c r="S620" s="437"/>
      <c r="T620" s="437"/>
      <c r="U620" s="437"/>
      <c r="V620" s="437"/>
      <c r="W620" s="437"/>
      <c r="X620" s="437"/>
      <c r="Y620" s="437"/>
      <c r="Z620" s="437"/>
    </row>
    <row r="621" spans="1:26" ht="15.75" customHeight="1">
      <c r="A621" t="s">
        <v>1446</v>
      </c>
      <c r="B621" t="s">
        <v>1447</v>
      </c>
      <c r="C621" t="s">
        <v>1448</v>
      </c>
      <c r="D621" s="516">
        <v>90201106</v>
      </c>
      <c r="E621" t="s">
        <v>881</v>
      </c>
      <c r="F621" s="514">
        <v>45.97</v>
      </c>
      <c r="G621" s="514">
        <v>424.11</v>
      </c>
      <c r="H621" s="437" t="str">
        <f>VLOOKUP(D621,'COA LTD'!A:F,3,0)</f>
        <v>PL</v>
      </c>
      <c r="I621" s="437" t="str">
        <f>VLOOKUP(D621,'COA LTD'!A:F,4,0)</f>
        <v>Financial expenses, net</v>
      </c>
      <c r="J621" s="437" t="str">
        <f>VLOOKUP(D621,'COA LTD'!A:F,5,0)</f>
        <v xml:space="preserve">Exchange rate </v>
      </c>
      <c r="K621" s="439">
        <f t="shared" si="14"/>
        <v>0.10839169083492489</v>
      </c>
      <c r="L621" s="437"/>
      <c r="M621" s="437"/>
      <c r="N621" s="437"/>
      <c r="O621" s="437"/>
      <c r="P621" s="437"/>
      <c r="Q621" s="437"/>
      <c r="R621" s="437"/>
      <c r="S621" s="437"/>
      <c r="T621" s="437"/>
      <c r="U621" s="437"/>
      <c r="V621" s="437"/>
      <c r="W621" s="437"/>
      <c r="X621" s="437"/>
      <c r="Y621" s="437"/>
      <c r="Z621" s="437"/>
    </row>
    <row r="622" spans="1:26" ht="15.75" customHeight="1">
      <c r="A622" t="s">
        <v>1446</v>
      </c>
      <c r="B622" t="s">
        <v>1447</v>
      </c>
      <c r="C622" t="s">
        <v>1448</v>
      </c>
      <c r="D622" s="516">
        <v>90201108</v>
      </c>
      <c r="E622" t="s">
        <v>1029</v>
      </c>
      <c r="F622" s="514">
        <v>390175.11</v>
      </c>
      <c r="G622" s="514">
        <v>116888.89</v>
      </c>
      <c r="H622" s="437" t="str">
        <f>VLOOKUP(D622,'COA LTD'!A:F,3,0)</f>
        <v>PL</v>
      </c>
      <c r="I622" s="437" t="str">
        <f>VLOOKUP(D622,'COA LTD'!A:F,4,0)</f>
        <v>Financial expenses, net</v>
      </c>
      <c r="J622" s="437" t="str">
        <f>VLOOKUP(D622,'COA LTD'!A:F,5,0)</f>
        <v xml:space="preserve">Exchange rate </v>
      </c>
      <c r="K622" s="439">
        <f t="shared" si="14"/>
        <v>3.337999958764259</v>
      </c>
      <c r="L622" s="437"/>
      <c r="M622" s="437"/>
      <c r="N622" s="437"/>
      <c r="O622" s="437"/>
      <c r="P622" s="437"/>
      <c r="Q622" s="437"/>
      <c r="R622" s="437"/>
      <c r="S622" s="437"/>
      <c r="T622" s="437"/>
      <c r="U622" s="437"/>
      <c r="V622" s="437"/>
      <c r="W622" s="437"/>
      <c r="X622" s="437"/>
      <c r="Y622" s="437"/>
      <c r="Z622" s="437"/>
    </row>
    <row r="623" spans="1:26" ht="15.75" customHeight="1">
      <c r="A623" t="s">
        <v>1446</v>
      </c>
      <c r="B623" t="s">
        <v>1447</v>
      </c>
      <c r="C623" t="s">
        <v>1448</v>
      </c>
      <c r="D623" s="516">
        <v>90201109</v>
      </c>
      <c r="E623" t="s">
        <v>1162</v>
      </c>
      <c r="F623" s="514">
        <v>-55779.58</v>
      </c>
      <c r="G623" s="514">
        <v>-58702.41</v>
      </c>
      <c r="H623" s="437" t="str">
        <f>VLOOKUP(D623,'COA LTD'!A:F,3,0)</f>
        <v>PL</v>
      </c>
      <c r="I623" s="437" t="str">
        <f>VLOOKUP(D623,'COA LTD'!A:F,4,0)</f>
        <v>Financial expenses, net</v>
      </c>
      <c r="J623" s="437" t="str">
        <f>VLOOKUP(D623,'COA LTD'!A:F,5,0)</f>
        <v xml:space="preserve">Exchange rate </v>
      </c>
      <c r="K623" s="439">
        <f t="shared" si="14"/>
        <v>0.95020936959828395</v>
      </c>
      <c r="L623" s="437"/>
      <c r="M623" s="437"/>
      <c r="N623" s="437"/>
      <c r="O623" s="437"/>
      <c r="P623" s="437"/>
      <c r="Q623" s="437"/>
      <c r="R623" s="437"/>
      <c r="S623" s="437"/>
      <c r="T623" s="437"/>
      <c r="U623" s="437"/>
      <c r="V623" s="437"/>
      <c r="W623" s="437"/>
      <c r="X623" s="437"/>
      <c r="Y623" s="437"/>
      <c r="Z623" s="437"/>
    </row>
    <row r="624" spans="1:26" ht="15.75" customHeight="1">
      <c r="H624" s="437"/>
      <c r="I624" s="437"/>
      <c r="J624" s="437"/>
      <c r="K624" s="439"/>
      <c r="L624" s="437"/>
      <c r="M624" s="437"/>
      <c r="N624" s="437"/>
      <c r="O624" s="437"/>
      <c r="P624" s="437"/>
      <c r="Q624" s="437"/>
      <c r="R624" s="437"/>
      <c r="S624" s="437"/>
      <c r="T624" s="437"/>
      <c r="U624" s="437"/>
      <c r="V624" s="437"/>
      <c r="W624" s="437"/>
      <c r="X624" s="437"/>
      <c r="Y624" s="437"/>
      <c r="Z624" s="437"/>
    </row>
    <row r="625" spans="8:26" ht="15.75" customHeight="1">
      <c r="H625" s="437"/>
      <c r="I625" s="437"/>
      <c r="J625" s="437"/>
      <c r="K625" s="439"/>
      <c r="L625" s="437"/>
      <c r="M625" s="437"/>
      <c r="N625" s="437"/>
      <c r="O625" s="437"/>
      <c r="P625" s="437"/>
      <c r="Q625" s="437"/>
      <c r="R625" s="437"/>
      <c r="S625" s="437"/>
      <c r="T625" s="437"/>
      <c r="U625" s="437"/>
      <c r="V625" s="437"/>
      <c r="W625" s="437"/>
      <c r="X625" s="437"/>
      <c r="Y625" s="437"/>
      <c r="Z625" s="437"/>
    </row>
    <row r="626" spans="8:26" ht="15.75" customHeight="1">
      <c r="H626" s="437"/>
      <c r="I626" s="437"/>
      <c r="J626" s="437"/>
      <c r="K626" s="439"/>
      <c r="L626" s="437"/>
      <c r="M626" s="437"/>
      <c r="N626" s="437"/>
      <c r="O626" s="437"/>
      <c r="P626" s="437"/>
      <c r="Q626" s="437"/>
      <c r="R626" s="437"/>
      <c r="S626" s="437"/>
      <c r="T626" s="437"/>
      <c r="U626" s="437"/>
      <c r="V626" s="437"/>
      <c r="W626" s="437"/>
      <c r="X626" s="437"/>
      <c r="Y626" s="437"/>
      <c r="Z626" s="437"/>
    </row>
    <row r="627" spans="8:26" ht="15.75" customHeight="1">
      <c r="H627" s="437"/>
      <c r="I627" s="437"/>
      <c r="J627" s="437"/>
      <c r="K627" s="439"/>
      <c r="L627" s="437"/>
      <c r="M627" s="437"/>
      <c r="N627" s="437"/>
      <c r="O627" s="437"/>
      <c r="P627" s="437"/>
      <c r="Q627" s="437"/>
      <c r="R627" s="437"/>
      <c r="S627" s="437"/>
      <c r="T627" s="437"/>
      <c r="U627" s="437"/>
      <c r="V627" s="437"/>
      <c r="W627" s="437"/>
      <c r="X627" s="437"/>
      <c r="Y627" s="437"/>
      <c r="Z627" s="437"/>
    </row>
    <row r="628" spans="8:26" ht="15.75" customHeight="1">
      <c r="H628" s="437"/>
      <c r="I628" s="437"/>
      <c r="J628" s="437"/>
      <c r="K628" s="439"/>
      <c r="L628" s="437"/>
      <c r="M628" s="437"/>
      <c r="N628" s="437"/>
      <c r="O628" s="437"/>
      <c r="P628" s="437"/>
      <c r="Q628" s="437"/>
      <c r="R628" s="437"/>
      <c r="S628" s="437"/>
      <c r="T628" s="437"/>
      <c r="U628" s="437"/>
      <c r="V628" s="437"/>
      <c r="W628" s="437"/>
      <c r="X628" s="437"/>
      <c r="Y628" s="437"/>
      <c r="Z628" s="437"/>
    </row>
    <row r="629" spans="8:26" ht="15.75" customHeight="1">
      <c r="H629" s="437"/>
      <c r="I629" s="437"/>
      <c r="J629" s="437"/>
      <c r="K629" s="439"/>
      <c r="L629" s="437"/>
      <c r="M629" s="437"/>
      <c r="N629" s="437"/>
      <c r="O629" s="437"/>
      <c r="P629" s="437"/>
      <c r="Q629" s="437"/>
      <c r="R629" s="437"/>
      <c r="S629" s="437"/>
      <c r="T629" s="437"/>
      <c r="U629" s="437"/>
      <c r="V629" s="437"/>
      <c r="W629" s="437"/>
      <c r="X629" s="437"/>
      <c r="Y629" s="437"/>
      <c r="Z629" s="437"/>
    </row>
    <row r="630" spans="8:26" ht="15.75" customHeight="1">
      <c r="H630" s="437"/>
      <c r="I630" s="437"/>
      <c r="J630" s="437"/>
      <c r="K630" s="439"/>
      <c r="L630" s="437"/>
      <c r="M630" s="437"/>
      <c r="N630" s="437"/>
      <c r="O630" s="437"/>
      <c r="P630" s="437"/>
      <c r="Q630" s="437"/>
      <c r="R630" s="437"/>
      <c r="S630" s="437"/>
      <c r="T630" s="437"/>
      <c r="U630" s="437"/>
      <c r="V630" s="437"/>
      <c r="W630" s="437"/>
      <c r="X630" s="437"/>
      <c r="Y630" s="437"/>
      <c r="Z630" s="437"/>
    </row>
    <row r="631" spans="8:26" ht="15.75" customHeight="1">
      <c r="H631" s="437"/>
      <c r="I631" s="257"/>
      <c r="J631" s="437"/>
      <c r="K631" s="439"/>
      <c r="L631" s="437"/>
      <c r="M631" s="437"/>
      <c r="N631" s="437"/>
      <c r="O631" s="437"/>
      <c r="P631" s="437"/>
      <c r="Q631" s="437"/>
      <c r="R631" s="437"/>
      <c r="S631" s="437"/>
      <c r="T631" s="437"/>
      <c r="U631" s="437"/>
      <c r="V631" s="437"/>
      <c r="W631" s="437"/>
      <c r="X631" s="437"/>
      <c r="Y631" s="437"/>
      <c r="Z631" s="437"/>
    </row>
    <row r="632" spans="8:26" ht="15.75" customHeight="1">
      <c r="H632" s="437"/>
      <c r="I632" s="668"/>
      <c r="J632" s="437"/>
      <c r="K632" s="439"/>
      <c r="L632" s="437"/>
      <c r="M632" s="437"/>
      <c r="N632" s="437"/>
      <c r="O632" s="437"/>
      <c r="P632" s="437"/>
      <c r="Q632" s="437"/>
      <c r="R632" s="437"/>
      <c r="S632" s="437"/>
      <c r="T632" s="437"/>
      <c r="U632" s="437"/>
      <c r="V632" s="437"/>
      <c r="W632" s="437"/>
      <c r="X632" s="437"/>
      <c r="Y632" s="437"/>
      <c r="Z632" s="437"/>
    </row>
    <row r="633" spans="8:26" ht="15.75" customHeight="1">
      <c r="H633" s="437"/>
      <c r="I633" s="86"/>
      <c r="J633" s="437"/>
      <c r="K633" s="439"/>
      <c r="L633" s="437"/>
      <c r="M633" s="437"/>
      <c r="N633" s="437"/>
      <c r="O633" s="437"/>
      <c r="P633" s="437"/>
      <c r="Q633" s="437"/>
      <c r="R633" s="437"/>
      <c r="S633" s="437"/>
      <c r="T633" s="437"/>
      <c r="U633" s="437"/>
      <c r="V633" s="437"/>
      <c r="W633" s="437"/>
      <c r="X633" s="437"/>
      <c r="Y633" s="437"/>
      <c r="Z633" s="437"/>
    </row>
    <row r="634" spans="8:26" ht="15.75" customHeight="1">
      <c r="H634" s="437"/>
      <c r="I634" s="437"/>
      <c r="J634" s="437"/>
      <c r="K634" s="439"/>
      <c r="L634" s="437"/>
      <c r="M634" s="437"/>
      <c r="N634" s="437"/>
      <c r="O634" s="437"/>
      <c r="P634" s="437"/>
      <c r="Q634" s="437"/>
      <c r="R634" s="437"/>
      <c r="S634" s="437"/>
      <c r="T634" s="437"/>
      <c r="U634" s="437"/>
      <c r="V634" s="437"/>
      <c r="W634" s="437"/>
      <c r="X634" s="437"/>
      <c r="Y634" s="437"/>
      <c r="Z634" s="437"/>
    </row>
    <row r="635" spans="8:26" ht="15.75" customHeight="1">
      <c r="H635" s="437"/>
      <c r="I635" s="437"/>
      <c r="J635" s="437"/>
      <c r="K635" s="439"/>
      <c r="L635" s="437"/>
      <c r="M635" s="437"/>
      <c r="N635" s="437"/>
      <c r="O635" s="437"/>
      <c r="P635" s="437"/>
      <c r="Q635" s="437"/>
      <c r="R635" s="437"/>
      <c r="S635" s="437"/>
      <c r="T635" s="437"/>
      <c r="U635" s="437"/>
      <c r="V635" s="437"/>
      <c r="W635" s="437"/>
      <c r="X635" s="437"/>
      <c r="Y635" s="437"/>
      <c r="Z635" s="437"/>
    </row>
    <row r="636" spans="8:26" ht="15.75" customHeight="1">
      <c r="H636" s="437"/>
      <c r="I636" s="437"/>
      <c r="J636" s="437"/>
      <c r="K636" s="439"/>
      <c r="L636" s="437"/>
      <c r="M636" s="437"/>
      <c r="N636" s="437"/>
      <c r="O636" s="437"/>
      <c r="P636" s="437"/>
      <c r="Q636" s="437"/>
      <c r="R636" s="437"/>
      <c r="S636" s="437"/>
      <c r="T636" s="437"/>
      <c r="U636" s="437"/>
      <c r="V636" s="437"/>
      <c r="W636" s="437"/>
      <c r="X636" s="437"/>
      <c r="Y636" s="437"/>
      <c r="Z636" s="437"/>
    </row>
    <row r="637" spans="8:26" ht="15.75" customHeight="1">
      <c r="H637" s="437"/>
      <c r="I637" s="437"/>
      <c r="J637" s="437"/>
      <c r="K637" s="439"/>
      <c r="L637" s="437"/>
      <c r="M637" s="437"/>
      <c r="N637" s="437"/>
      <c r="O637" s="437"/>
      <c r="P637" s="437"/>
      <c r="Q637" s="437"/>
      <c r="R637" s="437"/>
      <c r="S637" s="437"/>
      <c r="T637" s="437"/>
      <c r="U637" s="437"/>
      <c r="V637" s="437"/>
      <c r="W637" s="437"/>
      <c r="X637" s="437"/>
      <c r="Y637" s="437"/>
      <c r="Z637" s="437"/>
    </row>
    <row r="638" spans="8:26" ht="15.75" customHeight="1">
      <c r="H638" s="437"/>
      <c r="I638" s="437"/>
      <c r="J638" s="437"/>
      <c r="K638" s="439"/>
      <c r="L638" s="437"/>
      <c r="M638" s="437"/>
      <c r="N638" s="437"/>
      <c r="O638" s="437"/>
      <c r="P638" s="437"/>
      <c r="Q638" s="437"/>
      <c r="R638" s="437"/>
      <c r="S638" s="437"/>
      <c r="T638" s="437"/>
      <c r="U638" s="437"/>
      <c r="V638" s="437"/>
      <c r="W638" s="437"/>
      <c r="X638" s="437"/>
      <c r="Y638" s="437"/>
      <c r="Z638" s="437"/>
    </row>
    <row r="639" spans="8:26" ht="15.75" customHeight="1">
      <c r="H639" s="437"/>
      <c r="I639" s="437"/>
      <c r="J639" s="437"/>
      <c r="K639" s="439"/>
      <c r="L639" s="437"/>
      <c r="M639" s="437"/>
      <c r="N639" s="437"/>
      <c r="O639" s="437"/>
      <c r="P639" s="437"/>
      <c r="Q639" s="437"/>
      <c r="R639" s="437"/>
      <c r="S639" s="437"/>
      <c r="T639" s="437"/>
      <c r="U639" s="437"/>
      <c r="V639" s="437"/>
      <c r="W639" s="437"/>
      <c r="X639" s="437"/>
      <c r="Y639" s="437"/>
      <c r="Z639" s="437"/>
    </row>
    <row r="640" spans="8:26" ht="15.75" customHeight="1">
      <c r="H640" s="437"/>
      <c r="I640" s="437"/>
      <c r="J640" s="437"/>
      <c r="K640" s="439"/>
      <c r="L640" s="437"/>
      <c r="M640" s="437"/>
      <c r="N640" s="437"/>
      <c r="O640" s="437"/>
      <c r="P640" s="437"/>
      <c r="Q640" s="437"/>
      <c r="R640" s="437"/>
      <c r="S640" s="437"/>
      <c r="T640" s="437"/>
      <c r="U640" s="437"/>
      <c r="V640" s="437"/>
      <c r="W640" s="437"/>
      <c r="X640" s="437"/>
      <c r="Y640" s="437"/>
      <c r="Z640" s="437"/>
    </row>
    <row r="641" spans="8:26" ht="15.75" customHeight="1">
      <c r="H641" s="437"/>
      <c r="I641" s="437"/>
      <c r="J641" s="437"/>
      <c r="K641" s="439"/>
      <c r="L641" s="437"/>
      <c r="M641" s="437"/>
      <c r="N641" s="437"/>
      <c r="O641" s="437"/>
      <c r="P641" s="437"/>
      <c r="Q641" s="437"/>
      <c r="R641" s="437"/>
      <c r="S641" s="437"/>
      <c r="T641" s="437"/>
      <c r="U641" s="437"/>
      <c r="V641" s="437"/>
      <c r="W641" s="437"/>
      <c r="X641" s="437"/>
      <c r="Y641" s="437"/>
      <c r="Z641" s="437"/>
    </row>
    <row r="642" spans="8:26" ht="15.75" customHeight="1">
      <c r="H642" s="437"/>
      <c r="I642" s="437"/>
      <c r="J642" s="437"/>
      <c r="K642" s="439"/>
      <c r="L642" s="437"/>
      <c r="M642" s="437"/>
      <c r="N642" s="437"/>
      <c r="O642" s="437"/>
      <c r="P642" s="437"/>
      <c r="Q642" s="437"/>
      <c r="R642" s="437"/>
      <c r="S642" s="437"/>
      <c r="T642" s="437"/>
      <c r="U642" s="437"/>
      <c r="V642" s="437"/>
      <c r="W642" s="437"/>
      <c r="X642" s="437"/>
      <c r="Y642" s="437"/>
      <c r="Z642" s="437"/>
    </row>
    <row r="643" spans="8:26" ht="15.75" customHeight="1">
      <c r="H643" s="437"/>
      <c r="I643" s="437"/>
      <c r="J643" s="437"/>
      <c r="K643" s="439"/>
      <c r="L643" s="437"/>
      <c r="M643" s="437"/>
      <c r="N643" s="437"/>
      <c r="O643" s="437"/>
      <c r="P643" s="437"/>
      <c r="Q643" s="437"/>
      <c r="R643" s="437"/>
      <c r="S643" s="437"/>
      <c r="T643" s="437"/>
      <c r="U643" s="437"/>
      <c r="V643" s="437"/>
      <c r="W643" s="437"/>
      <c r="X643" s="437"/>
      <c r="Y643" s="437"/>
      <c r="Z643" s="437"/>
    </row>
    <row r="644" spans="8:26" ht="15.75" customHeight="1">
      <c r="H644" s="437"/>
      <c r="I644" s="437"/>
      <c r="J644" s="437"/>
      <c r="K644" s="439"/>
      <c r="L644" s="437"/>
      <c r="M644" s="437"/>
      <c r="N644" s="437"/>
      <c r="O644" s="437"/>
      <c r="P644" s="437"/>
      <c r="Q644" s="437"/>
      <c r="R644" s="437"/>
      <c r="S644" s="437"/>
      <c r="T644" s="437"/>
      <c r="U644" s="437"/>
      <c r="V644" s="437"/>
      <c r="W644" s="437"/>
      <c r="X644" s="437"/>
      <c r="Y644" s="437"/>
      <c r="Z644" s="437"/>
    </row>
    <row r="645" spans="8:26" ht="15.75" customHeight="1">
      <c r="H645" s="437"/>
      <c r="I645" s="437"/>
      <c r="J645" s="437"/>
      <c r="K645" s="439"/>
      <c r="L645" s="437"/>
      <c r="M645" s="437"/>
      <c r="N645" s="437"/>
      <c r="O645" s="437"/>
      <c r="P645" s="437"/>
      <c r="Q645" s="437"/>
      <c r="R645" s="437"/>
      <c r="S645" s="437"/>
      <c r="T645" s="437"/>
      <c r="U645" s="437"/>
      <c r="V645" s="437"/>
      <c r="W645" s="437"/>
      <c r="X645" s="437"/>
      <c r="Y645" s="437"/>
      <c r="Z645" s="437"/>
    </row>
    <row r="646" spans="8:26" ht="15.75" customHeight="1">
      <c r="H646" s="437"/>
      <c r="I646" s="437"/>
      <c r="J646" s="437"/>
      <c r="K646" s="439"/>
      <c r="L646" s="437"/>
      <c r="M646" s="437"/>
      <c r="N646" s="437"/>
      <c r="O646" s="437"/>
      <c r="P646" s="437"/>
      <c r="Q646" s="437"/>
      <c r="R646" s="437"/>
      <c r="S646" s="437"/>
      <c r="T646" s="437"/>
      <c r="U646" s="437"/>
      <c r="V646" s="437"/>
      <c r="W646" s="437"/>
      <c r="X646" s="437"/>
      <c r="Y646" s="437"/>
      <c r="Z646" s="437"/>
    </row>
    <row r="647" spans="8:26" ht="15.75" customHeight="1">
      <c r="H647" s="437"/>
      <c r="I647" s="437"/>
      <c r="J647" s="437"/>
      <c r="K647" s="439"/>
      <c r="L647" s="437"/>
      <c r="M647" s="437"/>
      <c r="N647" s="437"/>
      <c r="O647" s="437"/>
      <c r="P647" s="437"/>
      <c r="Q647" s="437"/>
      <c r="R647" s="437"/>
      <c r="S647" s="437"/>
      <c r="T647" s="437"/>
      <c r="U647" s="437"/>
      <c r="V647" s="437"/>
      <c r="W647" s="437"/>
      <c r="X647" s="437"/>
      <c r="Y647" s="437"/>
      <c r="Z647" s="437"/>
    </row>
    <row r="648" spans="8:26" ht="15.75" customHeight="1">
      <c r="H648" s="437"/>
      <c r="I648" s="437"/>
      <c r="J648" s="437"/>
      <c r="K648" s="439"/>
      <c r="L648" s="437"/>
      <c r="M648" s="437"/>
      <c r="N648" s="437"/>
      <c r="O648" s="437"/>
      <c r="P648" s="437"/>
      <c r="Q648" s="437"/>
      <c r="R648" s="437"/>
      <c r="S648" s="437"/>
      <c r="T648" s="437"/>
      <c r="U648" s="437"/>
      <c r="V648" s="437"/>
      <c r="W648" s="437"/>
      <c r="X648" s="437"/>
      <c r="Y648" s="437"/>
      <c r="Z648" s="437"/>
    </row>
    <row r="649" spans="8:26" ht="15.75" customHeight="1">
      <c r="H649" s="437"/>
      <c r="I649" s="437"/>
      <c r="J649" s="437"/>
      <c r="K649" s="439"/>
      <c r="L649" s="437"/>
      <c r="M649" s="437"/>
      <c r="N649" s="437"/>
      <c r="O649" s="437"/>
      <c r="P649" s="437"/>
      <c r="Q649" s="437"/>
      <c r="R649" s="437"/>
      <c r="S649" s="437"/>
      <c r="T649" s="437"/>
      <c r="U649" s="437"/>
      <c r="V649" s="437"/>
      <c r="W649" s="437"/>
      <c r="X649" s="437"/>
      <c r="Y649" s="437"/>
      <c r="Z649" s="437"/>
    </row>
    <row r="650" spans="8:26" ht="15.75" customHeight="1">
      <c r="H650" s="437"/>
      <c r="I650" s="437"/>
      <c r="J650" s="437"/>
      <c r="K650" s="439"/>
      <c r="L650" s="437"/>
      <c r="M650" s="437"/>
      <c r="N650" s="437"/>
      <c r="O650" s="437"/>
      <c r="P650" s="437"/>
      <c r="Q650" s="437"/>
      <c r="R650" s="437"/>
      <c r="S650" s="437"/>
      <c r="T650" s="437"/>
      <c r="U650" s="437"/>
      <c r="V650" s="437"/>
      <c r="W650" s="437"/>
      <c r="X650" s="437"/>
      <c r="Y650" s="437"/>
      <c r="Z650" s="437"/>
    </row>
    <row r="651" spans="8:26" ht="15.75" customHeight="1">
      <c r="H651" s="437"/>
      <c r="I651" s="437"/>
      <c r="J651" s="437"/>
      <c r="K651" s="439"/>
      <c r="L651" s="437"/>
      <c r="M651" s="437"/>
      <c r="N651" s="437"/>
      <c r="O651" s="437"/>
      <c r="P651" s="437"/>
      <c r="Q651" s="437"/>
      <c r="R651" s="437"/>
      <c r="S651" s="437"/>
      <c r="T651" s="437"/>
      <c r="U651" s="437"/>
      <c r="V651" s="437"/>
      <c r="W651" s="437"/>
      <c r="X651" s="437"/>
      <c r="Y651" s="437"/>
      <c r="Z651" s="437"/>
    </row>
    <row r="652" spans="8:26" ht="15.75" customHeight="1">
      <c r="H652" s="437"/>
      <c r="I652" s="437"/>
      <c r="J652" s="437"/>
      <c r="K652" s="439"/>
      <c r="L652" s="437"/>
      <c r="M652" s="437"/>
      <c r="N652" s="437"/>
      <c r="O652" s="437"/>
      <c r="P652" s="437"/>
      <c r="Q652" s="437"/>
      <c r="R652" s="437"/>
      <c r="S652" s="437"/>
      <c r="T652" s="437"/>
      <c r="U652" s="437"/>
      <c r="V652" s="437"/>
      <c r="W652" s="437"/>
      <c r="X652" s="437"/>
      <c r="Y652" s="437"/>
      <c r="Z652" s="437"/>
    </row>
    <row r="653" spans="8:26" ht="15.75" customHeight="1">
      <c r="H653" s="437"/>
      <c r="I653" s="437"/>
      <c r="J653" s="437"/>
      <c r="K653" s="439"/>
      <c r="L653" s="437"/>
      <c r="M653" s="437"/>
      <c r="N653" s="437"/>
      <c r="O653" s="437"/>
      <c r="P653" s="437"/>
      <c r="Q653" s="437"/>
      <c r="R653" s="437"/>
      <c r="S653" s="437"/>
      <c r="T653" s="437"/>
      <c r="U653" s="437"/>
      <c r="V653" s="437"/>
      <c r="W653" s="437"/>
      <c r="X653" s="437"/>
      <c r="Y653" s="437"/>
      <c r="Z653" s="437"/>
    </row>
    <row r="654" spans="8:26" ht="15.75" customHeight="1">
      <c r="H654" s="437"/>
      <c r="I654" s="437"/>
      <c r="J654" s="437"/>
      <c r="K654" s="439"/>
      <c r="L654" s="437"/>
      <c r="M654" s="437"/>
      <c r="N654" s="437"/>
      <c r="O654" s="437"/>
      <c r="P654" s="437"/>
      <c r="Q654" s="437"/>
      <c r="R654" s="437"/>
      <c r="S654" s="437"/>
      <c r="T654" s="437"/>
      <c r="U654" s="437"/>
      <c r="V654" s="437"/>
      <c r="W654" s="437"/>
      <c r="X654" s="437"/>
      <c r="Y654" s="437"/>
      <c r="Z654" s="437"/>
    </row>
    <row r="655" spans="8:26" ht="15.75" customHeight="1">
      <c r="H655" s="437"/>
      <c r="I655" s="437"/>
      <c r="J655" s="437"/>
      <c r="K655" s="439"/>
      <c r="L655" s="437"/>
      <c r="M655" s="437"/>
      <c r="N655" s="437"/>
      <c r="O655" s="437"/>
      <c r="P655" s="437"/>
      <c r="Q655" s="437"/>
      <c r="R655" s="437"/>
      <c r="S655" s="437"/>
      <c r="T655" s="437"/>
      <c r="U655" s="437"/>
      <c r="V655" s="437"/>
      <c r="W655" s="437"/>
      <c r="X655" s="437"/>
      <c r="Y655" s="437"/>
      <c r="Z655" s="437"/>
    </row>
    <row r="656" spans="8:26" ht="15.75" customHeight="1">
      <c r="H656" s="437"/>
      <c r="I656" s="437"/>
      <c r="J656" s="437"/>
      <c r="K656" s="439"/>
      <c r="L656" s="437"/>
      <c r="M656" s="437"/>
      <c r="N656" s="437"/>
      <c r="O656" s="437"/>
      <c r="P656" s="437"/>
      <c r="Q656" s="437"/>
      <c r="R656" s="437"/>
      <c r="S656" s="437"/>
      <c r="T656" s="437"/>
      <c r="U656" s="437"/>
      <c r="V656" s="437"/>
      <c r="W656" s="437"/>
      <c r="X656" s="437"/>
      <c r="Y656" s="437"/>
      <c r="Z656" s="437"/>
    </row>
    <row r="657" spans="8:26" ht="15.75" customHeight="1">
      <c r="H657" s="437"/>
      <c r="I657" s="437"/>
      <c r="J657" s="437"/>
      <c r="K657" s="439"/>
      <c r="L657" s="437"/>
      <c r="M657" s="437"/>
      <c r="N657" s="437"/>
      <c r="O657" s="437"/>
      <c r="P657" s="437"/>
      <c r="Q657" s="437"/>
      <c r="R657" s="437"/>
      <c r="S657" s="437"/>
      <c r="T657" s="437"/>
      <c r="U657" s="437"/>
      <c r="V657" s="437"/>
      <c r="W657" s="437"/>
      <c r="X657" s="437"/>
      <c r="Y657" s="437"/>
      <c r="Z657" s="437"/>
    </row>
    <row r="658" spans="8:26" ht="15.75" customHeight="1">
      <c r="H658" s="437"/>
      <c r="I658" s="437"/>
      <c r="J658" s="437"/>
      <c r="K658" s="439"/>
      <c r="L658" s="437"/>
      <c r="M658" s="437"/>
      <c r="N658" s="437"/>
      <c r="O658" s="437"/>
      <c r="P658" s="437"/>
      <c r="Q658" s="437"/>
      <c r="R658" s="437"/>
      <c r="S658" s="437"/>
      <c r="T658" s="437"/>
      <c r="U658" s="437"/>
      <c r="V658" s="437"/>
      <c r="W658" s="437"/>
      <c r="X658" s="437"/>
      <c r="Y658" s="437"/>
      <c r="Z658" s="437"/>
    </row>
    <row r="659" spans="8:26" ht="15.75" customHeight="1">
      <c r="H659" s="437"/>
      <c r="I659" s="437"/>
      <c r="J659" s="437"/>
      <c r="K659" s="439"/>
      <c r="L659" s="437"/>
      <c r="M659" s="437"/>
      <c r="N659" s="437"/>
      <c r="O659" s="437"/>
      <c r="P659" s="437"/>
      <c r="Q659" s="437"/>
      <c r="R659" s="437"/>
      <c r="S659" s="437"/>
      <c r="T659" s="437"/>
      <c r="U659" s="437"/>
      <c r="V659" s="437"/>
      <c r="W659" s="437"/>
      <c r="X659" s="437"/>
      <c r="Y659" s="437"/>
      <c r="Z659" s="437"/>
    </row>
    <row r="660" spans="8:26" ht="15.75" customHeight="1">
      <c r="H660" s="437"/>
      <c r="I660" s="437"/>
      <c r="J660" s="437"/>
      <c r="K660" s="439"/>
      <c r="L660" s="437"/>
      <c r="M660" s="437"/>
      <c r="N660" s="437"/>
      <c r="O660" s="437"/>
      <c r="P660" s="437"/>
      <c r="Q660" s="437"/>
      <c r="R660" s="437"/>
      <c r="S660" s="437"/>
      <c r="T660" s="437"/>
      <c r="U660" s="437"/>
      <c r="V660" s="437"/>
      <c r="W660" s="437"/>
      <c r="X660" s="437"/>
      <c r="Y660" s="437"/>
      <c r="Z660" s="437"/>
    </row>
    <row r="661" spans="8:26" ht="15.75" customHeight="1">
      <c r="H661" s="437"/>
      <c r="I661" s="437"/>
      <c r="J661" s="437"/>
      <c r="K661" s="439"/>
      <c r="L661" s="437"/>
      <c r="M661" s="437"/>
      <c r="N661" s="437"/>
      <c r="O661" s="437"/>
      <c r="P661" s="437"/>
      <c r="Q661" s="437"/>
      <c r="R661" s="437"/>
      <c r="S661" s="437"/>
      <c r="T661" s="437"/>
      <c r="U661" s="437"/>
      <c r="V661" s="437"/>
      <c r="W661" s="437"/>
      <c r="X661" s="437"/>
      <c r="Y661" s="437"/>
      <c r="Z661" s="437"/>
    </row>
    <row r="662" spans="8:26" ht="15.75" customHeight="1">
      <c r="H662" s="437"/>
      <c r="I662" s="437"/>
      <c r="J662" s="437"/>
      <c r="K662" s="439"/>
      <c r="L662" s="437"/>
      <c r="M662" s="437"/>
      <c r="N662" s="437"/>
      <c r="O662" s="437"/>
      <c r="P662" s="437"/>
      <c r="Q662" s="437"/>
      <c r="R662" s="437"/>
      <c r="S662" s="437"/>
      <c r="T662" s="437"/>
      <c r="U662" s="437"/>
      <c r="V662" s="437"/>
      <c r="W662" s="437"/>
      <c r="X662" s="437"/>
      <c r="Y662" s="437"/>
      <c r="Z662" s="437"/>
    </row>
    <row r="663" spans="8:26" ht="15.75" customHeight="1">
      <c r="H663" s="437"/>
      <c r="I663" s="437"/>
      <c r="J663" s="437"/>
      <c r="K663" s="439"/>
      <c r="L663" s="437"/>
      <c r="M663" s="437"/>
      <c r="N663" s="437"/>
      <c r="O663" s="437"/>
      <c r="P663" s="437"/>
      <c r="Q663" s="437"/>
      <c r="R663" s="437"/>
      <c r="S663" s="437"/>
      <c r="T663" s="437"/>
      <c r="U663" s="437"/>
      <c r="V663" s="437"/>
      <c r="W663" s="437"/>
      <c r="X663" s="437"/>
      <c r="Y663" s="437"/>
      <c r="Z663" s="437"/>
    </row>
    <row r="664" spans="8:26" ht="15.75" customHeight="1">
      <c r="H664" s="437"/>
      <c r="I664" s="437"/>
      <c r="J664" s="437"/>
      <c r="K664" s="439"/>
      <c r="L664" s="437"/>
      <c r="M664" s="437"/>
      <c r="N664" s="437"/>
      <c r="O664" s="437"/>
      <c r="P664" s="437"/>
      <c r="Q664" s="437"/>
      <c r="R664" s="437"/>
      <c r="S664" s="437"/>
      <c r="T664" s="437"/>
      <c r="U664" s="437"/>
      <c r="V664" s="437"/>
      <c r="W664" s="437"/>
      <c r="X664" s="437"/>
      <c r="Y664" s="437"/>
      <c r="Z664" s="437"/>
    </row>
    <row r="665" spans="8:26" ht="15.75" customHeight="1">
      <c r="H665" s="437"/>
      <c r="I665" s="437"/>
      <c r="J665" s="437"/>
      <c r="K665" s="439"/>
      <c r="L665" s="437"/>
      <c r="M665" s="437"/>
      <c r="N665" s="437"/>
      <c r="O665" s="437"/>
      <c r="P665" s="437"/>
      <c r="Q665" s="437"/>
      <c r="R665" s="437"/>
      <c r="S665" s="437"/>
      <c r="T665" s="437"/>
      <c r="U665" s="437"/>
      <c r="V665" s="437"/>
      <c r="W665" s="437"/>
      <c r="X665" s="437"/>
      <c r="Y665" s="437"/>
      <c r="Z665" s="437"/>
    </row>
    <row r="666" spans="8:26" ht="15.75" customHeight="1">
      <c r="H666" s="437"/>
      <c r="I666" s="437"/>
      <c r="J666" s="437"/>
      <c r="K666" s="439"/>
      <c r="L666" s="437"/>
      <c r="M666" s="437"/>
      <c r="N666" s="437"/>
      <c r="O666" s="437"/>
      <c r="P666" s="437"/>
      <c r="Q666" s="437"/>
      <c r="R666" s="437"/>
      <c r="S666" s="437"/>
      <c r="T666" s="437"/>
      <c r="U666" s="437"/>
      <c r="V666" s="437"/>
      <c r="W666" s="437"/>
      <c r="X666" s="437"/>
      <c r="Y666" s="437"/>
      <c r="Z666" s="437"/>
    </row>
    <row r="667" spans="8:26" ht="15.75" customHeight="1">
      <c r="H667" s="437"/>
      <c r="I667" s="437"/>
      <c r="J667" s="437"/>
      <c r="K667" s="439"/>
      <c r="L667" s="437"/>
      <c r="M667" s="437"/>
      <c r="N667" s="437"/>
      <c r="O667" s="437"/>
      <c r="P667" s="437"/>
      <c r="Q667" s="437"/>
      <c r="R667" s="437"/>
      <c r="S667" s="437"/>
      <c r="T667" s="437"/>
      <c r="U667" s="437"/>
      <c r="V667" s="437"/>
      <c r="W667" s="437"/>
      <c r="X667" s="437"/>
      <c r="Y667" s="437"/>
      <c r="Z667" s="437"/>
    </row>
    <row r="668" spans="8:26" ht="15.75" customHeight="1">
      <c r="H668" s="437"/>
      <c r="I668" s="437"/>
      <c r="J668" s="437"/>
      <c r="K668" s="439"/>
      <c r="L668" s="437"/>
      <c r="M668" s="437"/>
      <c r="N668" s="437"/>
      <c r="O668" s="437"/>
      <c r="P668" s="437"/>
      <c r="Q668" s="437"/>
      <c r="R668" s="437"/>
      <c r="S668" s="437"/>
      <c r="T668" s="437"/>
      <c r="U668" s="437"/>
      <c r="V668" s="437"/>
      <c r="W668" s="437"/>
      <c r="X668" s="437"/>
      <c r="Y668" s="437"/>
      <c r="Z668" s="437"/>
    </row>
    <row r="669" spans="8:26" ht="15.75" customHeight="1">
      <c r="H669" s="437"/>
      <c r="I669" s="437"/>
      <c r="J669" s="437"/>
      <c r="K669" s="439"/>
      <c r="L669" s="437"/>
      <c r="M669" s="437"/>
      <c r="N669" s="437"/>
      <c r="O669" s="437"/>
      <c r="P669" s="437"/>
      <c r="Q669" s="437"/>
      <c r="R669" s="437"/>
      <c r="S669" s="437"/>
      <c r="T669" s="437"/>
      <c r="U669" s="437"/>
      <c r="V669" s="437"/>
      <c r="W669" s="437"/>
      <c r="X669" s="437"/>
      <c r="Y669" s="437"/>
      <c r="Z669" s="437"/>
    </row>
    <row r="670" spans="8:26" ht="15.75" customHeight="1">
      <c r="H670" s="437"/>
      <c r="I670" s="437"/>
      <c r="J670" s="437"/>
      <c r="K670" s="439"/>
      <c r="L670" s="437"/>
      <c r="M670" s="437"/>
      <c r="N670" s="437"/>
      <c r="O670" s="437"/>
      <c r="P670" s="437"/>
      <c r="Q670" s="437"/>
      <c r="R670" s="437"/>
      <c r="S670" s="437"/>
      <c r="T670" s="437"/>
      <c r="U670" s="437"/>
      <c r="V670" s="437"/>
      <c r="W670" s="437"/>
      <c r="X670" s="437"/>
      <c r="Y670" s="437"/>
      <c r="Z670" s="437"/>
    </row>
    <row r="671" spans="8:26" ht="15.75" customHeight="1">
      <c r="H671" s="437"/>
      <c r="I671" s="437"/>
      <c r="J671" s="437"/>
      <c r="K671" s="439"/>
      <c r="L671" s="437"/>
      <c r="M671" s="437"/>
      <c r="N671" s="437"/>
      <c r="O671" s="437"/>
      <c r="P671" s="437"/>
      <c r="Q671" s="437"/>
      <c r="R671" s="437"/>
      <c r="S671" s="437"/>
      <c r="T671" s="437"/>
      <c r="U671" s="437"/>
      <c r="V671" s="437"/>
      <c r="W671" s="437"/>
      <c r="X671" s="437"/>
      <c r="Y671" s="437"/>
      <c r="Z671" s="437"/>
    </row>
    <row r="672" spans="8:26" ht="15.75" customHeight="1">
      <c r="H672" s="437"/>
      <c r="I672" s="437"/>
      <c r="J672" s="437"/>
      <c r="K672" s="439"/>
      <c r="L672" s="437"/>
      <c r="M672" s="437"/>
      <c r="N672" s="437"/>
      <c r="O672" s="437"/>
      <c r="P672" s="437"/>
      <c r="Q672" s="437"/>
      <c r="R672" s="437"/>
      <c r="S672" s="437"/>
      <c r="T672" s="437"/>
      <c r="U672" s="437"/>
      <c r="V672" s="437"/>
      <c r="W672" s="437"/>
      <c r="X672" s="437"/>
      <c r="Y672" s="437"/>
      <c r="Z672" s="437"/>
    </row>
    <row r="673" spans="8:26" ht="15.75" customHeight="1">
      <c r="H673" s="437"/>
      <c r="I673" s="437"/>
      <c r="J673" s="437"/>
      <c r="K673" s="439"/>
      <c r="L673" s="437"/>
      <c r="M673" s="437"/>
      <c r="N673" s="437"/>
      <c r="O673" s="437"/>
      <c r="P673" s="437"/>
      <c r="Q673" s="437"/>
      <c r="R673" s="437"/>
      <c r="S673" s="437"/>
      <c r="T673" s="437"/>
      <c r="U673" s="437"/>
      <c r="V673" s="437"/>
      <c r="W673" s="437"/>
      <c r="X673" s="437"/>
      <c r="Y673" s="437"/>
      <c r="Z673" s="437"/>
    </row>
    <row r="674" spans="8:26" ht="15.75" customHeight="1">
      <c r="H674" s="437"/>
      <c r="I674" s="437"/>
      <c r="J674" s="437"/>
      <c r="K674" s="439"/>
      <c r="L674" s="437"/>
      <c r="M674" s="437"/>
      <c r="N674" s="437"/>
      <c r="O674" s="437"/>
      <c r="P674" s="437"/>
      <c r="Q674" s="437"/>
      <c r="R674" s="437"/>
      <c r="S674" s="437"/>
      <c r="T674" s="437"/>
      <c r="U674" s="437"/>
      <c r="V674" s="437"/>
      <c r="W674" s="437"/>
      <c r="X674" s="437"/>
      <c r="Y674" s="437"/>
      <c r="Z674" s="437"/>
    </row>
    <row r="675" spans="8:26" ht="15.75" customHeight="1">
      <c r="H675" s="437"/>
      <c r="I675" s="437"/>
      <c r="J675" s="437"/>
      <c r="K675" s="439"/>
      <c r="L675" s="437"/>
      <c r="M675" s="437"/>
      <c r="N675" s="437"/>
      <c r="O675" s="437"/>
      <c r="P675" s="437"/>
      <c r="Q675" s="437"/>
      <c r="R675" s="437"/>
      <c r="S675" s="437"/>
      <c r="T675" s="437"/>
      <c r="U675" s="437"/>
      <c r="V675" s="437"/>
      <c r="W675" s="437"/>
      <c r="X675" s="437"/>
      <c r="Y675" s="437"/>
      <c r="Z675" s="437"/>
    </row>
    <row r="676" spans="8:26" ht="15.75" customHeight="1">
      <c r="H676" s="437"/>
      <c r="I676" s="437"/>
      <c r="J676" s="437"/>
      <c r="K676" s="439"/>
      <c r="L676" s="437"/>
      <c r="M676" s="437"/>
      <c r="N676" s="437"/>
      <c r="O676" s="437"/>
      <c r="P676" s="437"/>
      <c r="Q676" s="437"/>
      <c r="R676" s="437"/>
      <c r="S676" s="437"/>
      <c r="T676" s="437"/>
      <c r="U676" s="437"/>
      <c r="V676" s="437"/>
      <c r="W676" s="437"/>
      <c r="X676" s="437"/>
      <c r="Y676" s="437"/>
      <c r="Z676" s="437"/>
    </row>
    <row r="677" spans="8:26" ht="15.75" customHeight="1">
      <c r="H677" s="437"/>
      <c r="I677" s="437"/>
      <c r="J677" s="437"/>
      <c r="K677" s="439"/>
      <c r="L677" s="437"/>
      <c r="M677" s="437"/>
      <c r="N677" s="437"/>
      <c r="O677" s="437"/>
      <c r="P677" s="437"/>
      <c r="Q677" s="437"/>
      <c r="R677" s="437"/>
      <c r="S677" s="437"/>
      <c r="T677" s="437"/>
      <c r="U677" s="437"/>
      <c r="V677" s="437"/>
      <c r="W677" s="437"/>
      <c r="X677" s="437"/>
      <c r="Y677" s="437"/>
      <c r="Z677" s="437"/>
    </row>
    <row r="678" spans="8:26" ht="15.75" customHeight="1">
      <c r="H678" s="437"/>
      <c r="I678" s="437"/>
      <c r="J678" s="437"/>
      <c r="K678" s="439"/>
      <c r="L678" s="437"/>
      <c r="M678" s="437"/>
      <c r="N678" s="437"/>
      <c r="O678" s="437"/>
      <c r="P678" s="437"/>
      <c r="Q678" s="437"/>
      <c r="R678" s="437"/>
      <c r="S678" s="437"/>
      <c r="T678" s="437"/>
      <c r="U678" s="437"/>
      <c r="V678" s="437"/>
      <c r="W678" s="437"/>
      <c r="X678" s="437"/>
      <c r="Y678" s="437"/>
      <c r="Z678" s="437"/>
    </row>
    <row r="679" spans="8:26" ht="15.75" customHeight="1">
      <c r="H679" s="437"/>
      <c r="I679" s="437"/>
      <c r="J679" s="437"/>
      <c r="K679" s="439"/>
      <c r="L679" s="437"/>
      <c r="M679" s="437"/>
      <c r="N679" s="437"/>
      <c r="O679" s="437"/>
      <c r="P679" s="437"/>
      <c r="Q679" s="437"/>
      <c r="R679" s="437"/>
      <c r="S679" s="437"/>
      <c r="T679" s="437"/>
      <c r="U679" s="437"/>
      <c r="V679" s="437"/>
      <c r="W679" s="437"/>
      <c r="X679" s="437"/>
      <c r="Y679" s="437"/>
      <c r="Z679" s="437"/>
    </row>
    <row r="680" spans="8:26" ht="15.75" customHeight="1">
      <c r="H680" s="437"/>
      <c r="I680" s="437"/>
      <c r="J680" s="437"/>
      <c r="K680" s="439"/>
      <c r="L680" s="437"/>
      <c r="M680" s="437"/>
      <c r="N680" s="437"/>
      <c r="O680" s="437"/>
      <c r="P680" s="437"/>
      <c r="Q680" s="437"/>
      <c r="R680" s="437"/>
      <c r="S680" s="437"/>
      <c r="T680" s="437"/>
      <c r="U680" s="437"/>
      <c r="V680" s="437"/>
      <c r="W680" s="437"/>
      <c r="X680" s="437"/>
      <c r="Y680" s="437"/>
      <c r="Z680" s="437"/>
    </row>
    <row r="681" spans="8:26" ht="15.75" customHeight="1">
      <c r="H681" s="437"/>
      <c r="I681" s="437"/>
      <c r="J681" s="437"/>
      <c r="K681" s="439"/>
      <c r="L681" s="437"/>
      <c r="M681" s="437"/>
      <c r="N681" s="437"/>
      <c r="O681" s="437"/>
      <c r="P681" s="437"/>
      <c r="Q681" s="437"/>
      <c r="R681" s="437"/>
      <c r="S681" s="437"/>
      <c r="T681" s="437"/>
      <c r="U681" s="437"/>
      <c r="V681" s="437"/>
      <c r="W681" s="437"/>
      <c r="X681" s="437"/>
      <c r="Y681" s="437"/>
      <c r="Z681" s="437"/>
    </row>
    <row r="682" spans="8:26" ht="15.75" customHeight="1">
      <c r="H682" s="437"/>
      <c r="I682" s="437"/>
      <c r="J682" s="437"/>
      <c r="K682" s="439"/>
      <c r="L682" s="437"/>
      <c r="M682" s="437"/>
      <c r="N682" s="437"/>
      <c r="O682" s="437"/>
      <c r="P682" s="437"/>
      <c r="Q682" s="437"/>
      <c r="R682" s="437"/>
      <c r="S682" s="437"/>
      <c r="T682" s="437"/>
      <c r="U682" s="437"/>
      <c r="V682" s="437"/>
      <c r="W682" s="437"/>
      <c r="X682" s="437"/>
      <c r="Y682" s="437"/>
      <c r="Z682" s="437"/>
    </row>
    <row r="683" spans="8:26" ht="15.75" customHeight="1">
      <c r="H683" s="437"/>
      <c r="I683" s="437"/>
      <c r="J683" s="437"/>
      <c r="K683" s="439"/>
      <c r="L683" s="437"/>
      <c r="M683" s="437"/>
      <c r="N683" s="437"/>
      <c r="O683" s="437"/>
      <c r="P683" s="437"/>
      <c r="Q683" s="437"/>
      <c r="R683" s="437"/>
      <c r="S683" s="437"/>
      <c r="T683" s="437"/>
      <c r="U683" s="437"/>
      <c r="V683" s="437"/>
      <c r="W683" s="437"/>
      <c r="X683" s="437"/>
      <c r="Y683" s="437"/>
      <c r="Z683" s="437"/>
    </row>
    <row r="684" spans="8:26" ht="15.75" customHeight="1">
      <c r="H684" s="437"/>
      <c r="I684" s="437"/>
      <c r="J684" s="437"/>
      <c r="K684" s="439"/>
      <c r="L684" s="437"/>
      <c r="M684" s="437"/>
      <c r="N684" s="437"/>
      <c r="O684" s="437"/>
      <c r="P684" s="437"/>
      <c r="Q684" s="437"/>
      <c r="R684" s="437"/>
      <c r="S684" s="437"/>
      <c r="T684" s="437"/>
      <c r="U684" s="437"/>
      <c r="V684" s="437"/>
      <c r="W684" s="437"/>
      <c r="X684" s="437"/>
      <c r="Y684" s="437"/>
      <c r="Z684" s="437"/>
    </row>
    <row r="685" spans="8:26" ht="15.75" customHeight="1">
      <c r="H685" s="437"/>
      <c r="I685" s="437"/>
      <c r="J685" s="437"/>
      <c r="K685" s="439"/>
      <c r="L685" s="437"/>
      <c r="M685" s="437"/>
      <c r="N685" s="437"/>
      <c r="O685" s="437"/>
      <c r="P685" s="437"/>
      <c r="Q685" s="437"/>
      <c r="R685" s="437"/>
      <c r="S685" s="437"/>
      <c r="T685" s="437"/>
      <c r="U685" s="437"/>
      <c r="V685" s="437"/>
      <c r="W685" s="437"/>
      <c r="X685" s="437"/>
      <c r="Y685" s="437"/>
      <c r="Z685" s="437"/>
    </row>
    <row r="686" spans="8:26" ht="15.75" customHeight="1">
      <c r="H686" s="437"/>
      <c r="I686" s="437"/>
      <c r="J686" s="437"/>
      <c r="K686" s="439"/>
      <c r="L686" s="437"/>
      <c r="M686" s="437"/>
      <c r="N686" s="437"/>
      <c r="O686" s="437"/>
      <c r="P686" s="437"/>
      <c r="Q686" s="437"/>
      <c r="R686" s="437"/>
      <c r="S686" s="437"/>
      <c r="T686" s="437"/>
      <c r="U686" s="437"/>
      <c r="V686" s="437"/>
      <c r="W686" s="437"/>
      <c r="X686" s="437"/>
      <c r="Y686" s="437"/>
      <c r="Z686" s="437"/>
    </row>
    <row r="687" spans="8:26" ht="15.75" customHeight="1">
      <c r="H687" s="437"/>
      <c r="I687" s="437"/>
      <c r="J687" s="437"/>
      <c r="K687" s="439"/>
      <c r="L687" s="437"/>
      <c r="M687" s="437"/>
      <c r="N687" s="437"/>
      <c r="O687" s="437"/>
      <c r="P687" s="437"/>
      <c r="Q687" s="437"/>
      <c r="R687" s="437"/>
      <c r="S687" s="437"/>
      <c r="T687" s="437"/>
      <c r="U687" s="437"/>
      <c r="V687" s="437"/>
      <c r="W687" s="437"/>
      <c r="X687" s="437"/>
      <c r="Y687" s="437"/>
      <c r="Z687" s="437"/>
    </row>
    <row r="688" spans="8:26" ht="15.75" customHeight="1">
      <c r="H688" s="437"/>
      <c r="I688" s="437"/>
      <c r="J688" s="437"/>
      <c r="K688" s="439"/>
      <c r="L688" s="437"/>
      <c r="M688" s="437"/>
      <c r="N688" s="437"/>
      <c r="O688" s="437"/>
      <c r="P688" s="437"/>
      <c r="Q688" s="437"/>
      <c r="R688" s="437"/>
      <c r="S688" s="437"/>
      <c r="T688" s="437"/>
      <c r="U688" s="437"/>
      <c r="V688" s="437"/>
      <c r="W688" s="437"/>
      <c r="X688" s="437"/>
      <c r="Y688" s="437"/>
      <c r="Z688" s="437"/>
    </row>
    <row r="689" spans="8:26" ht="15.75" customHeight="1">
      <c r="H689" s="437"/>
      <c r="I689" s="437"/>
      <c r="J689" s="437"/>
      <c r="K689" s="439"/>
      <c r="L689" s="437"/>
      <c r="M689" s="437"/>
      <c r="N689" s="437"/>
      <c r="O689" s="437"/>
      <c r="P689" s="437"/>
      <c r="Q689" s="437"/>
      <c r="R689" s="437"/>
      <c r="S689" s="437"/>
      <c r="T689" s="437"/>
      <c r="U689" s="437"/>
      <c r="V689" s="437"/>
      <c r="W689" s="437"/>
      <c r="X689" s="437"/>
      <c r="Y689" s="437"/>
      <c r="Z689" s="437"/>
    </row>
    <row r="690" spans="8:26" ht="15.75" customHeight="1">
      <c r="H690" s="437"/>
      <c r="I690" s="437"/>
      <c r="J690" s="437"/>
      <c r="K690" s="439"/>
      <c r="L690" s="437"/>
      <c r="M690" s="437"/>
      <c r="N690" s="437"/>
      <c r="O690" s="437"/>
      <c r="P690" s="437"/>
      <c r="Q690" s="437"/>
      <c r="R690" s="437"/>
      <c r="S690" s="437"/>
      <c r="T690" s="437"/>
      <c r="U690" s="437"/>
      <c r="V690" s="437"/>
      <c r="W690" s="437"/>
      <c r="X690" s="437"/>
      <c r="Y690" s="437"/>
      <c r="Z690" s="437"/>
    </row>
    <row r="691" spans="8:26" ht="15.75" customHeight="1">
      <c r="H691" s="437"/>
      <c r="I691" s="437"/>
      <c r="J691" s="437"/>
      <c r="K691" s="439"/>
      <c r="L691" s="437"/>
      <c r="M691" s="437"/>
      <c r="N691" s="437"/>
      <c r="O691" s="437"/>
      <c r="P691" s="437"/>
      <c r="Q691" s="437"/>
      <c r="R691" s="437"/>
      <c r="S691" s="437"/>
      <c r="T691" s="437"/>
      <c r="U691" s="437"/>
      <c r="V691" s="437"/>
      <c r="W691" s="437"/>
      <c r="X691" s="437"/>
      <c r="Y691" s="437"/>
      <c r="Z691" s="437"/>
    </row>
    <row r="692" spans="8:26" ht="15.75" customHeight="1">
      <c r="H692" s="437"/>
      <c r="I692" s="437"/>
      <c r="J692" s="437"/>
      <c r="K692" s="439"/>
      <c r="L692" s="437"/>
      <c r="M692" s="437"/>
      <c r="N692" s="437"/>
      <c r="O692" s="437"/>
      <c r="P692" s="437"/>
      <c r="Q692" s="437"/>
      <c r="R692" s="437"/>
      <c r="S692" s="437"/>
      <c r="T692" s="437"/>
      <c r="U692" s="437"/>
      <c r="V692" s="437"/>
      <c r="W692" s="437"/>
      <c r="X692" s="437"/>
      <c r="Y692" s="437"/>
      <c r="Z692" s="437"/>
    </row>
    <row r="693" spans="8:26" ht="15.75" customHeight="1">
      <c r="H693" s="437"/>
      <c r="I693" s="437"/>
      <c r="J693" s="437"/>
      <c r="K693" s="439"/>
      <c r="L693" s="437"/>
      <c r="M693" s="437"/>
      <c r="N693" s="437"/>
      <c r="O693" s="437"/>
      <c r="P693" s="437"/>
      <c r="Q693" s="437"/>
      <c r="R693" s="437"/>
      <c r="S693" s="437"/>
      <c r="T693" s="437"/>
      <c r="U693" s="437"/>
      <c r="V693" s="437"/>
      <c r="W693" s="437"/>
      <c r="X693" s="437"/>
      <c r="Y693" s="437"/>
      <c r="Z693" s="437"/>
    </row>
    <row r="694" spans="8:26" ht="15.75" customHeight="1">
      <c r="H694" s="437"/>
      <c r="I694" s="437"/>
      <c r="J694" s="437"/>
      <c r="K694" s="439"/>
      <c r="L694" s="437"/>
      <c r="M694" s="437"/>
      <c r="N694" s="437"/>
      <c r="O694" s="437"/>
      <c r="P694" s="437"/>
      <c r="Q694" s="437"/>
      <c r="R694" s="437"/>
      <c r="S694" s="437"/>
      <c r="T694" s="437"/>
      <c r="U694" s="437"/>
      <c r="V694" s="437"/>
      <c r="W694" s="437"/>
      <c r="X694" s="437"/>
      <c r="Y694" s="437"/>
      <c r="Z694" s="437"/>
    </row>
    <row r="695" spans="8:26" ht="15.75" customHeight="1">
      <c r="H695" s="437"/>
      <c r="I695" s="437"/>
      <c r="J695" s="437"/>
      <c r="K695" s="439"/>
      <c r="L695" s="437"/>
      <c r="M695" s="437"/>
      <c r="N695" s="437"/>
      <c r="O695" s="437"/>
      <c r="P695" s="437"/>
      <c r="Q695" s="437"/>
      <c r="R695" s="437"/>
      <c r="S695" s="437"/>
      <c r="T695" s="437"/>
      <c r="U695" s="437"/>
      <c r="V695" s="437"/>
      <c r="W695" s="437"/>
      <c r="X695" s="437"/>
      <c r="Y695" s="437"/>
      <c r="Z695" s="437"/>
    </row>
    <row r="696" spans="8:26" ht="15.75" customHeight="1">
      <c r="H696" s="437"/>
      <c r="I696" s="437"/>
      <c r="J696" s="437"/>
      <c r="K696" s="439"/>
      <c r="L696" s="437"/>
      <c r="M696" s="437"/>
      <c r="N696" s="437"/>
      <c r="O696" s="437"/>
      <c r="P696" s="437"/>
      <c r="Q696" s="437"/>
      <c r="R696" s="437"/>
      <c r="S696" s="437"/>
      <c r="T696" s="437"/>
      <c r="U696" s="437"/>
      <c r="V696" s="437"/>
      <c r="W696" s="437"/>
      <c r="X696" s="437"/>
      <c r="Y696" s="437"/>
      <c r="Z696" s="437"/>
    </row>
    <row r="697" spans="8:26" ht="15.75" customHeight="1">
      <c r="H697" s="437"/>
      <c r="I697" s="437"/>
      <c r="J697" s="437"/>
      <c r="K697" s="439"/>
      <c r="L697" s="437"/>
      <c r="M697" s="437"/>
      <c r="N697" s="437"/>
      <c r="O697" s="437"/>
      <c r="P697" s="437"/>
      <c r="Q697" s="437"/>
      <c r="R697" s="437"/>
      <c r="S697" s="437"/>
      <c r="T697" s="437"/>
      <c r="U697" s="437"/>
      <c r="V697" s="437"/>
      <c r="W697" s="437"/>
      <c r="X697" s="437"/>
      <c r="Y697" s="437"/>
      <c r="Z697" s="437"/>
    </row>
    <row r="698" spans="8:26" ht="15.75" customHeight="1">
      <c r="H698" s="437"/>
      <c r="I698" s="437"/>
      <c r="J698" s="437"/>
      <c r="K698" s="439"/>
      <c r="L698" s="437"/>
      <c r="M698" s="437"/>
      <c r="N698" s="437"/>
      <c r="O698" s="437"/>
      <c r="P698" s="437"/>
      <c r="Q698" s="437"/>
      <c r="R698" s="437"/>
      <c r="S698" s="437"/>
      <c r="T698" s="437"/>
      <c r="U698" s="437"/>
      <c r="V698" s="437"/>
      <c r="W698" s="437"/>
      <c r="X698" s="437"/>
      <c r="Y698" s="437"/>
      <c r="Z698" s="437"/>
    </row>
    <row r="699" spans="8:26" ht="15.75" customHeight="1">
      <c r="H699" s="437"/>
      <c r="I699" s="437"/>
      <c r="J699" s="437"/>
      <c r="K699" s="439"/>
      <c r="L699" s="437"/>
      <c r="M699" s="437"/>
      <c r="N699" s="437"/>
      <c r="O699" s="437"/>
      <c r="P699" s="437"/>
      <c r="Q699" s="437"/>
      <c r="R699" s="437"/>
      <c r="S699" s="437"/>
      <c r="T699" s="437"/>
      <c r="U699" s="437"/>
      <c r="V699" s="437"/>
      <c r="W699" s="437"/>
      <c r="X699" s="437"/>
      <c r="Y699" s="437"/>
      <c r="Z699" s="437"/>
    </row>
    <row r="700" spans="8:26" ht="15.75" customHeight="1">
      <c r="H700" s="437"/>
      <c r="I700" s="437"/>
      <c r="J700" s="437"/>
      <c r="K700" s="439"/>
      <c r="L700" s="437"/>
      <c r="M700" s="437"/>
      <c r="N700" s="437"/>
      <c r="O700" s="437"/>
      <c r="P700" s="437"/>
      <c r="Q700" s="437"/>
      <c r="R700" s="437"/>
      <c r="S700" s="437"/>
      <c r="T700" s="437"/>
      <c r="U700" s="437"/>
      <c r="V700" s="437"/>
      <c r="W700" s="437"/>
      <c r="X700" s="437"/>
      <c r="Y700" s="437"/>
      <c r="Z700" s="437"/>
    </row>
    <row r="701" spans="8:26" ht="15.75" customHeight="1">
      <c r="H701" s="437"/>
      <c r="I701" s="437"/>
      <c r="J701" s="437"/>
      <c r="K701" s="439"/>
      <c r="L701" s="437"/>
      <c r="M701" s="437"/>
      <c r="N701" s="437"/>
      <c r="O701" s="437"/>
      <c r="P701" s="437"/>
      <c r="Q701" s="437"/>
      <c r="R701" s="437"/>
      <c r="S701" s="437"/>
      <c r="T701" s="437"/>
      <c r="U701" s="437"/>
      <c r="V701" s="437"/>
      <c r="W701" s="437"/>
      <c r="X701" s="437"/>
      <c r="Y701" s="437"/>
      <c r="Z701" s="437"/>
    </row>
    <row r="702" spans="8:26" ht="15.75" customHeight="1">
      <c r="H702" s="437"/>
      <c r="I702" s="437"/>
      <c r="J702" s="437"/>
      <c r="K702" s="439"/>
      <c r="L702" s="437"/>
      <c r="M702" s="437"/>
      <c r="N702" s="437"/>
      <c r="O702" s="437"/>
      <c r="P702" s="437"/>
      <c r="Q702" s="437"/>
      <c r="R702" s="437"/>
      <c r="S702" s="437"/>
      <c r="T702" s="437"/>
      <c r="U702" s="437"/>
      <c r="V702" s="437"/>
      <c r="W702" s="437"/>
      <c r="X702" s="437"/>
      <c r="Y702" s="437"/>
      <c r="Z702" s="437"/>
    </row>
    <row r="703" spans="8:26" ht="15.75" customHeight="1">
      <c r="H703" s="437"/>
      <c r="I703" s="437"/>
      <c r="J703" s="437"/>
      <c r="K703" s="439"/>
      <c r="L703" s="437"/>
      <c r="M703" s="437"/>
      <c r="N703" s="437"/>
      <c r="O703" s="437"/>
      <c r="P703" s="437"/>
      <c r="Q703" s="437"/>
      <c r="R703" s="437"/>
      <c r="S703" s="437"/>
      <c r="T703" s="437"/>
      <c r="U703" s="437"/>
      <c r="V703" s="437"/>
      <c r="W703" s="437"/>
      <c r="X703" s="437"/>
      <c r="Y703" s="437"/>
      <c r="Z703" s="437"/>
    </row>
    <row r="704" spans="8:26" ht="15.75" customHeight="1">
      <c r="H704" s="437"/>
      <c r="I704" s="437"/>
      <c r="J704" s="437"/>
      <c r="K704" s="439"/>
      <c r="L704" s="437"/>
      <c r="M704" s="437"/>
      <c r="N704" s="437"/>
      <c r="O704" s="437"/>
      <c r="P704" s="437"/>
      <c r="Q704" s="437"/>
      <c r="R704" s="437"/>
      <c r="S704" s="437"/>
      <c r="T704" s="437"/>
      <c r="U704" s="437"/>
      <c r="V704" s="437"/>
      <c r="W704" s="437"/>
      <c r="X704" s="437"/>
      <c r="Y704" s="437"/>
      <c r="Z704" s="437"/>
    </row>
    <row r="705" spans="8:26" ht="15.75" customHeight="1">
      <c r="H705" s="437"/>
      <c r="I705" s="437"/>
      <c r="J705" s="437"/>
      <c r="K705" s="439"/>
      <c r="L705" s="437"/>
      <c r="M705" s="437"/>
      <c r="N705" s="437"/>
      <c r="O705" s="437"/>
      <c r="P705" s="437"/>
      <c r="Q705" s="437"/>
      <c r="R705" s="437"/>
      <c r="S705" s="437"/>
      <c r="T705" s="437"/>
      <c r="U705" s="437"/>
      <c r="V705" s="437"/>
      <c r="W705" s="437"/>
      <c r="X705" s="437"/>
      <c r="Y705" s="437"/>
      <c r="Z705" s="437"/>
    </row>
    <row r="706" spans="8:26" ht="15.75" customHeight="1">
      <c r="H706" s="437"/>
      <c r="I706" s="437"/>
      <c r="J706" s="437"/>
      <c r="K706" s="439"/>
      <c r="L706" s="437"/>
      <c r="M706" s="437"/>
      <c r="N706" s="437"/>
      <c r="O706" s="437"/>
      <c r="P706" s="437"/>
      <c r="Q706" s="437"/>
      <c r="R706" s="437"/>
      <c r="S706" s="437"/>
      <c r="T706" s="437"/>
      <c r="U706" s="437"/>
      <c r="V706" s="437"/>
      <c r="W706" s="437"/>
      <c r="X706" s="437"/>
      <c r="Y706" s="437"/>
      <c r="Z706" s="437"/>
    </row>
    <row r="707" spans="8:26" ht="15.75" customHeight="1">
      <c r="H707" s="437"/>
      <c r="I707" s="437"/>
      <c r="J707" s="437"/>
      <c r="K707" s="439"/>
      <c r="L707" s="437"/>
      <c r="M707" s="437"/>
      <c r="N707" s="437"/>
      <c r="O707" s="437"/>
      <c r="P707" s="437"/>
      <c r="Q707" s="437"/>
      <c r="R707" s="437"/>
      <c r="S707" s="437"/>
      <c r="T707" s="437"/>
      <c r="U707" s="437"/>
      <c r="V707" s="437"/>
      <c r="W707" s="437"/>
      <c r="X707" s="437"/>
      <c r="Y707" s="437"/>
      <c r="Z707" s="437"/>
    </row>
    <row r="708" spans="8:26" ht="15.75" customHeight="1">
      <c r="H708" s="437"/>
      <c r="I708" s="437"/>
      <c r="J708" s="437"/>
      <c r="K708" s="439"/>
      <c r="L708" s="437"/>
      <c r="M708" s="437"/>
      <c r="N708" s="437"/>
      <c r="O708" s="437"/>
      <c r="P708" s="437"/>
      <c r="Q708" s="437"/>
      <c r="R708" s="437"/>
      <c r="S708" s="437"/>
      <c r="T708" s="437"/>
      <c r="U708" s="437"/>
      <c r="V708" s="437"/>
      <c r="W708" s="437"/>
      <c r="X708" s="437"/>
      <c r="Y708" s="437"/>
      <c r="Z708" s="437"/>
    </row>
    <row r="709" spans="8:26" ht="15.75" customHeight="1">
      <c r="H709" s="437"/>
      <c r="I709" s="437"/>
      <c r="J709" s="437"/>
      <c r="K709" s="439"/>
      <c r="L709" s="437"/>
      <c r="M709" s="437"/>
      <c r="N709" s="437"/>
      <c r="O709" s="437"/>
      <c r="P709" s="437"/>
      <c r="Q709" s="437"/>
      <c r="R709" s="437"/>
      <c r="S709" s="437"/>
      <c r="T709" s="437"/>
      <c r="U709" s="437"/>
      <c r="V709" s="437"/>
      <c r="W709" s="437"/>
      <c r="X709" s="437"/>
      <c r="Y709" s="437"/>
      <c r="Z709" s="437"/>
    </row>
    <row r="710" spans="8:26" ht="15.75" customHeight="1">
      <c r="H710" s="437"/>
      <c r="I710" s="437"/>
      <c r="J710" s="437"/>
      <c r="K710" s="439"/>
      <c r="L710" s="437"/>
      <c r="M710" s="437"/>
      <c r="N710" s="437"/>
      <c r="O710" s="437"/>
      <c r="P710" s="437"/>
      <c r="Q710" s="437"/>
      <c r="R710" s="437"/>
      <c r="S710" s="437"/>
      <c r="T710" s="437"/>
      <c r="U710" s="437"/>
      <c r="V710" s="437"/>
      <c r="W710" s="437"/>
      <c r="X710" s="437"/>
      <c r="Y710" s="437"/>
      <c r="Z710" s="437"/>
    </row>
    <row r="711" spans="8:26" ht="15.75" customHeight="1">
      <c r="H711" s="437"/>
      <c r="I711" s="437"/>
      <c r="J711" s="437"/>
      <c r="K711" s="439"/>
      <c r="L711" s="437"/>
      <c r="M711" s="437"/>
      <c r="N711" s="437"/>
      <c r="O711" s="437"/>
      <c r="P711" s="437"/>
      <c r="Q711" s="437"/>
      <c r="R711" s="437"/>
      <c r="S711" s="437"/>
      <c r="T711" s="437"/>
      <c r="U711" s="437"/>
      <c r="V711" s="437"/>
      <c r="W711" s="437"/>
      <c r="X711" s="437"/>
      <c r="Y711" s="437"/>
      <c r="Z711" s="437"/>
    </row>
    <row r="712" spans="8:26" ht="15.75" customHeight="1">
      <c r="H712" s="437"/>
      <c r="I712" s="437"/>
      <c r="J712" s="437"/>
      <c r="K712" s="439"/>
      <c r="L712" s="437"/>
      <c r="M712" s="437"/>
      <c r="N712" s="437"/>
      <c r="O712" s="437"/>
      <c r="P712" s="437"/>
      <c r="Q712" s="437"/>
      <c r="R712" s="437"/>
      <c r="S712" s="437"/>
      <c r="T712" s="437"/>
      <c r="U712" s="437"/>
      <c r="V712" s="437"/>
      <c r="W712" s="437"/>
      <c r="X712" s="437"/>
      <c r="Y712" s="437"/>
      <c r="Z712" s="437"/>
    </row>
    <row r="713" spans="8:26" ht="15.75" customHeight="1">
      <c r="H713" s="437"/>
      <c r="I713" s="437"/>
      <c r="J713" s="437"/>
      <c r="K713" s="439"/>
      <c r="L713" s="437"/>
      <c r="M713" s="437"/>
      <c r="N713" s="437"/>
      <c r="O713" s="437"/>
      <c r="P713" s="437"/>
      <c r="Q713" s="437"/>
      <c r="R713" s="437"/>
      <c r="S713" s="437"/>
      <c r="T713" s="437"/>
      <c r="U713" s="437"/>
      <c r="V713" s="437"/>
      <c r="W713" s="437"/>
      <c r="X713" s="437"/>
      <c r="Y713" s="437"/>
      <c r="Z713" s="437"/>
    </row>
    <row r="714" spans="8:26" ht="15.75" customHeight="1">
      <c r="H714" s="437"/>
      <c r="I714" s="437"/>
      <c r="J714" s="437"/>
      <c r="K714" s="439"/>
      <c r="L714" s="437"/>
      <c r="M714" s="437"/>
      <c r="N714" s="437"/>
      <c r="O714" s="437"/>
      <c r="P714" s="437"/>
      <c r="Q714" s="437"/>
      <c r="R714" s="437"/>
      <c r="S714" s="437"/>
      <c r="T714" s="437"/>
      <c r="U714" s="437"/>
      <c r="V714" s="437"/>
      <c r="W714" s="437"/>
      <c r="X714" s="437"/>
      <c r="Y714" s="437"/>
      <c r="Z714" s="437"/>
    </row>
    <row r="715" spans="8:26" ht="15.75" customHeight="1">
      <c r="H715" s="437"/>
      <c r="I715" s="437"/>
      <c r="J715" s="437"/>
      <c r="K715" s="439"/>
      <c r="L715" s="437"/>
      <c r="M715" s="437"/>
      <c r="N715" s="437"/>
      <c r="O715" s="437"/>
      <c r="P715" s="437"/>
      <c r="Q715" s="437"/>
      <c r="R715" s="437"/>
      <c r="S715" s="437"/>
      <c r="T715" s="437"/>
      <c r="U715" s="437"/>
      <c r="V715" s="437"/>
      <c r="W715" s="437"/>
      <c r="X715" s="437"/>
      <c r="Y715" s="437"/>
      <c r="Z715" s="437"/>
    </row>
    <row r="716" spans="8:26" ht="15.75" customHeight="1">
      <c r="H716" s="437"/>
      <c r="I716" s="437"/>
      <c r="J716" s="437"/>
      <c r="K716" s="439"/>
      <c r="L716" s="437"/>
      <c r="M716" s="437"/>
      <c r="N716" s="437"/>
      <c r="O716" s="437"/>
      <c r="P716" s="437"/>
      <c r="Q716" s="437"/>
      <c r="R716" s="437"/>
      <c r="S716" s="437"/>
      <c r="T716" s="437"/>
      <c r="U716" s="437"/>
      <c r="V716" s="437"/>
      <c r="W716" s="437"/>
      <c r="X716" s="437"/>
      <c r="Y716" s="437"/>
      <c r="Z716" s="437"/>
    </row>
    <row r="717" spans="8:26" ht="15.75" customHeight="1">
      <c r="H717" s="437"/>
      <c r="I717" s="437"/>
      <c r="J717" s="437"/>
      <c r="K717" s="439"/>
      <c r="L717" s="437"/>
      <c r="M717" s="437"/>
      <c r="N717" s="437"/>
      <c r="O717" s="437"/>
      <c r="P717" s="437"/>
      <c r="Q717" s="437"/>
      <c r="R717" s="437"/>
      <c r="S717" s="437"/>
      <c r="T717" s="437"/>
      <c r="U717" s="437"/>
      <c r="V717" s="437"/>
      <c r="W717" s="437"/>
      <c r="X717" s="437"/>
      <c r="Y717" s="437"/>
      <c r="Z717" s="437"/>
    </row>
    <row r="718" spans="8:26" ht="15.75" customHeight="1">
      <c r="H718" s="437"/>
      <c r="I718" s="437"/>
      <c r="J718" s="437"/>
      <c r="K718" s="439"/>
      <c r="L718" s="437"/>
      <c r="M718" s="437"/>
      <c r="N718" s="437"/>
      <c r="O718" s="437"/>
      <c r="P718" s="437"/>
      <c r="Q718" s="437"/>
      <c r="R718" s="437"/>
      <c r="S718" s="437"/>
      <c r="T718" s="437"/>
      <c r="U718" s="437"/>
      <c r="V718" s="437"/>
      <c r="W718" s="437"/>
      <c r="X718" s="437"/>
      <c r="Y718" s="437"/>
      <c r="Z718" s="437"/>
    </row>
    <row r="719" spans="8:26" ht="15.75" customHeight="1">
      <c r="H719" s="437"/>
      <c r="I719" s="437"/>
      <c r="J719" s="437"/>
      <c r="K719" s="439"/>
      <c r="L719" s="437"/>
      <c r="M719" s="437"/>
      <c r="N719" s="437"/>
      <c r="O719" s="437"/>
      <c r="P719" s="437"/>
      <c r="Q719" s="437"/>
      <c r="R719" s="437"/>
      <c r="S719" s="437"/>
      <c r="T719" s="437"/>
      <c r="U719" s="437"/>
      <c r="V719" s="437"/>
      <c r="W719" s="437"/>
      <c r="X719" s="437"/>
      <c r="Y719" s="437"/>
      <c r="Z719" s="437"/>
    </row>
    <row r="720" spans="8:26" ht="15.75" customHeight="1">
      <c r="H720" s="437"/>
      <c r="I720" s="437"/>
      <c r="J720" s="437"/>
      <c r="K720" s="439"/>
      <c r="L720" s="437"/>
      <c r="M720" s="437"/>
      <c r="N720" s="437"/>
      <c r="O720" s="437"/>
      <c r="P720" s="437"/>
      <c r="Q720" s="437"/>
      <c r="R720" s="437"/>
      <c r="S720" s="437"/>
      <c r="T720" s="437"/>
      <c r="U720" s="437"/>
      <c r="V720" s="437"/>
      <c r="W720" s="437"/>
      <c r="X720" s="437"/>
      <c r="Y720" s="437"/>
      <c r="Z720" s="437"/>
    </row>
    <row r="721" spans="8:26" ht="15.75" customHeight="1">
      <c r="H721" s="437"/>
      <c r="I721" s="437"/>
      <c r="J721" s="437"/>
      <c r="K721" s="439"/>
      <c r="L721" s="437"/>
      <c r="M721" s="437"/>
      <c r="N721" s="437"/>
      <c r="O721" s="437"/>
      <c r="P721" s="437"/>
      <c r="Q721" s="437"/>
      <c r="R721" s="437"/>
      <c r="S721" s="437"/>
      <c r="T721" s="437"/>
      <c r="U721" s="437"/>
      <c r="V721" s="437"/>
      <c r="W721" s="437"/>
      <c r="X721" s="437"/>
      <c r="Y721" s="437"/>
      <c r="Z721" s="437"/>
    </row>
    <row r="722" spans="8:26" ht="15.75" customHeight="1">
      <c r="H722" s="437"/>
      <c r="I722" s="437"/>
      <c r="J722" s="437"/>
      <c r="K722" s="439"/>
      <c r="L722" s="437"/>
      <c r="M722" s="437"/>
      <c r="N722" s="437"/>
      <c r="O722" s="437"/>
      <c r="P722" s="437"/>
      <c r="Q722" s="437"/>
      <c r="R722" s="437"/>
      <c r="S722" s="437"/>
      <c r="T722" s="437"/>
      <c r="U722" s="437"/>
      <c r="V722" s="437"/>
      <c r="W722" s="437"/>
      <c r="X722" s="437"/>
      <c r="Y722" s="437"/>
      <c r="Z722" s="437"/>
    </row>
    <row r="723" spans="8:26" ht="15.75" customHeight="1">
      <c r="H723" s="437"/>
      <c r="I723" s="437"/>
      <c r="J723" s="437"/>
      <c r="K723" s="439"/>
      <c r="L723" s="437"/>
      <c r="M723" s="437"/>
      <c r="N723" s="437"/>
      <c r="O723" s="437"/>
      <c r="P723" s="437"/>
      <c r="Q723" s="437"/>
      <c r="R723" s="437"/>
      <c r="S723" s="437"/>
      <c r="T723" s="437"/>
      <c r="U723" s="437"/>
      <c r="V723" s="437"/>
      <c r="W723" s="437"/>
      <c r="X723" s="437"/>
      <c r="Y723" s="437"/>
      <c r="Z723" s="437"/>
    </row>
    <row r="724" spans="8:26" ht="15.75" customHeight="1">
      <c r="H724" s="437"/>
      <c r="I724" s="437"/>
      <c r="J724" s="437"/>
      <c r="K724" s="439"/>
      <c r="L724" s="437"/>
      <c r="M724" s="437"/>
      <c r="N724" s="437"/>
      <c r="O724" s="437"/>
      <c r="P724" s="437"/>
      <c r="Q724" s="437"/>
      <c r="R724" s="437"/>
      <c r="S724" s="437"/>
      <c r="T724" s="437"/>
      <c r="U724" s="437"/>
      <c r="V724" s="437"/>
      <c r="W724" s="437"/>
      <c r="X724" s="437"/>
      <c r="Y724" s="437"/>
      <c r="Z724" s="437"/>
    </row>
    <row r="725" spans="8:26" ht="15.75" customHeight="1">
      <c r="H725" s="437"/>
      <c r="I725" s="437"/>
      <c r="J725" s="437"/>
      <c r="K725" s="439"/>
      <c r="L725" s="437"/>
      <c r="M725" s="437"/>
      <c r="N725" s="437"/>
      <c r="O725" s="437"/>
      <c r="P725" s="437"/>
      <c r="Q725" s="437"/>
      <c r="R725" s="437"/>
      <c r="S725" s="437"/>
      <c r="T725" s="437"/>
      <c r="U725" s="437"/>
      <c r="V725" s="437"/>
      <c r="W725" s="437"/>
      <c r="X725" s="437"/>
      <c r="Y725" s="437"/>
      <c r="Z725" s="437"/>
    </row>
    <row r="726" spans="8:26" ht="15.75" customHeight="1">
      <c r="H726" s="437"/>
      <c r="I726" s="437"/>
      <c r="J726" s="437"/>
      <c r="K726" s="439"/>
      <c r="L726" s="437"/>
      <c r="M726" s="437"/>
      <c r="N726" s="437"/>
      <c r="O726" s="437"/>
      <c r="P726" s="437"/>
      <c r="Q726" s="437"/>
      <c r="R726" s="437"/>
      <c r="S726" s="437"/>
      <c r="T726" s="437"/>
      <c r="U726" s="437"/>
      <c r="V726" s="437"/>
      <c r="W726" s="437"/>
      <c r="X726" s="437"/>
      <c r="Y726" s="437"/>
      <c r="Z726" s="437"/>
    </row>
    <row r="727" spans="8:26" ht="15.75" customHeight="1">
      <c r="H727" s="437"/>
      <c r="I727" s="437"/>
      <c r="J727" s="437"/>
      <c r="K727" s="439"/>
      <c r="L727" s="437"/>
      <c r="M727" s="437"/>
      <c r="N727" s="437"/>
      <c r="O727" s="437"/>
      <c r="P727" s="437"/>
      <c r="Q727" s="437"/>
      <c r="R727" s="437"/>
      <c r="S727" s="437"/>
      <c r="T727" s="437"/>
      <c r="U727" s="437"/>
      <c r="V727" s="437"/>
      <c r="W727" s="437"/>
      <c r="X727" s="437"/>
      <c r="Y727" s="437"/>
      <c r="Z727" s="437"/>
    </row>
    <row r="728" spans="8:26" ht="15.75" customHeight="1">
      <c r="H728" s="437"/>
      <c r="I728" s="437"/>
      <c r="J728" s="437"/>
      <c r="K728" s="439"/>
      <c r="L728" s="437"/>
      <c r="M728" s="437"/>
      <c r="N728" s="437"/>
      <c r="O728" s="437"/>
      <c r="P728" s="437"/>
      <c r="Q728" s="437"/>
      <c r="R728" s="437"/>
      <c r="S728" s="437"/>
      <c r="T728" s="437"/>
      <c r="U728" s="437"/>
      <c r="V728" s="437"/>
      <c r="W728" s="437"/>
      <c r="X728" s="437"/>
      <c r="Y728" s="437"/>
      <c r="Z728" s="437"/>
    </row>
    <row r="729" spans="8:26" ht="15.75" customHeight="1">
      <c r="H729" s="437"/>
      <c r="I729" s="437"/>
      <c r="J729" s="437"/>
      <c r="K729" s="439"/>
      <c r="L729" s="437"/>
      <c r="M729" s="437"/>
      <c r="N729" s="437"/>
      <c r="O729" s="437"/>
      <c r="P729" s="437"/>
      <c r="Q729" s="437"/>
      <c r="R729" s="437"/>
      <c r="S729" s="437"/>
      <c r="T729" s="437"/>
      <c r="U729" s="437"/>
      <c r="V729" s="437"/>
      <c r="W729" s="437"/>
      <c r="X729" s="437"/>
      <c r="Y729" s="437"/>
      <c r="Z729" s="437"/>
    </row>
    <row r="730" spans="8:26" ht="15.75" customHeight="1">
      <c r="H730" s="437"/>
      <c r="I730" s="437"/>
      <c r="J730" s="437"/>
      <c r="K730" s="439"/>
      <c r="L730" s="437"/>
      <c r="M730" s="437"/>
      <c r="N730" s="437"/>
      <c r="O730" s="437"/>
      <c r="P730" s="437"/>
      <c r="Q730" s="437"/>
      <c r="R730" s="437"/>
      <c r="S730" s="437"/>
      <c r="T730" s="437"/>
      <c r="U730" s="437"/>
      <c r="V730" s="437"/>
      <c r="W730" s="437"/>
      <c r="X730" s="437"/>
      <c r="Y730" s="437"/>
      <c r="Z730" s="437"/>
    </row>
    <row r="731" spans="8:26" ht="15.75" customHeight="1">
      <c r="H731" s="437"/>
      <c r="I731" s="437"/>
      <c r="J731" s="437"/>
      <c r="K731" s="439"/>
      <c r="L731" s="437"/>
      <c r="M731" s="437"/>
      <c r="N731" s="437"/>
      <c r="O731" s="437"/>
      <c r="P731" s="437"/>
      <c r="Q731" s="437"/>
      <c r="R731" s="437"/>
      <c r="S731" s="437"/>
      <c r="T731" s="437"/>
      <c r="U731" s="437"/>
      <c r="V731" s="437"/>
      <c r="W731" s="437"/>
      <c r="X731" s="437"/>
      <c r="Y731" s="437"/>
      <c r="Z731" s="437"/>
    </row>
    <row r="732" spans="8:26" ht="15.75" customHeight="1">
      <c r="H732" s="437"/>
      <c r="I732" s="437"/>
      <c r="J732" s="437"/>
      <c r="K732" s="439"/>
      <c r="L732" s="437"/>
      <c r="M732" s="437"/>
      <c r="N732" s="437"/>
      <c r="O732" s="437"/>
      <c r="P732" s="437"/>
      <c r="Q732" s="437"/>
      <c r="R732" s="437"/>
      <c r="S732" s="437"/>
      <c r="T732" s="437"/>
      <c r="U732" s="437"/>
      <c r="V732" s="437"/>
      <c r="W732" s="437"/>
      <c r="X732" s="437"/>
      <c r="Y732" s="437"/>
      <c r="Z732" s="437"/>
    </row>
    <row r="733" spans="8:26" ht="15.75" customHeight="1">
      <c r="H733" s="437"/>
      <c r="I733" s="437"/>
      <c r="J733" s="437"/>
      <c r="K733" s="439"/>
      <c r="L733" s="437"/>
      <c r="M733" s="437"/>
      <c r="N733" s="437"/>
      <c r="O733" s="437"/>
      <c r="P733" s="437"/>
      <c r="Q733" s="437"/>
      <c r="R733" s="437"/>
      <c r="S733" s="437"/>
      <c r="T733" s="437"/>
      <c r="U733" s="437"/>
      <c r="V733" s="437"/>
      <c r="W733" s="437"/>
      <c r="X733" s="437"/>
      <c r="Y733" s="437"/>
      <c r="Z733" s="437"/>
    </row>
    <row r="734" spans="8:26" ht="15.75" customHeight="1">
      <c r="H734" s="437"/>
      <c r="I734" s="437"/>
      <c r="J734" s="437"/>
      <c r="K734" s="439"/>
      <c r="L734" s="437"/>
      <c r="M734" s="437"/>
      <c r="N734" s="437"/>
      <c r="O734" s="437"/>
      <c r="P734" s="437"/>
      <c r="Q734" s="437"/>
      <c r="R734" s="437"/>
      <c r="S734" s="437"/>
      <c r="T734" s="437"/>
      <c r="U734" s="437"/>
      <c r="V734" s="437"/>
      <c r="W734" s="437"/>
      <c r="X734" s="437"/>
      <c r="Y734" s="437"/>
      <c r="Z734" s="437"/>
    </row>
    <row r="735" spans="8:26" ht="15.75" customHeight="1">
      <c r="H735" s="437"/>
      <c r="I735" s="437"/>
      <c r="J735" s="437"/>
      <c r="K735" s="439"/>
      <c r="L735" s="437"/>
      <c r="M735" s="437"/>
      <c r="N735" s="437"/>
      <c r="O735" s="437"/>
      <c r="P735" s="437"/>
      <c r="Q735" s="437"/>
      <c r="R735" s="437"/>
      <c r="S735" s="437"/>
      <c r="T735" s="437"/>
      <c r="U735" s="437"/>
      <c r="V735" s="437"/>
      <c r="W735" s="437"/>
      <c r="X735" s="437"/>
      <c r="Y735" s="437"/>
      <c r="Z735" s="437"/>
    </row>
    <row r="736" spans="8:26" ht="15.75" customHeight="1">
      <c r="H736" s="437"/>
      <c r="I736" s="437"/>
      <c r="J736" s="437"/>
      <c r="K736" s="439"/>
      <c r="L736" s="437"/>
      <c r="M736" s="437"/>
      <c r="N736" s="437"/>
      <c r="O736" s="437"/>
      <c r="P736" s="437"/>
      <c r="Q736" s="437"/>
      <c r="R736" s="437"/>
      <c r="S736" s="437"/>
      <c r="T736" s="437"/>
      <c r="U736" s="437"/>
      <c r="V736" s="437"/>
      <c r="W736" s="437"/>
      <c r="X736" s="437"/>
      <c r="Y736" s="437"/>
      <c r="Z736" s="437"/>
    </row>
    <row r="737" spans="8:26" ht="15.75" customHeight="1">
      <c r="H737" s="437"/>
      <c r="I737" s="437"/>
      <c r="J737" s="437"/>
      <c r="K737" s="439"/>
      <c r="L737" s="437"/>
      <c r="M737" s="437"/>
      <c r="N737" s="437"/>
      <c r="O737" s="437"/>
      <c r="P737" s="437"/>
      <c r="Q737" s="437"/>
      <c r="R737" s="437"/>
      <c r="S737" s="437"/>
      <c r="T737" s="437"/>
      <c r="U737" s="437"/>
      <c r="V737" s="437"/>
      <c r="W737" s="437"/>
      <c r="X737" s="437"/>
      <c r="Y737" s="437"/>
      <c r="Z737" s="437"/>
    </row>
    <row r="738" spans="8:26" ht="15.75" customHeight="1">
      <c r="H738" s="437"/>
      <c r="I738" s="437"/>
      <c r="J738" s="437"/>
      <c r="K738" s="439"/>
      <c r="L738" s="437"/>
      <c r="M738" s="437"/>
      <c r="N738" s="437"/>
      <c r="O738" s="437"/>
      <c r="P738" s="437"/>
      <c r="Q738" s="437"/>
      <c r="R738" s="437"/>
      <c r="S738" s="437"/>
      <c r="T738" s="437"/>
      <c r="U738" s="437"/>
      <c r="V738" s="437"/>
      <c r="W738" s="437"/>
      <c r="X738" s="437"/>
      <c r="Y738" s="437"/>
      <c r="Z738" s="437"/>
    </row>
    <row r="739" spans="8:26" ht="15.75" customHeight="1">
      <c r="H739" s="437"/>
      <c r="I739" s="437"/>
      <c r="J739" s="437"/>
      <c r="K739" s="439"/>
      <c r="L739" s="437"/>
      <c r="M739" s="437"/>
      <c r="N739" s="437"/>
      <c r="O739" s="437"/>
      <c r="P739" s="437"/>
      <c r="Q739" s="437"/>
      <c r="R739" s="437"/>
      <c r="S739" s="437"/>
      <c r="T739" s="437"/>
      <c r="U739" s="437"/>
      <c r="V739" s="437"/>
      <c r="W739" s="437"/>
      <c r="X739" s="437"/>
      <c r="Y739" s="437"/>
      <c r="Z739" s="437"/>
    </row>
    <row r="740" spans="8:26" ht="15.75" customHeight="1">
      <c r="H740" s="437"/>
      <c r="I740" s="437"/>
      <c r="J740" s="437"/>
      <c r="K740" s="439"/>
      <c r="L740" s="437"/>
      <c r="M740" s="437"/>
      <c r="N740" s="437"/>
      <c r="O740" s="437"/>
      <c r="P740" s="437"/>
      <c r="Q740" s="437"/>
      <c r="R740" s="437"/>
      <c r="S740" s="437"/>
      <c r="T740" s="437"/>
      <c r="U740" s="437"/>
      <c r="V740" s="437"/>
      <c r="W740" s="437"/>
      <c r="X740" s="437"/>
      <c r="Y740" s="437"/>
      <c r="Z740" s="437"/>
    </row>
    <row r="741" spans="8:26" ht="15.75" customHeight="1">
      <c r="H741" s="437"/>
      <c r="I741" s="437"/>
      <c r="J741" s="437"/>
      <c r="K741" s="439"/>
      <c r="L741" s="437"/>
      <c r="M741" s="437"/>
      <c r="N741" s="437"/>
      <c r="O741" s="437"/>
      <c r="P741" s="437"/>
      <c r="Q741" s="437"/>
      <c r="R741" s="437"/>
      <c r="S741" s="437"/>
      <c r="T741" s="437"/>
      <c r="U741" s="437"/>
      <c r="V741" s="437"/>
      <c r="W741" s="437"/>
      <c r="X741" s="437"/>
      <c r="Y741" s="437"/>
      <c r="Z741" s="437"/>
    </row>
    <row r="742" spans="8:26" ht="15.75" customHeight="1">
      <c r="H742" s="437"/>
      <c r="I742" s="437"/>
      <c r="J742" s="437"/>
      <c r="K742" s="439"/>
      <c r="L742" s="437"/>
      <c r="M742" s="437"/>
      <c r="N742" s="437"/>
      <c r="O742" s="437"/>
      <c r="P742" s="437"/>
      <c r="Q742" s="437"/>
      <c r="R742" s="437"/>
      <c r="S742" s="437"/>
      <c r="T742" s="437"/>
      <c r="U742" s="437"/>
      <c r="V742" s="437"/>
      <c r="W742" s="437"/>
      <c r="X742" s="437"/>
      <c r="Y742" s="437"/>
      <c r="Z742" s="437"/>
    </row>
    <row r="743" spans="8:26" ht="15.75" customHeight="1">
      <c r="H743" s="437"/>
      <c r="I743" s="437"/>
      <c r="J743" s="437"/>
      <c r="K743" s="439"/>
      <c r="L743" s="437"/>
      <c r="M743" s="437"/>
      <c r="N743" s="437"/>
      <c r="O743" s="437"/>
      <c r="P743" s="437"/>
      <c r="Q743" s="437"/>
      <c r="R743" s="437"/>
      <c r="S743" s="437"/>
      <c r="T743" s="437"/>
      <c r="U743" s="437"/>
      <c r="V743" s="437"/>
      <c r="W743" s="437"/>
      <c r="X743" s="437"/>
      <c r="Y743" s="437"/>
      <c r="Z743" s="437"/>
    </row>
    <row r="744" spans="8:26" ht="15.75" customHeight="1">
      <c r="H744" s="437"/>
      <c r="I744" s="437"/>
      <c r="J744" s="437"/>
      <c r="K744" s="439"/>
      <c r="L744" s="437"/>
      <c r="M744" s="437"/>
      <c r="N744" s="437"/>
      <c r="O744" s="437"/>
      <c r="P744" s="437"/>
      <c r="Q744" s="437"/>
      <c r="R744" s="437"/>
      <c r="S744" s="437"/>
      <c r="T744" s="437"/>
      <c r="U744" s="437"/>
      <c r="V744" s="437"/>
      <c r="W744" s="437"/>
      <c r="X744" s="437"/>
      <c r="Y744" s="437"/>
      <c r="Z744" s="437"/>
    </row>
    <row r="745" spans="8:26" ht="15.75" customHeight="1">
      <c r="H745" s="437"/>
      <c r="I745" s="437"/>
      <c r="J745" s="437"/>
      <c r="K745" s="439"/>
      <c r="L745" s="437"/>
      <c r="M745" s="437"/>
      <c r="N745" s="437"/>
      <c r="O745" s="437"/>
      <c r="P745" s="437"/>
      <c r="Q745" s="437"/>
      <c r="R745" s="437"/>
      <c r="S745" s="437"/>
      <c r="T745" s="437"/>
      <c r="U745" s="437"/>
      <c r="V745" s="437"/>
      <c r="W745" s="437"/>
      <c r="X745" s="437"/>
      <c r="Y745" s="437"/>
      <c r="Z745" s="437"/>
    </row>
    <row r="746" spans="8:26" ht="15.75" customHeight="1">
      <c r="H746" s="437"/>
      <c r="I746" s="437"/>
      <c r="J746" s="437"/>
      <c r="K746" s="439"/>
      <c r="L746" s="437"/>
      <c r="M746" s="437"/>
      <c r="N746" s="437"/>
      <c r="O746" s="437"/>
      <c r="P746" s="437"/>
      <c r="Q746" s="437"/>
      <c r="R746" s="437"/>
      <c r="S746" s="437"/>
      <c r="T746" s="437"/>
      <c r="U746" s="437"/>
      <c r="V746" s="437"/>
      <c r="W746" s="437"/>
      <c r="X746" s="437"/>
      <c r="Y746" s="437"/>
      <c r="Z746" s="437"/>
    </row>
    <row r="747" spans="8:26" ht="15.75" customHeight="1">
      <c r="H747" s="437"/>
      <c r="I747" s="437"/>
      <c r="J747" s="437"/>
      <c r="K747" s="439"/>
      <c r="L747" s="437"/>
      <c r="M747" s="437"/>
      <c r="N747" s="437"/>
      <c r="O747" s="437"/>
      <c r="P747" s="437"/>
      <c r="Q747" s="437"/>
      <c r="R747" s="437"/>
      <c r="S747" s="437"/>
      <c r="T747" s="437"/>
      <c r="U747" s="437"/>
      <c r="V747" s="437"/>
      <c r="W747" s="437"/>
      <c r="X747" s="437"/>
      <c r="Y747" s="437"/>
      <c r="Z747" s="437"/>
    </row>
    <row r="748" spans="8:26" ht="15.75" customHeight="1">
      <c r="H748" s="437"/>
      <c r="I748" s="437"/>
      <c r="J748" s="437"/>
      <c r="K748" s="439"/>
      <c r="L748" s="437"/>
      <c r="M748" s="437"/>
      <c r="N748" s="437"/>
      <c r="O748" s="437"/>
      <c r="P748" s="437"/>
      <c r="Q748" s="437"/>
      <c r="R748" s="437"/>
      <c r="S748" s="437"/>
      <c r="T748" s="437"/>
      <c r="U748" s="437"/>
      <c r="V748" s="437"/>
      <c r="W748" s="437"/>
      <c r="X748" s="437"/>
      <c r="Y748" s="437"/>
      <c r="Z748" s="437"/>
    </row>
    <row r="749" spans="8:26" ht="15.75" customHeight="1">
      <c r="H749" s="437"/>
      <c r="I749" s="437"/>
      <c r="J749" s="437"/>
      <c r="K749" s="439"/>
      <c r="L749" s="437"/>
      <c r="M749" s="437"/>
      <c r="N749" s="437"/>
      <c r="O749" s="437"/>
      <c r="P749" s="437"/>
      <c r="Q749" s="437"/>
      <c r="R749" s="437"/>
      <c r="S749" s="437"/>
      <c r="T749" s="437"/>
      <c r="U749" s="437"/>
      <c r="V749" s="437"/>
      <c r="W749" s="437"/>
      <c r="X749" s="437"/>
      <c r="Y749" s="437"/>
      <c r="Z749" s="437"/>
    </row>
    <row r="750" spans="8:26" ht="15.75" customHeight="1">
      <c r="H750" s="437"/>
      <c r="I750" s="437"/>
      <c r="J750" s="437"/>
      <c r="K750" s="439"/>
      <c r="L750" s="437"/>
      <c r="M750" s="437"/>
      <c r="N750" s="437"/>
      <c r="O750" s="437"/>
      <c r="P750" s="437"/>
      <c r="Q750" s="437"/>
      <c r="R750" s="437"/>
      <c r="S750" s="437"/>
      <c r="T750" s="437"/>
      <c r="U750" s="437"/>
      <c r="V750" s="437"/>
      <c r="W750" s="437"/>
      <c r="X750" s="437"/>
      <c r="Y750" s="437"/>
      <c r="Z750" s="437"/>
    </row>
    <row r="751" spans="8:26" ht="15.75" customHeight="1">
      <c r="H751" s="437"/>
      <c r="I751" s="437"/>
      <c r="J751" s="437"/>
      <c r="K751" s="439"/>
      <c r="L751" s="437"/>
      <c r="M751" s="437"/>
      <c r="N751" s="437"/>
      <c r="O751" s="437"/>
      <c r="P751" s="437"/>
      <c r="Q751" s="437"/>
      <c r="R751" s="437"/>
      <c r="S751" s="437"/>
      <c r="T751" s="437"/>
      <c r="U751" s="437"/>
      <c r="V751" s="437"/>
      <c r="W751" s="437"/>
      <c r="X751" s="437"/>
      <c r="Y751" s="437"/>
      <c r="Z751" s="437"/>
    </row>
    <row r="752" spans="8:26" ht="15.75" customHeight="1">
      <c r="H752" s="437"/>
      <c r="I752" s="437"/>
      <c r="J752" s="437"/>
      <c r="K752" s="439"/>
      <c r="L752" s="437"/>
      <c r="M752" s="437"/>
      <c r="N752" s="437"/>
      <c r="O752" s="437"/>
      <c r="P752" s="437"/>
      <c r="Q752" s="437"/>
      <c r="R752" s="437"/>
      <c r="S752" s="437"/>
      <c r="T752" s="437"/>
      <c r="U752" s="437"/>
      <c r="V752" s="437"/>
      <c r="W752" s="437"/>
      <c r="X752" s="437"/>
      <c r="Y752" s="437"/>
      <c r="Z752" s="437"/>
    </row>
    <row r="753" spans="8:26" ht="15.75" customHeight="1">
      <c r="H753" s="437"/>
      <c r="I753" s="437"/>
      <c r="J753" s="437"/>
      <c r="K753" s="439"/>
      <c r="L753" s="437"/>
      <c r="M753" s="437"/>
      <c r="N753" s="437"/>
      <c r="O753" s="437"/>
      <c r="P753" s="437"/>
      <c r="Q753" s="437"/>
      <c r="R753" s="437"/>
      <c r="S753" s="437"/>
      <c r="T753" s="437"/>
      <c r="U753" s="437"/>
      <c r="V753" s="437"/>
      <c r="W753" s="437"/>
      <c r="X753" s="437"/>
      <c r="Y753" s="437"/>
      <c r="Z753" s="437"/>
    </row>
    <row r="754" spans="8:26" ht="15.75" customHeight="1">
      <c r="H754" s="437"/>
      <c r="I754" s="437"/>
      <c r="J754" s="437"/>
      <c r="K754" s="439"/>
      <c r="L754" s="437"/>
      <c r="M754" s="437"/>
      <c r="N754" s="437"/>
      <c r="O754" s="437"/>
      <c r="P754" s="437"/>
      <c r="Q754" s="437"/>
      <c r="R754" s="437"/>
      <c r="S754" s="437"/>
      <c r="T754" s="437"/>
      <c r="U754" s="437"/>
      <c r="V754" s="437"/>
      <c r="W754" s="437"/>
      <c r="X754" s="437"/>
      <c r="Y754" s="437"/>
      <c r="Z754" s="437"/>
    </row>
    <row r="755" spans="8:26" ht="15.75" customHeight="1">
      <c r="H755" s="437"/>
      <c r="I755" s="437"/>
      <c r="J755" s="437"/>
      <c r="K755" s="439"/>
      <c r="L755" s="437"/>
      <c r="M755" s="437"/>
      <c r="N755" s="437"/>
      <c r="O755" s="437"/>
      <c r="P755" s="437"/>
      <c r="Q755" s="437"/>
      <c r="R755" s="437"/>
      <c r="S755" s="437"/>
      <c r="T755" s="437"/>
      <c r="U755" s="437"/>
      <c r="V755" s="437"/>
      <c r="W755" s="437"/>
      <c r="X755" s="437"/>
      <c r="Y755" s="437"/>
      <c r="Z755" s="437"/>
    </row>
    <row r="756" spans="8:26" ht="15.75" customHeight="1">
      <c r="H756" s="437"/>
      <c r="I756" s="437"/>
      <c r="J756" s="437"/>
      <c r="K756" s="439"/>
      <c r="L756" s="437"/>
      <c r="M756" s="437"/>
      <c r="N756" s="437"/>
      <c r="O756" s="437"/>
      <c r="P756" s="437"/>
      <c r="Q756" s="437"/>
      <c r="R756" s="437"/>
      <c r="S756" s="437"/>
      <c r="T756" s="437"/>
      <c r="U756" s="437"/>
      <c r="V756" s="437"/>
      <c r="W756" s="437"/>
      <c r="X756" s="437"/>
      <c r="Y756" s="437"/>
      <c r="Z756" s="437"/>
    </row>
    <row r="757" spans="8:26" ht="15.75" customHeight="1">
      <c r="H757" s="437"/>
      <c r="I757" s="437"/>
      <c r="J757" s="437"/>
      <c r="K757" s="439"/>
      <c r="L757" s="437"/>
      <c r="M757" s="437"/>
      <c r="N757" s="437"/>
      <c r="O757" s="437"/>
      <c r="P757" s="437"/>
      <c r="Q757" s="437"/>
      <c r="R757" s="437"/>
      <c r="S757" s="437"/>
      <c r="T757" s="437"/>
      <c r="U757" s="437"/>
      <c r="V757" s="437"/>
      <c r="W757" s="437"/>
      <c r="X757" s="437"/>
      <c r="Y757" s="437"/>
      <c r="Z757" s="437"/>
    </row>
    <row r="758" spans="8:26" ht="15.75" customHeight="1">
      <c r="H758" s="437"/>
      <c r="I758" s="437"/>
      <c r="J758" s="437"/>
      <c r="K758" s="439"/>
      <c r="L758" s="437"/>
      <c r="M758" s="437"/>
      <c r="N758" s="437"/>
      <c r="O758" s="437"/>
      <c r="P758" s="437"/>
      <c r="Q758" s="437"/>
      <c r="R758" s="437"/>
      <c r="S758" s="437"/>
      <c r="T758" s="437"/>
      <c r="U758" s="437"/>
      <c r="V758" s="437"/>
      <c r="W758" s="437"/>
      <c r="X758" s="437"/>
      <c r="Y758" s="437"/>
      <c r="Z758" s="437"/>
    </row>
    <row r="759" spans="8:26" ht="15.75" customHeight="1">
      <c r="H759" s="437"/>
      <c r="I759" s="437"/>
      <c r="J759" s="437"/>
      <c r="K759" s="439"/>
      <c r="L759" s="437"/>
      <c r="M759" s="437"/>
      <c r="N759" s="437"/>
      <c r="O759" s="437"/>
      <c r="P759" s="437"/>
      <c r="Q759" s="437"/>
      <c r="R759" s="437"/>
      <c r="S759" s="437"/>
      <c r="T759" s="437"/>
      <c r="U759" s="437"/>
      <c r="V759" s="437"/>
      <c r="W759" s="437"/>
      <c r="X759" s="437"/>
      <c r="Y759" s="437"/>
      <c r="Z759" s="437"/>
    </row>
    <row r="760" spans="8:26" ht="15.75" customHeight="1">
      <c r="H760" s="437"/>
      <c r="I760" s="437"/>
      <c r="J760" s="437"/>
      <c r="K760" s="439"/>
      <c r="L760" s="437"/>
      <c r="M760" s="437"/>
      <c r="N760" s="437"/>
      <c r="O760" s="437"/>
      <c r="P760" s="437"/>
      <c r="Q760" s="437"/>
      <c r="R760" s="437"/>
      <c r="S760" s="437"/>
      <c r="T760" s="437"/>
      <c r="U760" s="437"/>
      <c r="V760" s="437"/>
      <c r="W760" s="437"/>
      <c r="X760" s="437"/>
      <c r="Y760" s="437"/>
      <c r="Z760" s="437"/>
    </row>
    <row r="761" spans="8:26" ht="15.75" customHeight="1">
      <c r="H761" s="437"/>
      <c r="I761" s="437"/>
      <c r="J761" s="437"/>
      <c r="K761" s="439"/>
      <c r="L761" s="437"/>
      <c r="M761" s="437"/>
      <c r="N761" s="437"/>
      <c r="O761" s="437"/>
      <c r="P761" s="437"/>
      <c r="Q761" s="437"/>
      <c r="R761" s="437"/>
      <c r="S761" s="437"/>
      <c r="T761" s="437"/>
      <c r="U761" s="437"/>
      <c r="V761" s="437"/>
      <c r="W761" s="437"/>
      <c r="X761" s="437"/>
      <c r="Y761" s="437"/>
      <c r="Z761" s="437"/>
    </row>
    <row r="762" spans="8:26" ht="15.75" customHeight="1">
      <c r="H762" s="437"/>
      <c r="I762" s="437"/>
      <c r="J762" s="437"/>
      <c r="K762" s="439"/>
      <c r="L762" s="437"/>
      <c r="M762" s="437"/>
      <c r="N762" s="437"/>
      <c r="O762" s="437"/>
      <c r="P762" s="437"/>
      <c r="Q762" s="437"/>
      <c r="R762" s="437"/>
      <c r="S762" s="437"/>
      <c r="T762" s="437"/>
      <c r="U762" s="437"/>
      <c r="V762" s="437"/>
      <c r="W762" s="437"/>
      <c r="X762" s="437"/>
      <c r="Y762" s="437"/>
      <c r="Z762" s="437"/>
    </row>
    <row r="763" spans="8:26" ht="15.75" customHeight="1">
      <c r="H763" s="437"/>
      <c r="I763" s="437"/>
      <c r="J763" s="437"/>
      <c r="K763" s="439"/>
      <c r="L763" s="437"/>
      <c r="M763" s="437"/>
      <c r="N763" s="437"/>
      <c r="O763" s="437"/>
      <c r="P763" s="437"/>
      <c r="Q763" s="437"/>
      <c r="R763" s="437"/>
      <c r="S763" s="437"/>
      <c r="T763" s="437"/>
      <c r="U763" s="437"/>
      <c r="V763" s="437"/>
      <c r="W763" s="437"/>
      <c r="X763" s="437"/>
      <c r="Y763" s="437"/>
      <c r="Z763" s="437"/>
    </row>
    <row r="764" spans="8:26" ht="15.75" customHeight="1">
      <c r="H764" s="437"/>
      <c r="I764" s="437"/>
      <c r="J764" s="437"/>
      <c r="K764" s="439"/>
      <c r="L764" s="437"/>
      <c r="M764" s="437"/>
      <c r="N764" s="437"/>
      <c r="O764" s="437"/>
      <c r="P764" s="437"/>
      <c r="Q764" s="437"/>
      <c r="R764" s="437"/>
      <c r="S764" s="437"/>
      <c r="T764" s="437"/>
      <c r="U764" s="437"/>
      <c r="V764" s="437"/>
      <c r="W764" s="437"/>
      <c r="X764" s="437"/>
      <c r="Y764" s="437"/>
      <c r="Z764" s="437"/>
    </row>
    <row r="765" spans="8:26" ht="15.75" customHeight="1">
      <c r="H765" s="437"/>
      <c r="I765" s="437"/>
      <c r="J765" s="437"/>
      <c r="K765" s="439"/>
      <c r="L765" s="437"/>
      <c r="M765" s="437"/>
      <c r="N765" s="437"/>
      <c r="O765" s="437"/>
      <c r="P765" s="437"/>
      <c r="Q765" s="437"/>
      <c r="R765" s="437"/>
      <c r="S765" s="437"/>
      <c r="T765" s="437"/>
      <c r="U765" s="437"/>
      <c r="V765" s="437"/>
      <c r="W765" s="437"/>
      <c r="X765" s="437"/>
      <c r="Y765" s="437"/>
      <c r="Z765" s="437"/>
    </row>
    <row r="766" spans="8:26" ht="15.75" customHeight="1">
      <c r="H766" s="437"/>
      <c r="I766" s="437"/>
      <c r="J766" s="437"/>
      <c r="K766" s="439"/>
      <c r="L766" s="437"/>
      <c r="M766" s="437"/>
      <c r="N766" s="437"/>
      <c r="O766" s="437"/>
      <c r="P766" s="437"/>
      <c r="Q766" s="437"/>
      <c r="R766" s="437"/>
      <c r="S766" s="437"/>
      <c r="T766" s="437"/>
      <c r="U766" s="437"/>
      <c r="V766" s="437"/>
      <c r="W766" s="437"/>
      <c r="X766" s="437"/>
      <c r="Y766" s="437"/>
      <c r="Z766" s="437"/>
    </row>
    <row r="767" spans="8:26" ht="15.75" customHeight="1">
      <c r="H767" s="437"/>
      <c r="I767" s="437"/>
      <c r="J767" s="437"/>
      <c r="K767" s="439"/>
      <c r="L767" s="437"/>
      <c r="M767" s="437"/>
      <c r="N767" s="437"/>
      <c r="O767" s="437"/>
      <c r="P767" s="437"/>
      <c r="Q767" s="437"/>
      <c r="R767" s="437"/>
      <c r="S767" s="437"/>
      <c r="T767" s="437"/>
      <c r="U767" s="437"/>
      <c r="V767" s="437"/>
      <c r="W767" s="437"/>
      <c r="X767" s="437"/>
      <c r="Y767" s="437"/>
      <c r="Z767" s="437"/>
    </row>
    <row r="768" spans="8:26" ht="15.75" customHeight="1">
      <c r="H768" s="437"/>
      <c r="I768" s="437"/>
      <c r="J768" s="437"/>
      <c r="K768" s="439"/>
      <c r="L768" s="437"/>
      <c r="M768" s="437"/>
      <c r="N768" s="437"/>
      <c r="O768" s="437"/>
      <c r="P768" s="437"/>
      <c r="Q768" s="437"/>
      <c r="R768" s="437"/>
      <c r="S768" s="437"/>
      <c r="T768" s="437"/>
      <c r="U768" s="437"/>
      <c r="V768" s="437"/>
      <c r="W768" s="437"/>
      <c r="X768" s="437"/>
      <c r="Y768" s="437"/>
      <c r="Z768" s="437"/>
    </row>
    <row r="769" spans="8:26" ht="15.75" customHeight="1">
      <c r="H769" s="437"/>
      <c r="I769" s="437"/>
      <c r="J769" s="437"/>
      <c r="K769" s="439"/>
      <c r="L769" s="437"/>
      <c r="M769" s="437"/>
      <c r="N769" s="437"/>
      <c r="O769" s="437"/>
      <c r="P769" s="437"/>
      <c r="Q769" s="437"/>
      <c r="R769" s="437"/>
      <c r="S769" s="437"/>
      <c r="T769" s="437"/>
      <c r="U769" s="437"/>
      <c r="V769" s="437"/>
      <c r="W769" s="437"/>
      <c r="X769" s="437"/>
      <c r="Y769" s="437"/>
      <c r="Z769" s="437"/>
    </row>
    <row r="770" spans="8:26" ht="15.75" customHeight="1">
      <c r="H770" s="437"/>
      <c r="I770" s="437"/>
      <c r="J770" s="437"/>
      <c r="K770" s="439"/>
      <c r="L770" s="437"/>
      <c r="M770" s="437"/>
      <c r="N770" s="437"/>
      <c r="O770" s="437"/>
      <c r="P770" s="437"/>
      <c r="Q770" s="437"/>
      <c r="R770" s="437"/>
      <c r="S770" s="437"/>
      <c r="T770" s="437"/>
      <c r="U770" s="437"/>
      <c r="V770" s="437"/>
      <c r="W770" s="437"/>
      <c r="X770" s="437"/>
      <c r="Y770" s="437"/>
      <c r="Z770" s="437"/>
    </row>
    <row r="771" spans="8:26" ht="15.75" customHeight="1">
      <c r="H771" s="437"/>
      <c r="I771" s="437"/>
      <c r="J771" s="437"/>
      <c r="K771" s="439"/>
      <c r="L771" s="437"/>
      <c r="M771" s="437"/>
      <c r="N771" s="437"/>
      <c r="O771" s="437"/>
      <c r="P771" s="437"/>
      <c r="Q771" s="437"/>
      <c r="R771" s="437"/>
      <c r="S771" s="437"/>
      <c r="T771" s="437"/>
      <c r="U771" s="437"/>
      <c r="V771" s="437"/>
      <c r="W771" s="437"/>
      <c r="X771" s="437"/>
      <c r="Y771" s="437"/>
      <c r="Z771" s="437"/>
    </row>
    <row r="772" spans="8:26" ht="15.75" customHeight="1">
      <c r="H772" s="437"/>
      <c r="I772" s="437"/>
      <c r="J772" s="437"/>
      <c r="K772" s="439"/>
      <c r="L772" s="437"/>
      <c r="M772" s="437"/>
      <c r="N772" s="437"/>
      <c r="O772" s="437"/>
      <c r="P772" s="437"/>
      <c r="Q772" s="437"/>
      <c r="R772" s="437"/>
      <c r="S772" s="437"/>
      <c r="T772" s="437"/>
      <c r="U772" s="437"/>
      <c r="V772" s="437"/>
      <c r="W772" s="437"/>
      <c r="X772" s="437"/>
      <c r="Y772" s="437"/>
      <c r="Z772" s="437"/>
    </row>
    <row r="773" spans="8:26" ht="15.75" customHeight="1">
      <c r="H773" s="437"/>
      <c r="I773" s="437"/>
      <c r="J773" s="437"/>
      <c r="K773" s="439"/>
      <c r="L773" s="437"/>
      <c r="M773" s="437"/>
      <c r="N773" s="437"/>
      <c r="O773" s="437"/>
      <c r="P773" s="437"/>
      <c r="Q773" s="437"/>
      <c r="R773" s="437"/>
      <c r="S773" s="437"/>
      <c r="T773" s="437"/>
      <c r="U773" s="437"/>
      <c r="V773" s="437"/>
      <c r="W773" s="437"/>
      <c r="X773" s="437"/>
      <c r="Y773" s="437"/>
      <c r="Z773" s="437"/>
    </row>
    <row r="774" spans="8:26" ht="15.75" customHeight="1">
      <c r="H774" s="437"/>
      <c r="I774" s="437"/>
      <c r="J774" s="437"/>
      <c r="K774" s="439"/>
      <c r="L774" s="437"/>
      <c r="M774" s="437"/>
      <c r="N774" s="437"/>
      <c r="O774" s="437"/>
      <c r="P774" s="437"/>
      <c r="Q774" s="437"/>
      <c r="R774" s="437"/>
      <c r="S774" s="437"/>
      <c r="T774" s="437"/>
      <c r="U774" s="437"/>
      <c r="V774" s="437"/>
      <c r="W774" s="437"/>
      <c r="X774" s="437"/>
      <c r="Y774" s="437"/>
      <c r="Z774" s="437"/>
    </row>
    <row r="775" spans="8:26" ht="15.75" customHeight="1">
      <c r="H775" s="437"/>
      <c r="I775" s="437"/>
      <c r="J775" s="437"/>
      <c r="K775" s="439"/>
      <c r="L775" s="437"/>
      <c r="M775" s="437"/>
      <c r="N775" s="437"/>
      <c r="O775" s="437"/>
      <c r="P775" s="437"/>
      <c r="Q775" s="437"/>
      <c r="R775" s="437"/>
      <c r="S775" s="437"/>
      <c r="T775" s="437"/>
      <c r="U775" s="437"/>
      <c r="V775" s="437"/>
      <c r="W775" s="437"/>
      <c r="X775" s="437"/>
      <c r="Y775" s="437"/>
      <c r="Z775" s="437"/>
    </row>
    <row r="776" spans="8:26" ht="15.75" customHeight="1">
      <c r="H776" s="437"/>
      <c r="I776" s="437"/>
      <c r="J776" s="437"/>
      <c r="K776" s="439"/>
      <c r="L776" s="437"/>
      <c r="M776" s="437"/>
      <c r="N776" s="437"/>
      <c r="O776" s="437"/>
      <c r="P776" s="437"/>
      <c r="Q776" s="437"/>
      <c r="R776" s="437"/>
      <c r="S776" s="437"/>
      <c r="T776" s="437"/>
      <c r="U776" s="437"/>
      <c r="V776" s="437"/>
      <c r="W776" s="437"/>
      <c r="X776" s="437"/>
      <c r="Y776" s="437"/>
      <c r="Z776" s="437"/>
    </row>
    <row r="777" spans="8:26" ht="15.75" customHeight="1">
      <c r="H777" s="437"/>
      <c r="I777" s="437"/>
      <c r="J777" s="437"/>
      <c r="K777" s="439"/>
      <c r="L777" s="437"/>
      <c r="M777" s="437"/>
      <c r="N777" s="437"/>
      <c r="O777" s="437"/>
      <c r="P777" s="437"/>
      <c r="Q777" s="437"/>
      <c r="R777" s="437"/>
      <c r="S777" s="437"/>
      <c r="T777" s="437"/>
      <c r="U777" s="437"/>
      <c r="V777" s="437"/>
      <c r="W777" s="437"/>
      <c r="X777" s="437"/>
      <c r="Y777" s="437"/>
      <c r="Z777" s="437"/>
    </row>
    <row r="778" spans="8:26" ht="15.75" customHeight="1">
      <c r="H778" s="437"/>
      <c r="I778" s="437"/>
      <c r="J778" s="437"/>
      <c r="K778" s="439"/>
      <c r="L778" s="437"/>
      <c r="M778" s="437"/>
      <c r="N778" s="437"/>
      <c r="O778" s="437"/>
      <c r="P778" s="437"/>
      <c r="Q778" s="437"/>
      <c r="R778" s="437"/>
      <c r="S778" s="437"/>
      <c r="T778" s="437"/>
      <c r="U778" s="437"/>
      <c r="V778" s="437"/>
      <c r="W778" s="437"/>
      <c r="X778" s="437"/>
      <c r="Y778" s="437"/>
      <c r="Z778" s="437"/>
    </row>
    <row r="779" spans="8:26" ht="15.75" customHeight="1">
      <c r="H779" s="437"/>
      <c r="I779" s="437"/>
      <c r="J779" s="437"/>
      <c r="K779" s="439"/>
      <c r="L779" s="437"/>
      <c r="M779" s="437"/>
      <c r="N779" s="437"/>
      <c r="O779" s="437"/>
      <c r="P779" s="437"/>
      <c r="Q779" s="437"/>
      <c r="R779" s="437"/>
      <c r="S779" s="437"/>
      <c r="T779" s="437"/>
      <c r="U779" s="437"/>
      <c r="V779" s="437"/>
      <c r="W779" s="437"/>
      <c r="X779" s="437"/>
      <c r="Y779" s="437"/>
      <c r="Z779" s="437"/>
    </row>
    <row r="780" spans="8:26" ht="15.75" customHeight="1">
      <c r="H780" s="437"/>
      <c r="I780" s="437"/>
      <c r="J780" s="437"/>
      <c r="K780" s="439"/>
      <c r="L780" s="437"/>
      <c r="M780" s="437"/>
      <c r="N780" s="437"/>
      <c r="O780" s="437"/>
      <c r="P780" s="437"/>
      <c r="Q780" s="437"/>
      <c r="R780" s="437"/>
      <c r="S780" s="437"/>
      <c r="T780" s="437"/>
      <c r="U780" s="437"/>
      <c r="V780" s="437"/>
      <c r="W780" s="437"/>
      <c r="X780" s="437"/>
      <c r="Y780" s="437"/>
      <c r="Z780" s="437"/>
    </row>
    <row r="781" spans="8:26" ht="15.75" customHeight="1">
      <c r="H781" s="437"/>
      <c r="I781" s="437"/>
      <c r="J781" s="437"/>
      <c r="K781" s="439"/>
      <c r="L781" s="437"/>
      <c r="M781" s="437"/>
      <c r="N781" s="437"/>
      <c r="O781" s="437"/>
      <c r="P781" s="437"/>
      <c r="Q781" s="437"/>
      <c r="R781" s="437"/>
      <c r="S781" s="437"/>
      <c r="T781" s="437"/>
      <c r="U781" s="437"/>
      <c r="V781" s="437"/>
      <c r="W781" s="437"/>
      <c r="X781" s="437"/>
      <c r="Y781" s="437"/>
      <c r="Z781" s="437"/>
    </row>
    <row r="782" spans="8:26" ht="15.75" customHeight="1">
      <c r="H782" s="437"/>
      <c r="I782" s="437"/>
      <c r="J782" s="437"/>
      <c r="K782" s="439"/>
      <c r="L782" s="437"/>
      <c r="M782" s="437"/>
      <c r="N782" s="437"/>
      <c r="O782" s="437"/>
      <c r="P782" s="437"/>
      <c r="Q782" s="437"/>
      <c r="R782" s="437"/>
      <c r="S782" s="437"/>
      <c r="T782" s="437"/>
      <c r="U782" s="437"/>
      <c r="V782" s="437"/>
      <c r="W782" s="437"/>
      <c r="X782" s="437"/>
      <c r="Y782" s="437"/>
      <c r="Z782" s="437"/>
    </row>
    <row r="783" spans="8:26" ht="15.75" customHeight="1">
      <c r="H783" s="437"/>
      <c r="I783" s="437"/>
      <c r="J783" s="437"/>
      <c r="K783" s="439"/>
      <c r="L783" s="437"/>
      <c r="M783" s="437"/>
      <c r="N783" s="437"/>
      <c r="O783" s="437"/>
      <c r="P783" s="437"/>
      <c r="Q783" s="437"/>
      <c r="R783" s="437"/>
      <c r="S783" s="437"/>
      <c r="T783" s="437"/>
      <c r="U783" s="437"/>
      <c r="V783" s="437"/>
      <c r="W783" s="437"/>
      <c r="X783" s="437"/>
      <c r="Y783" s="437"/>
      <c r="Z783" s="437"/>
    </row>
    <row r="784" spans="8:26" ht="15.75" customHeight="1">
      <c r="H784" s="437"/>
      <c r="I784" s="437"/>
      <c r="J784" s="437"/>
      <c r="K784" s="439"/>
      <c r="L784" s="437"/>
      <c r="M784" s="437"/>
      <c r="N784" s="437"/>
      <c r="O784" s="437"/>
      <c r="P784" s="437"/>
      <c r="Q784" s="437"/>
      <c r="R784" s="437"/>
      <c r="S784" s="437"/>
      <c r="T784" s="437"/>
      <c r="U784" s="437"/>
      <c r="V784" s="437"/>
      <c r="W784" s="437"/>
      <c r="X784" s="437"/>
      <c r="Y784" s="437"/>
      <c r="Z784" s="437"/>
    </row>
    <row r="785" spans="8:26" ht="15.75" customHeight="1">
      <c r="H785" s="437"/>
      <c r="I785" s="437"/>
      <c r="J785" s="437"/>
      <c r="K785" s="439"/>
      <c r="L785" s="437"/>
      <c r="M785" s="437"/>
      <c r="N785" s="437"/>
      <c r="O785" s="437"/>
      <c r="P785" s="437"/>
      <c r="Q785" s="437"/>
      <c r="R785" s="437"/>
      <c r="S785" s="437"/>
      <c r="T785" s="437"/>
      <c r="U785" s="437"/>
      <c r="V785" s="437"/>
      <c r="W785" s="437"/>
      <c r="X785" s="437"/>
      <c r="Y785" s="437"/>
      <c r="Z785" s="437"/>
    </row>
    <row r="786" spans="8:26" ht="15.75" customHeight="1">
      <c r="H786" s="437"/>
      <c r="I786" s="437"/>
      <c r="J786" s="437"/>
      <c r="K786" s="439"/>
      <c r="L786" s="437"/>
      <c r="M786" s="437"/>
      <c r="N786" s="437"/>
      <c r="O786" s="437"/>
      <c r="P786" s="437"/>
      <c r="Q786" s="437"/>
      <c r="R786" s="437"/>
      <c r="S786" s="437"/>
      <c r="T786" s="437"/>
      <c r="U786" s="437"/>
      <c r="V786" s="437"/>
      <c r="W786" s="437"/>
      <c r="X786" s="437"/>
      <c r="Y786" s="437"/>
      <c r="Z786" s="437"/>
    </row>
    <row r="787" spans="8:26" ht="15.75" customHeight="1">
      <c r="H787" s="437"/>
      <c r="I787" s="437"/>
      <c r="J787" s="437"/>
      <c r="K787" s="439"/>
      <c r="L787" s="437"/>
      <c r="M787" s="437"/>
      <c r="N787" s="437"/>
      <c r="O787" s="437"/>
      <c r="P787" s="437"/>
      <c r="Q787" s="437"/>
      <c r="R787" s="437"/>
      <c r="S787" s="437"/>
      <c r="T787" s="437"/>
      <c r="U787" s="437"/>
      <c r="V787" s="437"/>
      <c r="W787" s="437"/>
      <c r="X787" s="437"/>
      <c r="Y787" s="437"/>
      <c r="Z787" s="437"/>
    </row>
    <row r="788" spans="8:26" ht="15.75" customHeight="1">
      <c r="H788" s="437"/>
      <c r="I788" s="437"/>
      <c r="J788" s="437"/>
      <c r="K788" s="439"/>
      <c r="L788" s="437"/>
      <c r="M788" s="437"/>
      <c r="N788" s="437"/>
      <c r="O788" s="437"/>
      <c r="P788" s="437"/>
      <c r="Q788" s="437"/>
      <c r="R788" s="437"/>
      <c r="S788" s="437"/>
      <c r="T788" s="437"/>
      <c r="U788" s="437"/>
      <c r="V788" s="437"/>
      <c r="W788" s="437"/>
      <c r="X788" s="437"/>
      <c r="Y788" s="437"/>
      <c r="Z788" s="437"/>
    </row>
    <row r="789" spans="8:26" ht="15.75" customHeight="1">
      <c r="H789" s="437"/>
      <c r="I789" s="437"/>
      <c r="J789" s="437"/>
      <c r="K789" s="439"/>
      <c r="L789" s="437"/>
      <c r="M789" s="437"/>
      <c r="N789" s="437"/>
      <c r="O789" s="437"/>
      <c r="P789" s="437"/>
      <c r="Q789" s="437"/>
      <c r="R789" s="437"/>
      <c r="S789" s="437"/>
      <c r="T789" s="437"/>
      <c r="U789" s="437"/>
      <c r="V789" s="437"/>
      <c r="W789" s="437"/>
      <c r="X789" s="437"/>
      <c r="Y789" s="437"/>
      <c r="Z789" s="437"/>
    </row>
    <row r="790" spans="8:26" ht="15.75" customHeight="1">
      <c r="H790" s="437"/>
      <c r="I790" s="437"/>
      <c r="J790" s="437"/>
      <c r="K790" s="439"/>
      <c r="L790" s="437"/>
      <c r="M790" s="437"/>
      <c r="N790" s="437"/>
      <c r="O790" s="437"/>
      <c r="P790" s="437"/>
      <c r="Q790" s="437"/>
      <c r="R790" s="437"/>
      <c r="S790" s="437"/>
      <c r="T790" s="437"/>
      <c r="U790" s="437"/>
      <c r="V790" s="437"/>
      <c r="W790" s="437"/>
      <c r="X790" s="437"/>
      <c r="Y790" s="437"/>
      <c r="Z790" s="437"/>
    </row>
    <row r="791" spans="8:26" ht="15.75" customHeight="1">
      <c r="H791" s="437"/>
      <c r="I791" s="437"/>
      <c r="J791" s="437"/>
      <c r="K791" s="439"/>
      <c r="L791" s="437"/>
      <c r="M791" s="437"/>
      <c r="N791" s="437"/>
      <c r="O791" s="437"/>
      <c r="P791" s="437"/>
      <c r="Q791" s="437"/>
      <c r="R791" s="437"/>
      <c r="S791" s="437"/>
      <c r="T791" s="437"/>
      <c r="U791" s="437"/>
      <c r="V791" s="437"/>
      <c r="W791" s="437"/>
      <c r="X791" s="437"/>
      <c r="Y791" s="437"/>
      <c r="Z791" s="437"/>
    </row>
    <row r="792" spans="8:26" ht="15.75" customHeight="1">
      <c r="H792" s="437"/>
      <c r="I792" s="437"/>
      <c r="J792" s="437"/>
      <c r="K792" s="439"/>
      <c r="L792" s="437"/>
      <c r="M792" s="437"/>
      <c r="N792" s="437"/>
      <c r="O792" s="437"/>
      <c r="P792" s="437"/>
      <c r="Q792" s="437"/>
      <c r="R792" s="437"/>
      <c r="S792" s="437"/>
      <c r="T792" s="437"/>
      <c r="U792" s="437"/>
      <c r="V792" s="437"/>
      <c r="W792" s="437"/>
      <c r="X792" s="437"/>
      <c r="Y792" s="437"/>
      <c r="Z792" s="437"/>
    </row>
    <row r="793" spans="8:26" ht="15.75" customHeight="1">
      <c r="H793" s="437"/>
      <c r="I793" s="437"/>
      <c r="J793" s="437"/>
      <c r="K793" s="439"/>
      <c r="L793" s="437"/>
      <c r="M793" s="437"/>
      <c r="N793" s="437"/>
      <c r="O793" s="437"/>
      <c r="P793" s="437"/>
      <c r="Q793" s="437"/>
      <c r="R793" s="437"/>
      <c r="S793" s="437"/>
      <c r="T793" s="437"/>
      <c r="U793" s="437"/>
      <c r="V793" s="437"/>
      <c r="W793" s="437"/>
      <c r="X793" s="437"/>
      <c r="Y793" s="437"/>
      <c r="Z793" s="437"/>
    </row>
    <row r="794" spans="8:26" ht="15.75" customHeight="1">
      <c r="H794" s="437"/>
      <c r="I794" s="437"/>
      <c r="J794" s="437"/>
      <c r="K794" s="439"/>
      <c r="L794" s="437"/>
      <c r="M794" s="437"/>
      <c r="N794" s="437"/>
      <c r="O794" s="437"/>
      <c r="P794" s="437"/>
      <c r="Q794" s="437"/>
      <c r="R794" s="437"/>
      <c r="S794" s="437"/>
      <c r="T794" s="437"/>
      <c r="U794" s="437"/>
      <c r="V794" s="437"/>
      <c r="W794" s="437"/>
      <c r="X794" s="437"/>
      <c r="Y794" s="437"/>
      <c r="Z794" s="437"/>
    </row>
    <row r="795" spans="8:26" ht="15.75" customHeight="1">
      <c r="H795" s="437"/>
      <c r="I795" s="437"/>
      <c r="J795" s="437"/>
      <c r="K795" s="439"/>
      <c r="L795" s="437"/>
      <c r="M795" s="437"/>
      <c r="N795" s="437"/>
      <c r="O795" s="437"/>
      <c r="P795" s="437"/>
      <c r="Q795" s="437"/>
      <c r="R795" s="437"/>
      <c r="S795" s="437"/>
      <c r="T795" s="437"/>
      <c r="U795" s="437"/>
      <c r="V795" s="437"/>
      <c r="W795" s="437"/>
      <c r="X795" s="437"/>
      <c r="Y795" s="437"/>
      <c r="Z795" s="437"/>
    </row>
    <row r="796" spans="8:26" ht="15.75" customHeight="1">
      <c r="H796" s="437"/>
      <c r="I796" s="437"/>
      <c r="J796" s="437"/>
      <c r="K796" s="439"/>
      <c r="L796" s="437"/>
      <c r="M796" s="437"/>
      <c r="N796" s="437"/>
      <c r="O796" s="437"/>
      <c r="P796" s="437"/>
      <c r="Q796" s="437"/>
      <c r="R796" s="437"/>
      <c r="S796" s="437"/>
      <c r="T796" s="437"/>
      <c r="U796" s="437"/>
      <c r="V796" s="437"/>
      <c r="W796" s="437"/>
      <c r="X796" s="437"/>
      <c r="Y796" s="437"/>
      <c r="Z796" s="437"/>
    </row>
    <row r="797" spans="8:26" ht="15.75" customHeight="1">
      <c r="H797" s="437"/>
      <c r="I797" s="437"/>
      <c r="J797" s="437"/>
      <c r="K797" s="439"/>
      <c r="L797" s="437"/>
      <c r="M797" s="437"/>
      <c r="N797" s="437"/>
      <c r="O797" s="437"/>
      <c r="P797" s="437"/>
      <c r="Q797" s="437"/>
      <c r="R797" s="437"/>
      <c r="S797" s="437"/>
      <c r="T797" s="437"/>
      <c r="U797" s="437"/>
      <c r="V797" s="437"/>
      <c r="W797" s="437"/>
      <c r="X797" s="437"/>
      <c r="Y797" s="437"/>
      <c r="Z797" s="437"/>
    </row>
    <row r="798" spans="8:26" ht="15.75" customHeight="1">
      <c r="H798" s="437"/>
      <c r="I798" s="437"/>
      <c r="J798" s="437"/>
      <c r="K798" s="439"/>
      <c r="L798" s="437"/>
      <c r="M798" s="437"/>
      <c r="N798" s="437"/>
      <c r="O798" s="437"/>
      <c r="P798" s="437"/>
      <c r="Q798" s="437"/>
      <c r="R798" s="437"/>
      <c r="S798" s="437"/>
      <c r="T798" s="437"/>
      <c r="U798" s="437"/>
      <c r="V798" s="437"/>
      <c r="W798" s="437"/>
      <c r="X798" s="437"/>
      <c r="Y798" s="437"/>
      <c r="Z798" s="437"/>
    </row>
    <row r="799" spans="8:26" ht="15.75" customHeight="1">
      <c r="H799" s="437"/>
      <c r="I799" s="437"/>
      <c r="J799" s="437"/>
      <c r="K799" s="439"/>
      <c r="L799" s="437"/>
      <c r="M799" s="437"/>
      <c r="N799" s="437"/>
      <c r="O799" s="437"/>
      <c r="P799" s="437"/>
      <c r="Q799" s="437"/>
      <c r="R799" s="437"/>
      <c r="S799" s="437"/>
      <c r="T799" s="437"/>
      <c r="U799" s="437"/>
      <c r="V799" s="437"/>
      <c r="W799" s="437"/>
      <c r="X799" s="437"/>
      <c r="Y799" s="437"/>
      <c r="Z799" s="437"/>
    </row>
    <row r="800" spans="8:26" ht="15.75" customHeight="1">
      <c r="H800" s="437"/>
      <c r="I800" s="437"/>
      <c r="J800" s="437"/>
      <c r="K800" s="439"/>
      <c r="L800" s="437"/>
      <c r="M800" s="437"/>
      <c r="N800" s="437"/>
      <c r="O800" s="437"/>
      <c r="P800" s="437"/>
      <c r="Q800" s="437"/>
      <c r="R800" s="437"/>
      <c r="S800" s="437"/>
      <c r="T800" s="437"/>
      <c r="U800" s="437"/>
      <c r="V800" s="437"/>
      <c r="W800" s="437"/>
      <c r="X800" s="437"/>
      <c r="Y800" s="437"/>
      <c r="Z800" s="437"/>
    </row>
    <row r="801" spans="8:26" ht="15.75" customHeight="1">
      <c r="H801" s="437"/>
      <c r="I801" s="437"/>
      <c r="J801" s="437"/>
      <c r="K801" s="439"/>
      <c r="L801" s="437"/>
      <c r="M801" s="437"/>
      <c r="N801" s="437"/>
      <c r="O801" s="437"/>
      <c r="P801" s="437"/>
      <c r="Q801" s="437"/>
      <c r="R801" s="437"/>
      <c r="S801" s="437"/>
      <c r="T801" s="437"/>
      <c r="U801" s="437"/>
      <c r="V801" s="437"/>
      <c r="W801" s="437"/>
      <c r="X801" s="437"/>
      <c r="Y801" s="437"/>
      <c r="Z801" s="437"/>
    </row>
    <row r="802" spans="8:26" ht="15.75" customHeight="1">
      <c r="H802" s="437"/>
      <c r="I802" s="437"/>
      <c r="J802" s="437"/>
      <c r="K802" s="439"/>
      <c r="L802" s="437"/>
      <c r="M802" s="437"/>
      <c r="N802" s="437"/>
      <c r="O802" s="437"/>
      <c r="P802" s="437"/>
      <c r="Q802" s="437"/>
      <c r="R802" s="437"/>
      <c r="S802" s="437"/>
      <c r="T802" s="437"/>
      <c r="U802" s="437"/>
      <c r="V802" s="437"/>
      <c r="W802" s="437"/>
      <c r="X802" s="437"/>
      <c r="Y802" s="437"/>
      <c r="Z802" s="437"/>
    </row>
    <row r="803" spans="8:26" ht="15.75" customHeight="1">
      <c r="H803" s="437"/>
      <c r="I803" s="437"/>
      <c r="J803" s="437"/>
      <c r="K803" s="439"/>
      <c r="L803" s="437"/>
      <c r="M803" s="437"/>
      <c r="N803" s="437"/>
      <c r="O803" s="437"/>
      <c r="P803" s="437"/>
      <c r="Q803" s="437"/>
      <c r="R803" s="437"/>
      <c r="S803" s="437"/>
      <c r="T803" s="437"/>
      <c r="U803" s="437"/>
      <c r="V803" s="437"/>
      <c r="W803" s="437"/>
      <c r="X803" s="437"/>
      <c r="Y803" s="437"/>
      <c r="Z803" s="437"/>
    </row>
    <row r="804" spans="8:26" ht="15.75" customHeight="1">
      <c r="H804" s="437"/>
      <c r="I804" s="437"/>
      <c r="J804" s="437"/>
      <c r="K804" s="439"/>
      <c r="L804" s="437"/>
      <c r="M804" s="437"/>
      <c r="N804" s="437"/>
      <c r="O804" s="437"/>
      <c r="P804" s="437"/>
      <c r="Q804" s="437"/>
      <c r="R804" s="437"/>
      <c r="S804" s="437"/>
      <c r="T804" s="437"/>
      <c r="U804" s="437"/>
      <c r="V804" s="437"/>
      <c r="W804" s="437"/>
      <c r="X804" s="437"/>
      <c r="Y804" s="437"/>
      <c r="Z804" s="437"/>
    </row>
    <row r="805" spans="8:26" ht="15.75" customHeight="1">
      <c r="H805" s="437"/>
      <c r="I805" s="437"/>
      <c r="J805" s="437"/>
      <c r="K805" s="439"/>
      <c r="L805" s="437"/>
      <c r="M805" s="437"/>
      <c r="N805" s="437"/>
      <c r="O805" s="437"/>
      <c r="P805" s="437"/>
      <c r="Q805" s="437"/>
      <c r="R805" s="437"/>
      <c r="S805" s="437"/>
      <c r="T805" s="437"/>
      <c r="U805" s="437"/>
      <c r="V805" s="437"/>
      <c r="W805" s="437"/>
      <c r="X805" s="437"/>
      <c r="Y805" s="437"/>
      <c r="Z805" s="437"/>
    </row>
    <row r="806" spans="8:26" ht="15.75" customHeight="1">
      <c r="H806" s="437"/>
      <c r="I806" s="437"/>
      <c r="J806" s="437"/>
      <c r="K806" s="439"/>
      <c r="L806" s="437"/>
      <c r="M806" s="437"/>
      <c r="N806" s="437"/>
      <c r="O806" s="437"/>
      <c r="P806" s="437"/>
      <c r="Q806" s="437"/>
      <c r="R806" s="437"/>
      <c r="S806" s="437"/>
      <c r="T806" s="437"/>
      <c r="U806" s="437"/>
      <c r="V806" s="437"/>
      <c r="W806" s="437"/>
      <c r="X806" s="437"/>
      <c r="Y806" s="437"/>
      <c r="Z806" s="437"/>
    </row>
    <row r="807" spans="8:26" ht="15.75" customHeight="1">
      <c r="H807" s="437"/>
      <c r="I807" s="437"/>
      <c r="J807" s="437"/>
      <c r="K807" s="439"/>
      <c r="L807" s="437"/>
      <c r="M807" s="437"/>
      <c r="N807" s="437"/>
      <c r="O807" s="437"/>
      <c r="P807" s="437"/>
      <c r="Q807" s="437"/>
      <c r="R807" s="437"/>
      <c r="S807" s="437"/>
      <c r="T807" s="437"/>
      <c r="U807" s="437"/>
      <c r="V807" s="437"/>
      <c r="W807" s="437"/>
      <c r="X807" s="437"/>
      <c r="Y807" s="437"/>
      <c r="Z807" s="437"/>
    </row>
    <row r="808" spans="8:26" ht="15.75" customHeight="1">
      <c r="H808" s="437"/>
      <c r="I808" s="437"/>
      <c r="J808" s="437"/>
      <c r="K808" s="439"/>
      <c r="L808" s="437"/>
      <c r="M808" s="437"/>
      <c r="N808" s="437"/>
      <c r="O808" s="437"/>
      <c r="P808" s="437"/>
      <c r="Q808" s="437"/>
      <c r="R808" s="437"/>
      <c r="S808" s="437"/>
      <c r="T808" s="437"/>
      <c r="U808" s="437"/>
      <c r="V808" s="437"/>
      <c r="W808" s="437"/>
      <c r="X808" s="437"/>
      <c r="Y808" s="437"/>
      <c r="Z808" s="437"/>
    </row>
    <row r="809" spans="8:26" ht="15.75" customHeight="1">
      <c r="H809" s="437"/>
      <c r="I809" s="437"/>
      <c r="J809" s="437"/>
      <c r="K809" s="439"/>
      <c r="L809" s="437"/>
      <c r="M809" s="437"/>
      <c r="N809" s="437"/>
      <c r="O809" s="437"/>
      <c r="P809" s="437"/>
      <c r="Q809" s="437"/>
      <c r="R809" s="437"/>
      <c r="S809" s="437"/>
      <c r="T809" s="437"/>
      <c r="U809" s="437"/>
      <c r="V809" s="437"/>
      <c r="W809" s="437"/>
      <c r="X809" s="437"/>
      <c r="Y809" s="437"/>
      <c r="Z809" s="437"/>
    </row>
    <row r="810" spans="8:26" ht="15.75" customHeight="1">
      <c r="H810" s="437"/>
      <c r="I810" s="437"/>
      <c r="J810" s="437"/>
      <c r="K810" s="439"/>
      <c r="L810" s="437"/>
      <c r="M810" s="437"/>
      <c r="N810" s="437"/>
      <c r="O810" s="437"/>
      <c r="P810" s="437"/>
      <c r="Q810" s="437"/>
      <c r="R810" s="437"/>
      <c r="S810" s="437"/>
      <c r="T810" s="437"/>
      <c r="U810" s="437"/>
      <c r="V810" s="437"/>
      <c r="W810" s="437"/>
      <c r="X810" s="437"/>
      <c r="Y810" s="437"/>
      <c r="Z810" s="437"/>
    </row>
    <row r="811" spans="8:26" ht="15.75" customHeight="1">
      <c r="H811" s="437"/>
      <c r="I811" s="437"/>
      <c r="J811" s="437"/>
      <c r="K811" s="439"/>
      <c r="L811" s="437"/>
      <c r="M811" s="437"/>
      <c r="N811" s="437"/>
      <c r="O811" s="437"/>
      <c r="P811" s="437"/>
      <c r="Q811" s="437"/>
      <c r="R811" s="437"/>
      <c r="S811" s="437"/>
      <c r="T811" s="437"/>
      <c r="U811" s="437"/>
      <c r="V811" s="437"/>
      <c r="W811" s="437"/>
      <c r="X811" s="437"/>
      <c r="Y811" s="437"/>
      <c r="Z811" s="437"/>
    </row>
    <row r="812" spans="8:26" ht="15.75" customHeight="1">
      <c r="H812" s="437"/>
      <c r="I812" s="437"/>
      <c r="J812" s="437"/>
      <c r="K812" s="439"/>
      <c r="L812" s="437"/>
      <c r="M812" s="437"/>
      <c r="N812" s="437"/>
      <c r="O812" s="437"/>
      <c r="P812" s="437"/>
      <c r="Q812" s="437"/>
      <c r="R812" s="437"/>
      <c r="S812" s="437"/>
      <c r="T812" s="437"/>
      <c r="U812" s="437"/>
      <c r="V812" s="437"/>
      <c r="W812" s="437"/>
      <c r="X812" s="437"/>
      <c r="Y812" s="437"/>
      <c r="Z812" s="437"/>
    </row>
    <row r="813" spans="8:26" ht="15.75" customHeight="1">
      <c r="H813" s="437"/>
      <c r="I813" s="437"/>
      <c r="J813" s="437"/>
      <c r="K813" s="439"/>
      <c r="L813" s="437"/>
      <c r="M813" s="437"/>
      <c r="N813" s="437"/>
      <c r="O813" s="437"/>
      <c r="P813" s="437"/>
      <c r="Q813" s="437"/>
      <c r="R813" s="437"/>
      <c r="S813" s="437"/>
      <c r="T813" s="437"/>
      <c r="U813" s="437"/>
      <c r="V813" s="437"/>
      <c r="W813" s="437"/>
      <c r="X813" s="437"/>
      <c r="Y813" s="437"/>
      <c r="Z813" s="437"/>
    </row>
    <row r="814" spans="8:26" ht="15.75" customHeight="1">
      <c r="H814" s="437"/>
      <c r="I814" s="437"/>
      <c r="J814" s="437"/>
      <c r="K814" s="439"/>
      <c r="L814" s="437"/>
      <c r="M814" s="437"/>
      <c r="N814" s="437"/>
      <c r="O814" s="437"/>
      <c r="P814" s="437"/>
      <c r="Q814" s="437"/>
      <c r="R814" s="437"/>
      <c r="S814" s="437"/>
      <c r="T814" s="437"/>
      <c r="U814" s="437"/>
      <c r="V814" s="437"/>
      <c r="W814" s="437"/>
      <c r="X814" s="437"/>
      <c r="Y814" s="437"/>
      <c r="Z814" s="437"/>
    </row>
    <row r="815" spans="8:26" ht="15.75" customHeight="1">
      <c r="H815" s="437"/>
      <c r="I815" s="437"/>
      <c r="J815" s="437"/>
      <c r="K815" s="439"/>
      <c r="L815" s="437"/>
      <c r="M815" s="437"/>
      <c r="N815" s="437"/>
      <c r="O815" s="437"/>
      <c r="P815" s="437"/>
      <c r="Q815" s="437"/>
      <c r="R815" s="437"/>
      <c r="S815" s="437"/>
      <c r="T815" s="437"/>
      <c r="U815" s="437"/>
      <c r="V815" s="437"/>
      <c r="W815" s="437"/>
      <c r="X815" s="437"/>
      <c r="Y815" s="437"/>
      <c r="Z815" s="437"/>
    </row>
    <row r="816" spans="8:26" ht="15.75" customHeight="1">
      <c r="H816" s="437"/>
      <c r="I816" s="437"/>
      <c r="J816" s="437"/>
      <c r="K816" s="439"/>
      <c r="L816" s="437"/>
      <c r="M816" s="437"/>
      <c r="N816" s="437"/>
      <c r="O816" s="437"/>
      <c r="P816" s="437"/>
      <c r="Q816" s="437"/>
      <c r="R816" s="437"/>
      <c r="S816" s="437"/>
      <c r="T816" s="437"/>
      <c r="U816" s="437"/>
      <c r="V816" s="437"/>
      <c r="W816" s="437"/>
      <c r="X816" s="437"/>
      <c r="Y816" s="437"/>
      <c r="Z816" s="437"/>
    </row>
    <row r="817" spans="8:26" ht="15.75" customHeight="1">
      <c r="H817" s="437"/>
      <c r="I817" s="437"/>
      <c r="J817" s="437"/>
      <c r="K817" s="439"/>
      <c r="L817" s="437"/>
      <c r="M817" s="437"/>
      <c r="N817" s="437"/>
      <c r="O817" s="437"/>
      <c r="P817" s="437"/>
      <c r="Q817" s="437"/>
      <c r="R817" s="437"/>
      <c r="S817" s="437"/>
      <c r="T817" s="437"/>
      <c r="U817" s="437"/>
      <c r="V817" s="437"/>
      <c r="W817" s="437"/>
      <c r="X817" s="437"/>
      <c r="Y817" s="437"/>
      <c r="Z817" s="437"/>
    </row>
    <row r="818" spans="8:26" ht="15.75" customHeight="1">
      <c r="H818" s="437"/>
      <c r="I818" s="437"/>
      <c r="J818" s="437"/>
      <c r="K818" s="439"/>
      <c r="L818" s="437"/>
      <c r="M818" s="437"/>
      <c r="N818" s="437"/>
      <c r="O818" s="437"/>
      <c r="P818" s="437"/>
      <c r="Q818" s="437"/>
      <c r="R818" s="437"/>
      <c r="S818" s="437"/>
      <c r="T818" s="437"/>
      <c r="U818" s="437"/>
      <c r="V818" s="437"/>
      <c r="W818" s="437"/>
      <c r="X818" s="437"/>
      <c r="Y818" s="437"/>
      <c r="Z818" s="437"/>
    </row>
    <row r="819" spans="8:26" ht="15.75" customHeight="1">
      <c r="H819" s="437"/>
      <c r="I819" s="437"/>
      <c r="J819" s="437"/>
      <c r="K819" s="439"/>
      <c r="L819" s="437"/>
      <c r="M819" s="437"/>
      <c r="N819" s="437"/>
      <c r="O819" s="437"/>
      <c r="P819" s="437"/>
      <c r="Q819" s="437"/>
      <c r="R819" s="437"/>
      <c r="S819" s="437"/>
      <c r="T819" s="437"/>
      <c r="U819" s="437"/>
      <c r="V819" s="437"/>
      <c r="W819" s="437"/>
      <c r="X819" s="437"/>
      <c r="Y819" s="437"/>
      <c r="Z819" s="437"/>
    </row>
    <row r="820" spans="8:26" ht="15.75" customHeight="1">
      <c r="H820" s="437"/>
      <c r="I820" s="437"/>
      <c r="J820" s="437"/>
      <c r="K820" s="439"/>
      <c r="L820" s="437"/>
      <c r="M820" s="437"/>
      <c r="N820" s="437"/>
      <c r="O820" s="437"/>
      <c r="P820" s="437"/>
      <c r="Q820" s="437"/>
      <c r="R820" s="437"/>
      <c r="S820" s="437"/>
      <c r="T820" s="437"/>
      <c r="U820" s="437"/>
      <c r="V820" s="437"/>
      <c r="W820" s="437"/>
      <c r="X820" s="437"/>
      <c r="Y820" s="437"/>
      <c r="Z820" s="437"/>
    </row>
    <row r="821" spans="8:26" ht="15.75" customHeight="1">
      <c r="H821" s="437"/>
      <c r="I821" s="437"/>
      <c r="J821" s="437"/>
      <c r="K821" s="439"/>
      <c r="L821" s="437"/>
      <c r="M821" s="437"/>
      <c r="N821" s="437"/>
      <c r="O821" s="437"/>
      <c r="P821" s="437"/>
      <c r="Q821" s="437"/>
      <c r="R821" s="437"/>
      <c r="S821" s="437"/>
      <c r="T821" s="437"/>
      <c r="U821" s="437"/>
      <c r="V821" s="437"/>
      <c r="W821" s="437"/>
      <c r="X821" s="437"/>
      <c r="Y821" s="437"/>
      <c r="Z821" s="437"/>
    </row>
    <row r="822" spans="8:26" ht="15.75" customHeight="1">
      <c r="H822" s="437"/>
      <c r="I822" s="437"/>
      <c r="J822" s="437"/>
      <c r="K822" s="439"/>
      <c r="L822" s="437"/>
      <c r="M822" s="437"/>
      <c r="N822" s="437"/>
      <c r="O822" s="437"/>
      <c r="P822" s="437"/>
      <c r="Q822" s="437"/>
      <c r="R822" s="437"/>
      <c r="S822" s="437"/>
      <c r="T822" s="437"/>
      <c r="U822" s="437"/>
      <c r="V822" s="437"/>
      <c r="W822" s="437"/>
      <c r="X822" s="437"/>
      <c r="Y822" s="437"/>
      <c r="Z822" s="437"/>
    </row>
    <row r="823" spans="8:26" ht="15.75" customHeight="1">
      <c r="H823" s="437"/>
      <c r="I823" s="437"/>
      <c r="J823" s="437"/>
      <c r="K823" s="439"/>
      <c r="L823" s="437"/>
      <c r="M823" s="437"/>
      <c r="N823" s="437"/>
      <c r="O823" s="437"/>
      <c r="P823" s="437"/>
      <c r="Q823" s="437"/>
      <c r="R823" s="437"/>
      <c r="S823" s="437"/>
      <c r="T823" s="437"/>
      <c r="U823" s="437"/>
      <c r="V823" s="437"/>
      <c r="W823" s="437"/>
      <c r="X823" s="437"/>
      <c r="Y823" s="437"/>
      <c r="Z823" s="437"/>
    </row>
    <row r="824" spans="8:26" ht="15.75" customHeight="1">
      <c r="H824" s="437"/>
      <c r="I824" s="437"/>
      <c r="J824" s="437"/>
      <c r="K824" s="439"/>
      <c r="L824" s="437"/>
      <c r="M824" s="437"/>
      <c r="N824" s="437"/>
      <c r="O824" s="437"/>
      <c r="P824" s="437"/>
      <c r="Q824" s="437"/>
      <c r="R824" s="437"/>
      <c r="S824" s="437"/>
      <c r="T824" s="437"/>
      <c r="U824" s="437"/>
      <c r="V824" s="437"/>
      <c r="W824" s="437"/>
      <c r="X824" s="437"/>
      <c r="Y824" s="437"/>
      <c r="Z824" s="437"/>
    </row>
    <row r="825" spans="8:26" ht="15.75" customHeight="1">
      <c r="H825" s="437"/>
      <c r="I825" s="437"/>
      <c r="J825" s="437"/>
      <c r="K825" s="439"/>
      <c r="L825" s="437"/>
      <c r="M825" s="437"/>
      <c r="N825" s="437"/>
      <c r="O825" s="437"/>
      <c r="P825" s="437"/>
      <c r="Q825" s="437"/>
      <c r="R825" s="437"/>
      <c r="S825" s="437"/>
      <c r="T825" s="437"/>
      <c r="U825" s="437"/>
      <c r="V825" s="437"/>
      <c r="W825" s="437"/>
      <c r="X825" s="437"/>
      <c r="Y825" s="437"/>
      <c r="Z825" s="437"/>
    </row>
    <row r="826" spans="8:26" ht="15.75" customHeight="1">
      <c r="H826" s="437"/>
      <c r="I826" s="437"/>
      <c r="J826" s="437"/>
      <c r="K826" s="439"/>
      <c r="L826" s="437"/>
      <c r="M826" s="437"/>
      <c r="N826" s="437"/>
      <c r="O826" s="437"/>
      <c r="P826" s="437"/>
      <c r="Q826" s="437"/>
      <c r="R826" s="437"/>
      <c r="S826" s="437"/>
      <c r="T826" s="437"/>
      <c r="U826" s="437"/>
      <c r="V826" s="437"/>
      <c r="W826" s="437"/>
      <c r="X826" s="437"/>
      <c r="Y826" s="437"/>
      <c r="Z826" s="437"/>
    </row>
    <row r="827" spans="8:26" ht="15.75" customHeight="1">
      <c r="H827" s="437"/>
      <c r="I827" s="437"/>
      <c r="J827" s="437"/>
      <c r="K827" s="439"/>
      <c r="L827" s="437"/>
      <c r="M827" s="437"/>
      <c r="N827" s="437"/>
      <c r="O827" s="437"/>
      <c r="P827" s="437"/>
      <c r="Q827" s="437"/>
      <c r="R827" s="437"/>
      <c r="S827" s="437"/>
      <c r="T827" s="437"/>
      <c r="U827" s="437"/>
      <c r="V827" s="437"/>
      <c r="W827" s="437"/>
      <c r="X827" s="437"/>
      <c r="Y827" s="437"/>
      <c r="Z827" s="437"/>
    </row>
    <row r="828" spans="8:26" ht="15.75" customHeight="1">
      <c r="H828" s="437"/>
      <c r="I828" s="437"/>
      <c r="J828" s="437"/>
      <c r="K828" s="439"/>
      <c r="L828" s="437"/>
      <c r="M828" s="437"/>
      <c r="N828" s="437"/>
      <c r="O828" s="437"/>
      <c r="P828" s="437"/>
      <c r="Q828" s="437"/>
      <c r="R828" s="437"/>
      <c r="S828" s="437"/>
      <c r="T828" s="437"/>
      <c r="U828" s="437"/>
      <c r="V828" s="437"/>
      <c r="W828" s="437"/>
      <c r="X828" s="437"/>
      <c r="Y828" s="437"/>
      <c r="Z828" s="437"/>
    </row>
    <row r="829" spans="8:26" ht="15.75" customHeight="1">
      <c r="H829" s="437"/>
      <c r="I829" s="437"/>
      <c r="J829" s="437"/>
      <c r="K829" s="439"/>
      <c r="L829" s="437"/>
      <c r="M829" s="437"/>
      <c r="N829" s="437"/>
      <c r="O829" s="437"/>
      <c r="P829" s="437"/>
      <c r="Q829" s="437"/>
      <c r="R829" s="437"/>
      <c r="S829" s="437"/>
      <c r="T829" s="437"/>
      <c r="U829" s="437"/>
      <c r="V829" s="437"/>
      <c r="W829" s="437"/>
      <c r="X829" s="437"/>
      <c r="Y829" s="437"/>
      <c r="Z829" s="437"/>
    </row>
    <row r="830" spans="8:26" ht="15.75" customHeight="1">
      <c r="H830" s="437"/>
      <c r="I830" s="437"/>
      <c r="J830" s="437"/>
      <c r="K830" s="439"/>
      <c r="L830" s="437"/>
      <c r="M830" s="437"/>
      <c r="N830" s="437"/>
      <c r="O830" s="437"/>
      <c r="P830" s="437"/>
      <c r="Q830" s="437"/>
      <c r="R830" s="437"/>
      <c r="S830" s="437"/>
      <c r="T830" s="437"/>
      <c r="U830" s="437"/>
      <c r="V830" s="437"/>
      <c r="W830" s="437"/>
      <c r="X830" s="437"/>
      <c r="Y830" s="437"/>
      <c r="Z830" s="437"/>
    </row>
    <row r="831" spans="8:26" ht="15.75" customHeight="1">
      <c r="H831" s="437"/>
      <c r="I831" s="437"/>
      <c r="J831" s="437"/>
      <c r="K831" s="439"/>
      <c r="L831" s="437"/>
      <c r="M831" s="437"/>
      <c r="N831" s="437"/>
      <c r="O831" s="437"/>
      <c r="P831" s="437"/>
      <c r="Q831" s="437"/>
      <c r="R831" s="437"/>
      <c r="S831" s="437"/>
      <c r="T831" s="437"/>
      <c r="U831" s="437"/>
      <c r="V831" s="437"/>
      <c r="W831" s="437"/>
      <c r="X831" s="437"/>
      <c r="Y831" s="437"/>
      <c r="Z831" s="437"/>
    </row>
    <row r="832" spans="8:26" ht="15.75" customHeight="1">
      <c r="H832" s="437"/>
      <c r="I832" s="437"/>
      <c r="J832" s="437"/>
      <c r="K832" s="439"/>
      <c r="L832" s="437"/>
      <c r="M832" s="437"/>
      <c r="N832" s="437"/>
      <c r="O832" s="437"/>
      <c r="P832" s="437"/>
      <c r="Q832" s="437"/>
      <c r="R832" s="437"/>
      <c r="S832" s="437"/>
      <c r="T832" s="437"/>
      <c r="U832" s="437"/>
      <c r="V832" s="437"/>
      <c r="W832" s="437"/>
      <c r="X832" s="437"/>
      <c r="Y832" s="437"/>
      <c r="Z832" s="437"/>
    </row>
    <row r="833" spans="8:26" ht="15.75" customHeight="1">
      <c r="H833" s="437"/>
      <c r="I833" s="437"/>
      <c r="J833" s="437"/>
      <c r="K833" s="439"/>
      <c r="L833" s="437"/>
      <c r="M833" s="437"/>
      <c r="N833" s="437"/>
      <c r="O833" s="437"/>
      <c r="P833" s="437"/>
      <c r="Q833" s="437"/>
      <c r="R833" s="437"/>
      <c r="S833" s="437"/>
      <c r="T833" s="437"/>
      <c r="U833" s="437"/>
      <c r="V833" s="437"/>
      <c r="W833" s="437"/>
      <c r="X833" s="437"/>
      <c r="Y833" s="437"/>
      <c r="Z833" s="437"/>
    </row>
    <row r="834" spans="8:26" ht="15.75" customHeight="1">
      <c r="H834" s="437"/>
      <c r="I834" s="437"/>
      <c r="J834" s="437"/>
      <c r="K834" s="439"/>
      <c r="L834" s="437"/>
      <c r="M834" s="437"/>
      <c r="N834" s="437"/>
      <c r="O834" s="437"/>
      <c r="P834" s="437"/>
      <c r="Q834" s="437"/>
      <c r="R834" s="437"/>
      <c r="S834" s="437"/>
      <c r="T834" s="437"/>
      <c r="U834" s="437"/>
      <c r="V834" s="437"/>
      <c r="W834" s="437"/>
      <c r="X834" s="437"/>
      <c r="Y834" s="437"/>
      <c r="Z834" s="437"/>
    </row>
    <row r="835" spans="8:26" ht="15.75" customHeight="1">
      <c r="H835" s="437"/>
      <c r="I835" s="437"/>
      <c r="J835" s="437"/>
      <c r="K835" s="439"/>
      <c r="L835" s="437"/>
      <c r="M835" s="437"/>
      <c r="N835" s="437"/>
      <c r="O835" s="437"/>
      <c r="P835" s="437"/>
      <c r="Q835" s="437"/>
      <c r="R835" s="437"/>
      <c r="S835" s="437"/>
      <c r="T835" s="437"/>
      <c r="U835" s="437"/>
      <c r="V835" s="437"/>
      <c r="W835" s="437"/>
      <c r="X835" s="437"/>
      <c r="Y835" s="437"/>
      <c r="Z835" s="437"/>
    </row>
    <row r="836" spans="8:26" ht="15.75" customHeight="1">
      <c r="H836" s="437"/>
      <c r="I836" s="437"/>
      <c r="J836" s="437"/>
      <c r="K836" s="439"/>
      <c r="L836" s="437"/>
      <c r="M836" s="437"/>
      <c r="N836" s="437"/>
      <c r="O836" s="437"/>
      <c r="P836" s="437"/>
      <c r="Q836" s="437"/>
      <c r="R836" s="437"/>
      <c r="S836" s="437"/>
      <c r="T836" s="437"/>
      <c r="U836" s="437"/>
      <c r="V836" s="437"/>
      <c r="W836" s="437"/>
      <c r="X836" s="437"/>
      <c r="Y836" s="437"/>
      <c r="Z836" s="437"/>
    </row>
    <row r="837" spans="8:26" ht="15.75" customHeight="1">
      <c r="H837" s="437"/>
      <c r="I837" s="437"/>
      <c r="J837" s="437"/>
      <c r="K837" s="439"/>
      <c r="L837" s="437"/>
      <c r="M837" s="437"/>
      <c r="N837" s="437"/>
      <c r="O837" s="437"/>
      <c r="P837" s="437"/>
      <c r="Q837" s="437"/>
      <c r="R837" s="437"/>
      <c r="S837" s="437"/>
      <c r="T837" s="437"/>
      <c r="U837" s="437"/>
      <c r="V837" s="437"/>
      <c r="W837" s="437"/>
      <c r="X837" s="437"/>
      <c r="Y837" s="437"/>
      <c r="Z837" s="437"/>
    </row>
    <row r="838" spans="8:26" ht="15.75" customHeight="1">
      <c r="H838" s="437"/>
      <c r="I838" s="437"/>
      <c r="J838" s="437"/>
      <c r="K838" s="439"/>
      <c r="L838" s="437"/>
      <c r="M838" s="437"/>
      <c r="N838" s="437"/>
      <c r="O838" s="437"/>
      <c r="P838" s="437"/>
      <c r="Q838" s="437"/>
      <c r="R838" s="437"/>
      <c r="S838" s="437"/>
      <c r="T838" s="437"/>
      <c r="U838" s="437"/>
      <c r="V838" s="437"/>
      <c r="W838" s="437"/>
      <c r="X838" s="437"/>
      <c r="Y838" s="437"/>
      <c r="Z838" s="437"/>
    </row>
    <row r="839" spans="8:26" ht="15.75" customHeight="1">
      <c r="H839" s="437"/>
      <c r="I839" s="437"/>
      <c r="J839" s="437"/>
      <c r="K839" s="439"/>
      <c r="L839" s="437"/>
      <c r="M839" s="437"/>
      <c r="N839" s="437"/>
      <c r="O839" s="437"/>
      <c r="P839" s="437"/>
      <c r="Q839" s="437"/>
      <c r="R839" s="437"/>
      <c r="S839" s="437"/>
      <c r="T839" s="437"/>
      <c r="U839" s="437"/>
      <c r="V839" s="437"/>
      <c r="W839" s="437"/>
      <c r="X839" s="437"/>
      <c r="Y839" s="437"/>
      <c r="Z839" s="437"/>
    </row>
    <row r="840" spans="8:26" ht="15.75" customHeight="1">
      <c r="H840" s="437"/>
      <c r="I840" s="437"/>
      <c r="J840" s="437"/>
      <c r="K840" s="439"/>
      <c r="L840" s="437"/>
      <c r="M840" s="437"/>
      <c r="N840" s="437"/>
      <c r="O840" s="437"/>
      <c r="P840" s="437"/>
      <c r="Q840" s="437"/>
      <c r="R840" s="437"/>
      <c r="S840" s="437"/>
      <c r="T840" s="437"/>
      <c r="U840" s="437"/>
      <c r="V840" s="437"/>
      <c r="W840" s="437"/>
      <c r="X840" s="437"/>
      <c r="Y840" s="437"/>
      <c r="Z840" s="437"/>
    </row>
    <row r="841" spans="8:26" ht="15.75" customHeight="1">
      <c r="H841" s="437"/>
      <c r="I841" s="437"/>
      <c r="J841" s="437"/>
      <c r="K841" s="439"/>
      <c r="L841" s="437"/>
      <c r="M841" s="437"/>
      <c r="N841" s="437"/>
      <c r="O841" s="437"/>
      <c r="P841" s="437"/>
      <c r="Q841" s="437"/>
      <c r="R841" s="437"/>
      <c r="S841" s="437"/>
      <c r="T841" s="437"/>
      <c r="U841" s="437"/>
      <c r="V841" s="437"/>
      <c r="W841" s="437"/>
      <c r="X841" s="437"/>
      <c r="Y841" s="437"/>
      <c r="Z841" s="437"/>
    </row>
    <row r="842" spans="8:26" ht="15.75" customHeight="1">
      <c r="H842" s="437"/>
      <c r="I842" s="437"/>
      <c r="J842" s="437"/>
      <c r="K842" s="439"/>
      <c r="L842" s="437"/>
      <c r="M842" s="437"/>
      <c r="N842" s="437"/>
      <c r="O842" s="437"/>
      <c r="P842" s="437"/>
      <c r="Q842" s="437"/>
      <c r="R842" s="437"/>
      <c r="S842" s="437"/>
      <c r="T842" s="437"/>
      <c r="U842" s="437"/>
      <c r="V842" s="437"/>
      <c r="W842" s="437"/>
      <c r="X842" s="437"/>
      <c r="Y842" s="437"/>
      <c r="Z842" s="437"/>
    </row>
    <row r="843" spans="8:26" ht="15.75" customHeight="1">
      <c r="H843" s="437"/>
      <c r="I843" s="437"/>
      <c r="J843" s="437"/>
      <c r="K843" s="439"/>
      <c r="L843" s="437"/>
      <c r="M843" s="437"/>
      <c r="N843" s="437"/>
      <c r="O843" s="437"/>
      <c r="P843" s="437"/>
      <c r="Q843" s="437"/>
      <c r="R843" s="437"/>
      <c r="S843" s="437"/>
      <c r="T843" s="437"/>
      <c r="U843" s="437"/>
      <c r="V843" s="437"/>
      <c r="W843" s="437"/>
      <c r="X843" s="437"/>
      <c r="Y843" s="437"/>
      <c r="Z843" s="437"/>
    </row>
    <row r="844" spans="8:26" ht="15.75" customHeight="1">
      <c r="H844" s="437"/>
      <c r="I844" s="437"/>
      <c r="J844" s="437"/>
      <c r="K844" s="439"/>
      <c r="L844" s="437"/>
      <c r="M844" s="437"/>
      <c r="N844" s="437"/>
      <c r="O844" s="437"/>
      <c r="P844" s="437"/>
      <c r="Q844" s="437"/>
      <c r="R844" s="437"/>
      <c r="S844" s="437"/>
      <c r="T844" s="437"/>
      <c r="U844" s="437"/>
      <c r="V844" s="437"/>
      <c r="W844" s="437"/>
      <c r="X844" s="437"/>
      <c r="Y844" s="437"/>
      <c r="Z844" s="437"/>
    </row>
    <row r="845" spans="8:26" ht="15.75" customHeight="1">
      <c r="H845" s="437"/>
      <c r="I845" s="437"/>
      <c r="J845" s="437"/>
      <c r="K845" s="439"/>
      <c r="L845" s="437"/>
      <c r="M845" s="437"/>
      <c r="N845" s="437"/>
      <c r="O845" s="437"/>
      <c r="P845" s="437"/>
      <c r="Q845" s="437"/>
      <c r="R845" s="437"/>
      <c r="S845" s="437"/>
      <c r="T845" s="437"/>
      <c r="U845" s="437"/>
      <c r="V845" s="437"/>
      <c r="W845" s="437"/>
      <c r="X845" s="437"/>
      <c r="Y845" s="437"/>
      <c r="Z845" s="437"/>
    </row>
    <row r="846" spans="8:26" ht="15.75" customHeight="1">
      <c r="H846" s="437"/>
      <c r="I846" s="437"/>
      <c r="J846" s="437"/>
      <c r="K846" s="439"/>
      <c r="L846" s="437"/>
      <c r="M846" s="437"/>
      <c r="N846" s="437"/>
      <c r="O846" s="437"/>
      <c r="P846" s="437"/>
      <c r="Q846" s="437"/>
      <c r="R846" s="437"/>
      <c r="S846" s="437"/>
      <c r="T846" s="437"/>
      <c r="U846" s="437"/>
      <c r="V846" s="437"/>
      <c r="W846" s="437"/>
      <c r="X846" s="437"/>
      <c r="Y846" s="437"/>
      <c r="Z846" s="437"/>
    </row>
    <row r="847" spans="8:26" ht="15.75" customHeight="1">
      <c r="H847" s="437"/>
      <c r="I847" s="437"/>
      <c r="J847" s="437"/>
      <c r="K847" s="439"/>
      <c r="L847" s="437"/>
      <c r="M847" s="437"/>
      <c r="N847" s="437"/>
      <c r="O847" s="437"/>
      <c r="P847" s="437"/>
      <c r="Q847" s="437"/>
      <c r="R847" s="437"/>
      <c r="S847" s="437"/>
      <c r="T847" s="437"/>
      <c r="U847" s="437"/>
      <c r="V847" s="437"/>
      <c r="W847" s="437"/>
      <c r="X847" s="437"/>
      <c r="Y847" s="437"/>
      <c r="Z847" s="437"/>
    </row>
    <row r="848" spans="8:26" ht="15.75" customHeight="1">
      <c r="H848" s="437"/>
      <c r="I848" s="437"/>
      <c r="J848" s="437"/>
      <c r="K848" s="439"/>
      <c r="L848" s="437"/>
      <c r="M848" s="437"/>
      <c r="N848" s="437"/>
      <c r="O848" s="437"/>
      <c r="P848" s="437"/>
      <c r="Q848" s="437"/>
      <c r="R848" s="437"/>
      <c r="S848" s="437"/>
      <c r="T848" s="437"/>
      <c r="U848" s="437"/>
      <c r="V848" s="437"/>
      <c r="W848" s="437"/>
      <c r="X848" s="437"/>
      <c r="Y848" s="437"/>
      <c r="Z848" s="437"/>
    </row>
    <row r="849" spans="8:26" ht="15.75" customHeight="1">
      <c r="H849" s="437"/>
      <c r="I849" s="437"/>
      <c r="J849" s="437"/>
      <c r="K849" s="439"/>
      <c r="L849" s="437"/>
      <c r="M849" s="437"/>
      <c r="N849" s="437"/>
      <c r="O849" s="437"/>
      <c r="P849" s="437"/>
      <c r="Q849" s="437"/>
      <c r="R849" s="437"/>
      <c r="S849" s="437"/>
      <c r="T849" s="437"/>
      <c r="U849" s="437"/>
      <c r="V849" s="437"/>
      <c r="W849" s="437"/>
      <c r="X849" s="437"/>
      <c r="Y849" s="437"/>
      <c r="Z849" s="437"/>
    </row>
    <row r="850" spans="8:26" ht="15.75" customHeight="1">
      <c r="H850" s="437"/>
      <c r="I850" s="437"/>
      <c r="J850" s="437"/>
      <c r="K850" s="439"/>
      <c r="L850" s="437"/>
      <c r="M850" s="437"/>
      <c r="N850" s="437"/>
      <c r="O850" s="437"/>
      <c r="P850" s="437"/>
      <c r="Q850" s="437"/>
      <c r="R850" s="437"/>
      <c r="S850" s="437"/>
      <c r="T850" s="437"/>
      <c r="U850" s="437"/>
      <c r="V850" s="437"/>
      <c r="W850" s="437"/>
      <c r="X850" s="437"/>
      <c r="Y850" s="437"/>
      <c r="Z850" s="437"/>
    </row>
    <row r="851" spans="8:26" ht="15.75" customHeight="1">
      <c r="H851" s="437"/>
      <c r="I851" s="437"/>
      <c r="J851" s="437"/>
      <c r="K851" s="439"/>
      <c r="L851" s="437"/>
      <c r="M851" s="437"/>
      <c r="N851" s="437"/>
      <c r="O851" s="437"/>
      <c r="P851" s="437"/>
      <c r="Q851" s="437"/>
      <c r="R851" s="437"/>
      <c r="S851" s="437"/>
      <c r="T851" s="437"/>
      <c r="U851" s="437"/>
      <c r="V851" s="437"/>
      <c r="W851" s="437"/>
      <c r="X851" s="437"/>
      <c r="Y851" s="437"/>
      <c r="Z851" s="437"/>
    </row>
    <row r="852" spans="8:26" ht="15.75" customHeight="1">
      <c r="H852" s="437"/>
      <c r="I852" s="437"/>
      <c r="J852" s="437"/>
      <c r="K852" s="439"/>
      <c r="L852" s="437"/>
      <c r="M852" s="437"/>
      <c r="N852" s="437"/>
      <c r="O852" s="437"/>
      <c r="P852" s="437"/>
      <c r="Q852" s="437"/>
      <c r="R852" s="437"/>
      <c r="S852" s="437"/>
      <c r="T852" s="437"/>
      <c r="U852" s="437"/>
      <c r="V852" s="437"/>
      <c r="W852" s="437"/>
      <c r="X852" s="437"/>
      <c r="Y852" s="437"/>
      <c r="Z852" s="437"/>
    </row>
    <row r="853" spans="8:26" ht="15.75" customHeight="1">
      <c r="H853" s="437"/>
      <c r="I853" s="437"/>
      <c r="J853" s="437"/>
      <c r="K853" s="439"/>
      <c r="L853" s="437"/>
      <c r="M853" s="437"/>
      <c r="N853" s="437"/>
      <c r="O853" s="437"/>
      <c r="P853" s="437"/>
      <c r="Q853" s="437"/>
      <c r="R853" s="437"/>
      <c r="S853" s="437"/>
      <c r="T853" s="437"/>
      <c r="U853" s="437"/>
      <c r="V853" s="437"/>
      <c r="W853" s="437"/>
      <c r="X853" s="437"/>
      <c r="Y853" s="437"/>
      <c r="Z853" s="437"/>
    </row>
    <row r="854" spans="8:26" ht="15.75" customHeight="1">
      <c r="H854" s="437"/>
      <c r="I854" s="437"/>
      <c r="J854" s="437"/>
      <c r="K854" s="439"/>
      <c r="L854" s="437"/>
      <c r="M854" s="437"/>
      <c r="N854" s="437"/>
      <c r="O854" s="437"/>
      <c r="P854" s="437"/>
      <c r="Q854" s="437"/>
      <c r="R854" s="437"/>
      <c r="S854" s="437"/>
      <c r="T854" s="437"/>
      <c r="U854" s="437"/>
      <c r="V854" s="437"/>
      <c r="W854" s="437"/>
      <c r="X854" s="437"/>
      <c r="Y854" s="437"/>
      <c r="Z854" s="437"/>
    </row>
    <row r="855" spans="8:26" ht="15.75" customHeight="1">
      <c r="H855" s="437"/>
      <c r="I855" s="437"/>
      <c r="J855" s="437"/>
      <c r="K855" s="439"/>
      <c r="L855" s="437"/>
      <c r="M855" s="437"/>
      <c r="N855" s="437"/>
      <c r="O855" s="437"/>
      <c r="P855" s="437"/>
      <c r="Q855" s="437"/>
      <c r="R855" s="437"/>
      <c r="S855" s="437"/>
      <c r="T855" s="437"/>
      <c r="U855" s="437"/>
      <c r="V855" s="437"/>
      <c r="W855" s="437"/>
      <c r="X855" s="437"/>
      <c r="Y855" s="437"/>
      <c r="Z855" s="437"/>
    </row>
    <row r="856" spans="8:26" ht="15.75" customHeight="1">
      <c r="H856" s="437"/>
      <c r="I856" s="437"/>
      <c r="J856" s="437"/>
      <c r="K856" s="439"/>
      <c r="L856" s="437"/>
      <c r="M856" s="437"/>
      <c r="N856" s="437"/>
      <c r="O856" s="437"/>
      <c r="P856" s="437"/>
      <c r="Q856" s="437"/>
      <c r="R856" s="437"/>
      <c r="S856" s="437"/>
      <c r="T856" s="437"/>
      <c r="U856" s="437"/>
      <c r="V856" s="437"/>
      <c r="W856" s="437"/>
      <c r="X856" s="437"/>
      <c r="Y856" s="437"/>
      <c r="Z856" s="437"/>
    </row>
    <row r="857" spans="8:26" ht="15.75" customHeight="1">
      <c r="H857" s="437"/>
      <c r="I857" s="437"/>
      <c r="J857" s="437"/>
      <c r="K857" s="439"/>
      <c r="L857" s="437"/>
      <c r="M857" s="437"/>
      <c r="N857" s="437"/>
      <c r="O857" s="437"/>
      <c r="P857" s="437"/>
      <c r="Q857" s="437"/>
      <c r="R857" s="437"/>
      <c r="S857" s="437"/>
      <c r="T857" s="437"/>
      <c r="U857" s="437"/>
      <c r="V857" s="437"/>
      <c r="W857" s="437"/>
      <c r="X857" s="437"/>
      <c r="Y857" s="437"/>
      <c r="Z857" s="437"/>
    </row>
    <row r="858" spans="8:26" ht="15.75" customHeight="1">
      <c r="H858" s="437"/>
      <c r="I858" s="437"/>
      <c r="J858" s="437"/>
      <c r="K858" s="439"/>
      <c r="L858" s="437"/>
      <c r="M858" s="437"/>
      <c r="N858" s="437"/>
      <c r="O858" s="437"/>
      <c r="P858" s="437"/>
      <c r="Q858" s="437"/>
      <c r="R858" s="437"/>
      <c r="S858" s="437"/>
      <c r="T858" s="437"/>
      <c r="U858" s="437"/>
      <c r="V858" s="437"/>
      <c r="W858" s="437"/>
      <c r="X858" s="437"/>
      <c r="Y858" s="437"/>
      <c r="Z858" s="437"/>
    </row>
    <row r="859" spans="8:26" ht="15.75" customHeight="1">
      <c r="H859" s="437"/>
      <c r="I859" s="437"/>
      <c r="J859" s="437"/>
      <c r="K859" s="439"/>
      <c r="L859" s="437"/>
      <c r="M859" s="437"/>
      <c r="N859" s="437"/>
      <c r="O859" s="437"/>
      <c r="P859" s="437"/>
      <c r="Q859" s="437"/>
      <c r="R859" s="437"/>
      <c r="S859" s="437"/>
      <c r="T859" s="437"/>
      <c r="U859" s="437"/>
      <c r="V859" s="437"/>
      <c r="W859" s="437"/>
      <c r="X859" s="437"/>
      <c r="Y859" s="437"/>
      <c r="Z859" s="437"/>
    </row>
    <row r="860" spans="8:26" ht="15.75" customHeight="1">
      <c r="H860" s="437"/>
      <c r="I860" s="437"/>
      <c r="J860" s="437"/>
      <c r="K860" s="439"/>
      <c r="L860" s="437"/>
      <c r="M860" s="437"/>
      <c r="N860" s="437"/>
      <c r="O860" s="437"/>
      <c r="P860" s="437"/>
      <c r="Q860" s="437"/>
      <c r="R860" s="437"/>
      <c r="S860" s="437"/>
      <c r="T860" s="437"/>
      <c r="U860" s="437"/>
      <c r="V860" s="437"/>
      <c r="W860" s="437"/>
      <c r="X860" s="437"/>
      <c r="Y860" s="437"/>
      <c r="Z860" s="437"/>
    </row>
    <row r="861" spans="8:26" ht="15.75" customHeight="1">
      <c r="H861" s="437"/>
      <c r="I861" s="437"/>
      <c r="J861" s="437"/>
      <c r="K861" s="439"/>
      <c r="L861" s="437"/>
      <c r="M861" s="437"/>
      <c r="N861" s="437"/>
      <c r="O861" s="437"/>
      <c r="P861" s="437"/>
      <c r="Q861" s="437"/>
      <c r="R861" s="437"/>
      <c r="S861" s="437"/>
      <c r="T861" s="437"/>
      <c r="U861" s="437"/>
      <c r="V861" s="437"/>
      <c r="W861" s="437"/>
      <c r="X861" s="437"/>
      <c r="Y861" s="437"/>
      <c r="Z861" s="437"/>
    </row>
    <row r="862" spans="8:26" ht="15.75" customHeight="1">
      <c r="H862" s="437"/>
      <c r="I862" s="437"/>
      <c r="J862" s="437"/>
      <c r="K862" s="439"/>
      <c r="L862" s="437"/>
      <c r="M862" s="437"/>
      <c r="N862" s="437"/>
      <c r="O862" s="437"/>
      <c r="P862" s="437"/>
      <c r="Q862" s="437"/>
      <c r="R862" s="437"/>
      <c r="S862" s="437"/>
      <c r="T862" s="437"/>
      <c r="U862" s="437"/>
      <c r="V862" s="437"/>
      <c r="W862" s="437"/>
      <c r="X862" s="437"/>
      <c r="Y862" s="437"/>
      <c r="Z862" s="437"/>
    </row>
    <row r="863" spans="8:26" ht="15.75" customHeight="1">
      <c r="H863" s="437"/>
      <c r="I863" s="437"/>
      <c r="J863" s="437"/>
      <c r="K863" s="439"/>
      <c r="L863" s="437"/>
      <c r="M863" s="437"/>
      <c r="N863" s="437"/>
      <c r="O863" s="437"/>
      <c r="P863" s="437"/>
      <c r="Q863" s="437"/>
      <c r="R863" s="437"/>
      <c r="S863" s="437"/>
      <c r="T863" s="437"/>
      <c r="U863" s="437"/>
      <c r="V863" s="437"/>
      <c r="W863" s="437"/>
      <c r="X863" s="437"/>
      <c r="Y863" s="437"/>
      <c r="Z863" s="437"/>
    </row>
    <row r="864" spans="8:26" ht="15.75" customHeight="1">
      <c r="H864" s="437"/>
      <c r="I864" s="437"/>
      <c r="J864" s="437"/>
      <c r="K864" s="439"/>
      <c r="L864" s="437"/>
      <c r="M864" s="437"/>
      <c r="N864" s="437"/>
      <c r="O864" s="437"/>
      <c r="P864" s="437"/>
      <c r="Q864" s="437"/>
      <c r="R864" s="437"/>
      <c r="S864" s="437"/>
      <c r="T864" s="437"/>
      <c r="U864" s="437"/>
      <c r="V864" s="437"/>
      <c r="W864" s="437"/>
      <c r="X864" s="437"/>
      <c r="Y864" s="437"/>
      <c r="Z864" s="437"/>
    </row>
    <row r="865" spans="8:26" ht="15.75" customHeight="1">
      <c r="H865" s="437"/>
      <c r="I865" s="437"/>
      <c r="J865" s="437"/>
      <c r="K865" s="439"/>
      <c r="L865" s="437"/>
      <c r="M865" s="437"/>
      <c r="N865" s="437"/>
      <c r="O865" s="437"/>
      <c r="P865" s="437"/>
      <c r="Q865" s="437"/>
      <c r="R865" s="437"/>
      <c r="S865" s="437"/>
      <c r="T865" s="437"/>
      <c r="U865" s="437"/>
      <c r="V865" s="437"/>
      <c r="W865" s="437"/>
      <c r="X865" s="437"/>
      <c r="Y865" s="437"/>
      <c r="Z865" s="437"/>
    </row>
    <row r="866" spans="8:26" ht="15.75" customHeight="1">
      <c r="H866" s="437"/>
      <c r="I866" s="437"/>
      <c r="J866" s="437"/>
      <c r="K866" s="439"/>
      <c r="L866" s="437"/>
      <c r="M866" s="437"/>
      <c r="N866" s="437"/>
      <c r="O866" s="437"/>
      <c r="P866" s="437"/>
      <c r="Q866" s="437"/>
      <c r="R866" s="437"/>
      <c r="S866" s="437"/>
      <c r="T866" s="437"/>
      <c r="U866" s="437"/>
      <c r="V866" s="437"/>
      <c r="W866" s="437"/>
      <c r="X866" s="437"/>
      <c r="Y866" s="437"/>
      <c r="Z866" s="437"/>
    </row>
    <row r="867" spans="8:26" ht="15.75" customHeight="1">
      <c r="H867" s="437"/>
      <c r="I867" s="437"/>
      <c r="J867" s="437"/>
      <c r="K867" s="439"/>
      <c r="L867" s="437"/>
      <c r="M867" s="437"/>
      <c r="N867" s="437"/>
      <c r="O867" s="437"/>
      <c r="P867" s="437"/>
      <c r="Q867" s="437"/>
      <c r="R867" s="437"/>
      <c r="S867" s="437"/>
      <c r="T867" s="437"/>
      <c r="U867" s="437"/>
      <c r="V867" s="437"/>
      <c r="W867" s="437"/>
      <c r="X867" s="437"/>
      <c r="Y867" s="437"/>
      <c r="Z867" s="437"/>
    </row>
    <row r="868" spans="8:26" ht="15.75" customHeight="1">
      <c r="H868" s="437"/>
      <c r="I868" s="437"/>
      <c r="J868" s="437"/>
      <c r="K868" s="439"/>
      <c r="L868" s="437"/>
      <c r="M868" s="437"/>
      <c r="N868" s="437"/>
      <c r="O868" s="437"/>
      <c r="P868" s="437"/>
      <c r="Q868" s="437"/>
      <c r="R868" s="437"/>
      <c r="S868" s="437"/>
      <c r="T868" s="437"/>
      <c r="U868" s="437"/>
      <c r="V868" s="437"/>
      <c r="W868" s="437"/>
      <c r="X868" s="437"/>
      <c r="Y868" s="437"/>
      <c r="Z868" s="437"/>
    </row>
    <row r="869" spans="8:26" ht="15.75" customHeight="1">
      <c r="H869" s="437"/>
      <c r="I869" s="437"/>
      <c r="J869" s="437"/>
      <c r="K869" s="439"/>
      <c r="L869" s="437"/>
      <c r="M869" s="437"/>
      <c r="N869" s="437"/>
      <c r="O869" s="437"/>
      <c r="P869" s="437"/>
      <c r="Q869" s="437"/>
      <c r="R869" s="437"/>
      <c r="S869" s="437"/>
      <c r="T869" s="437"/>
      <c r="U869" s="437"/>
      <c r="V869" s="437"/>
      <c r="W869" s="437"/>
      <c r="X869" s="437"/>
      <c r="Y869" s="437"/>
      <c r="Z869" s="437"/>
    </row>
    <row r="870" spans="8:26" ht="15.75" customHeight="1">
      <c r="H870" s="437"/>
      <c r="I870" s="437"/>
      <c r="J870" s="437"/>
      <c r="K870" s="439"/>
      <c r="L870" s="437"/>
      <c r="M870" s="437"/>
      <c r="N870" s="437"/>
      <c r="O870" s="437"/>
      <c r="P870" s="437"/>
      <c r="Q870" s="437"/>
      <c r="R870" s="437"/>
      <c r="S870" s="437"/>
      <c r="T870" s="437"/>
      <c r="U870" s="437"/>
      <c r="V870" s="437"/>
      <c r="W870" s="437"/>
      <c r="X870" s="437"/>
      <c r="Y870" s="437"/>
      <c r="Z870" s="437"/>
    </row>
    <row r="871" spans="8:26" ht="15.75" customHeight="1">
      <c r="H871" s="437"/>
      <c r="I871" s="437"/>
      <c r="J871" s="437"/>
      <c r="K871" s="439"/>
      <c r="L871" s="437"/>
      <c r="M871" s="437"/>
      <c r="N871" s="437"/>
      <c r="O871" s="437"/>
      <c r="P871" s="437"/>
      <c r="Q871" s="437"/>
      <c r="R871" s="437"/>
      <c r="S871" s="437"/>
      <c r="T871" s="437"/>
      <c r="U871" s="437"/>
      <c r="V871" s="437"/>
      <c r="W871" s="437"/>
      <c r="X871" s="437"/>
      <c r="Y871" s="437"/>
      <c r="Z871" s="437"/>
    </row>
    <row r="872" spans="8:26" ht="15.75" customHeight="1">
      <c r="H872" s="437"/>
      <c r="I872" s="437"/>
      <c r="J872" s="437"/>
      <c r="K872" s="439"/>
      <c r="L872" s="437"/>
      <c r="M872" s="437"/>
      <c r="N872" s="437"/>
      <c r="O872" s="437"/>
      <c r="P872" s="437"/>
      <c r="Q872" s="437"/>
      <c r="R872" s="437"/>
      <c r="S872" s="437"/>
      <c r="T872" s="437"/>
      <c r="U872" s="437"/>
      <c r="V872" s="437"/>
      <c r="W872" s="437"/>
      <c r="X872" s="437"/>
      <c r="Y872" s="437"/>
      <c r="Z872" s="437"/>
    </row>
    <row r="873" spans="8:26" ht="15.75" customHeight="1">
      <c r="H873" s="437"/>
      <c r="I873" s="437"/>
      <c r="J873" s="437"/>
      <c r="K873" s="439"/>
      <c r="L873" s="437"/>
      <c r="M873" s="437"/>
      <c r="N873" s="437"/>
      <c r="O873" s="437"/>
      <c r="P873" s="437"/>
      <c r="Q873" s="437"/>
      <c r="R873" s="437"/>
      <c r="S873" s="437"/>
      <c r="T873" s="437"/>
      <c r="U873" s="437"/>
      <c r="V873" s="437"/>
      <c r="W873" s="437"/>
      <c r="X873" s="437"/>
      <c r="Y873" s="437"/>
      <c r="Z873" s="437"/>
    </row>
    <row r="874" spans="8:26" ht="15.75" customHeight="1">
      <c r="H874" s="437"/>
      <c r="I874" s="437"/>
      <c r="J874" s="437"/>
      <c r="K874" s="439"/>
      <c r="L874" s="437"/>
      <c r="M874" s="437"/>
      <c r="N874" s="437"/>
      <c r="O874" s="437"/>
      <c r="P874" s="437"/>
      <c r="Q874" s="437"/>
      <c r="R874" s="437"/>
      <c r="S874" s="437"/>
      <c r="T874" s="437"/>
      <c r="U874" s="437"/>
      <c r="V874" s="437"/>
      <c r="W874" s="437"/>
      <c r="X874" s="437"/>
      <c r="Y874" s="437"/>
      <c r="Z874" s="437"/>
    </row>
    <row r="875" spans="8:26" ht="15.75" customHeight="1">
      <c r="H875" s="437"/>
      <c r="I875" s="437"/>
      <c r="J875" s="437"/>
      <c r="K875" s="439"/>
      <c r="L875" s="437"/>
      <c r="M875" s="437"/>
      <c r="N875" s="437"/>
      <c r="O875" s="437"/>
      <c r="P875" s="437"/>
      <c r="Q875" s="437"/>
      <c r="R875" s="437"/>
      <c r="S875" s="437"/>
      <c r="T875" s="437"/>
      <c r="U875" s="437"/>
      <c r="V875" s="437"/>
      <c r="W875" s="437"/>
      <c r="X875" s="437"/>
      <c r="Y875" s="437"/>
      <c r="Z875" s="437"/>
    </row>
    <row r="876" spans="8:26" ht="15.75" customHeight="1">
      <c r="H876" s="437"/>
      <c r="I876" s="437"/>
      <c r="J876" s="437"/>
      <c r="K876" s="439"/>
      <c r="L876" s="437"/>
      <c r="M876" s="437"/>
      <c r="N876" s="437"/>
      <c r="O876" s="437"/>
      <c r="P876" s="437"/>
      <c r="Q876" s="437"/>
      <c r="R876" s="437"/>
      <c r="S876" s="437"/>
      <c r="T876" s="437"/>
      <c r="U876" s="437"/>
      <c r="V876" s="437"/>
      <c r="W876" s="437"/>
      <c r="X876" s="437"/>
      <c r="Y876" s="437"/>
      <c r="Z876" s="437"/>
    </row>
    <row r="877" spans="8:26" ht="15.75" customHeight="1">
      <c r="H877" s="437"/>
      <c r="I877" s="437"/>
      <c r="J877" s="437"/>
      <c r="K877" s="439"/>
      <c r="L877" s="437"/>
      <c r="M877" s="437"/>
      <c r="N877" s="437"/>
      <c r="O877" s="437"/>
      <c r="P877" s="437"/>
      <c r="Q877" s="437"/>
      <c r="R877" s="437"/>
      <c r="S877" s="437"/>
      <c r="T877" s="437"/>
      <c r="U877" s="437"/>
      <c r="V877" s="437"/>
      <c r="W877" s="437"/>
      <c r="X877" s="437"/>
      <c r="Y877" s="437"/>
      <c r="Z877" s="437"/>
    </row>
    <row r="878" spans="8:26" ht="15.75" customHeight="1">
      <c r="H878" s="437"/>
      <c r="I878" s="437"/>
      <c r="J878" s="437"/>
      <c r="K878" s="439"/>
      <c r="L878" s="437"/>
      <c r="M878" s="437"/>
      <c r="N878" s="437"/>
      <c r="O878" s="437"/>
      <c r="P878" s="437"/>
      <c r="Q878" s="437"/>
      <c r="R878" s="437"/>
      <c r="S878" s="437"/>
      <c r="T878" s="437"/>
      <c r="U878" s="437"/>
      <c r="V878" s="437"/>
      <c r="W878" s="437"/>
      <c r="X878" s="437"/>
      <c r="Y878" s="437"/>
      <c r="Z878" s="437"/>
    </row>
    <row r="879" spans="8:26" ht="15.75" customHeight="1">
      <c r="H879" s="437"/>
      <c r="I879" s="437"/>
      <c r="J879" s="437"/>
      <c r="K879" s="439"/>
      <c r="L879" s="437"/>
      <c r="M879" s="437"/>
      <c r="N879" s="437"/>
      <c r="O879" s="437"/>
      <c r="P879" s="437"/>
      <c r="Q879" s="437"/>
      <c r="R879" s="437"/>
      <c r="S879" s="437"/>
      <c r="T879" s="437"/>
      <c r="U879" s="437"/>
      <c r="V879" s="437"/>
      <c r="W879" s="437"/>
      <c r="X879" s="437"/>
      <c r="Y879" s="437"/>
      <c r="Z879" s="437"/>
    </row>
    <row r="880" spans="8:26" ht="15.75" customHeight="1">
      <c r="H880" s="437"/>
      <c r="I880" s="437"/>
      <c r="J880" s="437"/>
      <c r="K880" s="439"/>
      <c r="L880" s="437"/>
      <c r="M880" s="437"/>
      <c r="N880" s="437"/>
      <c r="O880" s="437"/>
      <c r="P880" s="437"/>
      <c r="Q880" s="437"/>
      <c r="R880" s="437"/>
      <c r="S880" s="437"/>
      <c r="T880" s="437"/>
      <c r="U880" s="437"/>
      <c r="V880" s="437"/>
      <c r="W880" s="437"/>
      <c r="X880" s="437"/>
      <c r="Y880" s="437"/>
      <c r="Z880" s="437"/>
    </row>
    <row r="881" spans="8:26" ht="15.75" customHeight="1">
      <c r="H881" s="437"/>
      <c r="I881" s="437"/>
      <c r="J881" s="437"/>
      <c r="K881" s="439"/>
      <c r="L881" s="437"/>
      <c r="M881" s="437"/>
      <c r="N881" s="437"/>
      <c r="O881" s="437"/>
      <c r="P881" s="437"/>
      <c r="Q881" s="437"/>
      <c r="R881" s="437"/>
      <c r="S881" s="437"/>
      <c r="T881" s="437"/>
      <c r="U881" s="437"/>
      <c r="V881" s="437"/>
      <c r="W881" s="437"/>
      <c r="X881" s="437"/>
      <c r="Y881" s="437"/>
      <c r="Z881" s="437"/>
    </row>
    <row r="882" spans="8:26" ht="15.75" customHeight="1">
      <c r="H882" s="437"/>
      <c r="I882" s="437"/>
      <c r="J882" s="437"/>
      <c r="K882" s="439"/>
      <c r="L882" s="437"/>
      <c r="M882" s="437"/>
      <c r="N882" s="437"/>
      <c r="O882" s="437"/>
      <c r="P882" s="437"/>
      <c r="Q882" s="437"/>
      <c r="R882" s="437"/>
      <c r="S882" s="437"/>
      <c r="T882" s="437"/>
      <c r="U882" s="437"/>
      <c r="V882" s="437"/>
      <c r="W882" s="437"/>
      <c r="X882" s="437"/>
      <c r="Y882" s="437"/>
      <c r="Z882" s="437"/>
    </row>
    <row r="883" spans="8:26" ht="15.75" customHeight="1">
      <c r="H883" s="437"/>
      <c r="I883" s="437"/>
      <c r="J883" s="437"/>
      <c r="K883" s="439"/>
      <c r="L883" s="437"/>
      <c r="M883" s="437"/>
      <c r="N883" s="437"/>
      <c r="O883" s="437"/>
      <c r="P883" s="437"/>
      <c r="Q883" s="437"/>
      <c r="R883" s="437"/>
      <c r="S883" s="437"/>
      <c r="T883" s="437"/>
      <c r="U883" s="437"/>
      <c r="V883" s="437"/>
      <c r="W883" s="437"/>
      <c r="X883" s="437"/>
      <c r="Y883" s="437"/>
      <c r="Z883" s="437"/>
    </row>
    <row r="884" spans="8:26" ht="15.75" customHeight="1">
      <c r="H884" s="437"/>
      <c r="I884" s="437"/>
      <c r="J884" s="437"/>
      <c r="K884" s="439"/>
      <c r="L884" s="437"/>
      <c r="M884" s="437"/>
      <c r="N884" s="437"/>
      <c r="O884" s="437"/>
      <c r="P884" s="437"/>
      <c r="Q884" s="437"/>
      <c r="R884" s="437"/>
      <c r="S884" s="437"/>
      <c r="T884" s="437"/>
      <c r="U884" s="437"/>
      <c r="V884" s="437"/>
      <c r="W884" s="437"/>
      <c r="X884" s="437"/>
      <c r="Y884" s="437"/>
      <c r="Z884" s="437"/>
    </row>
    <row r="885" spans="8:26" ht="15.75" customHeight="1">
      <c r="H885" s="437"/>
      <c r="I885" s="437"/>
      <c r="J885" s="437"/>
      <c r="K885" s="439"/>
      <c r="L885" s="437"/>
      <c r="M885" s="437"/>
      <c r="N885" s="437"/>
      <c r="O885" s="437"/>
      <c r="P885" s="437"/>
      <c r="Q885" s="437"/>
      <c r="R885" s="437"/>
      <c r="S885" s="437"/>
      <c r="T885" s="437"/>
      <c r="U885" s="437"/>
      <c r="V885" s="437"/>
      <c r="W885" s="437"/>
      <c r="X885" s="437"/>
      <c r="Y885" s="437"/>
      <c r="Z885" s="437"/>
    </row>
    <row r="886" spans="8:26" ht="15.75" customHeight="1">
      <c r="H886" s="437"/>
      <c r="I886" s="437"/>
      <c r="J886" s="437"/>
      <c r="K886" s="439"/>
      <c r="L886" s="437"/>
      <c r="M886" s="437"/>
      <c r="N886" s="437"/>
      <c r="O886" s="437"/>
      <c r="P886" s="437"/>
      <c r="Q886" s="437"/>
      <c r="R886" s="437"/>
      <c r="S886" s="437"/>
      <c r="T886" s="437"/>
      <c r="U886" s="437"/>
      <c r="V886" s="437"/>
      <c r="W886" s="437"/>
      <c r="X886" s="437"/>
      <c r="Y886" s="437"/>
      <c r="Z886" s="437"/>
    </row>
    <row r="887" spans="8:26" ht="15.75" customHeight="1">
      <c r="H887" s="437"/>
      <c r="I887" s="437"/>
      <c r="J887" s="437"/>
      <c r="K887" s="439"/>
      <c r="L887" s="437"/>
      <c r="M887" s="437"/>
      <c r="N887" s="437"/>
      <c r="O887" s="437"/>
      <c r="P887" s="437"/>
      <c r="Q887" s="437"/>
      <c r="R887" s="437"/>
      <c r="S887" s="437"/>
      <c r="T887" s="437"/>
      <c r="U887" s="437"/>
      <c r="V887" s="437"/>
      <c r="W887" s="437"/>
      <c r="X887" s="437"/>
      <c r="Y887" s="437"/>
      <c r="Z887" s="437"/>
    </row>
    <row r="888" spans="8:26" ht="15.75" customHeight="1">
      <c r="H888" s="437"/>
      <c r="I888" s="437"/>
      <c r="J888" s="437"/>
      <c r="K888" s="439"/>
      <c r="L888" s="437"/>
      <c r="M888" s="437"/>
      <c r="N888" s="437"/>
      <c r="O888" s="437"/>
      <c r="P888" s="437"/>
      <c r="Q888" s="437"/>
      <c r="R888" s="437"/>
      <c r="S888" s="437"/>
      <c r="T888" s="437"/>
      <c r="U888" s="437"/>
      <c r="V888" s="437"/>
      <c r="W888" s="437"/>
      <c r="X888" s="437"/>
      <c r="Y888" s="437"/>
      <c r="Z888" s="437"/>
    </row>
    <row r="889" spans="8:26" ht="15.75" customHeight="1">
      <c r="H889" s="437"/>
      <c r="I889" s="437"/>
      <c r="J889" s="437"/>
      <c r="K889" s="439"/>
      <c r="L889" s="437"/>
      <c r="M889" s="437"/>
      <c r="N889" s="437"/>
      <c r="O889" s="437"/>
      <c r="P889" s="437"/>
      <c r="Q889" s="437"/>
      <c r="R889" s="437"/>
      <c r="S889" s="437"/>
      <c r="T889" s="437"/>
      <c r="U889" s="437"/>
      <c r="V889" s="437"/>
      <c r="W889" s="437"/>
      <c r="X889" s="437"/>
      <c r="Y889" s="437"/>
      <c r="Z889" s="437"/>
    </row>
    <row r="890" spans="8:26" ht="15.75" customHeight="1">
      <c r="H890" s="437"/>
      <c r="I890" s="437"/>
      <c r="J890" s="437"/>
      <c r="K890" s="439"/>
      <c r="L890" s="437"/>
      <c r="M890" s="437"/>
      <c r="N890" s="437"/>
      <c r="O890" s="437"/>
      <c r="P890" s="437"/>
      <c r="Q890" s="437"/>
      <c r="R890" s="437"/>
      <c r="S890" s="437"/>
      <c r="T890" s="437"/>
      <c r="U890" s="437"/>
      <c r="V890" s="437"/>
      <c r="W890" s="437"/>
      <c r="X890" s="437"/>
      <c r="Y890" s="437"/>
      <c r="Z890" s="437"/>
    </row>
    <row r="891" spans="8:26" ht="15.75" customHeight="1">
      <c r="H891" s="437"/>
      <c r="I891" s="437"/>
      <c r="J891" s="437"/>
      <c r="K891" s="439"/>
      <c r="L891" s="437"/>
      <c r="M891" s="437"/>
      <c r="N891" s="437"/>
      <c r="O891" s="437"/>
      <c r="P891" s="437"/>
      <c r="Q891" s="437"/>
      <c r="R891" s="437"/>
      <c r="S891" s="437"/>
      <c r="T891" s="437"/>
      <c r="U891" s="437"/>
      <c r="V891" s="437"/>
      <c r="W891" s="437"/>
      <c r="X891" s="437"/>
      <c r="Y891" s="437"/>
      <c r="Z891" s="437"/>
    </row>
    <row r="892" spans="8:26" ht="15.75" customHeight="1">
      <c r="H892" s="437"/>
      <c r="I892" s="437"/>
      <c r="J892" s="437"/>
      <c r="K892" s="439"/>
      <c r="L892" s="437"/>
      <c r="M892" s="437"/>
      <c r="N892" s="437"/>
      <c r="O892" s="437"/>
      <c r="P892" s="437"/>
      <c r="Q892" s="437"/>
      <c r="R892" s="437"/>
      <c r="S892" s="437"/>
      <c r="T892" s="437"/>
      <c r="U892" s="437"/>
      <c r="V892" s="437"/>
      <c r="W892" s="437"/>
      <c r="X892" s="437"/>
      <c r="Y892" s="437"/>
      <c r="Z892" s="437"/>
    </row>
    <row r="893" spans="8:26" ht="15.75" customHeight="1">
      <c r="H893" s="437"/>
      <c r="I893" s="437"/>
      <c r="J893" s="437"/>
      <c r="K893" s="439"/>
      <c r="L893" s="437"/>
      <c r="M893" s="437"/>
      <c r="N893" s="437"/>
      <c r="O893" s="437"/>
      <c r="P893" s="437"/>
      <c r="Q893" s="437"/>
      <c r="R893" s="437"/>
      <c r="S893" s="437"/>
      <c r="T893" s="437"/>
      <c r="U893" s="437"/>
      <c r="V893" s="437"/>
      <c r="W893" s="437"/>
      <c r="X893" s="437"/>
      <c r="Y893" s="437"/>
      <c r="Z893" s="437"/>
    </row>
    <row r="894" spans="8:26" ht="15.75" customHeight="1">
      <c r="H894" s="437"/>
      <c r="I894" s="437"/>
      <c r="J894" s="437"/>
      <c r="K894" s="439"/>
      <c r="L894" s="437"/>
      <c r="M894" s="437"/>
      <c r="N894" s="437"/>
      <c r="O894" s="437"/>
      <c r="P894" s="437"/>
      <c r="Q894" s="437"/>
      <c r="R894" s="437"/>
      <c r="S894" s="437"/>
      <c r="T894" s="437"/>
      <c r="U894" s="437"/>
      <c r="V894" s="437"/>
      <c r="W894" s="437"/>
      <c r="X894" s="437"/>
      <c r="Y894" s="437"/>
      <c r="Z894" s="437"/>
    </row>
    <row r="895" spans="8:26" ht="15.75" customHeight="1">
      <c r="H895" s="437"/>
      <c r="I895" s="437"/>
      <c r="J895" s="437"/>
      <c r="K895" s="439"/>
      <c r="L895" s="437"/>
      <c r="M895" s="437"/>
      <c r="N895" s="437"/>
      <c r="O895" s="437"/>
      <c r="P895" s="437"/>
      <c r="Q895" s="437"/>
      <c r="R895" s="437"/>
      <c r="S895" s="437"/>
      <c r="T895" s="437"/>
      <c r="U895" s="437"/>
      <c r="V895" s="437"/>
      <c r="W895" s="437"/>
      <c r="X895" s="437"/>
      <c r="Y895" s="437"/>
      <c r="Z895" s="437"/>
    </row>
    <row r="896" spans="8:26" ht="15.75" customHeight="1">
      <c r="H896" s="437"/>
      <c r="I896" s="437"/>
      <c r="J896" s="437"/>
      <c r="K896" s="439"/>
      <c r="L896" s="437"/>
      <c r="M896" s="437"/>
      <c r="N896" s="437"/>
      <c r="O896" s="437"/>
      <c r="P896" s="437"/>
      <c r="Q896" s="437"/>
      <c r="R896" s="437"/>
      <c r="S896" s="437"/>
      <c r="T896" s="437"/>
      <c r="U896" s="437"/>
      <c r="V896" s="437"/>
      <c r="W896" s="437"/>
      <c r="X896" s="437"/>
      <c r="Y896" s="437"/>
      <c r="Z896" s="437"/>
    </row>
    <row r="897" spans="8:26" ht="15.75" customHeight="1">
      <c r="H897" s="437"/>
      <c r="I897" s="437"/>
      <c r="J897" s="437"/>
      <c r="K897" s="439"/>
      <c r="L897" s="437"/>
      <c r="M897" s="437"/>
      <c r="N897" s="437"/>
      <c r="O897" s="437"/>
      <c r="P897" s="437"/>
      <c r="Q897" s="437"/>
      <c r="R897" s="437"/>
      <c r="S897" s="437"/>
      <c r="T897" s="437"/>
      <c r="U897" s="437"/>
      <c r="V897" s="437"/>
      <c r="W897" s="437"/>
      <c r="X897" s="437"/>
      <c r="Y897" s="437"/>
      <c r="Z897" s="437"/>
    </row>
    <row r="898" spans="8:26" ht="15.75" customHeight="1">
      <c r="H898" s="437"/>
      <c r="I898" s="437"/>
      <c r="J898" s="437"/>
      <c r="K898" s="439"/>
      <c r="L898" s="437"/>
      <c r="M898" s="437"/>
      <c r="N898" s="437"/>
      <c r="O898" s="437"/>
      <c r="P898" s="437"/>
      <c r="Q898" s="437"/>
      <c r="R898" s="437"/>
      <c r="S898" s="437"/>
      <c r="T898" s="437"/>
      <c r="U898" s="437"/>
      <c r="V898" s="437"/>
      <c r="W898" s="437"/>
      <c r="X898" s="437"/>
      <c r="Y898" s="437"/>
      <c r="Z898" s="437"/>
    </row>
    <row r="899" spans="8:26" ht="15.75" customHeight="1">
      <c r="H899" s="437"/>
      <c r="I899" s="437"/>
      <c r="J899" s="437"/>
      <c r="K899" s="439"/>
      <c r="L899" s="437"/>
      <c r="M899" s="437"/>
      <c r="N899" s="437"/>
      <c r="O899" s="437"/>
      <c r="P899" s="437"/>
      <c r="Q899" s="437"/>
      <c r="R899" s="437"/>
      <c r="S899" s="437"/>
      <c r="T899" s="437"/>
      <c r="U899" s="437"/>
      <c r="V899" s="437"/>
      <c r="W899" s="437"/>
      <c r="X899" s="437"/>
      <c r="Y899" s="437"/>
      <c r="Z899" s="437"/>
    </row>
    <row r="900" spans="8:26" ht="15.75" customHeight="1">
      <c r="H900" s="437"/>
      <c r="I900" s="437"/>
      <c r="J900" s="437"/>
      <c r="K900" s="439"/>
      <c r="L900" s="437"/>
      <c r="M900" s="437"/>
      <c r="N900" s="437"/>
      <c r="O900" s="437"/>
      <c r="P900" s="437"/>
      <c r="Q900" s="437"/>
      <c r="R900" s="437"/>
      <c r="S900" s="437"/>
      <c r="T900" s="437"/>
      <c r="U900" s="437"/>
      <c r="V900" s="437"/>
      <c r="W900" s="437"/>
      <c r="X900" s="437"/>
      <c r="Y900" s="437"/>
      <c r="Z900" s="437"/>
    </row>
    <row r="901" spans="8:26" ht="15.75" customHeight="1">
      <c r="H901" s="437"/>
      <c r="I901" s="437"/>
      <c r="J901" s="437"/>
      <c r="K901" s="439"/>
      <c r="L901" s="437"/>
      <c r="M901" s="437"/>
      <c r="N901" s="437"/>
      <c r="O901" s="437"/>
      <c r="P901" s="437"/>
      <c r="Q901" s="437"/>
      <c r="R901" s="437"/>
      <c r="S901" s="437"/>
      <c r="T901" s="437"/>
      <c r="U901" s="437"/>
      <c r="V901" s="437"/>
      <c r="W901" s="437"/>
      <c r="X901" s="437"/>
      <c r="Y901" s="437"/>
      <c r="Z901" s="437"/>
    </row>
    <row r="902" spans="8:26" ht="15.75" customHeight="1">
      <c r="H902" s="437"/>
      <c r="I902" s="437"/>
      <c r="J902" s="437"/>
      <c r="K902" s="439"/>
      <c r="L902" s="437"/>
      <c r="M902" s="437"/>
      <c r="N902" s="437"/>
      <c r="O902" s="437"/>
      <c r="P902" s="437"/>
      <c r="Q902" s="437"/>
      <c r="R902" s="437"/>
      <c r="S902" s="437"/>
      <c r="T902" s="437"/>
      <c r="U902" s="437"/>
      <c r="V902" s="437"/>
      <c r="W902" s="437"/>
      <c r="X902" s="437"/>
      <c r="Y902" s="437"/>
      <c r="Z902" s="437"/>
    </row>
    <row r="903" spans="8:26" ht="15.75" customHeight="1">
      <c r="H903" s="437"/>
      <c r="I903" s="437"/>
      <c r="J903" s="437"/>
      <c r="K903" s="439"/>
      <c r="L903" s="437"/>
      <c r="M903" s="437"/>
      <c r="N903" s="437"/>
      <c r="O903" s="437"/>
      <c r="P903" s="437"/>
      <c r="Q903" s="437"/>
      <c r="R903" s="437"/>
      <c r="S903" s="437"/>
      <c r="T903" s="437"/>
      <c r="U903" s="437"/>
      <c r="V903" s="437"/>
      <c r="W903" s="437"/>
      <c r="X903" s="437"/>
      <c r="Y903" s="437"/>
      <c r="Z903" s="437"/>
    </row>
    <row r="904" spans="8:26" ht="15.75" customHeight="1">
      <c r="H904" s="437"/>
      <c r="I904" s="437"/>
      <c r="J904" s="437"/>
      <c r="K904" s="439"/>
      <c r="L904" s="437"/>
      <c r="M904" s="437"/>
      <c r="N904" s="437"/>
      <c r="O904" s="437"/>
      <c r="P904" s="437"/>
      <c r="Q904" s="437"/>
      <c r="R904" s="437"/>
      <c r="S904" s="437"/>
      <c r="T904" s="437"/>
      <c r="U904" s="437"/>
      <c r="V904" s="437"/>
      <c r="W904" s="437"/>
      <c r="X904" s="437"/>
      <c r="Y904" s="437"/>
      <c r="Z904" s="437"/>
    </row>
    <row r="905" spans="8:26" ht="15.75" customHeight="1">
      <c r="H905" s="437"/>
      <c r="I905" s="437"/>
      <c r="J905" s="437"/>
      <c r="K905" s="439"/>
      <c r="L905" s="437"/>
      <c r="M905" s="437"/>
      <c r="N905" s="437"/>
      <c r="O905" s="437"/>
      <c r="P905" s="437"/>
      <c r="Q905" s="437"/>
      <c r="R905" s="437"/>
      <c r="S905" s="437"/>
      <c r="T905" s="437"/>
      <c r="U905" s="437"/>
      <c r="V905" s="437"/>
      <c r="W905" s="437"/>
      <c r="X905" s="437"/>
      <c r="Y905" s="437"/>
      <c r="Z905" s="437"/>
    </row>
    <row r="906" spans="8:26" ht="15.75" customHeight="1">
      <c r="H906" s="437"/>
      <c r="I906" s="437"/>
      <c r="J906" s="437"/>
      <c r="K906" s="439"/>
      <c r="L906" s="437"/>
      <c r="M906" s="437"/>
      <c r="N906" s="437"/>
      <c r="O906" s="437"/>
      <c r="P906" s="437"/>
      <c r="Q906" s="437"/>
      <c r="R906" s="437"/>
      <c r="S906" s="437"/>
      <c r="T906" s="437"/>
      <c r="U906" s="437"/>
      <c r="V906" s="437"/>
      <c r="W906" s="437"/>
      <c r="X906" s="437"/>
      <c r="Y906" s="437"/>
      <c r="Z906" s="437"/>
    </row>
    <row r="907" spans="8:26" ht="15.75" customHeight="1">
      <c r="H907" s="437"/>
      <c r="I907" s="437"/>
      <c r="J907" s="437"/>
      <c r="K907" s="439"/>
      <c r="L907" s="437"/>
      <c r="M907" s="437"/>
      <c r="N907" s="437"/>
      <c r="O907" s="437"/>
      <c r="P907" s="437"/>
      <c r="Q907" s="437"/>
      <c r="R907" s="437"/>
      <c r="S907" s="437"/>
      <c r="T907" s="437"/>
      <c r="U907" s="437"/>
      <c r="V907" s="437"/>
      <c r="W907" s="437"/>
      <c r="X907" s="437"/>
      <c r="Y907" s="437"/>
      <c r="Z907" s="437"/>
    </row>
    <row r="908" spans="8:26" ht="15.75" customHeight="1">
      <c r="H908" s="437"/>
      <c r="I908" s="437"/>
      <c r="J908" s="437"/>
      <c r="K908" s="439"/>
      <c r="L908" s="437"/>
      <c r="M908" s="437"/>
      <c r="N908" s="437"/>
      <c r="O908" s="437"/>
      <c r="P908" s="437"/>
      <c r="Q908" s="437"/>
      <c r="R908" s="437"/>
      <c r="S908" s="437"/>
      <c r="T908" s="437"/>
      <c r="U908" s="437"/>
      <c r="V908" s="437"/>
      <c r="W908" s="437"/>
      <c r="X908" s="437"/>
      <c r="Y908" s="437"/>
      <c r="Z908" s="437"/>
    </row>
    <row r="909" spans="8:26" ht="15.75" customHeight="1">
      <c r="H909" s="437"/>
      <c r="I909" s="437"/>
      <c r="J909" s="437"/>
      <c r="K909" s="439"/>
      <c r="L909" s="437"/>
      <c r="M909" s="437"/>
      <c r="N909" s="437"/>
      <c r="O909" s="437"/>
      <c r="P909" s="437"/>
      <c r="Q909" s="437"/>
      <c r="R909" s="437"/>
      <c r="S909" s="437"/>
      <c r="T909" s="437"/>
      <c r="U909" s="437"/>
      <c r="V909" s="437"/>
      <c r="W909" s="437"/>
      <c r="X909" s="437"/>
      <c r="Y909" s="437"/>
      <c r="Z909" s="437"/>
    </row>
    <row r="910" spans="8:26" ht="15.75" customHeight="1">
      <c r="H910" s="437"/>
      <c r="I910" s="437"/>
      <c r="J910" s="437"/>
      <c r="K910" s="439"/>
      <c r="L910" s="437"/>
      <c r="M910" s="437"/>
      <c r="N910" s="437"/>
      <c r="O910" s="437"/>
      <c r="P910" s="437"/>
      <c r="Q910" s="437"/>
      <c r="R910" s="437"/>
      <c r="S910" s="437"/>
      <c r="T910" s="437"/>
      <c r="U910" s="437"/>
      <c r="V910" s="437"/>
      <c r="W910" s="437"/>
      <c r="X910" s="437"/>
      <c r="Y910" s="437"/>
      <c r="Z910" s="437"/>
    </row>
    <row r="911" spans="8:26" ht="15.75" customHeight="1">
      <c r="H911" s="437"/>
      <c r="I911" s="437"/>
      <c r="J911" s="437"/>
      <c r="K911" s="439"/>
      <c r="L911" s="437"/>
      <c r="M911" s="437"/>
      <c r="N911" s="437"/>
      <c r="O911" s="437"/>
      <c r="P911" s="437"/>
      <c r="Q911" s="437"/>
      <c r="R911" s="437"/>
      <c r="S911" s="437"/>
      <c r="T911" s="437"/>
      <c r="U911" s="437"/>
      <c r="V911" s="437"/>
      <c r="W911" s="437"/>
      <c r="X911" s="437"/>
      <c r="Y911" s="437"/>
      <c r="Z911" s="437"/>
    </row>
    <row r="912" spans="8:26" ht="15.75" customHeight="1">
      <c r="H912" s="437"/>
      <c r="I912" s="437"/>
      <c r="J912" s="437"/>
      <c r="K912" s="439"/>
      <c r="L912" s="437"/>
      <c r="M912" s="437"/>
      <c r="N912" s="437"/>
      <c r="O912" s="437"/>
      <c r="P912" s="437"/>
      <c r="Q912" s="437"/>
      <c r="R912" s="437"/>
      <c r="S912" s="437"/>
      <c r="T912" s="437"/>
      <c r="U912" s="437"/>
      <c r="V912" s="437"/>
      <c r="W912" s="437"/>
      <c r="X912" s="437"/>
      <c r="Y912" s="437"/>
      <c r="Z912" s="437"/>
    </row>
    <row r="913" spans="8:26" ht="15.75" customHeight="1">
      <c r="H913" s="437"/>
      <c r="I913" s="437"/>
      <c r="J913" s="437"/>
      <c r="K913" s="439"/>
      <c r="L913" s="437"/>
      <c r="M913" s="437"/>
      <c r="N913" s="437"/>
      <c r="O913" s="437"/>
      <c r="P913" s="437"/>
      <c r="Q913" s="437"/>
      <c r="R913" s="437"/>
      <c r="S913" s="437"/>
      <c r="T913" s="437"/>
      <c r="U913" s="437"/>
      <c r="V913" s="437"/>
      <c r="W913" s="437"/>
      <c r="X913" s="437"/>
      <c r="Y913" s="437"/>
      <c r="Z913" s="437"/>
    </row>
    <row r="914" spans="8:26" ht="15.75" customHeight="1">
      <c r="H914" s="437"/>
      <c r="I914" s="437"/>
      <c r="J914" s="437"/>
      <c r="K914" s="439"/>
      <c r="L914" s="437"/>
      <c r="M914" s="437"/>
      <c r="N914" s="437"/>
      <c r="O914" s="437"/>
      <c r="P914" s="437"/>
      <c r="Q914" s="437"/>
      <c r="R914" s="437"/>
      <c r="S914" s="437"/>
      <c r="T914" s="437"/>
      <c r="U914" s="437"/>
      <c r="V914" s="437"/>
      <c r="W914" s="437"/>
      <c r="X914" s="437"/>
      <c r="Y914" s="437"/>
      <c r="Z914" s="437"/>
    </row>
    <row r="915" spans="8:26" ht="15.75" customHeight="1">
      <c r="H915" s="437"/>
      <c r="I915" s="437"/>
      <c r="J915" s="437"/>
      <c r="K915" s="439"/>
      <c r="L915" s="437"/>
      <c r="M915" s="437"/>
      <c r="N915" s="437"/>
      <c r="O915" s="437"/>
      <c r="P915" s="437"/>
      <c r="Q915" s="437"/>
      <c r="R915" s="437"/>
      <c r="S915" s="437"/>
      <c r="T915" s="437"/>
      <c r="U915" s="437"/>
      <c r="V915" s="437"/>
      <c r="W915" s="437"/>
      <c r="X915" s="437"/>
      <c r="Y915" s="437"/>
      <c r="Z915" s="437"/>
    </row>
    <row r="916" spans="8:26" ht="15.75" customHeight="1">
      <c r="H916" s="437"/>
      <c r="I916" s="437"/>
      <c r="J916" s="437"/>
      <c r="K916" s="439"/>
      <c r="L916" s="437"/>
      <c r="M916" s="437"/>
      <c r="N916" s="437"/>
      <c r="O916" s="437"/>
      <c r="P916" s="437"/>
      <c r="Q916" s="437"/>
      <c r="R916" s="437"/>
      <c r="S916" s="437"/>
      <c r="T916" s="437"/>
      <c r="U916" s="437"/>
      <c r="V916" s="437"/>
      <c r="W916" s="437"/>
      <c r="X916" s="437"/>
      <c r="Y916" s="437"/>
      <c r="Z916" s="437"/>
    </row>
    <row r="917" spans="8:26" ht="15.75" customHeight="1">
      <c r="H917" s="437"/>
      <c r="I917" s="437"/>
      <c r="J917" s="437"/>
      <c r="K917" s="439"/>
      <c r="L917" s="437"/>
      <c r="M917" s="437"/>
      <c r="N917" s="437"/>
      <c r="O917" s="437"/>
      <c r="P917" s="437"/>
      <c r="Q917" s="437"/>
      <c r="R917" s="437"/>
      <c r="S917" s="437"/>
      <c r="T917" s="437"/>
      <c r="U917" s="437"/>
      <c r="V917" s="437"/>
      <c r="W917" s="437"/>
      <c r="X917" s="437"/>
      <c r="Y917" s="437"/>
      <c r="Z917" s="437"/>
    </row>
    <row r="918" spans="8:26" ht="15.75" customHeight="1">
      <c r="H918" s="437"/>
      <c r="I918" s="437"/>
      <c r="J918" s="437"/>
      <c r="K918" s="439"/>
      <c r="L918" s="437"/>
      <c r="M918" s="437"/>
      <c r="N918" s="437"/>
      <c r="O918" s="437"/>
      <c r="P918" s="437"/>
      <c r="Q918" s="437"/>
      <c r="R918" s="437"/>
      <c r="S918" s="437"/>
      <c r="T918" s="437"/>
      <c r="U918" s="437"/>
      <c r="V918" s="437"/>
      <c r="W918" s="437"/>
      <c r="X918" s="437"/>
      <c r="Y918" s="437"/>
      <c r="Z918" s="437"/>
    </row>
    <row r="919" spans="8:26" ht="15.75" customHeight="1">
      <c r="H919" s="437"/>
      <c r="I919" s="437"/>
      <c r="J919" s="437"/>
      <c r="K919" s="439"/>
      <c r="L919" s="437"/>
      <c r="M919" s="437"/>
      <c r="N919" s="437"/>
      <c r="O919" s="437"/>
      <c r="P919" s="437"/>
      <c r="Q919" s="437"/>
      <c r="R919" s="437"/>
      <c r="S919" s="437"/>
      <c r="T919" s="437"/>
      <c r="U919" s="437"/>
      <c r="V919" s="437"/>
      <c r="W919" s="437"/>
      <c r="X919" s="437"/>
      <c r="Y919" s="437"/>
      <c r="Z919" s="437"/>
    </row>
    <row r="920" spans="8:26" ht="15.75" customHeight="1">
      <c r="H920" s="437"/>
      <c r="I920" s="437"/>
      <c r="J920" s="437"/>
      <c r="K920" s="439"/>
      <c r="L920" s="437"/>
      <c r="M920" s="437"/>
      <c r="N920" s="437"/>
      <c r="O920" s="437"/>
      <c r="P920" s="437"/>
      <c r="Q920" s="437"/>
      <c r="R920" s="437"/>
      <c r="S920" s="437"/>
      <c r="T920" s="437"/>
      <c r="U920" s="437"/>
      <c r="V920" s="437"/>
      <c r="W920" s="437"/>
      <c r="X920" s="437"/>
      <c r="Y920" s="437"/>
      <c r="Z920" s="437"/>
    </row>
    <row r="921" spans="8:26" ht="15.75" customHeight="1">
      <c r="H921" s="437"/>
      <c r="I921" s="437"/>
      <c r="J921" s="437"/>
      <c r="K921" s="439"/>
      <c r="L921" s="437"/>
      <c r="M921" s="437"/>
      <c r="N921" s="437"/>
      <c r="O921" s="437"/>
      <c r="P921" s="437"/>
      <c r="Q921" s="437"/>
      <c r="R921" s="437"/>
      <c r="S921" s="437"/>
      <c r="T921" s="437"/>
      <c r="U921" s="437"/>
      <c r="V921" s="437"/>
      <c r="W921" s="437"/>
      <c r="X921" s="437"/>
      <c r="Y921" s="437"/>
      <c r="Z921" s="437"/>
    </row>
    <row r="922" spans="8:26" ht="15.75" customHeight="1">
      <c r="H922" s="437"/>
      <c r="I922" s="437"/>
      <c r="J922" s="437"/>
      <c r="K922" s="439"/>
      <c r="L922" s="437"/>
      <c r="M922" s="437"/>
      <c r="N922" s="437"/>
      <c r="O922" s="437"/>
      <c r="P922" s="437"/>
      <c r="Q922" s="437"/>
      <c r="R922" s="437"/>
      <c r="S922" s="437"/>
      <c r="T922" s="437"/>
      <c r="U922" s="437"/>
      <c r="V922" s="437"/>
      <c r="W922" s="437"/>
      <c r="X922" s="437"/>
      <c r="Y922" s="437"/>
      <c r="Z922" s="437"/>
    </row>
    <row r="923" spans="8:26" ht="15.75" customHeight="1">
      <c r="H923" s="437"/>
      <c r="I923" s="437"/>
      <c r="J923" s="437"/>
      <c r="K923" s="439"/>
      <c r="L923" s="437"/>
      <c r="M923" s="437"/>
      <c r="N923" s="437"/>
      <c r="O923" s="437"/>
      <c r="P923" s="437"/>
      <c r="Q923" s="437"/>
      <c r="R923" s="437"/>
      <c r="S923" s="437"/>
      <c r="T923" s="437"/>
      <c r="U923" s="437"/>
      <c r="V923" s="437"/>
      <c r="W923" s="437"/>
      <c r="X923" s="437"/>
      <c r="Y923" s="437"/>
      <c r="Z923" s="437"/>
    </row>
    <row r="924" spans="8:26" ht="15.75" customHeight="1">
      <c r="H924" s="437"/>
      <c r="I924" s="437"/>
      <c r="J924" s="437"/>
      <c r="K924" s="439"/>
      <c r="L924" s="437"/>
      <c r="M924" s="437"/>
      <c r="N924" s="437"/>
      <c r="O924" s="437"/>
      <c r="P924" s="437"/>
      <c r="Q924" s="437"/>
      <c r="R924" s="437"/>
      <c r="S924" s="437"/>
      <c r="T924" s="437"/>
      <c r="U924" s="437"/>
      <c r="V924" s="437"/>
      <c r="W924" s="437"/>
      <c r="X924" s="437"/>
      <c r="Y924" s="437"/>
      <c r="Z924" s="437"/>
    </row>
    <row r="925" spans="8:26" ht="15.75" customHeight="1">
      <c r="H925" s="437"/>
      <c r="I925" s="437"/>
      <c r="J925" s="437"/>
      <c r="K925" s="439"/>
      <c r="L925" s="437"/>
      <c r="M925" s="437"/>
      <c r="N925" s="437"/>
      <c r="O925" s="437"/>
      <c r="P925" s="437"/>
      <c r="Q925" s="437"/>
      <c r="R925" s="437"/>
      <c r="S925" s="437"/>
      <c r="T925" s="437"/>
      <c r="U925" s="437"/>
      <c r="V925" s="437"/>
      <c r="W925" s="437"/>
      <c r="X925" s="437"/>
      <c r="Y925" s="437"/>
      <c r="Z925" s="437"/>
    </row>
    <row r="926" spans="8:26" ht="15.75" customHeight="1">
      <c r="H926" s="437"/>
      <c r="I926" s="437"/>
      <c r="J926" s="437"/>
      <c r="K926" s="439"/>
      <c r="L926" s="437"/>
      <c r="M926" s="437"/>
      <c r="N926" s="437"/>
      <c r="O926" s="437"/>
      <c r="P926" s="437"/>
      <c r="Q926" s="437"/>
      <c r="R926" s="437"/>
      <c r="S926" s="437"/>
      <c r="T926" s="437"/>
      <c r="U926" s="437"/>
      <c r="V926" s="437"/>
      <c r="W926" s="437"/>
      <c r="X926" s="437"/>
      <c r="Y926" s="437"/>
      <c r="Z926" s="437"/>
    </row>
    <row r="927" spans="8:26" ht="15.75" customHeight="1">
      <c r="H927" s="437"/>
      <c r="I927" s="437"/>
      <c r="J927" s="437"/>
      <c r="K927" s="439"/>
      <c r="L927" s="437"/>
      <c r="M927" s="437"/>
      <c r="N927" s="437"/>
      <c r="O927" s="437"/>
      <c r="P927" s="437"/>
      <c r="Q927" s="437"/>
      <c r="R927" s="437"/>
      <c r="S927" s="437"/>
      <c r="T927" s="437"/>
      <c r="U927" s="437"/>
      <c r="V927" s="437"/>
      <c r="W927" s="437"/>
      <c r="X927" s="437"/>
      <c r="Y927" s="437"/>
      <c r="Z927" s="437"/>
    </row>
    <row r="928" spans="8:26" ht="15.75" customHeight="1">
      <c r="H928" s="437"/>
      <c r="I928" s="437"/>
      <c r="J928" s="437"/>
      <c r="K928" s="439"/>
      <c r="L928" s="437"/>
      <c r="M928" s="437"/>
      <c r="N928" s="437"/>
      <c r="O928" s="437"/>
      <c r="P928" s="437"/>
      <c r="Q928" s="437"/>
      <c r="R928" s="437"/>
      <c r="S928" s="437"/>
      <c r="T928" s="437"/>
      <c r="U928" s="437"/>
      <c r="V928" s="437"/>
      <c r="W928" s="437"/>
      <c r="X928" s="437"/>
      <c r="Y928" s="437"/>
      <c r="Z928" s="437"/>
    </row>
    <row r="929" spans="8:26" ht="15.75" customHeight="1">
      <c r="H929" s="437"/>
      <c r="I929" s="437"/>
      <c r="J929" s="437"/>
      <c r="K929" s="439"/>
      <c r="L929" s="437"/>
      <c r="M929" s="437"/>
      <c r="N929" s="437"/>
      <c r="O929" s="437"/>
      <c r="P929" s="437"/>
      <c r="Q929" s="437"/>
      <c r="R929" s="437"/>
      <c r="S929" s="437"/>
      <c r="T929" s="437"/>
      <c r="U929" s="437"/>
      <c r="V929" s="437"/>
      <c r="W929" s="437"/>
      <c r="X929" s="437"/>
      <c r="Y929" s="437"/>
      <c r="Z929" s="437"/>
    </row>
    <row r="930" spans="8:26" ht="15.75" customHeight="1">
      <c r="H930" s="437"/>
      <c r="I930" s="437"/>
      <c r="J930" s="437"/>
      <c r="K930" s="439"/>
      <c r="L930" s="437"/>
      <c r="M930" s="437"/>
      <c r="N930" s="437"/>
      <c r="O930" s="437"/>
      <c r="P930" s="437"/>
      <c r="Q930" s="437"/>
      <c r="R930" s="437"/>
      <c r="S930" s="437"/>
      <c r="T930" s="437"/>
      <c r="U930" s="437"/>
      <c r="V930" s="437"/>
      <c r="W930" s="437"/>
      <c r="X930" s="437"/>
      <c r="Y930" s="437"/>
      <c r="Z930" s="437"/>
    </row>
    <row r="931" spans="8:26" ht="15.75" customHeight="1">
      <c r="H931" s="437"/>
      <c r="I931" s="437"/>
      <c r="J931" s="437"/>
      <c r="K931" s="439"/>
      <c r="L931" s="437"/>
      <c r="M931" s="437"/>
      <c r="N931" s="437"/>
      <c r="O931" s="437"/>
      <c r="P931" s="437"/>
      <c r="Q931" s="437"/>
      <c r="R931" s="437"/>
      <c r="S931" s="437"/>
      <c r="T931" s="437"/>
      <c r="U931" s="437"/>
      <c r="V931" s="437"/>
      <c r="W931" s="437"/>
      <c r="X931" s="437"/>
      <c r="Y931" s="437"/>
      <c r="Z931" s="437"/>
    </row>
    <row r="932" spans="8:26" ht="15.75" customHeight="1">
      <c r="H932" s="437"/>
      <c r="I932" s="437"/>
      <c r="J932" s="437"/>
      <c r="K932" s="439"/>
      <c r="L932" s="437"/>
      <c r="M932" s="437"/>
      <c r="N932" s="437"/>
      <c r="O932" s="437"/>
      <c r="P932" s="437"/>
      <c r="Q932" s="437"/>
      <c r="R932" s="437"/>
      <c r="S932" s="437"/>
      <c r="T932" s="437"/>
      <c r="U932" s="437"/>
      <c r="V932" s="437"/>
      <c r="W932" s="437"/>
      <c r="X932" s="437"/>
      <c r="Y932" s="437"/>
      <c r="Z932" s="437"/>
    </row>
    <row r="933" spans="8:26" ht="15.75" customHeight="1">
      <c r="H933" s="437"/>
      <c r="I933" s="437"/>
      <c r="J933" s="437"/>
      <c r="K933" s="439"/>
      <c r="L933" s="437"/>
      <c r="M933" s="437"/>
      <c r="N933" s="437"/>
      <c r="O933" s="437"/>
      <c r="P933" s="437"/>
      <c r="Q933" s="437"/>
      <c r="R933" s="437"/>
      <c r="S933" s="437"/>
      <c r="T933" s="437"/>
      <c r="U933" s="437"/>
      <c r="V933" s="437"/>
      <c r="W933" s="437"/>
      <c r="X933" s="437"/>
      <c r="Y933" s="437"/>
      <c r="Z933" s="437"/>
    </row>
    <row r="934" spans="8:26" ht="15.75" customHeight="1">
      <c r="H934" s="437"/>
      <c r="I934" s="437"/>
      <c r="J934" s="437"/>
      <c r="K934" s="439"/>
      <c r="L934" s="437"/>
      <c r="M934" s="437"/>
      <c r="N934" s="437"/>
      <c r="O934" s="437"/>
      <c r="P934" s="437"/>
      <c r="Q934" s="437"/>
      <c r="R934" s="437"/>
      <c r="S934" s="437"/>
      <c r="T934" s="437"/>
      <c r="U934" s="437"/>
      <c r="V934" s="437"/>
      <c r="W934" s="437"/>
      <c r="X934" s="437"/>
      <c r="Y934" s="437"/>
      <c r="Z934" s="437"/>
    </row>
    <row r="935" spans="8:26" ht="15.75" customHeight="1">
      <c r="H935" s="437"/>
      <c r="I935" s="437"/>
      <c r="J935" s="437"/>
      <c r="K935" s="439"/>
      <c r="L935" s="437"/>
      <c r="M935" s="437"/>
      <c r="N935" s="437"/>
      <c r="O935" s="437"/>
      <c r="P935" s="437"/>
      <c r="Q935" s="437"/>
      <c r="R935" s="437"/>
      <c r="S935" s="437"/>
      <c r="T935" s="437"/>
      <c r="U935" s="437"/>
      <c r="V935" s="437"/>
      <c r="W935" s="437"/>
      <c r="X935" s="437"/>
      <c r="Y935" s="437"/>
      <c r="Z935" s="437"/>
    </row>
    <row r="936" spans="8:26" ht="15.75" customHeight="1">
      <c r="H936" s="437"/>
      <c r="I936" s="437"/>
      <c r="J936" s="437"/>
      <c r="K936" s="439"/>
      <c r="L936" s="437"/>
      <c r="M936" s="437"/>
      <c r="N936" s="437"/>
      <c r="O936" s="437"/>
      <c r="P936" s="437"/>
      <c r="Q936" s="437"/>
      <c r="R936" s="437"/>
      <c r="S936" s="437"/>
      <c r="T936" s="437"/>
      <c r="U936" s="437"/>
      <c r="V936" s="437"/>
      <c r="W936" s="437"/>
      <c r="X936" s="437"/>
      <c r="Y936" s="437"/>
      <c r="Z936" s="437"/>
    </row>
    <row r="937" spans="8:26" ht="15.75" customHeight="1">
      <c r="H937" s="437"/>
      <c r="I937" s="437"/>
      <c r="J937" s="437"/>
      <c r="K937" s="439"/>
      <c r="L937" s="437"/>
      <c r="M937" s="437"/>
      <c r="N937" s="437"/>
      <c r="O937" s="437"/>
      <c r="P937" s="437"/>
      <c r="Q937" s="437"/>
      <c r="R937" s="437"/>
      <c r="S937" s="437"/>
      <c r="T937" s="437"/>
      <c r="U937" s="437"/>
      <c r="V937" s="437"/>
      <c r="W937" s="437"/>
      <c r="X937" s="437"/>
      <c r="Y937" s="437"/>
      <c r="Z937" s="437"/>
    </row>
    <row r="938" spans="8:26" ht="15.75" customHeight="1">
      <c r="H938" s="437"/>
      <c r="I938" s="437"/>
      <c r="J938" s="437"/>
      <c r="K938" s="439"/>
      <c r="L938" s="437"/>
      <c r="M938" s="437"/>
      <c r="N938" s="437"/>
      <c r="O938" s="437"/>
      <c r="P938" s="437"/>
      <c r="Q938" s="437"/>
      <c r="R938" s="437"/>
      <c r="S938" s="437"/>
      <c r="T938" s="437"/>
      <c r="U938" s="437"/>
      <c r="V938" s="437"/>
      <c r="W938" s="437"/>
      <c r="X938" s="437"/>
      <c r="Y938" s="437"/>
      <c r="Z938" s="437"/>
    </row>
    <row r="939" spans="8:26" ht="15.75" customHeight="1">
      <c r="H939" s="437"/>
      <c r="I939" s="437"/>
      <c r="J939" s="437"/>
      <c r="K939" s="439"/>
      <c r="L939" s="437"/>
      <c r="M939" s="437"/>
      <c r="N939" s="437"/>
      <c r="O939" s="437"/>
      <c r="P939" s="437"/>
      <c r="Q939" s="437"/>
      <c r="R939" s="437"/>
      <c r="S939" s="437"/>
      <c r="T939" s="437"/>
      <c r="U939" s="437"/>
      <c r="V939" s="437"/>
      <c r="W939" s="437"/>
      <c r="X939" s="437"/>
      <c r="Y939" s="437"/>
      <c r="Z939" s="437"/>
    </row>
    <row r="940" spans="8:26" ht="15.75" customHeight="1">
      <c r="H940" s="437"/>
      <c r="I940" s="437"/>
      <c r="J940" s="437"/>
      <c r="K940" s="439"/>
      <c r="L940" s="437"/>
      <c r="M940" s="437"/>
      <c r="N940" s="437"/>
      <c r="O940" s="437"/>
      <c r="P940" s="437"/>
      <c r="Q940" s="437"/>
      <c r="R940" s="437"/>
      <c r="S940" s="437"/>
      <c r="T940" s="437"/>
      <c r="U940" s="437"/>
      <c r="V940" s="437"/>
      <c r="W940" s="437"/>
      <c r="X940" s="437"/>
      <c r="Y940" s="437"/>
      <c r="Z940" s="437"/>
    </row>
    <row r="941" spans="8:26" ht="15.75" customHeight="1">
      <c r="H941" s="437"/>
      <c r="I941" s="437"/>
      <c r="J941" s="437"/>
      <c r="K941" s="439"/>
      <c r="L941" s="437"/>
      <c r="M941" s="437"/>
      <c r="N941" s="437"/>
      <c r="O941" s="437"/>
      <c r="P941" s="437"/>
      <c r="Q941" s="437"/>
      <c r="R941" s="437"/>
      <c r="S941" s="437"/>
      <c r="T941" s="437"/>
      <c r="U941" s="437"/>
      <c r="V941" s="437"/>
      <c r="W941" s="437"/>
      <c r="X941" s="437"/>
      <c r="Y941" s="437"/>
      <c r="Z941" s="437"/>
    </row>
    <row r="942" spans="8:26" ht="15.75" customHeight="1">
      <c r="H942" s="437"/>
      <c r="I942" s="437"/>
      <c r="J942" s="437"/>
      <c r="K942" s="439"/>
      <c r="L942" s="437"/>
      <c r="M942" s="437"/>
      <c r="N942" s="437"/>
      <c r="O942" s="437"/>
      <c r="P942" s="437"/>
      <c r="Q942" s="437"/>
      <c r="R942" s="437"/>
      <c r="S942" s="437"/>
      <c r="T942" s="437"/>
      <c r="U942" s="437"/>
      <c r="V942" s="437"/>
      <c r="W942" s="437"/>
      <c r="X942" s="437"/>
      <c r="Y942" s="437"/>
      <c r="Z942" s="437"/>
    </row>
    <row r="943" spans="8:26" ht="15.75" customHeight="1">
      <c r="H943" s="437"/>
      <c r="I943" s="437"/>
      <c r="J943" s="437"/>
      <c r="K943" s="439"/>
      <c r="L943" s="437"/>
      <c r="M943" s="437"/>
      <c r="N943" s="437"/>
      <c r="O943" s="437"/>
      <c r="P943" s="437"/>
      <c r="Q943" s="437"/>
      <c r="R943" s="437"/>
      <c r="S943" s="437"/>
      <c r="T943" s="437"/>
      <c r="U943" s="437"/>
      <c r="V943" s="437"/>
      <c r="W943" s="437"/>
      <c r="X943" s="437"/>
      <c r="Y943" s="437"/>
      <c r="Z943" s="437"/>
    </row>
    <row r="944" spans="8:26" ht="15.75" customHeight="1">
      <c r="H944" s="437"/>
      <c r="I944" s="437"/>
      <c r="J944" s="437"/>
      <c r="K944" s="439"/>
      <c r="L944" s="437"/>
      <c r="M944" s="437"/>
      <c r="N944" s="437"/>
      <c r="O944" s="437"/>
      <c r="P944" s="437"/>
      <c r="Q944" s="437"/>
      <c r="R944" s="437"/>
      <c r="S944" s="437"/>
      <c r="T944" s="437"/>
      <c r="U944" s="437"/>
      <c r="V944" s="437"/>
      <c r="W944" s="437"/>
      <c r="X944" s="437"/>
      <c r="Y944" s="437"/>
      <c r="Z944" s="437"/>
    </row>
    <row r="945" spans="8:26" ht="15.75" customHeight="1">
      <c r="H945" s="437"/>
      <c r="I945" s="437"/>
      <c r="J945" s="437"/>
      <c r="K945" s="439"/>
      <c r="L945" s="437"/>
      <c r="M945" s="437"/>
      <c r="N945" s="437"/>
      <c r="O945" s="437"/>
      <c r="P945" s="437"/>
      <c r="Q945" s="437"/>
      <c r="R945" s="437"/>
      <c r="S945" s="437"/>
      <c r="T945" s="437"/>
      <c r="U945" s="437"/>
      <c r="V945" s="437"/>
      <c r="W945" s="437"/>
      <c r="X945" s="437"/>
      <c r="Y945" s="437"/>
      <c r="Z945" s="437"/>
    </row>
    <row r="946" spans="8:26" ht="15.75" customHeight="1">
      <c r="H946" s="437"/>
      <c r="I946" s="437"/>
      <c r="J946" s="437"/>
      <c r="K946" s="439"/>
      <c r="L946" s="437"/>
      <c r="M946" s="437"/>
      <c r="N946" s="437"/>
      <c r="O946" s="437"/>
      <c r="P946" s="437"/>
      <c r="Q946" s="437"/>
      <c r="R946" s="437"/>
      <c r="S946" s="437"/>
      <c r="T946" s="437"/>
      <c r="U946" s="437"/>
      <c r="V946" s="437"/>
      <c r="W946" s="437"/>
      <c r="X946" s="437"/>
      <c r="Y946" s="437"/>
      <c r="Z946" s="437"/>
    </row>
    <row r="947" spans="8:26" ht="15.75" customHeight="1">
      <c r="H947" s="437"/>
      <c r="I947" s="437"/>
      <c r="J947" s="437"/>
      <c r="K947" s="439"/>
      <c r="L947" s="437"/>
      <c r="M947" s="437"/>
      <c r="N947" s="437"/>
      <c r="O947" s="437"/>
      <c r="P947" s="437"/>
      <c r="Q947" s="437"/>
      <c r="R947" s="437"/>
      <c r="S947" s="437"/>
      <c r="T947" s="437"/>
      <c r="U947" s="437"/>
      <c r="V947" s="437"/>
      <c r="W947" s="437"/>
      <c r="X947" s="437"/>
      <c r="Y947" s="437"/>
      <c r="Z947" s="437"/>
    </row>
    <row r="948" spans="8:26" ht="15.75" customHeight="1">
      <c r="H948" s="437"/>
      <c r="I948" s="437"/>
      <c r="J948" s="437"/>
      <c r="K948" s="439"/>
      <c r="L948" s="437"/>
      <c r="M948" s="437"/>
      <c r="N948" s="437"/>
      <c r="O948" s="437"/>
      <c r="P948" s="437"/>
      <c r="Q948" s="437"/>
      <c r="R948" s="437"/>
      <c r="S948" s="437"/>
      <c r="T948" s="437"/>
      <c r="U948" s="437"/>
      <c r="V948" s="437"/>
      <c r="W948" s="437"/>
      <c r="X948" s="437"/>
      <c r="Y948" s="437"/>
      <c r="Z948" s="437"/>
    </row>
    <row r="949" spans="8:26" ht="15.75" customHeight="1">
      <c r="H949" s="437"/>
      <c r="I949" s="437"/>
      <c r="J949" s="437"/>
      <c r="K949" s="439"/>
      <c r="L949" s="437"/>
      <c r="M949" s="437"/>
      <c r="N949" s="437"/>
      <c r="O949" s="437"/>
      <c r="P949" s="437"/>
      <c r="Q949" s="437"/>
      <c r="R949" s="437"/>
      <c r="S949" s="437"/>
      <c r="T949" s="437"/>
      <c r="U949" s="437"/>
      <c r="V949" s="437"/>
      <c r="W949" s="437"/>
      <c r="X949" s="437"/>
      <c r="Y949" s="437"/>
      <c r="Z949" s="437"/>
    </row>
    <row r="950" spans="8:26" ht="15.75" customHeight="1">
      <c r="H950" s="437"/>
      <c r="I950" s="437"/>
      <c r="J950" s="437"/>
      <c r="K950" s="439"/>
      <c r="L950" s="437"/>
      <c r="M950" s="437"/>
      <c r="N950" s="437"/>
      <c r="O950" s="437"/>
      <c r="P950" s="437"/>
      <c r="Q950" s="437"/>
      <c r="R950" s="437"/>
      <c r="S950" s="437"/>
      <c r="T950" s="437"/>
      <c r="U950" s="437"/>
      <c r="V950" s="437"/>
      <c r="W950" s="437"/>
      <c r="X950" s="437"/>
      <c r="Y950" s="437"/>
      <c r="Z950" s="437"/>
    </row>
    <row r="951" spans="8:26" ht="15.75" customHeight="1">
      <c r="H951" s="437"/>
      <c r="I951" s="437"/>
      <c r="J951" s="437"/>
      <c r="K951" s="439"/>
      <c r="L951" s="437"/>
      <c r="M951" s="437"/>
      <c r="N951" s="437"/>
      <c r="O951" s="437"/>
      <c r="P951" s="437"/>
      <c r="Q951" s="437"/>
      <c r="R951" s="437"/>
      <c r="S951" s="437"/>
      <c r="T951" s="437"/>
      <c r="U951" s="437"/>
      <c r="V951" s="437"/>
      <c r="W951" s="437"/>
      <c r="X951" s="437"/>
      <c r="Y951" s="437"/>
      <c r="Z951" s="437"/>
    </row>
    <row r="952" spans="8:26" ht="15.75" customHeight="1">
      <c r="H952" s="437"/>
      <c r="I952" s="437"/>
      <c r="J952" s="437"/>
      <c r="K952" s="439"/>
      <c r="L952" s="437"/>
      <c r="M952" s="437"/>
      <c r="N952" s="437"/>
      <c r="O952" s="437"/>
      <c r="P952" s="437"/>
      <c r="Q952" s="437"/>
      <c r="R952" s="437"/>
      <c r="S952" s="437"/>
      <c r="T952" s="437"/>
      <c r="U952" s="437"/>
      <c r="V952" s="437"/>
      <c r="W952" s="437"/>
      <c r="X952" s="437"/>
      <c r="Y952" s="437"/>
      <c r="Z952" s="437"/>
    </row>
    <row r="953" spans="8:26" ht="15.75" customHeight="1">
      <c r="H953" s="437"/>
      <c r="I953" s="437"/>
      <c r="J953" s="437"/>
      <c r="K953" s="439"/>
      <c r="L953" s="437"/>
      <c r="M953" s="437"/>
      <c r="N953" s="437"/>
      <c r="O953" s="437"/>
      <c r="P953" s="437"/>
      <c r="Q953" s="437"/>
      <c r="R953" s="437"/>
      <c r="S953" s="437"/>
      <c r="T953" s="437"/>
      <c r="U953" s="437"/>
      <c r="V953" s="437"/>
      <c r="W953" s="437"/>
      <c r="X953" s="437"/>
      <c r="Y953" s="437"/>
      <c r="Z953" s="437"/>
    </row>
    <row r="954" spans="8:26" ht="15.75" customHeight="1">
      <c r="H954" s="437"/>
      <c r="I954" s="437"/>
      <c r="J954" s="437"/>
      <c r="K954" s="439"/>
      <c r="L954" s="437"/>
      <c r="M954" s="437"/>
      <c r="N954" s="437"/>
      <c r="O954" s="437"/>
      <c r="P954" s="437"/>
      <c r="Q954" s="437"/>
      <c r="R954" s="437"/>
      <c r="S954" s="437"/>
      <c r="T954" s="437"/>
      <c r="U954" s="437"/>
      <c r="V954" s="437"/>
      <c r="W954" s="437"/>
      <c r="X954" s="437"/>
      <c r="Y954" s="437"/>
      <c r="Z954" s="437"/>
    </row>
    <row r="955" spans="8:26" ht="15.75" customHeight="1">
      <c r="H955" s="437"/>
      <c r="I955" s="437"/>
      <c r="J955" s="437"/>
      <c r="K955" s="439"/>
      <c r="L955" s="437"/>
      <c r="M955" s="437"/>
      <c r="N955" s="437"/>
      <c r="O955" s="437"/>
      <c r="P955" s="437"/>
      <c r="Q955" s="437"/>
      <c r="R955" s="437"/>
      <c r="S955" s="437"/>
      <c r="T955" s="437"/>
      <c r="U955" s="437"/>
      <c r="V955" s="437"/>
      <c r="W955" s="437"/>
      <c r="X955" s="437"/>
      <c r="Y955" s="437"/>
      <c r="Z955" s="437"/>
    </row>
    <row r="956" spans="8:26" ht="15.75" customHeight="1">
      <c r="H956" s="437"/>
      <c r="I956" s="437"/>
      <c r="J956" s="437"/>
      <c r="K956" s="439"/>
      <c r="L956" s="437"/>
      <c r="M956" s="437"/>
      <c r="N956" s="437"/>
      <c r="O956" s="437"/>
      <c r="P956" s="437"/>
      <c r="Q956" s="437"/>
      <c r="R956" s="437"/>
      <c r="S956" s="437"/>
      <c r="T956" s="437"/>
      <c r="U956" s="437"/>
      <c r="V956" s="437"/>
      <c r="W956" s="437"/>
      <c r="X956" s="437"/>
      <c r="Y956" s="437"/>
      <c r="Z956" s="437"/>
    </row>
    <row r="957" spans="8:26" ht="15.75" customHeight="1">
      <c r="H957" s="437"/>
      <c r="I957" s="437"/>
      <c r="J957" s="437"/>
      <c r="K957" s="439"/>
      <c r="L957" s="437"/>
      <c r="M957" s="437"/>
      <c r="N957" s="437"/>
      <c r="O957" s="437"/>
      <c r="P957" s="437"/>
      <c r="Q957" s="437"/>
      <c r="R957" s="437"/>
      <c r="S957" s="437"/>
      <c r="T957" s="437"/>
      <c r="U957" s="437"/>
      <c r="V957" s="437"/>
      <c r="W957" s="437"/>
      <c r="X957" s="437"/>
      <c r="Y957" s="437"/>
      <c r="Z957" s="437"/>
    </row>
    <row r="958" spans="8:26" ht="15.75" customHeight="1">
      <c r="H958" s="437"/>
      <c r="I958" s="437"/>
      <c r="J958" s="437"/>
      <c r="K958" s="439"/>
      <c r="L958" s="437"/>
      <c r="M958" s="437"/>
      <c r="N958" s="437"/>
      <c r="O958" s="437"/>
      <c r="P958" s="437"/>
      <c r="Q958" s="437"/>
      <c r="R958" s="437"/>
      <c r="S958" s="437"/>
      <c r="T958" s="437"/>
      <c r="U958" s="437"/>
      <c r="V958" s="437"/>
      <c r="W958" s="437"/>
      <c r="X958" s="437"/>
      <c r="Y958" s="437"/>
      <c r="Z958" s="437"/>
    </row>
    <row r="959" spans="8:26" ht="15.75" customHeight="1">
      <c r="H959" s="437"/>
      <c r="I959" s="437"/>
      <c r="J959" s="437"/>
      <c r="K959" s="439"/>
      <c r="L959" s="437"/>
      <c r="M959" s="437"/>
      <c r="N959" s="437"/>
      <c r="O959" s="437"/>
      <c r="P959" s="437"/>
      <c r="Q959" s="437"/>
      <c r="R959" s="437"/>
      <c r="S959" s="437"/>
      <c r="T959" s="437"/>
      <c r="U959" s="437"/>
      <c r="V959" s="437"/>
      <c r="W959" s="437"/>
      <c r="X959" s="437"/>
      <c r="Y959" s="437"/>
      <c r="Z959" s="437"/>
    </row>
    <row r="960" spans="8:26" ht="15.75" customHeight="1">
      <c r="H960" s="437"/>
      <c r="I960" s="437"/>
      <c r="J960" s="437"/>
      <c r="K960" s="439"/>
      <c r="L960" s="437"/>
      <c r="M960" s="437"/>
      <c r="N960" s="437"/>
      <c r="O960" s="437"/>
      <c r="P960" s="437"/>
      <c r="Q960" s="437"/>
      <c r="R960" s="437"/>
      <c r="S960" s="437"/>
      <c r="T960" s="437"/>
      <c r="U960" s="437"/>
      <c r="V960" s="437"/>
      <c r="W960" s="437"/>
      <c r="X960" s="437"/>
      <c r="Y960" s="437"/>
      <c r="Z960" s="437"/>
    </row>
    <row r="961" spans="8:26" ht="15.75" customHeight="1">
      <c r="H961" s="437"/>
      <c r="I961" s="437"/>
      <c r="J961" s="437"/>
      <c r="K961" s="439"/>
      <c r="L961" s="437"/>
      <c r="M961" s="437"/>
      <c r="N961" s="437"/>
      <c r="O961" s="437"/>
      <c r="P961" s="437"/>
      <c r="Q961" s="437"/>
      <c r="R961" s="437"/>
      <c r="S961" s="437"/>
      <c r="T961" s="437"/>
      <c r="U961" s="437"/>
      <c r="V961" s="437"/>
      <c r="W961" s="437"/>
      <c r="X961" s="437"/>
      <c r="Y961" s="437"/>
      <c r="Z961" s="437"/>
    </row>
    <row r="962" spans="8:26" ht="15.75" customHeight="1">
      <c r="H962" s="437"/>
      <c r="I962" s="437"/>
      <c r="J962" s="437"/>
      <c r="K962" s="439"/>
      <c r="L962" s="437"/>
      <c r="M962" s="437"/>
      <c r="N962" s="437"/>
      <c r="O962" s="437"/>
      <c r="P962" s="437"/>
      <c r="Q962" s="437"/>
      <c r="R962" s="437"/>
      <c r="S962" s="437"/>
      <c r="T962" s="437"/>
      <c r="U962" s="437"/>
      <c r="V962" s="437"/>
      <c r="W962" s="437"/>
      <c r="X962" s="437"/>
      <c r="Y962" s="437"/>
      <c r="Z962" s="437"/>
    </row>
    <row r="963" spans="8:26" ht="15.75" customHeight="1">
      <c r="H963" s="437"/>
      <c r="I963" s="437"/>
      <c r="J963" s="437"/>
      <c r="K963" s="439"/>
      <c r="L963" s="437"/>
      <c r="M963" s="437"/>
      <c r="N963" s="437"/>
      <c r="O963" s="437"/>
      <c r="P963" s="437"/>
      <c r="Q963" s="437"/>
      <c r="R963" s="437"/>
      <c r="S963" s="437"/>
      <c r="T963" s="437"/>
      <c r="U963" s="437"/>
      <c r="V963" s="437"/>
      <c r="W963" s="437"/>
      <c r="X963" s="437"/>
      <c r="Y963" s="437"/>
      <c r="Z963" s="437"/>
    </row>
    <row r="964" spans="8:26" ht="15.75" customHeight="1">
      <c r="H964" s="437"/>
      <c r="I964" s="437"/>
      <c r="J964" s="437"/>
      <c r="K964" s="439"/>
      <c r="L964" s="437"/>
      <c r="M964" s="437"/>
      <c r="N964" s="437"/>
      <c r="O964" s="437"/>
      <c r="P964" s="437"/>
      <c r="Q964" s="437"/>
      <c r="R964" s="437"/>
      <c r="S964" s="437"/>
      <c r="T964" s="437"/>
      <c r="U964" s="437"/>
      <c r="V964" s="437"/>
      <c r="W964" s="437"/>
      <c r="X964" s="437"/>
      <c r="Y964" s="437"/>
      <c r="Z964" s="437"/>
    </row>
    <row r="965" spans="8:26" ht="15.75" customHeight="1">
      <c r="H965" s="437"/>
      <c r="I965" s="437"/>
      <c r="J965" s="437"/>
      <c r="K965" s="439"/>
      <c r="L965" s="437"/>
      <c r="M965" s="437"/>
      <c r="N965" s="437"/>
      <c r="O965" s="437"/>
      <c r="P965" s="437"/>
      <c r="Q965" s="437"/>
      <c r="R965" s="437"/>
      <c r="S965" s="437"/>
      <c r="T965" s="437"/>
      <c r="U965" s="437"/>
      <c r="V965" s="437"/>
      <c r="W965" s="437"/>
      <c r="X965" s="437"/>
      <c r="Y965" s="437"/>
      <c r="Z965" s="437"/>
    </row>
    <row r="966" spans="8:26" ht="15.75" customHeight="1">
      <c r="H966" s="437"/>
      <c r="I966" s="437"/>
      <c r="J966" s="437"/>
      <c r="K966" s="439"/>
      <c r="L966" s="437"/>
      <c r="M966" s="437"/>
      <c r="N966" s="437"/>
      <c r="O966" s="437"/>
      <c r="P966" s="437"/>
      <c r="Q966" s="437"/>
      <c r="R966" s="437"/>
      <c r="S966" s="437"/>
      <c r="T966" s="437"/>
      <c r="U966" s="437"/>
      <c r="V966" s="437"/>
      <c r="W966" s="437"/>
      <c r="X966" s="437"/>
      <c r="Y966" s="437"/>
      <c r="Z966" s="437"/>
    </row>
    <row r="967" spans="8:26" ht="15.75" customHeight="1">
      <c r="H967" s="437"/>
      <c r="I967" s="437"/>
      <c r="J967" s="437"/>
      <c r="K967" s="439"/>
      <c r="L967" s="437"/>
      <c r="M967" s="437"/>
      <c r="N967" s="437"/>
      <c r="O967" s="437"/>
      <c r="P967" s="437"/>
      <c r="Q967" s="437"/>
      <c r="R967" s="437"/>
      <c r="S967" s="437"/>
      <c r="T967" s="437"/>
      <c r="U967" s="437"/>
      <c r="V967" s="437"/>
      <c r="W967" s="437"/>
      <c r="X967" s="437"/>
      <c r="Y967" s="437"/>
      <c r="Z967" s="437"/>
    </row>
    <row r="968" spans="8:26" ht="15.75" customHeight="1">
      <c r="H968" s="437"/>
      <c r="I968" s="437"/>
      <c r="J968" s="437"/>
      <c r="K968" s="439"/>
      <c r="L968" s="437"/>
      <c r="M968" s="437"/>
      <c r="N968" s="437"/>
      <c r="O968" s="437"/>
      <c r="P968" s="437"/>
      <c r="Q968" s="437"/>
      <c r="R968" s="437"/>
      <c r="S968" s="437"/>
      <c r="T968" s="437"/>
      <c r="U968" s="437"/>
      <c r="V968" s="437"/>
      <c r="W968" s="437"/>
      <c r="X968" s="437"/>
      <c r="Y968" s="437"/>
      <c r="Z968" s="437"/>
    </row>
    <row r="969" spans="8:26" ht="15.75" customHeight="1">
      <c r="H969" s="437"/>
      <c r="I969" s="437"/>
      <c r="J969" s="437"/>
      <c r="K969" s="439"/>
      <c r="L969" s="437"/>
      <c r="M969" s="437"/>
      <c r="N969" s="437"/>
      <c r="O969" s="437"/>
      <c r="P969" s="437"/>
      <c r="Q969" s="437"/>
      <c r="R969" s="437"/>
      <c r="S969" s="437"/>
      <c r="T969" s="437"/>
      <c r="U969" s="437"/>
      <c r="V969" s="437"/>
      <c r="W969" s="437"/>
      <c r="X969" s="437"/>
      <c r="Y969" s="437"/>
      <c r="Z969" s="437"/>
    </row>
    <row r="970" spans="8:26" ht="15.75" customHeight="1">
      <c r="H970" s="437"/>
      <c r="I970" s="437"/>
      <c r="J970" s="437"/>
      <c r="K970" s="439"/>
      <c r="L970" s="437"/>
      <c r="M970" s="437"/>
      <c r="N970" s="437"/>
      <c r="O970" s="437"/>
      <c r="P970" s="437"/>
      <c r="Q970" s="437"/>
      <c r="R970" s="437"/>
      <c r="S970" s="437"/>
      <c r="T970" s="437"/>
      <c r="U970" s="437"/>
      <c r="V970" s="437"/>
      <c r="W970" s="437"/>
      <c r="X970" s="437"/>
      <c r="Y970" s="437"/>
      <c r="Z970" s="437"/>
    </row>
    <row r="971" spans="8:26" ht="15.75" customHeight="1">
      <c r="H971" s="437"/>
      <c r="I971" s="437"/>
      <c r="J971" s="437"/>
      <c r="K971" s="439"/>
      <c r="L971" s="437"/>
      <c r="M971" s="437"/>
      <c r="N971" s="437"/>
      <c r="O971" s="437"/>
      <c r="P971" s="437"/>
      <c r="Q971" s="437"/>
      <c r="R971" s="437"/>
      <c r="S971" s="437"/>
      <c r="T971" s="437"/>
      <c r="U971" s="437"/>
      <c r="V971" s="437"/>
      <c r="W971" s="437"/>
      <c r="X971" s="437"/>
      <c r="Y971" s="437"/>
      <c r="Z971" s="437"/>
    </row>
    <row r="972" spans="8:26" ht="15.75" customHeight="1">
      <c r="H972" s="437"/>
      <c r="I972" s="437"/>
      <c r="J972" s="437"/>
      <c r="K972" s="439"/>
      <c r="L972" s="437"/>
      <c r="M972" s="437"/>
      <c r="N972" s="437"/>
      <c r="O972" s="437"/>
      <c r="P972" s="437"/>
      <c r="Q972" s="437"/>
      <c r="R972" s="437"/>
      <c r="S972" s="437"/>
      <c r="T972" s="437"/>
      <c r="U972" s="437"/>
      <c r="V972" s="437"/>
      <c r="W972" s="437"/>
      <c r="X972" s="437"/>
      <c r="Y972" s="437"/>
      <c r="Z972" s="437"/>
    </row>
    <row r="973" spans="8:26" ht="15.75" customHeight="1">
      <c r="H973" s="437"/>
      <c r="I973" s="437"/>
      <c r="J973" s="437"/>
      <c r="K973" s="439"/>
      <c r="L973" s="437"/>
      <c r="M973" s="437"/>
      <c r="N973" s="437"/>
      <c r="O973" s="437"/>
      <c r="P973" s="437"/>
      <c r="Q973" s="437"/>
      <c r="R973" s="437"/>
      <c r="S973" s="437"/>
      <c r="T973" s="437"/>
      <c r="U973" s="437"/>
      <c r="V973" s="437"/>
      <c r="W973" s="437"/>
      <c r="X973" s="437"/>
      <c r="Y973" s="437"/>
      <c r="Z973" s="437"/>
    </row>
    <row r="974" spans="8:26" ht="15.75" customHeight="1">
      <c r="H974" s="437"/>
      <c r="I974" s="437"/>
      <c r="J974" s="437"/>
      <c r="K974" s="439"/>
      <c r="L974" s="437"/>
      <c r="M974" s="437"/>
      <c r="N974" s="437"/>
      <c r="O974" s="437"/>
      <c r="P974" s="437"/>
      <c r="Q974" s="437"/>
      <c r="R974" s="437"/>
      <c r="S974" s="437"/>
      <c r="T974" s="437"/>
      <c r="U974" s="437"/>
      <c r="V974" s="437"/>
      <c r="W974" s="437"/>
      <c r="X974" s="437"/>
      <c r="Y974" s="437"/>
      <c r="Z974" s="437"/>
    </row>
    <row r="975" spans="8:26" ht="15.75" customHeight="1">
      <c r="H975" s="437"/>
      <c r="I975" s="437"/>
      <c r="J975" s="437"/>
      <c r="K975" s="439"/>
      <c r="L975" s="437"/>
      <c r="M975" s="437"/>
      <c r="N975" s="437"/>
      <c r="O975" s="437"/>
      <c r="P975" s="437"/>
      <c r="Q975" s="437"/>
      <c r="R975" s="437"/>
      <c r="S975" s="437"/>
      <c r="T975" s="437"/>
      <c r="U975" s="437"/>
      <c r="V975" s="437"/>
      <c r="W975" s="437"/>
      <c r="X975" s="437"/>
      <c r="Y975" s="437"/>
      <c r="Z975" s="437"/>
    </row>
    <row r="976" spans="8:26" ht="15.75" customHeight="1">
      <c r="H976" s="437"/>
      <c r="I976" s="437"/>
      <c r="J976" s="437"/>
      <c r="K976" s="439"/>
      <c r="L976" s="437"/>
      <c r="M976" s="437"/>
      <c r="N976" s="437"/>
      <c r="O976" s="437"/>
      <c r="P976" s="437"/>
      <c r="Q976" s="437"/>
      <c r="R976" s="437"/>
      <c r="S976" s="437"/>
      <c r="T976" s="437"/>
      <c r="U976" s="437"/>
      <c r="V976" s="437"/>
      <c r="W976" s="437"/>
      <c r="X976" s="437"/>
      <c r="Y976" s="437"/>
      <c r="Z976" s="437"/>
    </row>
    <row r="977" spans="8:26" ht="15.75" customHeight="1">
      <c r="H977" s="437"/>
      <c r="I977" s="437"/>
      <c r="J977" s="437"/>
      <c r="K977" s="439"/>
      <c r="L977" s="437"/>
      <c r="M977" s="437"/>
      <c r="N977" s="437"/>
      <c r="O977" s="437"/>
      <c r="P977" s="437"/>
      <c r="Q977" s="437"/>
      <c r="R977" s="437"/>
      <c r="S977" s="437"/>
      <c r="T977" s="437"/>
      <c r="U977" s="437"/>
      <c r="V977" s="437"/>
      <c r="W977" s="437"/>
      <c r="X977" s="437"/>
      <c r="Y977" s="437"/>
      <c r="Z977" s="437"/>
    </row>
    <row r="978" spans="8:26" ht="15.75" customHeight="1">
      <c r="H978" s="437"/>
      <c r="I978" s="437"/>
      <c r="J978" s="437"/>
      <c r="K978" s="439"/>
      <c r="L978" s="437"/>
      <c r="M978" s="437"/>
      <c r="N978" s="437"/>
      <c r="O978" s="437"/>
      <c r="P978" s="437"/>
      <c r="Q978" s="437"/>
      <c r="R978" s="437"/>
      <c r="S978" s="437"/>
      <c r="T978" s="437"/>
      <c r="U978" s="437"/>
      <c r="V978" s="437"/>
      <c r="W978" s="437"/>
      <c r="X978" s="437"/>
      <c r="Y978" s="437"/>
      <c r="Z978" s="437"/>
    </row>
    <row r="979" spans="8:26" ht="15.75" customHeight="1">
      <c r="H979" s="437"/>
      <c r="I979" s="437"/>
      <c r="J979" s="437"/>
      <c r="K979" s="439"/>
      <c r="L979" s="437"/>
      <c r="M979" s="437"/>
      <c r="N979" s="437"/>
      <c r="O979" s="437"/>
      <c r="P979" s="437"/>
      <c r="Q979" s="437"/>
      <c r="R979" s="437"/>
      <c r="S979" s="437"/>
      <c r="T979" s="437"/>
      <c r="U979" s="437"/>
      <c r="V979" s="437"/>
      <c r="W979" s="437"/>
      <c r="X979" s="437"/>
      <c r="Y979" s="437"/>
      <c r="Z979" s="437"/>
    </row>
    <row r="980" spans="8:26" ht="15.75" customHeight="1">
      <c r="H980" s="437"/>
      <c r="I980" s="437"/>
      <c r="J980" s="437"/>
      <c r="K980" s="439"/>
      <c r="L980" s="437"/>
      <c r="M980" s="437"/>
      <c r="N980" s="437"/>
      <c r="O980" s="437"/>
      <c r="P980" s="437"/>
      <c r="Q980" s="437"/>
      <c r="R980" s="437"/>
      <c r="S980" s="437"/>
      <c r="T980" s="437"/>
      <c r="U980" s="437"/>
      <c r="V980" s="437"/>
      <c r="W980" s="437"/>
      <c r="X980" s="437"/>
      <c r="Y980" s="437"/>
      <c r="Z980" s="437"/>
    </row>
    <row r="981" spans="8:26" ht="15.75" customHeight="1">
      <c r="H981" s="437"/>
      <c r="I981" s="437"/>
      <c r="J981" s="437"/>
      <c r="K981" s="439"/>
      <c r="L981" s="437"/>
      <c r="M981" s="437"/>
      <c r="N981" s="437"/>
      <c r="O981" s="437"/>
      <c r="P981" s="437"/>
      <c r="Q981" s="437"/>
      <c r="R981" s="437"/>
      <c r="S981" s="437"/>
      <c r="T981" s="437"/>
      <c r="U981" s="437"/>
      <c r="V981" s="437"/>
      <c r="W981" s="437"/>
      <c r="X981" s="437"/>
      <c r="Y981" s="437"/>
      <c r="Z981" s="437"/>
    </row>
    <row r="982" spans="8:26" ht="15.75" customHeight="1">
      <c r="H982" s="437"/>
      <c r="I982" s="437"/>
      <c r="J982" s="437"/>
      <c r="K982" s="439"/>
      <c r="L982" s="437"/>
      <c r="M982" s="437"/>
      <c r="N982" s="437"/>
      <c r="O982" s="437"/>
      <c r="P982" s="437"/>
      <c r="Q982" s="437"/>
      <c r="R982" s="437"/>
      <c r="S982" s="437"/>
      <c r="T982" s="437"/>
      <c r="U982" s="437"/>
      <c r="V982" s="437"/>
      <c r="W982" s="437"/>
      <c r="X982" s="437"/>
      <c r="Y982" s="437"/>
      <c r="Z982" s="437"/>
    </row>
    <row r="983" spans="8:26" ht="15.75" customHeight="1">
      <c r="H983" s="437"/>
      <c r="I983" s="437"/>
      <c r="J983" s="437"/>
      <c r="K983" s="439"/>
      <c r="L983" s="437"/>
      <c r="M983" s="437"/>
      <c r="N983" s="437"/>
      <c r="O983" s="437"/>
      <c r="P983" s="437"/>
      <c r="Q983" s="437"/>
      <c r="R983" s="437"/>
      <c r="S983" s="437"/>
      <c r="T983" s="437"/>
      <c r="U983" s="437"/>
      <c r="V983" s="437"/>
      <c r="W983" s="437"/>
      <c r="X983" s="437"/>
      <c r="Y983" s="437"/>
      <c r="Z983" s="437"/>
    </row>
    <row r="984" spans="8:26" ht="15.75" customHeight="1">
      <c r="H984" s="437"/>
      <c r="I984" s="437"/>
      <c r="J984" s="437"/>
      <c r="K984" s="439"/>
      <c r="L984" s="437"/>
      <c r="M984" s="437"/>
      <c r="N984" s="437"/>
      <c r="O984" s="437"/>
      <c r="P984" s="437"/>
      <c r="Q984" s="437"/>
      <c r="R984" s="437"/>
      <c r="S984" s="437"/>
      <c r="T984" s="437"/>
      <c r="U984" s="437"/>
      <c r="V984" s="437"/>
      <c r="W984" s="437"/>
      <c r="X984" s="437"/>
      <c r="Y984" s="437"/>
      <c r="Z984" s="437"/>
    </row>
    <row r="985" spans="8:26" ht="15.75" customHeight="1">
      <c r="H985" s="437"/>
      <c r="I985" s="437"/>
      <c r="J985" s="437"/>
      <c r="K985" s="439"/>
      <c r="L985" s="437"/>
      <c r="M985" s="437"/>
      <c r="N985" s="437"/>
      <c r="O985" s="437"/>
      <c r="P985" s="437"/>
      <c r="Q985" s="437"/>
      <c r="R985" s="437"/>
      <c r="S985" s="437"/>
      <c r="T985" s="437"/>
      <c r="U985" s="437"/>
      <c r="V985" s="437"/>
      <c r="W985" s="437"/>
      <c r="X985" s="437"/>
      <c r="Y985" s="437"/>
      <c r="Z985" s="437"/>
    </row>
    <row r="986" spans="8:26" ht="15.75" customHeight="1">
      <c r="H986" s="437"/>
      <c r="I986" s="437"/>
      <c r="J986" s="437"/>
      <c r="K986" s="439"/>
      <c r="L986" s="437"/>
      <c r="M986" s="437"/>
      <c r="N986" s="437"/>
      <c r="O986" s="437"/>
      <c r="P986" s="437"/>
      <c r="Q986" s="437"/>
      <c r="R986" s="437"/>
      <c r="S986" s="437"/>
      <c r="T986" s="437"/>
      <c r="U986" s="437"/>
      <c r="V986" s="437"/>
      <c r="W986" s="437"/>
      <c r="X986" s="437"/>
      <c r="Y986" s="437"/>
      <c r="Z986" s="437"/>
    </row>
    <row r="987" spans="8:26" ht="15.75" customHeight="1">
      <c r="H987" s="437"/>
      <c r="I987" s="437"/>
      <c r="J987" s="437"/>
      <c r="K987" s="439"/>
      <c r="L987" s="437"/>
      <c r="M987" s="437"/>
      <c r="N987" s="437"/>
      <c r="O987" s="437"/>
      <c r="P987" s="437"/>
      <c r="Q987" s="437"/>
      <c r="R987" s="437"/>
      <c r="S987" s="437"/>
      <c r="T987" s="437"/>
      <c r="U987" s="437"/>
      <c r="V987" s="437"/>
      <c r="W987" s="437"/>
      <c r="X987" s="437"/>
      <c r="Y987" s="437"/>
      <c r="Z987" s="437"/>
    </row>
    <row r="988" spans="8:26" ht="15.75" customHeight="1">
      <c r="H988" s="437"/>
      <c r="I988" s="437"/>
      <c r="J988" s="437"/>
      <c r="K988" s="439"/>
      <c r="L988" s="437"/>
      <c r="M988" s="437"/>
      <c r="N988" s="437"/>
      <c r="O988" s="437"/>
      <c r="P988" s="437"/>
      <c r="Q988" s="437"/>
      <c r="R988" s="437"/>
      <c r="S988" s="437"/>
      <c r="T988" s="437"/>
      <c r="U988" s="437"/>
      <c r="V988" s="437"/>
      <c r="W988" s="437"/>
      <c r="X988" s="437"/>
      <c r="Y988" s="437"/>
      <c r="Z988" s="437"/>
    </row>
    <row r="989" spans="8:26" ht="15.75" customHeight="1">
      <c r="H989" s="437"/>
      <c r="I989" s="437"/>
      <c r="J989" s="437"/>
      <c r="K989" s="439"/>
      <c r="L989" s="437"/>
      <c r="M989" s="437"/>
      <c r="N989" s="437"/>
      <c r="O989" s="437"/>
      <c r="P989" s="437"/>
      <c r="Q989" s="437"/>
      <c r="R989" s="437"/>
      <c r="S989" s="437"/>
      <c r="T989" s="437"/>
      <c r="U989" s="437"/>
      <c r="V989" s="437"/>
      <c r="W989" s="437"/>
      <c r="X989" s="437"/>
      <c r="Y989" s="437"/>
      <c r="Z989" s="437"/>
    </row>
    <row r="990" spans="8:26" ht="15.75" customHeight="1">
      <c r="H990" s="437"/>
      <c r="I990" s="437"/>
      <c r="J990" s="437"/>
      <c r="K990" s="439"/>
      <c r="L990" s="437"/>
      <c r="M990" s="437"/>
      <c r="N990" s="437"/>
      <c r="O990" s="437"/>
      <c r="P990" s="437"/>
      <c r="Q990" s="437"/>
      <c r="R990" s="437"/>
      <c r="S990" s="437"/>
      <c r="T990" s="437"/>
      <c r="U990" s="437"/>
      <c r="V990" s="437"/>
      <c r="W990" s="437"/>
      <c r="X990" s="437"/>
      <c r="Y990" s="437"/>
      <c r="Z990" s="437"/>
    </row>
    <row r="991" spans="8:26" ht="15.75" customHeight="1">
      <c r="H991" s="437"/>
      <c r="I991" s="437"/>
      <c r="J991" s="437"/>
      <c r="K991" s="439"/>
      <c r="L991" s="437"/>
      <c r="M991" s="437"/>
      <c r="N991" s="437"/>
      <c r="O991" s="437"/>
      <c r="P991" s="437"/>
      <c r="Q991" s="437"/>
      <c r="R991" s="437"/>
      <c r="S991" s="437"/>
      <c r="T991" s="437"/>
      <c r="U991" s="437"/>
      <c r="V991" s="437"/>
      <c r="W991" s="437"/>
      <c r="X991" s="437"/>
      <c r="Y991" s="437"/>
      <c r="Z991" s="437"/>
    </row>
    <row r="992" spans="8:26" ht="15.75" customHeight="1">
      <c r="H992" s="437"/>
      <c r="I992" s="437"/>
      <c r="J992" s="437"/>
      <c r="K992" s="439"/>
      <c r="L992" s="437"/>
      <c r="M992" s="437"/>
      <c r="N992" s="437"/>
      <c r="O992" s="437"/>
      <c r="P992" s="437"/>
      <c r="Q992" s="437"/>
      <c r="R992" s="437"/>
      <c r="S992" s="437"/>
      <c r="T992" s="437"/>
      <c r="U992" s="437"/>
      <c r="V992" s="437"/>
      <c r="W992" s="437"/>
      <c r="X992" s="437"/>
      <c r="Y992" s="437"/>
      <c r="Z992" s="437"/>
    </row>
    <row r="993" spans="8:26" ht="15.75" customHeight="1">
      <c r="H993" s="437"/>
      <c r="I993" s="437"/>
      <c r="J993" s="437"/>
      <c r="K993" s="439"/>
      <c r="L993" s="437"/>
      <c r="M993" s="437"/>
      <c r="N993" s="437"/>
      <c r="O993" s="437"/>
      <c r="P993" s="437"/>
      <c r="Q993" s="437"/>
      <c r="R993" s="437"/>
      <c r="S993" s="437"/>
      <c r="T993" s="437"/>
      <c r="U993" s="437"/>
      <c r="V993" s="437"/>
      <c r="W993" s="437"/>
      <c r="X993" s="437"/>
      <c r="Y993" s="437"/>
      <c r="Z993" s="437"/>
    </row>
    <row r="994" spans="8:26" ht="15.75" customHeight="1">
      <c r="H994" s="437"/>
      <c r="I994" s="437"/>
      <c r="J994" s="437"/>
      <c r="K994" s="439"/>
      <c r="L994" s="437"/>
      <c r="M994" s="437"/>
      <c r="N994" s="437"/>
      <c r="O994" s="437"/>
      <c r="P994" s="437"/>
      <c r="Q994" s="437"/>
      <c r="R994" s="437"/>
      <c r="S994" s="437"/>
      <c r="T994" s="437"/>
      <c r="U994" s="437"/>
      <c r="V994" s="437"/>
      <c r="W994" s="437"/>
      <c r="X994" s="437"/>
      <c r="Y994" s="437"/>
      <c r="Z994" s="437"/>
    </row>
    <row r="995" spans="8:26" ht="15.75" customHeight="1">
      <c r="H995" s="437"/>
      <c r="I995" s="437"/>
      <c r="J995" s="437"/>
      <c r="K995" s="439"/>
      <c r="L995" s="437"/>
      <c r="M995" s="437"/>
      <c r="N995" s="437"/>
      <c r="O995" s="437"/>
      <c r="P995" s="437"/>
      <c r="Q995" s="437"/>
      <c r="R995" s="437"/>
      <c r="S995" s="437"/>
      <c r="T995" s="437"/>
      <c r="U995" s="437"/>
      <c r="V995" s="437"/>
      <c r="W995" s="437"/>
      <c r="X995" s="437"/>
      <c r="Y995" s="437"/>
      <c r="Z995" s="437"/>
    </row>
    <row r="996" spans="8:26" ht="15.75" customHeight="1">
      <c r="H996" s="437"/>
      <c r="I996" s="437"/>
      <c r="J996" s="437"/>
      <c r="K996" s="439"/>
      <c r="L996" s="437"/>
      <c r="M996" s="437"/>
      <c r="N996" s="437"/>
      <c r="O996" s="437"/>
      <c r="P996" s="437"/>
      <c r="Q996" s="437"/>
      <c r="R996" s="437"/>
      <c r="S996" s="437"/>
      <c r="T996" s="437"/>
      <c r="U996" s="437"/>
      <c r="V996" s="437"/>
      <c r="W996" s="437"/>
      <c r="X996" s="437"/>
      <c r="Y996" s="437"/>
      <c r="Z996" s="437"/>
    </row>
    <row r="997" spans="8:26" ht="15.75" customHeight="1">
      <c r="H997" s="437"/>
      <c r="I997" s="437"/>
      <c r="J997" s="437"/>
      <c r="K997" s="439"/>
      <c r="L997" s="437"/>
      <c r="M997" s="437"/>
      <c r="N997" s="437"/>
      <c r="O997" s="437"/>
      <c r="P997" s="437"/>
      <c r="Q997" s="437"/>
      <c r="R997" s="437"/>
      <c r="S997" s="437"/>
      <c r="T997" s="437"/>
      <c r="U997" s="437"/>
      <c r="V997" s="437"/>
      <c r="W997" s="437"/>
      <c r="X997" s="437"/>
      <c r="Y997" s="437"/>
      <c r="Z997" s="437"/>
    </row>
    <row r="998" spans="8:26" ht="15.75" customHeight="1">
      <c r="H998" s="437"/>
      <c r="I998" s="437"/>
      <c r="J998" s="437"/>
      <c r="K998" s="439"/>
      <c r="L998" s="437"/>
      <c r="M998" s="437"/>
      <c r="N998" s="437"/>
      <c r="O998" s="437"/>
      <c r="P998" s="437"/>
      <c r="Q998" s="437"/>
      <c r="R998" s="437"/>
      <c r="S998" s="437"/>
      <c r="T998" s="437"/>
      <c r="U998" s="437"/>
      <c r="V998" s="437"/>
      <c r="W998" s="437"/>
      <c r="X998" s="437"/>
      <c r="Y998" s="437"/>
      <c r="Z998" s="437"/>
    </row>
    <row r="999" spans="8:26" ht="15.75" customHeight="1">
      <c r="H999" s="437"/>
      <c r="I999" s="437"/>
      <c r="J999" s="437"/>
      <c r="K999" s="439"/>
      <c r="L999" s="437"/>
      <c r="M999" s="437"/>
      <c r="N999" s="437"/>
      <c r="O999" s="437"/>
      <c r="P999" s="437"/>
      <c r="Q999" s="437"/>
      <c r="R999" s="437"/>
      <c r="S999" s="437"/>
      <c r="T999" s="437"/>
      <c r="U999" s="437"/>
      <c r="V999" s="437"/>
      <c r="W999" s="437"/>
      <c r="X999" s="437"/>
      <c r="Y999" s="437"/>
      <c r="Z999" s="437"/>
    </row>
    <row r="1000" spans="8:26" ht="15.75" customHeight="1">
      <c r="H1000" s="437"/>
      <c r="I1000" s="437"/>
      <c r="J1000" s="437"/>
      <c r="K1000" s="439"/>
      <c r="L1000" s="437"/>
      <c r="M1000" s="437"/>
      <c r="N1000" s="437"/>
      <c r="O1000" s="437"/>
      <c r="P1000" s="437"/>
      <c r="Q1000" s="437"/>
      <c r="R1000" s="437"/>
      <c r="S1000" s="437"/>
      <c r="T1000" s="437"/>
      <c r="U1000" s="437"/>
      <c r="V1000" s="437"/>
      <c r="W1000" s="437"/>
      <c r="X1000" s="437"/>
      <c r="Y1000" s="437"/>
      <c r="Z1000" s="437"/>
    </row>
  </sheetData>
  <autoFilter ref="A1:Z623" xr:uid="{00000000-0001-0000-0200-000000000000}"/>
  <pageMargins left="0.74803149606299213" right="0.74803149606299213" top="0.98425196850393704" bottom="0.98425196850393704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AD923"/>
  <sheetViews>
    <sheetView topLeftCell="A70" zoomScale="85" zoomScaleNormal="85" workbookViewId="0">
      <selection activeCell="J109" sqref="J109"/>
    </sheetView>
  </sheetViews>
  <sheetFormatPr defaultColWidth="12.5703125" defaultRowHeight="15" customHeight="1"/>
  <cols>
    <col min="1" max="4" width="10.5703125" customWidth="1"/>
    <col min="5" max="5" width="21" customWidth="1"/>
    <col min="6" max="6" width="38.85546875" customWidth="1"/>
    <col min="7" max="7" width="16" customWidth="1"/>
    <col min="8" max="8" width="14.85546875" customWidth="1"/>
    <col min="9" max="9" width="13.140625" customWidth="1"/>
    <col min="10" max="10" width="17" customWidth="1"/>
    <col min="11" max="11" width="15.42578125" customWidth="1"/>
    <col min="12" max="12" width="11.85546875" customWidth="1"/>
    <col min="13" max="13" width="13.42578125" customWidth="1"/>
    <col min="14" max="14" width="10.42578125" customWidth="1"/>
    <col min="15" max="15" width="13.85546875" customWidth="1"/>
    <col min="16" max="16" width="16" customWidth="1"/>
    <col min="17" max="17" width="2.5703125" customWidth="1"/>
    <col min="18" max="20" width="10.5703125" customWidth="1"/>
    <col min="21" max="21" width="26.140625" bestFit="1" customWidth="1"/>
    <col min="22" max="22" width="16.42578125" customWidth="1"/>
    <col min="23" max="23" width="17.42578125" customWidth="1"/>
    <col min="24" max="27" width="10.5703125" customWidth="1"/>
  </cols>
  <sheetData>
    <row r="1" spans="1:29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70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9" ht="12.75" customHeight="1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1585</v>
      </c>
      <c r="N2" s="2">
        <v>3.5190000000000001</v>
      </c>
      <c r="O2" s="2"/>
      <c r="P2" s="2"/>
      <c r="Q2" s="170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9" ht="12.75" customHeight="1">
      <c r="A3" s="2"/>
      <c r="B3" s="2"/>
      <c r="C3" s="2"/>
      <c r="D3" s="2"/>
      <c r="E3" s="2"/>
      <c r="F3" s="784" t="s">
        <v>283</v>
      </c>
      <c r="G3" s="785"/>
      <c r="H3" s="785"/>
      <c r="I3" s="785"/>
      <c r="J3" s="786"/>
      <c r="K3" s="171"/>
      <c r="L3" s="171"/>
      <c r="M3" s="2" t="s">
        <v>1586</v>
      </c>
      <c r="N3" s="2">
        <v>3.35</v>
      </c>
      <c r="O3" s="2"/>
      <c r="P3" s="2"/>
      <c r="Q3" s="170"/>
      <c r="R3" s="2"/>
      <c r="S3" s="2"/>
      <c r="T3" s="784" t="s">
        <v>369</v>
      </c>
      <c r="U3" s="785"/>
      <c r="V3" s="785"/>
      <c r="W3" s="785"/>
      <c r="X3" s="786"/>
      <c r="Y3" s="2"/>
      <c r="Z3" s="2"/>
      <c r="AA3" s="2"/>
    </row>
    <row r="4" spans="1:29" ht="20.25" thickBot="1">
      <c r="A4" s="2"/>
      <c r="B4" s="2"/>
      <c r="C4" s="2"/>
      <c r="D4" s="2"/>
      <c r="E4" s="2"/>
      <c r="F4" s="787"/>
      <c r="G4" s="788"/>
      <c r="H4" s="788"/>
      <c r="I4" s="788"/>
      <c r="J4" s="789"/>
      <c r="K4" s="171"/>
      <c r="L4" s="171"/>
      <c r="M4" s="225"/>
      <c r="N4" s="2"/>
      <c r="O4" s="2"/>
      <c r="P4" s="2"/>
      <c r="Q4" s="170"/>
      <c r="R4" s="2"/>
      <c r="S4" s="2"/>
      <c r="T4" s="787"/>
      <c r="U4" s="788"/>
      <c r="V4" s="788"/>
      <c r="W4" s="788"/>
      <c r="X4" s="789"/>
      <c r="Y4" s="2"/>
      <c r="Z4" s="2"/>
      <c r="AA4" s="2"/>
    </row>
    <row r="5" spans="1:29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70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9" ht="12.75" customHeight="1">
      <c r="A6" s="2"/>
      <c r="P6" s="2"/>
      <c r="Q6" s="170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9" ht="12.75" customHeight="1" thickBot="1">
      <c r="A7" s="2"/>
      <c r="P7" s="2"/>
      <c r="Q7" s="170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9" ht="12.75" customHeight="1">
      <c r="A8" s="2"/>
      <c r="P8" s="2"/>
      <c r="Q8" s="170"/>
      <c r="R8" s="2"/>
      <c r="S8" s="676">
        <v>1</v>
      </c>
      <c r="T8" s="254"/>
      <c r="U8" s="698" t="s">
        <v>1523</v>
      </c>
      <c r="V8" s="699"/>
      <c r="W8" s="700"/>
      <c r="X8" s="254"/>
      <c r="Y8" s="254"/>
      <c r="Z8" s="254"/>
      <c r="AA8" s="680" t="s">
        <v>1603</v>
      </c>
    </row>
    <row r="9" spans="1:29" ht="12.75" customHeight="1">
      <c r="G9" s="674" t="s">
        <v>1714</v>
      </c>
      <c r="H9" s="675" t="s">
        <v>1715</v>
      </c>
      <c r="I9" s="675"/>
      <c r="J9" s="675" t="s">
        <v>1716</v>
      </c>
      <c r="K9" s="675" t="s">
        <v>1717</v>
      </c>
      <c r="Q9" s="170"/>
      <c r="S9" s="681"/>
      <c r="T9" s="255"/>
      <c r="U9" s="701" t="s">
        <v>1604</v>
      </c>
      <c r="V9" s="702"/>
      <c r="W9" s="703"/>
      <c r="X9" s="255"/>
      <c r="Y9" s="255"/>
      <c r="Z9" s="255"/>
      <c r="AA9" s="694"/>
    </row>
    <row r="10" spans="1:29" ht="17.100000000000001" customHeight="1" thickBot="1">
      <c r="E10" s="2"/>
      <c r="F10" s="43"/>
      <c r="G10" s="2"/>
      <c r="H10" s="2"/>
      <c r="J10" s="2"/>
      <c r="K10" s="2"/>
      <c r="L10" s="2"/>
      <c r="M10" s="2"/>
      <c r="Q10" s="170"/>
      <c r="R10" s="215"/>
      <c r="S10" s="684"/>
      <c r="T10" s="259"/>
      <c r="U10" s="685"/>
      <c r="V10" s="259"/>
      <c r="W10" s="259"/>
      <c r="X10" s="259"/>
      <c r="Y10" s="259"/>
      <c r="Z10" s="259"/>
      <c r="AA10" s="687"/>
      <c r="AB10" s="215"/>
    </row>
    <row r="11" spans="1:29" ht="12.75" customHeight="1" thickBot="1">
      <c r="B11" s="676"/>
      <c r="C11" s="254"/>
      <c r="D11" s="254"/>
      <c r="E11" s="677"/>
      <c r="F11" s="678"/>
      <c r="G11" s="321"/>
      <c r="H11" s="322"/>
      <c r="I11" s="254"/>
      <c r="J11" s="679"/>
      <c r="K11" s="679"/>
      <c r="L11" s="254"/>
      <c r="M11" s="254"/>
      <c r="N11" s="254"/>
      <c r="O11" s="680" t="s">
        <v>1611</v>
      </c>
      <c r="P11" s="371"/>
      <c r="Q11" s="170"/>
      <c r="R11" s="215"/>
      <c r="S11" s="255"/>
      <c r="T11" s="255"/>
      <c r="U11" s="689"/>
      <c r="V11" s="703"/>
      <c r="W11" s="703"/>
      <c r="X11" s="255"/>
      <c r="Y11" s="255"/>
      <c r="Z11" s="255"/>
      <c r="AA11" s="704"/>
      <c r="AB11" s="215"/>
    </row>
    <row r="12" spans="1:29" ht="12.75" customHeight="1">
      <c r="B12" s="681" t="s">
        <v>1608</v>
      </c>
      <c r="C12" s="255"/>
      <c r="D12" s="255"/>
      <c r="E12" s="516">
        <v>60203095</v>
      </c>
      <c r="F12" s="287" t="s">
        <v>1131</v>
      </c>
      <c r="G12" s="674"/>
      <c r="H12" s="682"/>
      <c r="I12" s="255"/>
      <c r="J12" s="257"/>
      <c r="K12" s="257"/>
      <c r="L12" s="255"/>
      <c r="M12" s="255"/>
      <c r="N12" s="255"/>
      <c r="O12" s="258"/>
      <c r="P12" s="354"/>
      <c r="Q12" s="170"/>
      <c r="R12" s="215"/>
      <c r="S12" s="676">
        <v>2</v>
      </c>
      <c r="T12" s="254"/>
      <c r="U12" s="698" t="s">
        <v>1609</v>
      </c>
      <c r="V12" s="705"/>
      <c r="W12" s="700"/>
      <c r="X12" s="254"/>
      <c r="Y12" s="254"/>
      <c r="Z12" s="254"/>
      <c r="AA12" s="680" t="s">
        <v>1603</v>
      </c>
      <c r="AB12" s="215"/>
    </row>
    <row r="13" spans="1:29" ht="12.75" customHeight="1">
      <c r="A13" s="287"/>
      <c r="B13" s="681"/>
      <c r="C13" s="255"/>
      <c r="D13" s="255"/>
      <c r="E13" s="255"/>
      <c r="F13" s="683" t="s">
        <v>1628</v>
      </c>
      <c r="G13" s="213"/>
      <c r="H13" s="213"/>
      <c r="I13" s="255"/>
      <c r="J13" s="257"/>
      <c r="K13" s="257"/>
      <c r="L13" s="255"/>
      <c r="M13" s="255"/>
      <c r="N13" s="255"/>
      <c r="O13" s="258"/>
      <c r="Q13" s="170"/>
      <c r="R13" s="215"/>
      <c r="S13" s="681"/>
      <c r="T13" s="255"/>
      <c r="U13" s="701" t="s">
        <v>1610</v>
      </c>
      <c r="V13" s="703"/>
      <c r="W13" s="706"/>
      <c r="X13" s="255"/>
      <c r="Y13" s="255"/>
      <c r="Z13" s="255"/>
      <c r="AA13" s="694"/>
      <c r="AB13" s="215"/>
      <c r="AC13" s="756">
        <f>14532619+4903754+V8-632066</f>
        <v>18804307</v>
      </c>
    </row>
    <row r="14" spans="1:29" ht="14.1" customHeight="1" thickBot="1">
      <c r="A14" s="2"/>
      <c r="B14" s="684"/>
      <c r="C14" s="259"/>
      <c r="D14" s="259"/>
      <c r="E14" s="259"/>
      <c r="F14" s="685"/>
      <c r="G14" s="323"/>
      <c r="H14" s="323"/>
      <c r="I14" s="259"/>
      <c r="J14" s="686"/>
      <c r="K14" s="686"/>
      <c r="L14" s="259"/>
      <c r="M14" s="259"/>
      <c r="N14" s="259"/>
      <c r="O14" s="687"/>
      <c r="P14" s="354"/>
      <c r="Q14" s="170"/>
      <c r="R14" s="255"/>
      <c r="S14" s="684"/>
      <c r="T14" s="259"/>
      <c r="U14" s="685"/>
      <c r="V14" s="259"/>
      <c r="W14" s="259"/>
      <c r="X14" s="259"/>
      <c r="Y14" s="259"/>
      <c r="Z14" s="259"/>
      <c r="AA14" s="687"/>
      <c r="AB14" s="215"/>
    </row>
    <row r="15" spans="1:29" ht="15" customHeight="1" thickBot="1">
      <c r="A15" s="2"/>
      <c r="P15" s="688">
        <f>'AJE 2022'!J12+'AJE 2022'!J27</f>
        <v>0</v>
      </c>
      <c r="Q15" s="170"/>
      <c r="R15" s="2"/>
    </row>
    <row r="16" spans="1:29" ht="12.75" customHeight="1" thickBot="1">
      <c r="B16" s="676"/>
      <c r="C16" s="254"/>
      <c r="D16" s="254"/>
      <c r="E16" s="254"/>
      <c r="F16" s="678"/>
      <c r="G16" s="321"/>
      <c r="H16" s="322"/>
      <c r="I16" s="254"/>
      <c r="J16" s="679"/>
      <c r="K16" s="679"/>
      <c r="L16" s="324"/>
      <c r="M16" s="254"/>
      <c r="N16" s="254"/>
      <c r="O16" s="680"/>
      <c r="P16" s="354"/>
      <c r="Q16" s="170"/>
      <c r="AB16" s="287"/>
    </row>
    <row r="17" spans="1:28" ht="12.75" customHeight="1">
      <c r="B17" s="681"/>
      <c r="C17" s="255"/>
      <c r="D17" s="255"/>
      <c r="E17" s="255"/>
      <c r="F17" s="689"/>
      <c r="G17" s="213"/>
      <c r="I17" s="255"/>
      <c r="J17" s="257"/>
      <c r="K17" s="257"/>
      <c r="L17" s="215"/>
      <c r="M17" s="255"/>
      <c r="N17" s="255"/>
      <c r="O17" s="258"/>
      <c r="P17" s="688">
        <f>'AJE 2022'!J38</f>
        <v>0</v>
      </c>
      <c r="Q17" s="170"/>
      <c r="S17" s="676">
        <v>3</v>
      </c>
      <c r="T17" s="254"/>
      <c r="U17" s="678" t="s">
        <v>1583</v>
      </c>
      <c r="V17" s="707"/>
      <c r="W17" s="700"/>
      <c r="X17" s="254"/>
      <c r="Y17" s="254"/>
      <c r="Z17" s="254"/>
      <c r="AA17" s="527" t="s">
        <v>1606</v>
      </c>
    </row>
    <row r="18" spans="1:28" ht="14.1" customHeight="1">
      <c r="B18" s="681"/>
      <c r="C18" s="255"/>
      <c r="D18" s="255"/>
      <c r="E18" s="255"/>
      <c r="F18" s="689"/>
      <c r="G18" s="213"/>
      <c r="I18" s="255"/>
      <c r="J18" s="257"/>
      <c r="K18" s="257"/>
      <c r="L18" s="215"/>
      <c r="M18" s="255"/>
      <c r="N18" s="255"/>
      <c r="O18" s="258"/>
      <c r="Q18" s="181"/>
      <c r="S18" s="681"/>
      <c r="T18" s="255"/>
      <c r="U18" s="708" t="s">
        <v>1605</v>
      </c>
      <c r="V18" s="703"/>
      <c r="W18" s="703"/>
      <c r="X18" s="255"/>
      <c r="Y18" s="255"/>
      <c r="Z18" s="255"/>
      <c r="AA18" s="258"/>
    </row>
    <row r="19" spans="1:28" ht="12.75" customHeight="1" thickBot="1">
      <c r="B19" s="684"/>
      <c r="C19" s="259"/>
      <c r="D19" s="259"/>
      <c r="E19" s="259"/>
      <c r="F19" s="690"/>
      <c r="G19" s="691"/>
      <c r="H19" s="691"/>
      <c r="I19" s="259"/>
      <c r="J19" s="686"/>
      <c r="K19" s="686"/>
      <c r="L19" s="323"/>
      <c r="M19" s="259"/>
      <c r="N19" s="259"/>
      <c r="O19" s="687"/>
      <c r="P19" s="354"/>
      <c r="Q19" s="181"/>
      <c r="S19" s="684"/>
      <c r="T19" s="259"/>
      <c r="U19" s="709"/>
      <c r="V19" s="710"/>
      <c r="W19" s="259"/>
      <c r="X19" s="259"/>
      <c r="Y19" s="259"/>
      <c r="Z19" s="259"/>
      <c r="AA19" s="687"/>
    </row>
    <row r="20" spans="1:28" ht="12.75" customHeight="1" thickBot="1">
      <c r="B20" s="255"/>
      <c r="C20" s="255"/>
      <c r="D20" s="255"/>
      <c r="E20" s="255"/>
      <c r="F20" s="692"/>
      <c r="G20" s="530"/>
      <c r="H20" s="530"/>
      <c r="I20" s="255"/>
      <c r="J20" s="257"/>
      <c r="K20" s="257"/>
      <c r="L20" s="255"/>
      <c r="M20" s="255"/>
      <c r="N20" s="255"/>
      <c r="O20" s="255"/>
      <c r="P20" s="354"/>
      <c r="Q20" s="181"/>
    </row>
    <row r="21" spans="1:28" ht="15" customHeight="1">
      <c r="A21" s="287"/>
      <c r="B21" s="676"/>
      <c r="C21" s="254"/>
      <c r="D21" s="254"/>
      <c r="E21" s="677"/>
      <c r="F21" s="678"/>
      <c r="G21" s="321"/>
      <c r="H21" s="322"/>
      <c r="I21" s="254"/>
      <c r="J21" s="679"/>
      <c r="K21" s="679"/>
      <c r="L21" s="254"/>
      <c r="M21" s="254"/>
      <c r="N21" s="254"/>
      <c r="O21" s="527" t="s">
        <v>1606</v>
      </c>
      <c r="P21" s="354"/>
      <c r="Q21" s="170"/>
      <c r="S21" s="711">
        <v>4</v>
      </c>
      <c r="T21" s="712"/>
      <c r="U21" s="173" t="s">
        <v>1583</v>
      </c>
      <c r="V21" s="713"/>
      <c r="W21" s="714"/>
      <c r="X21" s="712"/>
      <c r="Y21" s="712"/>
      <c r="Z21" s="712"/>
      <c r="AA21" s="693" t="s">
        <v>1606</v>
      </c>
    </row>
    <row r="22" spans="1:28" ht="12.95" customHeight="1">
      <c r="B22" s="681"/>
      <c r="C22" s="255"/>
      <c r="D22" s="255"/>
      <c r="E22" s="516"/>
      <c r="F22" s="689" t="s">
        <v>1584</v>
      </c>
      <c r="G22" s="213"/>
      <c r="H22" s="682"/>
      <c r="I22" s="255"/>
      <c r="J22" s="257"/>
      <c r="K22" s="257"/>
      <c r="L22" s="255"/>
      <c r="M22" s="255"/>
      <c r="N22" s="255"/>
      <c r="O22" s="258"/>
      <c r="Q22" s="170"/>
      <c r="S22" s="715"/>
      <c r="T22" s="716"/>
      <c r="U22" s="43" t="s">
        <v>300</v>
      </c>
      <c r="V22" s="717"/>
      <c r="W22" s="717"/>
      <c r="X22" s="716"/>
      <c r="Y22" s="716"/>
      <c r="Z22" s="716"/>
      <c r="AA22" s="612"/>
    </row>
    <row r="23" spans="1:28" ht="15.95" customHeight="1" thickBot="1">
      <c r="B23" s="681"/>
      <c r="C23" s="255"/>
      <c r="D23" s="255"/>
      <c r="E23" s="516"/>
      <c r="F23" s="689" t="s">
        <v>1583</v>
      </c>
      <c r="G23" s="213"/>
      <c r="H23" s="213"/>
      <c r="I23" s="255"/>
      <c r="J23" s="257"/>
      <c r="K23" s="257"/>
      <c r="L23" s="255"/>
      <c r="M23" s="255"/>
      <c r="N23" s="255"/>
      <c r="O23" s="258"/>
      <c r="P23" s="354"/>
      <c r="Q23" s="170"/>
      <c r="S23" s="718"/>
      <c r="T23" s="719"/>
      <c r="U23" s="720"/>
      <c r="V23" s="719"/>
      <c r="W23" s="719"/>
      <c r="X23" s="719"/>
      <c r="Y23" s="719"/>
      <c r="Z23" s="719"/>
      <c r="AA23" s="721"/>
    </row>
    <row r="24" spans="1:28" ht="12.75" customHeight="1" thickBot="1">
      <c r="B24" s="684"/>
      <c r="C24" s="259"/>
      <c r="D24" s="259"/>
      <c r="E24" s="259"/>
      <c r="F24" s="685"/>
      <c r="G24" s="323"/>
      <c r="H24" s="323"/>
      <c r="I24" s="259"/>
      <c r="J24" s="686"/>
      <c r="K24" s="686"/>
      <c r="L24" s="259"/>
      <c r="M24" s="259"/>
      <c r="N24" s="259"/>
      <c r="O24" s="687"/>
      <c r="P24" s="354"/>
      <c r="Q24" s="170"/>
      <c r="S24" s="255"/>
      <c r="T24" s="255"/>
      <c r="U24" s="701"/>
      <c r="V24" s="703"/>
      <c r="W24" s="703"/>
      <c r="X24" s="255"/>
      <c r="Y24" s="255"/>
      <c r="Z24" s="255"/>
      <c r="AA24" s="704"/>
      <c r="AB24" s="287"/>
    </row>
    <row r="25" spans="1:28" ht="14.1" customHeight="1" thickBot="1">
      <c r="E25" s="2"/>
      <c r="K25" s="2"/>
      <c r="L25" s="2"/>
      <c r="M25" s="2"/>
      <c r="P25" s="518"/>
      <c r="Q25" s="170"/>
      <c r="S25" s="2"/>
      <c r="T25" s="2"/>
      <c r="U25" s="2"/>
      <c r="V25" s="2"/>
      <c r="W25" s="2"/>
      <c r="X25" s="2"/>
      <c r="Y25" s="2"/>
      <c r="Z25" s="2"/>
      <c r="AA25" s="2"/>
    </row>
    <row r="26" spans="1:28" ht="12.95" customHeight="1">
      <c r="B26" s="676"/>
      <c r="C26" s="254"/>
      <c r="D26" s="254"/>
      <c r="E26" s="677"/>
      <c r="F26" s="678"/>
      <c r="G26" s="321"/>
      <c r="H26" s="322"/>
      <c r="I26" s="254"/>
      <c r="J26" s="679"/>
      <c r="K26" s="679"/>
      <c r="L26" s="254"/>
      <c r="M26" s="254"/>
      <c r="N26" s="254"/>
      <c r="O26" s="527" t="s">
        <v>1606</v>
      </c>
      <c r="P26" s="354"/>
      <c r="Q26" s="170"/>
      <c r="S26" s="711">
        <v>5</v>
      </c>
      <c r="T26" s="712"/>
      <c r="U26" s="173" t="s">
        <v>1583</v>
      </c>
      <c r="V26" s="713"/>
      <c r="W26" s="714"/>
      <c r="X26" s="712"/>
      <c r="Y26" s="712"/>
      <c r="Z26" s="712"/>
      <c r="AA26" s="693" t="s">
        <v>1643</v>
      </c>
    </row>
    <row r="27" spans="1:28" ht="12.75" customHeight="1">
      <c r="B27" s="681"/>
      <c r="C27" s="255"/>
      <c r="D27" s="255" t="s">
        <v>1726</v>
      </c>
      <c r="E27" s="760" t="s">
        <v>1725</v>
      </c>
      <c r="F27" s="689" t="s">
        <v>1642</v>
      </c>
      <c r="G27" s="213"/>
      <c r="H27" s="682"/>
      <c r="I27" s="255"/>
      <c r="J27" s="257"/>
      <c r="K27" s="257"/>
      <c r="L27" s="255"/>
      <c r="M27" s="255"/>
      <c r="N27" s="255"/>
      <c r="O27" s="258"/>
      <c r="Q27" s="181"/>
      <c r="S27" s="715"/>
      <c r="T27" s="716"/>
      <c r="U27" s="708" t="s">
        <v>1605</v>
      </c>
      <c r="V27" s="717"/>
      <c r="W27" s="717"/>
      <c r="X27" s="716"/>
      <c r="Y27" s="716"/>
      <c r="Z27" s="716"/>
      <c r="AA27" s="612"/>
      <c r="AB27" s="287"/>
    </row>
    <row r="28" spans="1:28" ht="12.75" customHeight="1" thickBot="1">
      <c r="B28" s="681"/>
      <c r="C28" s="255"/>
      <c r="D28" s="255"/>
      <c r="E28" s="516"/>
      <c r="F28" s="689" t="s">
        <v>1583</v>
      </c>
      <c r="G28" s="213"/>
      <c r="H28" s="213"/>
      <c r="I28" s="255"/>
      <c r="J28" s="257"/>
      <c r="K28" s="257"/>
      <c r="L28" s="759"/>
      <c r="M28" s="255"/>
      <c r="N28" s="255"/>
      <c r="O28" s="258"/>
      <c r="Q28" s="181"/>
      <c r="S28" s="718"/>
      <c r="T28" s="719"/>
      <c r="U28" s="720"/>
      <c r="V28" s="719"/>
      <c r="W28" s="719"/>
      <c r="X28" s="719"/>
      <c r="Y28" s="719"/>
      <c r="Z28" s="719"/>
      <c r="AA28" s="721"/>
    </row>
    <row r="29" spans="1:28" ht="12.75" customHeight="1" thickBot="1">
      <c r="A29" s="287"/>
      <c r="B29" s="684"/>
      <c r="C29" s="259"/>
      <c r="D29" s="259"/>
      <c r="E29" s="259"/>
      <c r="F29" s="685"/>
      <c r="G29" s="323"/>
      <c r="H29" s="323"/>
      <c r="I29" s="259"/>
      <c r="J29" s="686"/>
      <c r="K29" s="686"/>
      <c r="L29" s="259"/>
      <c r="M29" s="259"/>
      <c r="N29" s="259"/>
      <c r="O29" s="687"/>
      <c r="Q29" s="181"/>
    </row>
    <row r="30" spans="1:28" ht="12.75" customHeight="1" thickBot="1">
      <c r="E30" s="2"/>
      <c r="K30" s="2"/>
      <c r="L30" s="2"/>
      <c r="M30" s="2"/>
      <c r="Q30" s="181"/>
      <c r="S30" s="711">
        <v>6</v>
      </c>
      <c r="T30" s="712"/>
      <c r="U30" s="173" t="s">
        <v>1604</v>
      </c>
      <c r="V30" s="713"/>
      <c r="W30" s="714"/>
      <c r="X30" s="712"/>
      <c r="Y30" s="712"/>
      <c r="Z30" s="712"/>
      <c r="AA30" s="693" t="s">
        <v>1652</v>
      </c>
    </row>
    <row r="31" spans="1:28" ht="12.75" customHeight="1">
      <c r="B31" s="676"/>
      <c r="C31" s="254"/>
      <c r="D31" s="254"/>
      <c r="E31" s="677"/>
      <c r="F31" s="678"/>
      <c r="G31" s="321"/>
      <c r="H31" s="322"/>
      <c r="I31" s="254"/>
      <c r="J31" s="679"/>
      <c r="K31" s="679"/>
      <c r="L31" s="254"/>
      <c r="M31" s="254"/>
      <c r="N31" s="254"/>
      <c r="O31" s="693" t="s">
        <v>1662</v>
      </c>
      <c r="Q31" s="170"/>
      <c r="S31" s="715"/>
      <c r="T31" s="716"/>
      <c r="U31" s="708" t="s">
        <v>1653</v>
      </c>
      <c r="V31" s="717"/>
      <c r="W31" s="717"/>
      <c r="X31" s="716"/>
      <c r="Y31" s="716"/>
      <c r="Z31" s="716"/>
      <c r="AA31" s="612"/>
      <c r="AB31" s="287"/>
    </row>
    <row r="32" spans="1:28" ht="12.75" customHeight="1" thickBot="1">
      <c r="A32" s="287"/>
      <c r="B32" s="681"/>
      <c r="C32" s="255"/>
      <c r="D32" s="255"/>
      <c r="E32" s="516"/>
      <c r="F32" s="689" t="s">
        <v>1644</v>
      </c>
      <c r="G32" s="213"/>
      <c r="H32" s="682"/>
      <c r="I32" s="255"/>
      <c r="J32" s="257"/>
      <c r="K32" s="257"/>
      <c r="L32" s="255"/>
      <c r="M32" s="255"/>
      <c r="N32" s="255"/>
      <c r="O32" s="258"/>
      <c r="Q32" s="170"/>
      <c r="S32" s="718"/>
      <c r="T32" s="719"/>
      <c r="U32" s="720"/>
      <c r="V32" s="719"/>
      <c r="W32" s="719"/>
      <c r="X32" s="719"/>
      <c r="Y32" s="719"/>
      <c r="Z32" s="719"/>
      <c r="AA32" s="721"/>
    </row>
    <row r="33" spans="1:30" ht="12.75" customHeight="1" thickBot="1">
      <c r="B33" s="681"/>
      <c r="C33" s="255"/>
      <c r="D33" s="255"/>
      <c r="E33" s="516"/>
      <c r="F33" s="689" t="s">
        <v>1583</v>
      </c>
      <c r="G33" s="213"/>
      <c r="H33" s="213"/>
      <c r="I33" s="255"/>
      <c r="J33" s="257"/>
      <c r="K33" s="257"/>
      <c r="L33" s="255"/>
      <c r="M33" s="255"/>
      <c r="N33" s="255"/>
      <c r="O33" s="258"/>
      <c r="Q33" s="170"/>
    </row>
    <row r="34" spans="1:30" ht="12.75" customHeight="1" thickBot="1">
      <c r="B34" s="684"/>
      <c r="C34" s="259"/>
      <c r="D34" s="259"/>
      <c r="E34" s="259"/>
      <c r="F34" s="685"/>
      <c r="G34" s="323"/>
      <c r="H34" s="323"/>
      <c r="I34" s="259"/>
      <c r="J34" s="686"/>
      <c r="K34" s="686"/>
      <c r="L34" s="259"/>
      <c r="M34" s="259"/>
      <c r="N34" s="259"/>
      <c r="O34" s="687"/>
      <c r="Q34" s="170"/>
      <c r="S34" s="711">
        <v>7</v>
      </c>
      <c r="T34" s="712"/>
      <c r="U34" s="722" t="s">
        <v>53</v>
      </c>
      <c r="V34" s="713"/>
      <c r="W34" s="714"/>
      <c r="X34" s="712"/>
      <c r="Y34" s="712"/>
      <c r="Z34" s="712"/>
      <c r="AA34" s="693" t="s">
        <v>1655</v>
      </c>
    </row>
    <row r="35" spans="1:30" ht="12.75" customHeight="1" thickBot="1">
      <c r="E35" s="2"/>
      <c r="G35" s="321"/>
      <c r="H35" s="322"/>
      <c r="K35" s="2"/>
      <c r="L35" s="2"/>
      <c r="M35" s="2"/>
      <c r="Q35" s="170"/>
      <c r="S35" s="715"/>
      <c r="T35" s="716"/>
      <c r="U35" s="708" t="s">
        <v>1653</v>
      </c>
      <c r="V35" s="717"/>
      <c r="W35" s="717"/>
      <c r="X35" s="716"/>
      <c r="Y35" s="716"/>
      <c r="Z35" s="716"/>
      <c r="AA35" s="612"/>
    </row>
    <row r="36" spans="1:30" ht="12.75" customHeight="1">
      <c r="B36" s="676"/>
      <c r="C36" s="254"/>
      <c r="D36" s="254"/>
      <c r="E36" s="677"/>
      <c r="F36" s="678" t="s">
        <v>1646</v>
      </c>
      <c r="G36" s="321"/>
      <c r="H36" s="322"/>
      <c r="I36" s="254"/>
      <c r="J36" s="679"/>
      <c r="K36" s="679"/>
      <c r="L36" s="254"/>
      <c r="M36" s="254"/>
      <c r="N36" s="254"/>
      <c r="O36" s="680" t="s">
        <v>1651</v>
      </c>
      <c r="Q36" s="170"/>
      <c r="R36" s="215"/>
      <c r="S36" s="715"/>
      <c r="T36" s="716"/>
      <c r="U36" s="723"/>
      <c r="V36" s="716"/>
      <c r="W36" s="716"/>
      <c r="X36" s="716"/>
      <c r="Y36" s="716"/>
      <c r="Z36" s="716"/>
      <c r="AA36" s="612"/>
      <c r="AB36" s="215"/>
      <c r="AC36" s="215"/>
      <c r="AD36" s="215"/>
    </row>
    <row r="37" spans="1:30" ht="12.75" customHeight="1" thickBot="1">
      <c r="B37" s="681"/>
      <c r="C37" s="255"/>
      <c r="D37" s="255"/>
      <c r="E37" s="256"/>
      <c r="F37" s="683" t="s">
        <v>1647</v>
      </c>
      <c r="G37" s="213"/>
      <c r="H37" s="530"/>
      <c r="I37" s="255"/>
      <c r="J37" s="257"/>
      <c r="K37" s="257"/>
      <c r="L37" s="255"/>
      <c r="M37" s="255"/>
      <c r="N37" s="255"/>
      <c r="O37" s="694"/>
      <c r="Q37" s="181"/>
      <c r="R37" s="215"/>
      <c r="S37" s="718"/>
      <c r="T37" s="719"/>
      <c r="U37" s="724"/>
      <c r="V37" s="725"/>
      <c r="W37" s="726"/>
      <c r="X37" s="719"/>
      <c r="Y37" s="719"/>
      <c r="Z37" s="719"/>
      <c r="AA37" s="727"/>
      <c r="AB37" s="215"/>
      <c r="AC37" s="215"/>
      <c r="AD37" s="215"/>
    </row>
    <row r="38" spans="1:30" ht="12.75" customHeight="1" thickBot="1">
      <c r="B38" s="681"/>
      <c r="C38" s="255"/>
      <c r="D38" s="255"/>
      <c r="E38" s="256"/>
      <c r="F38" s="683" t="s">
        <v>1648</v>
      </c>
      <c r="G38" s="213"/>
      <c r="H38" s="682"/>
      <c r="I38" s="255"/>
      <c r="J38" s="257"/>
      <c r="K38" s="257"/>
      <c r="L38" s="255"/>
      <c r="M38" s="255"/>
      <c r="N38" s="255"/>
      <c r="O38" s="258"/>
      <c r="Q38" s="170"/>
      <c r="R38" s="215"/>
      <c r="S38" s="716"/>
      <c r="T38" s="716"/>
      <c r="U38" s="728"/>
      <c r="V38" s="717"/>
      <c r="W38" s="717"/>
      <c r="X38" s="716"/>
      <c r="Y38" s="716"/>
      <c r="Z38" s="716"/>
      <c r="AA38" s="716"/>
      <c r="AB38" s="215"/>
      <c r="AC38" s="215"/>
      <c r="AD38" s="215"/>
    </row>
    <row r="39" spans="1:30" ht="12.75" customHeight="1">
      <c r="B39" s="681"/>
      <c r="C39" s="255"/>
      <c r="D39" s="255"/>
      <c r="E39" s="255"/>
      <c r="F39" s="683" t="s">
        <v>1649</v>
      </c>
      <c r="G39" s="213"/>
      <c r="H39" s="213"/>
      <c r="I39" s="255"/>
      <c r="J39" s="257"/>
      <c r="K39" s="257"/>
      <c r="L39" s="255"/>
      <c r="M39" s="255"/>
      <c r="N39" s="255"/>
      <c r="O39" s="258"/>
      <c r="Q39" s="170"/>
      <c r="R39" s="215"/>
      <c r="S39" s="711"/>
      <c r="T39" s="712"/>
      <c r="U39" s="729"/>
      <c r="V39" s="712"/>
      <c r="W39" s="712"/>
      <c r="X39" s="712"/>
      <c r="Y39" s="712"/>
      <c r="Z39" s="712"/>
      <c r="AA39" s="331" t="s">
        <v>1664</v>
      </c>
      <c r="AB39" s="215"/>
      <c r="AC39" s="215"/>
      <c r="AD39" s="215"/>
    </row>
    <row r="40" spans="1:30" ht="12.75" customHeight="1" thickBot="1">
      <c r="B40" s="684"/>
      <c r="C40" s="259"/>
      <c r="D40" s="259"/>
      <c r="E40" s="690">
        <v>51100</v>
      </c>
      <c r="F40" s="690" t="s">
        <v>1650</v>
      </c>
      <c r="G40" s="695"/>
      <c r="H40" s="323"/>
      <c r="I40" s="259"/>
      <c r="J40" s="686"/>
      <c r="K40" s="686"/>
      <c r="L40" s="259"/>
      <c r="M40" s="259"/>
      <c r="N40" s="259"/>
      <c r="O40" s="687"/>
      <c r="Q40" s="170"/>
      <c r="R40" s="215"/>
      <c r="S40" s="325"/>
      <c r="T40" s="215"/>
      <c r="U40" s="215"/>
      <c r="V40" s="215"/>
      <c r="W40" s="215"/>
      <c r="X40" s="215"/>
      <c r="Y40" s="215"/>
      <c r="Z40" s="215"/>
      <c r="AA40" s="326"/>
      <c r="AB40" s="215"/>
      <c r="AC40" s="215"/>
      <c r="AD40" s="215"/>
    </row>
    <row r="41" spans="1:30" ht="12.75" customHeight="1" thickBot="1">
      <c r="Q41" s="170"/>
      <c r="R41" s="215"/>
      <c r="S41" s="325"/>
      <c r="T41" s="215"/>
      <c r="U41" s="215"/>
      <c r="V41" s="215"/>
      <c r="W41" s="215"/>
      <c r="X41" s="215"/>
      <c r="Y41" s="215"/>
      <c r="Z41" s="215"/>
      <c r="AA41" s="326"/>
      <c r="AB41" s="730"/>
      <c r="AC41" s="215"/>
      <c r="AD41" s="215"/>
    </row>
    <row r="42" spans="1:30" ht="12.75" customHeight="1" thickBot="1">
      <c r="B42" s="676"/>
      <c r="C42" s="254"/>
      <c r="D42" s="254"/>
      <c r="E42" s="677"/>
      <c r="F42" s="678"/>
      <c r="G42" s="321"/>
      <c r="H42" s="322"/>
      <c r="I42" s="254"/>
      <c r="J42" s="679"/>
      <c r="K42" s="679"/>
      <c r="L42" s="254"/>
      <c r="M42" s="254"/>
      <c r="N42" s="254"/>
      <c r="O42" s="680" t="s">
        <v>1654</v>
      </c>
      <c r="Q42" s="170"/>
      <c r="R42" s="215"/>
      <c r="S42" s="327"/>
      <c r="T42" s="323"/>
      <c r="U42" s="323"/>
      <c r="V42" s="323"/>
      <c r="W42" s="323"/>
      <c r="X42" s="323"/>
      <c r="Y42" s="323"/>
      <c r="Z42" s="323"/>
      <c r="AA42" s="328"/>
      <c r="AB42" s="215"/>
      <c r="AC42" s="215"/>
      <c r="AD42" s="215"/>
    </row>
    <row r="43" spans="1:30" ht="12.75" customHeight="1">
      <c r="A43" s="287"/>
      <c r="B43" s="681"/>
      <c r="C43" s="255"/>
      <c r="D43" s="255"/>
      <c r="E43" s="256"/>
      <c r="F43" s="683" t="s">
        <v>1653</v>
      </c>
      <c r="G43" s="213"/>
      <c r="H43" s="682"/>
      <c r="I43" s="255"/>
      <c r="J43" s="257"/>
      <c r="K43" s="257"/>
      <c r="L43" s="255"/>
      <c r="M43" s="255"/>
      <c r="N43" s="255"/>
      <c r="O43" s="258"/>
      <c r="Q43" s="170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</row>
    <row r="44" spans="1:30" ht="12.75" customHeight="1">
      <c r="B44" s="681"/>
      <c r="C44" s="255"/>
      <c r="D44" s="255"/>
      <c r="E44" s="255"/>
      <c r="F44" s="683" t="s">
        <v>1604</v>
      </c>
      <c r="G44" s="213"/>
      <c r="H44" s="213"/>
      <c r="I44" s="255"/>
      <c r="J44" s="257"/>
      <c r="K44" s="257"/>
      <c r="L44" s="255"/>
      <c r="M44" s="255"/>
      <c r="N44" s="255"/>
      <c r="O44" s="258"/>
      <c r="Q44" s="170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</row>
    <row r="45" spans="1:30" ht="15" customHeight="1" thickBot="1">
      <c r="B45" s="684"/>
      <c r="C45" s="259"/>
      <c r="D45" s="259"/>
      <c r="E45" s="259"/>
      <c r="F45" s="685"/>
      <c r="G45" s="323"/>
      <c r="H45" s="323"/>
      <c r="I45" s="259"/>
      <c r="J45" s="686"/>
      <c r="K45" s="686"/>
      <c r="L45" s="259"/>
      <c r="M45" s="259"/>
      <c r="N45" s="259"/>
      <c r="O45" s="687"/>
      <c r="Q45" s="170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</row>
    <row r="46" spans="1:30" ht="12.75" customHeight="1">
      <c r="E46" s="2"/>
      <c r="F46" s="379"/>
      <c r="J46" s="379"/>
      <c r="K46" s="2"/>
      <c r="L46" s="2"/>
      <c r="M46" s="2"/>
      <c r="Q46" s="170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</row>
    <row r="47" spans="1:30" ht="12.75" customHeight="1" thickBot="1">
      <c r="E47" s="2"/>
      <c r="F47" s="379"/>
      <c r="J47" s="379"/>
      <c r="K47" s="2"/>
      <c r="L47" s="2"/>
      <c r="M47" s="2"/>
      <c r="Q47" s="170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</row>
    <row r="48" spans="1:30" ht="12.75" customHeight="1">
      <c r="A48" s="287"/>
      <c r="B48" s="172"/>
      <c r="C48" s="118"/>
      <c r="D48" s="118"/>
      <c r="E48" s="118"/>
      <c r="F48" s="173"/>
      <c r="G48" s="321"/>
      <c r="H48" s="322"/>
      <c r="I48" s="118"/>
      <c r="J48" s="669"/>
      <c r="K48" s="669"/>
      <c r="L48" s="118"/>
      <c r="M48" s="118"/>
      <c r="N48" s="118"/>
      <c r="O48" s="119" t="s">
        <v>1656</v>
      </c>
      <c r="Q48" s="170"/>
      <c r="U48" s="636">
        <f>'AJE 2022'!G12+'AJE 2022'!G27</f>
        <v>0</v>
      </c>
    </row>
    <row r="49" spans="1:22" ht="12.75" customHeight="1">
      <c r="B49" s="174"/>
      <c r="C49" s="2"/>
      <c r="D49" s="2"/>
      <c r="E49" s="2"/>
      <c r="F49" s="40" t="s">
        <v>51</v>
      </c>
      <c r="G49" s="696"/>
      <c r="I49" s="2"/>
      <c r="J49" s="86"/>
      <c r="K49" s="86"/>
      <c r="L49" s="2"/>
      <c r="M49" s="2"/>
      <c r="N49" s="2"/>
      <c r="O49" s="120"/>
      <c r="Q49" s="170"/>
      <c r="T49" s="371"/>
    </row>
    <row r="50" spans="1:22" ht="12.75" customHeight="1">
      <c r="B50" s="174"/>
      <c r="C50" s="2"/>
      <c r="D50" s="2"/>
      <c r="E50" s="2"/>
      <c r="F50" s="43" t="s">
        <v>1653</v>
      </c>
      <c r="H50" s="696"/>
      <c r="I50" s="2"/>
      <c r="J50" s="86"/>
      <c r="K50" s="86"/>
      <c r="L50" s="2"/>
      <c r="M50" s="2"/>
      <c r="N50" s="2"/>
      <c r="O50" s="120"/>
      <c r="Q50" s="170"/>
    </row>
    <row r="51" spans="1:22" ht="12.75" customHeight="1">
      <c r="B51" s="174"/>
      <c r="C51" s="2"/>
      <c r="D51" s="2"/>
      <c r="E51" s="2"/>
      <c r="F51" s="37"/>
      <c r="I51" s="2"/>
      <c r="J51" s="86"/>
      <c r="K51" s="86"/>
      <c r="L51" s="2"/>
      <c r="M51" s="2"/>
      <c r="N51" s="2"/>
      <c r="O51" s="120"/>
      <c r="Q51" s="170"/>
    </row>
    <row r="52" spans="1:22" ht="12.75" customHeight="1" thickBot="1">
      <c r="B52" s="175"/>
      <c r="C52" s="176"/>
      <c r="D52" s="176"/>
      <c r="E52" s="176"/>
      <c r="F52" s="177"/>
      <c r="I52" s="176"/>
      <c r="J52" s="670"/>
      <c r="K52" s="670"/>
      <c r="L52" s="176"/>
      <c r="M52" s="176"/>
      <c r="N52" s="176"/>
      <c r="O52" s="178"/>
      <c r="Q52" s="170"/>
    </row>
    <row r="53" spans="1:22" ht="12.75" customHeight="1" thickBot="1">
      <c r="A53" s="287"/>
      <c r="E53" s="2"/>
      <c r="G53" s="321"/>
      <c r="H53" s="322"/>
      <c r="K53" s="2"/>
      <c r="L53" s="2"/>
      <c r="M53" s="2"/>
      <c r="Q53" s="170"/>
    </row>
    <row r="54" spans="1:22" ht="12.75" customHeight="1">
      <c r="B54" s="676"/>
      <c r="C54" s="254"/>
      <c r="D54" s="254"/>
      <c r="E54" s="697"/>
      <c r="F54" s="697"/>
      <c r="G54" s="321"/>
      <c r="H54" s="322"/>
      <c r="I54" s="254"/>
      <c r="J54" s="679"/>
      <c r="K54" s="679"/>
      <c r="L54" s="254"/>
      <c r="M54" s="254"/>
      <c r="N54" s="254"/>
      <c r="O54" s="527" t="s">
        <v>1657</v>
      </c>
      <c r="Q54" s="170"/>
    </row>
    <row r="55" spans="1:22" ht="12.75" customHeight="1">
      <c r="B55" s="681"/>
      <c r="C55" s="255"/>
      <c r="D55" s="255"/>
      <c r="E55" s="255"/>
      <c r="F55" s="43" t="s">
        <v>182</v>
      </c>
      <c r="G55" s="671"/>
      <c r="H55" s="671"/>
      <c r="I55" s="255"/>
      <c r="J55" s="257"/>
      <c r="K55" s="257"/>
      <c r="L55" s="255"/>
      <c r="M55" s="255"/>
      <c r="N55" s="255"/>
      <c r="O55" s="258"/>
      <c r="Q55" s="170"/>
    </row>
    <row r="56" spans="1:22" ht="12.75" customHeight="1" thickBot="1">
      <c r="B56" s="684"/>
      <c r="C56" s="259"/>
      <c r="D56" s="259"/>
      <c r="E56" s="259">
        <v>39000</v>
      </c>
      <c r="F56" s="685" t="s">
        <v>591</v>
      </c>
      <c r="G56" s="672"/>
      <c r="H56" s="672"/>
      <c r="I56" s="259"/>
      <c r="J56" s="686"/>
      <c r="K56" s="686"/>
      <c r="L56" s="259"/>
      <c r="M56" s="259"/>
      <c r="N56" s="259"/>
      <c r="O56" s="687"/>
      <c r="Q56" s="170"/>
      <c r="U56" s="696"/>
    </row>
    <row r="57" spans="1:22" ht="12.75" customHeight="1" thickBot="1">
      <c r="B57" s="215"/>
      <c r="C57" s="215"/>
      <c r="D57" s="215"/>
      <c r="E57" s="255"/>
      <c r="F57" s="215"/>
      <c r="G57" s="213"/>
      <c r="H57" s="530"/>
      <c r="I57" s="215"/>
      <c r="J57" s="215"/>
      <c r="K57" s="255"/>
      <c r="L57" s="255"/>
      <c r="M57" s="255"/>
      <c r="N57" s="215"/>
      <c r="O57" s="215"/>
      <c r="Q57" s="170"/>
    </row>
    <row r="58" spans="1:22" ht="12.75" customHeight="1">
      <c r="B58" s="172"/>
      <c r="C58" s="118"/>
      <c r="D58" s="118"/>
      <c r="E58" s="118"/>
      <c r="F58" s="173"/>
      <c r="G58" s="321"/>
      <c r="H58" s="322"/>
      <c r="I58" s="118"/>
      <c r="J58" s="669"/>
      <c r="K58" s="669"/>
      <c r="L58" s="118"/>
      <c r="M58" s="118"/>
      <c r="N58" s="118"/>
      <c r="O58" s="119" t="s">
        <v>1659</v>
      </c>
      <c r="Q58" s="170"/>
    </row>
    <row r="59" spans="1:22" ht="12.75" customHeight="1">
      <c r="B59" s="174"/>
      <c r="C59" s="2"/>
      <c r="D59" s="2"/>
      <c r="E59" s="256"/>
      <c r="F59" s="43" t="s">
        <v>182</v>
      </c>
      <c r="G59" s="758"/>
      <c r="H59" s="758"/>
      <c r="I59" s="2"/>
      <c r="J59" s="86"/>
      <c r="K59" s="86"/>
      <c r="L59" s="86"/>
      <c r="M59" s="2"/>
      <c r="N59" s="2"/>
      <c r="O59" s="120"/>
      <c r="Q59" s="170"/>
    </row>
    <row r="60" spans="1:22" ht="12.75" customHeight="1">
      <c r="B60" s="174"/>
      <c r="C60" s="2"/>
      <c r="D60" s="2"/>
      <c r="E60" s="2"/>
      <c r="F60" s="40" t="s">
        <v>1658</v>
      </c>
      <c r="G60" s="758"/>
      <c r="H60" s="758"/>
      <c r="I60" s="2"/>
      <c r="J60" s="86"/>
      <c r="K60" s="86"/>
      <c r="L60" s="2"/>
      <c r="M60" s="2"/>
      <c r="N60" s="2"/>
      <c r="O60" s="120"/>
      <c r="Q60" s="170"/>
    </row>
    <row r="61" spans="1:22" ht="12.75" customHeight="1">
      <c r="B61" s="174"/>
      <c r="C61" s="2"/>
      <c r="D61" s="2"/>
      <c r="E61" s="2"/>
      <c r="F61" s="37"/>
      <c r="G61" s="758"/>
      <c r="H61" s="758"/>
      <c r="I61" s="2"/>
      <c r="J61" s="86"/>
      <c r="K61" s="86"/>
      <c r="L61" s="2"/>
      <c r="M61" s="2"/>
      <c r="N61" s="2"/>
      <c r="O61" s="120"/>
      <c r="Q61" s="170"/>
    </row>
    <row r="62" spans="1:22" ht="12.75" customHeight="1" thickBot="1">
      <c r="B62" s="175"/>
      <c r="C62" s="176"/>
      <c r="D62" s="176"/>
      <c r="E62" s="176"/>
      <c r="F62" s="177"/>
      <c r="I62" s="176"/>
      <c r="J62" s="670"/>
      <c r="K62" s="670"/>
      <c r="L62" s="176"/>
      <c r="M62" s="176"/>
      <c r="N62" s="176"/>
      <c r="O62" s="178"/>
      <c r="Q62" s="170"/>
      <c r="S62" s="316"/>
      <c r="V62" s="316"/>
    </row>
    <row r="63" spans="1:22" ht="12.75" customHeight="1" thickBot="1">
      <c r="E63" s="2"/>
      <c r="G63" s="321"/>
      <c r="H63" s="322"/>
      <c r="K63" s="2"/>
      <c r="L63" s="2"/>
      <c r="M63" s="2"/>
      <c r="Q63" s="170"/>
    </row>
    <row r="64" spans="1:22" ht="12.75" customHeight="1">
      <c r="B64" s="330"/>
      <c r="C64" s="324"/>
      <c r="D64" s="324"/>
      <c r="E64" s="254"/>
      <c r="F64" s="324"/>
      <c r="G64" s="321"/>
      <c r="H64" s="322"/>
      <c r="I64" s="324"/>
      <c r="J64" s="324"/>
      <c r="K64" s="324"/>
      <c r="L64" s="254"/>
      <c r="M64" s="254"/>
      <c r="N64" s="324"/>
      <c r="O64" s="331"/>
      <c r="Q64" s="170"/>
    </row>
    <row r="65" spans="2:17" ht="12.75" customHeight="1">
      <c r="B65" s="325"/>
      <c r="C65" s="215"/>
      <c r="D65" s="215"/>
      <c r="E65" s="255"/>
      <c r="F65" s="43"/>
      <c r="I65" s="215"/>
      <c r="J65" s="86"/>
      <c r="K65" s="86"/>
      <c r="L65" s="255"/>
      <c r="M65" s="255"/>
      <c r="N65" s="215"/>
      <c r="O65" s="612" t="s">
        <v>1663</v>
      </c>
      <c r="Q65" s="170"/>
    </row>
    <row r="66" spans="2:17" ht="12.75" customHeight="1">
      <c r="B66" s="325"/>
      <c r="C66" s="215"/>
      <c r="D66" s="2"/>
      <c r="E66" s="255"/>
      <c r="F66" s="43" t="s">
        <v>1660</v>
      </c>
      <c r="G66" s="673"/>
      <c r="I66" s="215"/>
      <c r="J66" s="86"/>
      <c r="K66" s="86"/>
      <c r="L66" s="255"/>
      <c r="M66" s="375"/>
      <c r="N66" s="215"/>
      <c r="O66" s="326"/>
      <c r="Q66" s="170"/>
    </row>
    <row r="67" spans="2:17" ht="12.75" customHeight="1">
      <c r="B67" s="325"/>
      <c r="C67" s="215"/>
      <c r="D67" s="215"/>
      <c r="E67" s="333"/>
      <c r="F67" s="43" t="s">
        <v>1661</v>
      </c>
      <c r="H67" s="673"/>
      <c r="I67" s="215"/>
      <c r="J67" s="86"/>
      <c r="K67" s="86"/>
      <c r="L67" s="255"/>
      <c r="M67" s="255"/>
      <c r="N67" s="215"/>
      <c r="O67" s="326"/>
      <c r="Q67" s="170"/>
    </row>
    <row r="68" spans="2:17" ht="12.75" customHeight="1">
      <c r="B68" s="325"/>
      <c r="C68" s="2"/>
      <c r="D68" s="2"/>
      <c r="E68" s="255"/>
      <c r="F68" s="43"/>
      <c r="I68" s="215"/>
      <c r="J68" s="86"/>
      <c r="K68" s="86"/>
      <c r="L68" s="255"/>
      <c r="M68" s="255"/>
      <c r="N68" s="215"/>
      <c r="O68" s="326"/>
      <c r="Q68" s="170"/>
    </row>
    <row r="69" spans="2:17" ht="12.75" customHeight="1">
      <c r="B69" s="325"/>
      <c r="C69" s="215"/>
      <c r="D69" s="215"/>
      <c r="E69" s="255"/>
      <c r="F69" s="43"/>
      <c r="I69" s="215"/>
      <c r="J69" s="86"/>
      <c r="K69" s="86"/>
      <c r="L69" s="255"/>
      <c r="M69" s="255"/>
      <c r="N69" s="215"/>
      <c r="O69" s="326"/>
      <c r="Q69" s="170"/>
    </row>
    <row r="70" spans="2:17" ht="12.75" customHeight="1">
      <c r="B70" s="325"/>
      <c r="C70" s="2"/>
      <c r="D70" s="215"/>
      <c r="E70" s="255"/>
      <c r="F70" s="43"/>
      <c r="I70" s="215"/>
      <c r="J70" s="86"/>
      <c r="K70" s="86"/>
      <c r="L70" s="255"/>
      <c r="M70" s="255"/>
      <c r="N70" s="215"/>
      <c r="O70" s="326"/>
      <c r="Q70" s="170"/>
    </row>
    <row r="71" spans="2:17" ht="12.75" customHeight="1">
      <c r="B71" s="325"/>
      <c r="C71" s="215"/>
      <c r="D71" s="215"/>
      <c r="E71" s="255"/>
      <c r="F71" s="214"/>
      <c r="I71" s="215"/>
      <c r="J71" s="86"/>
      <c r="K71" s="86"/>
      <c r="L71" s="255"/>
      <c r="M71" s="255"/>
      <c r="N71" s="215"/>
      <c r="O71" s="326"/>
      <c r="Q71" s="170"/>
    </row>
    <row r="72" spans="2:17" ht="12.75" customHeight="1">
      <c r="B72" s="325"/>
      <c r="C72" s="215"/>
      <c r="D72" s="215"/>
      <c r="E72" s="255"/>
      <c r="F72" s="215"/>
      <c r="I72" s="215"/>
      <c r="J72" s="332"/>
      <c r="K72" s="332"/>
      <c r="L72" s="255"/>
      <c r="M72" s="255"/>
      <c r="N72" s="215"/>
      <c r="O72" s="326"/>
      <c r="Q72" s="170"/>
    </row>
    <row r="73" spans="2:17" ht="12.75" customHeight="1" thickBot="1">
      <c r="B73" s="327"/>
      <c r="C73" s="323"/>
      <c r="D73" s="323"/>
      <c r="E73" s="259"/>
      <c r="F73" s="323"/>
      <c r="I73" s="323"/>
      <c r="J73" s="323"/>
      <c r="K73" s="259"/>
      <c r="L73" s="259"/>
      <c r="M73" s="259"/>
      <c r="N73" s="323"/>
      <c r="O73" s="328"/>
      <c r="Q73" s="170"/>
    </row>
    <row r="74" spans="2:17" ht="12.75" customHeight="1">
      <c r="E74" s="2"/>
      <c r="G74" s="321"/>
      <c r="H74" s="322"/>
      <c r="K74" s="2"/>
      <c r="L74" s="2"/>
      <c r="M74" s="2"/>
      <c r="Q74" s="170"/>
    </row>
    <row r="75" spans="2:17" ht="12.75" customHeight="1" thickBot="1">
      <c r="E75" s="2"/>
      <c r="K75" s="2"/>
      <c r="L75" s="2"/>
      <c r="M75" s="2"/>
    </row>
    <row r="76" spans="2:17" ht="12.75" customHeight="1">
      <c r="B76" s="330"/>
      <c r="C76" s="324"/>
      <c r="D76" s="324"/>
      <c r="E76" s="254"/>
      <c r="F76" s="324"/>
      <c r="G76" s="321"/>
      <c r="H76" s="322"/>
      <c r="I76" s="324"/>
      <c r="J76" s="324"/>
      <c r="K76" s="324"/>
      <c r="L76" s="254"/>
      <c r="M76" s="254"/>
      <c r="N76" s="324"/>
      <c r="O76" s="331"/>
    </row>
    <row r="77" spans="2:17" ht="12.75" customHeight="1">
      <c r="B77" s="325"/>
      <c r="C77" s="215"/>
      <c r="D77" s="215"/>
      <c r="E77" s="255"/>
      <c r="F77" s="689"/>
      <c r="G77" s="766"/>
      <c r="H77" s="215"/>
      <c r="I77" s="215"/>
      <c r="J77" s="257"/>
      <c r="K77" s="257"/>
      <c r="L77" s="255"/>
      <c r="M77" s="255"/>
      <c r="N77" s="215"/>
      <c r="O77" s="612" t="s">
        <v>1675</v>
      </c>
    </row>
    <row r="78" spans="2:17" ht="12.75" customHeight="1">
      <c r="B78" s="325"/>
      <c r="C78" s="215"/>
      <c r="D78" s="255"/>
      <c r="E78" s="255" t="s">
        <v>1672</v>
      </c>
      <c r="F78" s="689" t="s">
        <v>1670</v>
      </c>
      <c r="G78" s="767"/>
      <c r="H78" s="768"/>
      <c r="I78" s="769"/>
      <c r="J78" s="770"/>
      <c r="K78" s="770"/>
      <c r="L78" s="255"/>
      <c r="M78" s="375"/>
      <c r="N78" s="215"/>
      <c r="O78" s="326"/>
    </row>
    <row r="79" spans="2:17" ht="12.75" customHeight="1">
      <c r="B79" s="325"/>
      <c r="C79" s="215"/>
      <c r="D79" s="215"/>
      <c r="E79" s="333" t="s">
        <v>1673</v>
      </c>
      <c r="F79" s="689" t="s">
        <v>1671</v>
      </c>
      <c r="G79" s="767"/>
      <c r="H79" s="767"/>
      <c r="I79" s="771"/>
      <c r="J79" s="770"/>
      <c r="K79" s="770"/>
      <c r="L79" s="255"/>
      <c r="M79" s="255"/>
      <c r="N79" s="215"/>
      <c r="O79" s="326"/>
    </row>
    <row r="80" spans="2:17" ht="12.75" customHeight="1">
      <c r="B80" s="325"/>
      <c r="C80" s="255"/>
      <c r="D80" s="255"/>
      <c r="E80" s="255" t="s">
        <v>1672</v>
      </c>
      <c r="F80" s="689" t="s">
        <v>1674</v>
      </c>
      <c r="G80" s="767"/>
      <c r="H80" s="767"/>
      <c r="I80" s="772"/>
      <c r="J80" s="770"/>
      <c r="K80" s="773"/>
      <c r="L80" s="255"/>
      <c r="M80" s="255"/>
      <c r="N80" s="215"/>
      <c r="O80" s="326"/>
    </row>
    <row r="81" spans="2:15" ht="12.75" customHeight="1">
      <c r="B81" s="325"/>
      <c r="C81" s="215"/>
      <c r="D81" s="215"/>
      <c r="E81" s="255" t="s">
        <v>1673</v>
      </c>
      <c r="F81" s="689" t="s">
        <v>532</v>
      </c>
      <c r="G81" s="767"/>
      <c r="H81" s="768"/>
      <c r="I81" s="769"/>
      <c r="J81" s="770"/>
      <c r="K81" s="770"/>
      <c r="L81" s="255"/>
      <c r="M81" s="255"/>
      <c r="N81" s="215"/>
      <c r="O81" s="326"/>
    </row>
    <row r="82" spans="2:15" ht="12.75" customHeight="1">
      <c r="B82" s="325"/>
      <c r="C82" s="255"/>
      <c r="D82" s="215"/>
      <c r="E82" s="769" t="s">
        <v>1672</v>
      </c>
      <c r="F82" s="689" t="s">
        <v>489</v>
      </c>
      <c r="G82" s="767"/>
      <c r="H82" s="767"/>
      <c r="I82" s="769"/>
      <c r="J82" s="770"/>
      <c r="K82" s="770"/>
      <c r="L82" s="255"/>
      <c r="M82" s="255"/>
      <c r="N82" s="215"/>
      <c r="O82" s="326"/>
    </row>
    <row r="83" spans="2:15" ht="12.75" customHeight="1">
      <c r="B83" s="325"/>
      <c r="C83" s="215"/>
      <c r="D83" s="215"/>
      <c r="E83" s="255"/>
      <c r="F83" s="214"/>
      <c r="G83" s="766"/>
      <c r="H83" s="215"/>
      <c r="I83" s="215"/>
      <c r="J83" s="257"/>
      <c r="K83" s="257"/>
      <c r="L83" s="255"/>
      <c r="M83" s="255"/>
      <c r="N83" s="215"/>
      <c r="O83" s="326"/>
    </row>
    <row r="84" spans="2:15" ht="12.75" customHeight="1">
      <c r="B84" s="325"/>
      <c r="C84" s="215"/>
      <c r="D84" s="215"/>
      <c r="E84" s="255"/>
      <c r="F84" s="215"/>
      <c r="G84" s="287"/>
      <c r="H84" s="86"/>
      <c r="I84" s="215"/>
      <c r="J84" s="287"/>
      <c r="K84" s="86"/>
      <c r="L84" s="255"/>
      <c r="M84" s="255"/>
      <c r="N84" s="215"/>
      <c r="O84" s="326"/>
    </row>
    <row r="85" spans="2:15" ht="12.75" customHeight="1" thickBot="1">
      <c r="B85" s="327"/>
      <c r="C85" s="323"/>
      <c r="D85" s="323"/>
      <c r="E85" s="259"/>
      <c r="F85" s="323"/>
      <c r="G85" s="323"/>
      <c r="H85" s="323"/>
      <c r="I85" s="323"/>
      <c r="J85" s="323"/>
      <c r="K85" s="259"/>
      <c r="L85" s="259"/>
      <c r="M85" s="259"/>
      <c r="N85" s="323"/>
      <c r="O85" s="328"/>
    </row>
    <row r="86" spans="2:15" ht="12.75" customHeight="1" thickBot="1">
      <c r="E86" s="2"/>
      <c r="K86" s="2"/>
      <c r="L86" s="2"/>
      <c r="M86" s="2"/>
    </row>
    <row r="87" spans="2:15" ht="12.75" customHeight="1">
      <c r="B87" s="676"/>
      <c r="C87" s="254"/>
      <c r="D87" s="254"/>
      <c r="E87" s="697"/>
      <c r="F87" s="697"/>
      <c r="G87" s="321"/>
      <c r="H87" s="322"/>
      <c r="I87" s="254"/>
      <c r="J87" s="679"/>
      <c r="K87" s="679"/>
      <c r="L87" s="254"/>
      <c r="M87" s="254"/>
      <c r="N87" s="254"/>
      <c r="O87" s="527" t="s">
        <v>1678</v>
      </c>
    </row>
    <row r="88" spans="2:15" ht="12.75" customHeight="1">
      <c r="B88" s="681"/>
      <c r="C88" s="255"/>
      <c r="D88" s="255"/>
      <c r="E88" s="255" t="s">
        <v>1718</v>
      </c>
      <c r="F88" s="43" t="s">
        <v>1676</v>
      </c>
      <c r="G88" s="671"/>
      <c r="H88" s="671"/>
      <c r="I88" s="255"/>
      <c r="J88" s="257"/>
      <c r="K88" s="257"/>
      <c r="L88" s="255"/>
      <c r="M88" s="255"/>
      <c r="N88" s="255"/>
      <c r="O88" s="258"/>
    </row>
    <row r="89" spans="2:15" ht="12.75" customHeight="1" thickBot="1">
      <c r="B89" s="684"/>
      <c r="C89" s="259"/>
      <c r="D89" s="259"/>
      <c r="E89" s="259"/>
      <c r="F89" s="685" t="s">
        <v>1677</v>
      </c>
      <c r="G89" s="672"/>
      <c r="H89" s="672"/>
      <c r="I89" s="259"/>
      <c r="J89" s="686"/>
      <c r="K89" s="686"/>
      <c r="L89" s="259"/>
      <c r="M89" s="259"/>
      <c r="N89" s="259"/>
      <c r="O89" s="687"/>
    </row>
    <row r="90" spans="2:15" ht="12.75" customHeight="1">
      <c r="E90" s="2"/>
      <c r="K90" s="2"/>
      <c r="L90" s="2"/>
      <c r="M90" s="2"/>
    </row>
    <row r="91" spans="2:15" ht="12.75" customHeight="1" thickBot="1">
      <c r="E91" s="2"/>
      <c r="K91" s="2"/>
      <c r="L91" s="2"/>
      <c r="M91" s="2"/>
    </row>
    <row r="92" spans="2:15" ht="12.75" customHeight="1">
      <c r="B92" s="676"/>
      <c r="C92" s="254"/>
      <c r="D92" s="254"/>
      <c r="E92" s="697"/>
      <c r="F92" s="697"/>
      <c r="G92" s="321"/>
      <c r="H92" s="322"/>
      <c r="I92" s="254"/>
      <c r="J92" s="679"/>
      <c r="K92" s="679"/>
      <c r="L92" s="254"/>
      <c r="M92" s="254"/>
      <c r="N92" s="254"/>
      <c r="O92" s="527" t="s">
        <v>1719</v>
      </c>
    </row>
    <row r="93" spans="2:15" ht="12.75" customHeight="1">
      <c r="B93" s="681"/>
      <c r="C93" s="255"/>
      <c r="D93" s="255"/>
      <c r="E93" s="255"/>
      <c r="F93" s="43" t="s">
        <v>1702</v>
      </c>
      <c r="G93" s="671"/>
      <c r="H93" s="671"/>
      <c r="I93" s="255"/>
      <c r="J93" s="257"/>
      <c r="K93" s="257"/>
      <c r="L93" s="255"/>
      <c r="M93" s="255"/>
      <c r="N93" s="255"/>
      <c r="O93" s="258"/>
    </row>
    <row r="94" spans="2:15" ht="12.75" customHeight="1" thickBot="1">
      <c r="B94" s="684"/>
      <c r="C94" s="259"/>
      <c r="D94" s="259"/>
      <c r="E94" s="259"/>
      <c r="F94" s="685" t="s">
        <v>1703</v>
      </c>
      <c r="G94" s="672"/>
      <c r="H94" s="672"/>
      <c r="I94" s="259"/>
      <c r="J94" s="686"/>
      <c r="K94" s="686"/>
      <c r="L94" s="259"/>
      <c r="M94" s="259"/>
      <c r="N94" s="259"/>
      <c r="O94" s="687"/>
    </row>
    <row r="95" spans="2:15" ht="12.75" customHeight="1" thickBot="1">
      <c r="E95" s="2"/>
      <c r="K95" s="2"/>
      <c r="L95" s="2"/>
      <c r="M95" s="2"/>
    </row>
    <row r="96" spans="2:15" ht="12.75" customHeight="1">
      <c r="B96" s="676"/>
      <c r="C96" s="254"/>
      <c r="D96" s="254"/>
      <c r="E96" s="697"/>
      <c r="F96" s="697"/>
      <c r="G96" s="321"/>
      <c r="H96" s="322"/>
      <c r="I96" s="254"/>
      <c r="J96" s="679"/>
      <c r="K96" s="679"/>
      <c r="L96" s="254"/>
      <c r="M96" s="254"/>
      <c r="N96" s="254"/>
      <c r="O96" s="527" t="s">
        <v>1706</v>
      </c>
    </row>
    <row r="97" spans="2:15" ht="12.75" customHeight="1">
      <c r="B97" s="681"/>
      <c r="C97" s="255"/>
      <c r="D97" s="255"/>
      <c r="E97" s="255" t="s">
        <v>1720</v>
      </c>
      <c r="F97" s="43" t="s">
        <v>1707</v>
      </c>
      <c r="G97" s="671"/>
      <c r="H97" s="671"/>
      <c r="I97" s="255"/>
      <c r="J97" s="257"/>
      <c r="K97" s="257"/>
      <c r="L97" s="255"/>
      <c r="M97" s="255"/>
      <c r="N97" s="255"/>
      <c r="O97" s="258" t="s">
        <v>326</v>
      </c>
    </row>
    <row r="98" spans="2:15" ht="12.75" customHeight="1" thickBot="1">
      <c r="B98" s="684"/>
      <c r="C98" s="259"/>
      <c r="D98" s="259"/>
      <c r="E98" s="259" t="s">
        <v>1724</v>
      </c>
      <c r="F98" s="685" t="s">
        <v>1708</v>
      </c>
      <c r="G98" s="672"/>
      <c r="H98" s="672"/>
      <c r="I98" s="259"/>
      <c r="J98" s="686"/>
      <c r="K98" s="686"/>
      <c r="L98" s="259"/>
      <c r="M98" s="259"/>
      <c r="N98" s="259"/>
      <c r="O98" s="687"/>
    </row>
    <row r="99" spans="2:15" ht="12.75" customHeight="1" thickBot="1"/>
    <row r="100" spans="2:15" ht="12.75" customHeight="1">
      <c r="B100" s="330"/>
      <c r="C100" s="254"/>
      <c r="D100" s="254"/>
      <c r="E100" s="697"/>
      <c r="F100" s="697"/>
      <c r="G100" s="321"/>
      <c r="H100" s="322"/>
      <c r="I100" s="254"/>
      <c r="J100" s="679"/>
      <c r="K100" s="679"/>
      <c r="L100" s="254"/>
      <c r="M100" s="254"/>
      <c r="N100" s="254"/>
      <c r="O100" s="527" t="s">
        <v>1709</v>
      </c>
    </row>
    <row r="101" spans="2:15" ht="12.75" customHeight="1">
      <c r="B101" s="325"/>
      <c r="C101" s="255"/>
      <c r="D101" s="255"/>
      <c r="E101" s="255" t="s">
        <v>1723</v>
      </c>
      <c r="F101" s="689" t="s">
        <v>1710</v>
      </c>
      <c r="G101" s="671"/>
      <c r="H101" s="671"/>
      <c r="I101" s="255"/>
      <c r="J101" s="257"/>
      <c r="K101" s="257"/>
      <c r="L101" s="255"/>
      <c r="M101" s="255"/>
      <c r="N101" s="255"/>
      <c r="O101" s="258" t="s">
        <v>326</v>
      </c>
    </row>
    <row r="102" spans="2:15" ht="12.75" customHeight="1" thickBot="1">
      <c r="B102" s="327"/>
      <c r="C102" s="259"/>
      <c r="D102" s="259"/>
      <c r="E102" s="259" t="s">
        <v>1722</v>
      </c>
      <c r="F102" s="685" t="s">
        <v>1721</v>
      </c>
      <c r="G102" s="672"/>
      <c r="H102" s="672"/>
      <c r="I102" s="259"/>
      <c r="J102" s="686"/>
      <c r="K102" s="686"/>
      <c r="L102" s="259"/>
      <c r="M102" s="259"/>
      <c r="N102" s="259"/>
      <c r="O102" s="687"/>
    </row>
    <row r="103" spans="2:15" ht="12.75" customHeight="1" thickBot="1">
      <c r="E103" s="2"/>
      <c r="K103" s="2"/>
      <c r="L103" s="755"/>
      <c r="M103" s="2"/>
    </row>
    <row r="104" spans="2:15" ht="12.75" customHeight="1">
      <c r="B104" s="330"/>
      <c r="C104" s="254"/>
      <c r="D104" s="254"/>
      <c r="E104" s="697"/>
      <c r="F104" s="697"/>
      <c r="G104" s="321"/>
      <c r="H104" s="322"/>
      <c r="I104" s="254"/>
      <c r="J104" s="679"/>
      <c r="K104" s="679"/>
      <c r="L104" s="254"/>
      <c r="M104" s="254"/>
      <c r="N104" s="254"/>
      <c r="O104" s="680" t="s">
        <v>1740</v>
      </c>
    </row>
    <row r="105" spans="2:15" ht="12.75">
      <c r="B105" s="325"/>
      <c r="C105" s="255"/>
      <c r="D105" s="255"/>
      <c r="E105" s="255"/>
      <c r="F105" s="689" t="s">
        <v>1742</v>
      </c>
      <c r="G105" s="764">
        <f>J105/N2</f>
        <v>0</v>
      </c>
      <c r="H105" s="764">
        <f>K105/N2</f>
        <v>70562.172679790558</v>
      </c>
      <c r="I105" s="255"/>
      <c r="J105" s="257"/>
      <c r="K105" s="257">
        <v>248308.285660183</v>
      </c>
      <c r="L105" s="255"/>
      <c r="M105" s="255"/>
      <c r="N105" s="255"/>
      <c r="O105" s="258" t="s">
        <v>326</v>
      </c>
    </row>
    <row r="106" spans="2:15" ht="15.75" thickBot="1">
      <c r="B106" s="327"/>
      <c r="C106" s="259"/>
      <c r="D106" s="259"/>
      <c r="E106" s="259"/>
      <c r="F106" s="685" t="s">
        <v>1743</v>
      </c>
      <c r="G106" s="765">
        <f>H105</f>
        <v>70562.172679790558</v>
      </c>
      <c r="H106" s="765">
        <f>G105</f>
        <v>0</v>
      </c>
      <c r="I106" s="259"/>
      <c r="J106" s="686">
        <f>K105</f>
        <v>248308.285660183</v>
      </c>
      <c r="K106" s="686">
        <f>J105</f>
        <v>0</v>
      </c>
      <c r="L106" s="259"/>
      <c r="M106" s="259"/>
      <c r="N106" s="259"/>
      <c r="O106" s="687"/>
    </row>
    <row r="107" spans="2:15" ht="12" customHeight="1" thickBot="1">
      <c r="E107" s="2"/>
      <c r="K107" s="2"/>
      <c r="L107" s="2"/>
      <c r="M107" s="2"/>
    </row>
    <row r="108" spans="2:15" ht="12.75" customHeight="1">
      <c r="B108" s="330"/>
      <c r="C108" s="254"/>
      <c r="D108" s="254"/>
      <c r="E108" s="697"/>
      <c r="F108" s="697"/>
      <c r="G108" s="321"/>
      <c r="H108" s="322"/>
      <c r="I108" s="254"/>
      <c r="J108" s="679"/>
      <c r="K108" s="679"/>
      <c r="L108" s="254"/>
      <c r="M108" s="254"/>
      <c r="N108" s="254"/>
      <c r="O108" s="680" t="s">
        <v>1741</v>
      </c>
    </row>
    <row r="109" spans="2:15" ht="12.75">
      <c r="B109" s="325"/>
      <c r="C109" s="255"/>
      <c r="D109" s="255"/>
      <c r="E109" s="255"/>
      <c r="F109" s="689" t="s">
        <v>1744</v>
      </c>
      <c r="G109" s="671">
        <f>J109/$N$2</f>
        <v>23850.625563333244</v>
      </c>
      <c r="H109" s="671"/>
      <c r="I109" s="255"/>
      <c r="J109" s="257">
        <v>83930.351357369684</v>
      </c>
      <c r="K109" s="257"/>
      <c r="L109" s="255"/>
      <c r="M109" s="255"/>
      <c r="N109" s="255"/>
      <c r="O109" s="258" t="s">
        <v>326</v>
      </c>
    </row>
    <row r="110" spans="2:15" ht="13.5" thickBot="1">
      <c r="B110" s="327"/>
      <c r="C110" s="259"/>
      <c r="D110" s="259"/>
      <c r="E110" s="259"/>
      <c r="F110" s="709" t="s">
        <v>1745</v>
      </c>
      <c r="G110" s="672"/>
      <c r="H110" s="672">
        <f>G109</f>
        <v>23850.625563333244</v>
      </c>
      <c r="I110" s="259"/>
      <c r="J110" s="686"/>
      <c r="K110" s="686">
        <f>J109</f>
        <v>83930.351357369684</v>
      </c>
      <c r="L110" s="259"/>
      <c r="M110" s="259"/>
      <c r="N110" s="259"/>
      <c r="O110" s="687"/>
    </row>
    <row r="111" spans="2:15" ht="12.75" customHeight="1">
      <c r="E111" s="2"/>
      <c r="K111" s="2"/>
      <c r="L111" s="2"/>
      <c r="M111" s="2"/>
    </row>
    <row r="112" spans="2:15" ht="12.75" customHeight="1">
      <c r="E112" s="2"/>
      <c r="H112" s="86">
        <f>-H105+G109</f>
        <v>-46711.54711645731</v>
      </c>
      <c r="K112" s="86">
        <f>-K105+J109</f>
        <v>-164377.93430281332</v>
      </c>
      <c r="L112" s="2"/>
      <c r="M112" s="2"/>
    </row>
    <row r="113" spans="5:20" ht="12.75" customHeight="1">
      <c r="E113" s="2"/>
      <c r="K113" s="2"/>
      <c r="L113" s="2"/>
      <c r="M113" s="2"/>
    </row>
    <row r="114" spans="5:20" ht="12.75" customHeight="1">
      <c r="E114" s="2"/>
      <c r="G114" s="257"/>
      <c r="H114" s="257"/>
      <c r="K114" s="2"/>
      <c r="L114" s="2"/>
      <c r="M114" s="2"/>
    </row>
    <row r="115" spans="5:20" ht="12.75" customHeight="1" thickBot="1">
      <c r="E115" s="2"/>
      <c r="G115" s="686"/>
      <c r="H115" s="686"/>
      <c r="K115" s="2"/>
      <c r="L115" s="2"/>
      <c r="M115" s="2"/>
    </row>
    <row r="116" spans="5:20" ht="12.75" customHeight="1">
      <c r="E116" s="2"/>
      <c r="K116" s="2"/>
      <c r="L116" s="2"/>
      <c r="M116" s="2"/>
    </row>
    <row r="117" spans="5:20" ht="12.75" customHeight="1">
      <c r="E117" s="2"/>
      <c r="K117" s="2"/>
      <c r="L117" s="2"/>
      <c r="M117" s="2"/>
    </row>
    <row r="118" spans="5:20" ht="12.75" customHeight="1">
      <c r="E118" s="2"/>
      <c r="K118" s="2"/>
      <c r="L118" s="2"/>
      <c r="M118" s="2"/>
      <c r="T118" s="371">
        <f>'AJE 2022'!K105-'AJE 2022'!K110</f>
        <v>164377.93430281332</v>
      </c>
    </row>
    <row r="119" spans="5:20" ht="12.75" customHeight="1">
      <c r="E119" s="2"/>
      <c r="K119" s="2"/>
      <c r="L119" s="2"/>
      <c r="M119" s="2"/>
    </row>
    <row r="120" spans="5:20" ht="12.75" customHeight="1">
      <c r="E120" s="2"/>
      <c r="K120" s="2"/>
      <c r="L120" s="2"/>
      <c r="M120" s="2"/>
    </row>
    <row r="121" spans="5:20" ht="12.75" customHeight="1">
      <c r="E121" s="2"/>
      <c r="K121" s="2"/>
      <c r="L121" s="2"/>
      <c r="M121" s="2"/>
    </row>
    <row r="122" spans="5:20" ht="12.75" customHeight="1">
      <c r="E122" s="2"/>
      <c r="K122" s="2"/>
      <c r="L122" s="2"/>
      <c r="M122" s="2"/>
    </row>
    <row r="123" spans="5:20" ht="12.75" customHeight="1">
      <c r="E123" s="2"/>
      <c r="K123" s="2"/>
      <c r="L123" s="2"/>
      <c r="M123" s="2"/>
    </row>
    <row r="124" spans="5:20" ht="12.75" customHeight="1">
      <c r="E124" s="2"/>
      <c r="K124" s="2"/>
      <c r="L124" s="2"/>
      <c r="M124" s="2"/>
    </row>
    <row r="125" spans="5:20" ht="12.75" customHeight="1">
      <c r="E125" s="2"/>
      <c r="K125" s="2"/>
      <c r="L125" s="2"/>
      <c r="M125" s="2"/>
    </row>
    <row r="126" spans="5:20" ht="12.75" customHeight="1">
      <c r="E126" s="2"/>
      <c r="K126" s="2"/>
      <c r="L126" s="2"/>
      <c r="M126" s="2"/>
    </row>
    <row r="127" spans="5:20" ht="12.75" customHeight="1">
      <c r="E127" s="2"/>
      <c r="K127" s="2"/>
      <c r="L127" s="2"/>
      <c r="M127" s="2"/>
    </row>
    <row r="128" spans="5:20" ht="12.75" customHeight="1">
      <c r="E128" s="2"/>
      <c r="K128" s="2"/>
      <c r="L128" s="2"/>
      <c r="M128" s="2"/>
    </row>
    <row r="129" spans="5:13" ht="12.75" customHeight="1">
      <c r="E129" s="2"/>
      <c r="K129" s="2"/>
      <c r="L129" s="2"/>
      <c r="M129" s="2"/>
    </row>
    <row r="130" spans="5:13" ht="12.75" customHeight="1">
      <c r="E130" s="2"/>
      <c r="K130" s="2"/>
      <c r="L130" s="2"/>
      <c r="M130" s="2"/>
    </row>
    <row r="131" spans="5:13" ht="12.75" customHeight="1">
      <c r="E131" s="2"/>
      <c r="K131" s="2"/>
      <c r="L131" s="2"/>
      <c r="M131" s="2"/>
    </row>
    <row r="132" spans="5:13" ht="12.75" customHeight="1">
      <c r="E132" s="2"/>
      <c r="K132" s="2"/>
      <c r="L132" s="2"/>
      <c r="M132" s="2"/>
    </row>
    <row r="133" spans="5:13" ht="12.75" customHeight="1">
      <c r="E133" s="2"/>
      <c r="K133" s="2"/>
      <c r="L133" s="2"/>
      <c r="M133" s="2"/>
    </row>
    <row r="134" spans="5:13" ht="12.75" customHeight="1">
      <c r="E134" s="2"/>
      <c r="K134" s="2"/>
      <c r="L134" s="2"/>
      <c r="M134" s="2"/>
    </row>
    <row r="135" spans="5:13" ht="12.75" customHeight="1">
      <c r="E135" s="2"/>
      <c r="K135" s="2"/>
      <c r="L135" s="2"/>
      <c r="M135" s="2"/>
    </row>
    <row r="136" spans="5:13" ht="12.75" customHeight="1">
      <c r="E136" s="2"/>
      <c r="K136" s="2"/>
      <c r="L136" s="2"/>
      <c r="M136" s="2"/>
    </row>
    <row r="137" spans="5:13" ht="12.75" customHeight="1">
      <c r="E137" s="2"/>
      <c r="K137" s="2"/>
      <c r="L137" s="2"/>
      <c r="M137" s="2"/>
    </row>
    <row r="138" spans="5:13" ht="12.75" customHeight="1">
      <c r="E138" s="2"/>
      <c r="K138" s="2"/>
      <c r="L138" s="2"/>
      <c r="M138" s="2"/>
    </row>
    <row r="139" spans="5:13" ht="12.75" customHeight="1">
      <c r="E139" s="2"/>
      <c r="K139" s="2"/>
      <c r="L139" s="2"/>
      <c r="M139" s="2"/>
    </row>
    <row r="140" spans="5:13" ht="12.75" customHeight="1">
      <c r="E140" s="2"/>
      <c r="K140" s="2"/>
      <c r="L140" s="2"/>
      <c r="M140" s="2"/>
    </row>
    <row r="141" spans="5:13" ht="12.75" customHeight="1">
      <c r="E141" s="2"/>
      <c r="K141" s="2"/>
      <c r="L141" s="2"/>
      <c r="M141" s="2"/>
    </row>
    <row r="142" spans="5:13" ht="12.75" customHeight="1">
      <c r="E142" s="2"/>
      <c r="K142" s="2"/>
      <c r="L142" s="2"/>
      <c r="M142" s="2"/>
    </row>
    <row r="143" spans="5:13" ht="12.75" customHeight="1">
      <c r="E143" s="2"/>
      <c r="K143" s="2"/>
      <c r="L143" s="2"/>
      <c r="M143" s="2"/>
    </row>
    <row r="144" spans="5:13" ht="12.75" customHeight="1">
      <c r="E144" s="2"/>
      <c r="K144" s="2"/>
      <c r="L144" s="2"/>
      <c r="M144" s="2"/>
    </row>
    <row r="145" spans="5:13" ht="12.75" customHeight="1">
      <c r="E145" s="2"/>
      <c r="K145" s="2"/>
      <c r="L145" s="2"/>
      <c r="M145" s="2"/>
    </row>
    <row r="146" spans="5:13" ht="12.75" customHeight="1">
      <c r="E146" s="2"/>
      <c r="K146" s="2"/>
      <c r="L146" s="2"/>
      <c r="M146" s="2"/>
    </row>
    <row r="147" spans="5:13" ht="12.75" customHeight="1">
      <c r="E147" s="2"/>
      <c r="K147" s="2"/>
      <c r="L147" s="2"/>
      <c r="M147" s="2"/>
    </row>
    <row r="148" spans="5:13" ht="12.75" customHeight="1">
      <c r="E148" s="2"/>
      <c r="K148" s="2"/>
      <c r="L148" s="2"/>
      <c r="M148" s="2"/>
    </row>
    <row r="149" spans="5:13" ht="12.75" customHeight="1">
      <c r="E149" s="2"/>
      <c r="K149" s="2"/>
      <c r="L149" s="2"/>
      <c r="M149" s="2"/>
    </row>
    <row r="150" spans="5:13" ht="12.75" customHeight="1">
      <c r="E150" s="2"/>
      <c r="K150" s="2"/>
      <c r="L150" s="2"/>
      <c r="M150" s="2"/>
    </row>
    <row r="151" spans="5:13" ht="12.75" customHeight="1">
      <c r="E151" s="2"/>
      <c r="K151" s="2"/>
      <c r="L151" s="2"/>
      <c r="M151" s="2"/>
    </row>
    <row r="152" spans="5:13" ht="12.75" customHeight="1">
      <c r="E152" s="2"/>
      <c r="K152" s="2"/>
      <c r="L152" s="2"/>
      <c r="M152" s="2"/>
    </row>
    <row r="153" spans="5:13" ht="12.75" customHeight="1">
      <c r="E153" s="2"/>
      <c r="K153" s="2"/>
      <c r="L153" s="2"/>
      <c r="M153" s="2"/>
    </row>
    <row r="154" spans="5:13" ht="12.75" customHeight="1">
      <c r="E154" s="2"/>
      <c r="K154" s="2"/>
      <c r="L154" s="2"/>
      <c r="M154" s="2"/>
    </row>
    <row r="155" spans="5:13" ht="12.75" customHeight="1">
      <c r="E155" s="2"/>
      <c r="K155" s="2"/>
      <c r="L155" s="2"/>
      <c r="M155" s="2"/>
    </row>
    <row r="156" spans="5:13" ht="12.75" customHeight="1">
      <c r="E156" s="2"/>
      <c r="K156" s="2"/>
      <c r="L156" s="2"/>
      <c r="M156" s="2"/>
    </row>
    <row r="157" spans="5:13" ht="12.75" customHeight="1">
      <c r="E157" s="2"/>
      <c r="K157" s="2"/>
      <c r="L157" s="2"/>
      <c r="M157" s="2"/>
    </row>
    <row r="158" spans="5:13" ht="12.75" customHeight="1">
      <c r="E158" s="2"/>
      <c r="K158" s="2"/>
      <c r="L158" s="2"/>
      <c r="M158" s="2"/>
    </row>
    <row r="159" spans="5:13" ht="12.75" customHeight="1">
      <c r="E159" s="2"/>
      <c r="K159" s="2"/>
      <c r="L159" s="2"/>
      <c r="M159" s="2"/>
    </row>
    <row r="160" spans="5:13" ht="12.75" customHeight="1">
      <c r="E160" s="2"/>
      <c r="K160" s="2"/>
      <c r="L160" s="2"/>
      <c r="M160" s="2"/>
    </row>
    <row r="161" spans="5:13" ht="12.75" customHeight="1">
      <c r="E161" s="2"/>
      <c r="K161" s="2"/>
      <c r="L161" s="2"/>
      <c r="M161" s="2"/>
    </row>
    <row r="162" spans="5:13" ht="12.75" customHeight="1">
      <c r="E162" s="2"/>
      <c r="K162" s="2"/>
      <c r="L162" s="2"/>
      <c r="M162" s="2"/>
    </row>
    <row r="163" spans="5:13" ht="12.75" customHeight="1">
      <c r="E163" s="2"/>
      <c r="K163" s="2"/>
      <c r="L163" s="2"/>
      <c r="M163" s="2"/>
    </row>
    <row r="164" spans="5:13" ht="12.75" customHeight="1">
      <c r="E164" s="2"/>
      <c r="K164" s="2"/>
      <c r="L164" s="2"/>
      <c r="M164" s="2"/>
    </row>
    <row r="165" spans="5:13" ht="12.75" customHeight="1">
      <c r="E165" s="2"/>
      <c r="K165" s="2"/>
      <c r="L165" s="2"/>
      <c r="M165" s="2"/>
    </row>
    <row r="166" spans="5:13" ht="12.75" customHeight="1">
      <c r="E166" s="2"/>
      <c r="K166" s="2"/>
      <c r="L166" s="2"/>
      <c r="M166" s="2"/>
    </row>
    <row r="167" spans="5:13" ht="12.75" customHeight="1">
      <c r="E167" s="2"/>
      <c r="K167" s="2"/>
      <c r="L167" s="2"/>
      <c r="M167" s="2"/>
    </row>
    <row r="168" spans="5:13" ht="12.75" customHeight="1">
      <c r="E168" s="2"/>
      <c r="K168" s="2"/>
      <c r="L168" s="2"/>
      <c r="M168" s="2"/>
    </row>
    <row r="169" spans="5:13" ht="12.75" customHeight="1">
      <c r="E169" s="2"/>
      <c r="K169" s="2"/>
      <c r="L169" s="2"/>
      <c r="M169" s="2"/>
    </row>
    <row r="170" spans="5:13" ht="12.75" customHeight="1">
      <c r="E170" s="2"/>
      <c r="K170" s="2"/>
      <c r="L170" s="2"/>
      <c r="M170" s="2"/>
    </row>
    <row r="171" spans="5:13" ht="12.75" customHeight="1">
      <c r="E171" s="2"/>
      <c r="K171" s="2"/>
      <c r="L171" s="2"/>
      <c r="M171" s="2"/>
    </row>
    <row r="172" spans="5:13" ht="12.75" customHeight="1">
      <c r="E172" s="2"/>
      <c r="K172" s="2"/>
      <c r="L172" s="2"/>
      <c r="M172" s="2"/>
    </row>
    <row r="173" spans="5:13" ht="12.75" customHeight="1">
      <c r="E173" s="2"/>
      <c r="K173" s="2"/>
      <c r="L173" s="2"/>
      <c r="M173" s="2"/>
    </row>
    <row r="174" spans="5:13" ht="12.75" customHeight="1">
      <c r="E174" s="2"/>
      <c r="K174" s="2"/>
      <c r="L174" s="2"/>
      <c r="M174" s="2"/>
    </row>
    <row r="175" spans="5:13" ht="12.75" customHeight="1">
      <c r="E175" s="2"/>
      <c r="K175" s="2"/>
      <c r="L175" s="2"/>
      <c r="M175" s="2"/>
    </row>
    <row r="176" spans="5:13" ht="12.75" customHeight="1">
      <c r="E176" s="2"/>
      <c r="K176" s="2"/>
      <c r="L176" s="2"/>
      <c r="M176" s="2"/>
    </row>
    <row r="177" spans="5:13" ht="12.75" customHeight="1">
      <c r="E177" s="2"/>
      <c r="K177" s="2"/>
      <c r="L177" s="2"/>
      <c r="M177" s="2"/>
    </row>
    <row r="178" spans="5:13" ht="12.75" customHeight="1">
      <c r="E178" s="2"/>
      <c r="K178" s="2"/>
      <c r="L178" s="2"/>
      <c r="M178" s="2"/>
    </row>
    <row r="179" spans="5:13" ht="12.75" customHeight="1">
      <c r="E179" s="2"/>
      <c r="K179" s="2"/>
      <c r="L179" s="2"/>
      <c r="M179" s="2"/>
    </row>
    <row r="180" spans="5:13" ht="12.75" customHeight="1">
      <c r="E180" s="2"/>
      <c r="K180" s="2"/>
      <c r="L180" s="2"/>
      <c r="M180" s="2"/>
    </row>
    <row r="181" spans="5:13" ht="12.75" customHeight="1">
      <c r="E181" s="2"/>
      <c r="K181" s="2"/>
      <c r="L181" s="2"/>
      <c r="M181" s="2"/>
    </row>
    <row r="182" spans="5:13" ht="12.75" customHeight="1">
      <c r="E182" s="2"/>
      <c r="K182" s="2"/>
      <c r="L182" s="2"/>
      <c r="M182" s="2"/>
    </row>
    <row r="183" spans="5:13" ht="12.75" customHeight="1">
      <c r="E183" s="2"/>
      <c r="K183" s="2"/>
      <c r="L183" s="2"/>
      <c r="M183" s="2"/>
    </row>
    <row r="184" spans="5:13" ht="12.75" customHeight="1">
      <c r="E184" s="2"/>
      <c r="K184" s="2"/>
      <c r="L184" s="2"/>
      <c r="M184" s="2"/>
    </row>
    <row r="185" spans="5:13" ht="12.75" customHeight="1">
      <c r="E185" s="2"/>
      <c r="K185" s="2"/>
      <c r="L185" s="2"/>
      <c r="M185" s="2"/>
    </row>
    <row r="186" spans="5:13" ht="12.75" customHeight="1">
      <c r="E186" s="2"/>
      <c r="K186" s="2"/>
      <c r="L186" s="2"/>
      <c r="M186" s="2"/>
    </row>
    <row r="187" spans="5:13" ht="12.75" customHeight="1">
      <c r="E187" s="2"/>
      <c r="K187" s="2"/>
      <c r="L187" s="2"/>
      <c r="M187" s="2"/>
    </row>
    <row r="188" spans="5:13" ht="12.75" customHeight="1">
      <c r="E188" s="2"/>
      <c r="K188" s="2"/>
      <c r="L188" s="2"/>
      <c r="M188" s="2"/>
    </row>
    <row r="189" spans="5:13" ht="12.75" customHeight="1">
      <c r="E189" s="2"/>
      <c r="K189" s="2"/>
      <c r="L189" s="2"/>
      <c r="M189" s="2"/>
    </row>
    <row r="190" spans="5:13" ht="12.75" customHeight="1">
      <c r="E190" s="2"/>
      <c r="K190" s="2"/>
      <c r="L190" s="2"/>
      <c r="M190" s="2"/>
    </row>
    <row r="191" spans="5:13" ht="12.75" customHeight="1">
      <c r="E191" s="2"/>
      <c r="K191" s="2"/>
      <c r="L191" s="2"/>
      <c r="M191" s="2"/>
    </row>
    <row r="192" spans="5:13" ht="12.75" customHeight="1">
      <c r="E192" s="2"/>
      <c r="K192" s="2"/>
      <c r="L192" s="2"/>
      <c r="M192" s="2"/>
    </row>
    <row r="193" spans="5:13" ht="12.75" customHeight="1">
      <c r="E193" s="2"/>
      <c r="K193" s="2"/>
      <c r="L193" s="2"/>
      <c r="M193" s="2"/>
    </row>
    <row r="194" spans="5:13" ht="12.75" customHeight="1">
      <c r="E194" s="2"/>
      <c r="K194" s="2"/>
      <c r="L194" s="2"/>
      <c r="M194" s="2"/>
    </row>
    <row r="195" spans="5:13" ht="12.75" customHeight="1">
      <c r="E195" s="2"/>
      <c r="K195" s="2"/>
      <c r="L195" s="2"/>
      <c r="M195" s="2"/>
    </row>
    <row r="196" spans="5:13" ht="12.75" customHeight="1">
      <c r="E196" s="2"/>
      <c r="K196" s="2"/>
      <c r="L196" s="2"/>
      <c r="M196" s="2"/>
    </row>
    <row r="197" spans="5:13" ht="12.75" customHeight="1">
      <c r="E197" s="2"/>
      <c r="K197" s="2"/>
      <c r="L197" s="2"/>
      <c r="M197" s="2"/>
    </row>
    <row r="198" spans="5:13" ht="12.75" customHeight="1">
      <c r="E198" s="2"/>
      <c r="K198" s="2"/>
      <c r="L198" s="2"/>
      <c r="M198" s="2"/>
    </row>
    <row r="199" spans="5:13" ht="12.75" customHeight="1">
      <c r="E199" s="2"/>
      <c r="K199" s="2"/>
      <c r="L199" s="2"/>
      <c r="M199" s="2"/>
    </row>
    <row r="200" spans="5:13" ht="12.75" customHeight="1">
      <c r="E200" s="2"/>
      <c r="K200" s="2"/>
      <c r="L200" s="2"/>
      <c r="M200" s="2"/>
    </row>
    <row r="201" spans="5:13" ht="12.75" customHeight="1">
      <c r="E201" s="2"/>
      <c r="K201" s="2"/>
      <c r="L201" s="2"/>
      <c r="M201" s="2"/>
    </row>
    <row r="202" spans="5:13" ht="12.75" customHeight="1">
      <c r="E202" s="2"/>
      <c r="K202" s="2"/>
      <c r="L202" s="2"/>
      <c r="M202" s="2"/>
    </row>
    <row r="203" spans="5:13" ht="12.75" customHeight="1">
      <c r="E203" s="2"/>
      <c r="K203" s="2"/>
      <c r="L203" s="2"/>
      <c r="M203" s="2"/>
    </row>
    <row r="204" spans="5:13" ht="12.75" customHeight="1">
      <c r="E204" s="2"/>
      <c r="K204" s="2"/>
      <c r="L204" s="2"/>
      <c r="M204" s="2"/>
    </row>
    <row r="205" spans="5:13" ht="12.75" customHeight="1">
      <c r="E205" s="2"/>
      <c r="K205" s="2"/>
      <c r="L205" s="2"/>
      <c r="M205" s="2"/>
    </row>
    <row r="206" spans="5:13" ht="12.75" customHeight="1">
      <c r="E206" s="2"/>
      <c r="K206" s="2"/>
      <c r="L206" s="2"/>
      <c r="M206" s="2"/>
    </row>
    <row r="207" spans="5:13" ht="12.75" customHeight="1">
      <c r="E207" s="2"/>
      <c r="K207" s="2"/>
      <c r="L207" s="2"/>
      <c r="M207" s="2"/>
    </row>
    <row r="208" spans="5:13" ht="12.75" customHeight="1">
      <c r="E208" s="2"/>
      <c r="K208" s="2"/>
      <c r="L208" s="2"/>
      <c r="M208" s="2"/>
    </row>
    <row r="209" spans="5:13" ht="12.75" customHeight="1">
      <c r="E209" s="2"/>
      <c r="K209" s="2"/>
      <c r="L209" s="2"/>
      <c r="M209" s="2"/>
    </row>
    <row r="210" spans="5:13" ht="12.75" customHeight="1">
      <c r="E210" s="2"/>
      <c r="K210" s="2"/>
      <c r="L210" s="2"/>
      <c r="M210" s="2"/>
    </row>
    <row r="211" spans="5:13" ht="12.75" customHeight="1">
      <c r="E211" s="2"/>
      <c r="K211" s="2"/>
      <c r="L211" s="2"/>
      <c r="M211" s="2"/>
    </row>
    <row r="212" spans="5:13" ht="12.75" customHeight="1">
      <c r="E212" s="2"/>
      <c r="K212" s="2"/>
      <c r="L212" s="2"/>
      <c r="M212" s="2"/>
    </row>
    <row r="213" spans="5:13" ht="12.75" customHeight="1">
      <c r="E213" s="2"/>
      <c r="K213" s="2"/>
      <c r="L213" s="2"/>
      <c r="M213" s="2"/>
    </row>
    <row r="214" spans="5:13" ht="12.75" customHeight="1">
      <c r="E214" s="2"/>
      <c r="K214" s="2"/>
      <c r="L214" s="2"/>
      <c r="M214" s="2"/>
    </row>
    <row r="215" spans="5:13" ht="12.75" customHeight="1">
      <c r="E215" s="2"/>
      <c r="K215" s="2"/>
      <c r="L215" s="2"/>
      <c r="M215" s="2"/>
    </row>
    <row r="216" spans="5:13" ht="12.75" customHeight="1">
      <c r="E216" s="2"/>
      <c r="K216" s="2"/>
      <c r="L216" s="2"/>
      <c r="M216" s="2"/>
    </row>
    <row r="217" spans="5:13" ht="12.75" customHeight="1">
      <c r="E217" s="2"/>
      <c r="K217" s="2"/>
      <c r="L217" s="2"/>
      <c r="M217" s="2"/>
    </row>
    <row r="218" spans="5:13" ht="12.75" customHeight="1">
      <c r="E218" s="2"/>
      <c r="K218" s="2"/>
      <c r="L218" s="2"/>
      <c r="M218" s="2"/>
    </row>
    <row r="219" spans="5:13" ht="12.75" customHeight="1">
      <c r="E219" s="2"/>
      <c r="K219" s="2"/>
      <c r="L219" s="2"/>
      <c r="M219" s="2"/>
    </row>
    <row r="220" spans="5:13" ht="12.75" customHeight="1">
      <c r="E220" s="2"/>
      <c r="K220" s="2"/>
      <c r="L220" s="2"/>
      <c r="M220" s="2"/>
    </row>
    <row r="221" spans="5:13" ht="12.75" customHeight="1">
      <c r="E221" s="2"/>
      <c r="K221" s="2"/>
      <c r="L221" s="2"/>
      <c r="M221" s="2"/>
    </row>
    <row r="222" spans="5:13" ht="12.75" customHeight="1">
      <c r="E222" s="2"/>
      <c r="K222" s="2"/>
      <c r="L222" s="2"/>
      <c r="M222" s="2"/>
    </row>
    <row r="223" spans="5:13" ht="12.75" customHeight="1">
      <c r="E223" s="2"/>
      <c r="K223" s="2"/>
      <c r="L223" s="2"/>
      <c r="M223" s="2"/>
    </row>
    <row r="224" spans="5:13" ht="12.75" customHeight="1">
      <c r="E224" s="2"/>
      <c r="K224" s="2"/>
      <c r="L224" s="2"/>
      <c r="M224" s="2"/>
    </row>
    <row r="225" spans="5:13" ht="12.75" customHeight="1">
      <c r="E225" s="2"/>
      <c r="K225" s="2"/>
      <c r="L225" s="2"/>
      <c r="M225" s="2"/>
    </row>
    <row r="226" spans="5:13" ht="12.75" customHeight="1">
      <c r="E226" s="2"/>
      <c r="K226" s="2"/>
      <c r="L226" s="2"/>
      <c r="M226" s="2"/>
    </row>
    <row r="227" spans="5:13" ht="12.75" customHeight="1">
      <c r="E227" s="2"/>
      <c r="K227" s="2"/>
      <c r="L227" s="2"/>
      <c r="M227" s="2"/>
    </row>
    <row r="228" spans="5:13" ht="12.75" customHeight="1">
      <c r="E228" s="2"/>
      <c r="K228" s="2"/>
      <c r="L228" s="2"/>
      <c r="M228" s="2"/>
    </row>
    <row r="229" spans="5:13" ht="12.75" customHeight="1">
      <c r="E229" s="2"/>
      <c r="K229" s="2"/>
      <c r="L229" s="2"/>
      <c r="M229" s="2"/>
    </row>
    <row r="230" spans="5:13" ht="12.75" customHeight="1">
      <c r="E230" s="2"/>
      <c r="K230" s="2"/>
      <c r="L230" s="2"/>
      <c r="M230" s="2"/>
    </row>
    <row r="231" spans="5:13" ht="12.75" customHeight="1">
      <c r="E231" s="2"/>
      <c r="K231" s="2"/>
      <c r="L231" s="2"/>
      <c r="M231" s="2"/>
    </row>
    <row r="232" spans="5:13" ht="12.75" customHeight="1">
      <c r="E232" s="2"/>
      <c r="K232" s="2"/>
      <c r="L232" s="2"/>
      <c r="M232" s="2"/>
    </row>
    <row r="233" spans="5:13" ht="12.75" customHeight="1">
      <c r="E233" s="2"/>
      <c r="K233" s="2"/>
      <c r="L233" s="2"/>
      <c r="M233" s="2"/>
    </row>
    <row r="234" spans="5:13" ht="12.75" customHeight="1">
      <c r="E234" s="2"/>
      <c r="K234" s="2"/>
      <c r="L234" s="2"/>
      <c r="M234" s="2"/>
    </row>
    <row r="235" spans="5:13" ht="12.75" customHeight="1">
      <c r="E235" s="2"/>
      <c r="K235" s="2"/>
      <c r="L235" s="2"/>
      <c r="M235" s="2"/>
    </row>
    <row r="236" spans="5:13" ht="12.75" customHeight="1">
      <c r="E236" s="2"/>
      <c r="K236" s="2"/>
      <c r="L236" s="2"/>
      <c r="M236" s="2"/>
    </row>
    <row r="237" spans="5:13" ht="12.75" customHeight="1">
      <c r="E237" s="2"/>
      <c r="K237" s="2"/>
      <c r="L237" s="2"/>
      <c r="M237" s="2"/>
    </row>
    <row r="238" spans="5:13" ht="12.75" customHeight="1">
      <c r="E238" s="2"/>
      <c r="K238" s="2"/>
      <c r="L238" s="2"/>
      <c r="M238" s="2"/>
    </row>
    <row r="239" spans="5:13" ht="12.75" customHeight="1">
      <c r="E239" s="2"/>
      <c r="K239" s="2"/>
      <c r="L239" s="2"/>
      <c r="M239" s="2"/>
    </row>
    <row r="240" spans="5:13" ht="12.75" customHeight="1">
      <c r="E240" s="2"/>
      <c r="K240" s="2"/>
      <c r="L240" s="2"/>
      <c r="M240" s="2"/>
    </row>
    <row r="241" spans="5:13" ht="12.75" customHeight="1">
      <c r="E241" s="2"/>
      <c r="K241" s="2"/>
      <c r="L241" s="2"/>
      <c r="M241" s="2"/>
    </row>
    <row r="242" spans="5:13" ht="12.75" customHeight="1">
      <c r="E242" s="2"/>
      <c r="K242" s="2"/>
      <c r="L242" s="2"/>
      <c r="M242" s="2"/>
    </row>
    <row r="243" spans="5:13" ht="12.75" customHeight="1">
      <c r="E243" s="2"/>
      <c r="K243" s="2"/>
      <c r="L243" s="2"/>
      <c r="M243" s="2"/>
    </row>
    <row r="244" spans="5:13" ht="12.75" customHeight="1">
      <c r="E244" s="2"/>
      <c r="K244" s="2"/>
      <c r="L244" s="2"/>
      <c r="M244" s="2"/>
    </row>
    <row r="245" spans="5:13" ht="12.75" customHeight="1">
      <c r="E245" s="2"/>
      <c r="K245" s="2"/>
      <c r="L245" s="2"/>
      <c r="M245" s="2"/>
    </row>
    <row r="246" spans="5:13" ht="12.75" customHeight="1">
      <c r="E246" s="2"/>
      <c r="K246" s="2"/>
      <c r="L246" s="2"/>
      <c r="M246" s="2"/>
    </row>
    <row r="247" spans="5:13" ht="12.75" customHeight="1">
      <c r="E247" s="2"/>
      <c r="K247" s="2"/>
      <c r="L247" s="2"/>
      <c r="M247" s="2"/>
    </row>
    <row r="248" spans="5:13" ht="12.75" customHeight="1">
      <c r="E248" s="2"/>
      <c r="K248" s="2"/>
      <c r="L248" s="2"/>
      <c r="M248" s="2"/>
    </row>
    <row r="249" spans="5:13" ht="12.75" customHeight="1">
      <c r="E249" s="2"/>
      <c r="K249" s="2"/>
      <c r="L249" s="2"/>
      <c r="M249" s="2"/>
    </row>
    <row r="250" spans="5:13" ht="12.75" customHeight="1">
      <c r="E250" s="2"/>
      <c r="K250" s="2"/>
      <c r="L250" s="2"/>
      <c r="M250" s="2"/>
    </row>
    <row r="251" spans="5:13" ht="12.75" customHeight="1">
      <c r="E251" s="2"/>
      <c r="K251" s="2"/>
      <c r="L251" s="2"/>
      <c r="M251" s="2"/>
    </row>
    <row r="252" spans="5:13" ht="12.75" customHeight="1">
      <c r="E252" s="2"/>
      <c r="K252" s="2"/>
      <c r="L252" s="2"/>
      <c r="M252" s="2"/>
    </row>
    <row r="253" spans="5:13" ht="12.75" customHeight="1">
      <c r="E253" s="2"/>
      <c r="K253" s="2"/>
      <c r="L253" s="2"/>
      <c r="M253" s="2"/>
    </row>
    <row r="254" spans="5:13" ht="12.75" customHeight="1">
      <c r="E254" s="2"/>
      <c r="K254" s="2"/>
      <c r="L254" s="2"/>
      <c r="M254" s="2"/>
    </row>
    <row r="255" spans="5:13" ht="12.75" customHeight="1">
      <c r="E255" s="2"/>
      <c r="K255" s="2"/>
      <c r="L255" s="2"/>
      <c r="M255" s="2"/>
    </row>
    <row r="256" spans="5:13" ht="12.75" customHeight="1">
      <c r="E256" s="2"/>
      <c r="K256" s="2"/>
      <c r="L256" s="2"/>
      <c r="M256" s="2"/>
    </row>
    <row r="257" spans="5:13" ht="12.75" customHeight="1">
      <c r="E257" s="2"/>
      <c r="K257" s="2"/>
      <c r="L257" s="2"/>
      <c r="M257" s="2"/>
    </row>
    <row r="258" spans="5:13" ht="12.75" customHeight="1">
      <c r="E258" s="2"/>
      <c r="K258" s="2"/>
      <c r="L258" s="2"/>
      <c r="M258" s="2"/>
    </row>
    <row r="259" spans="5:13" ht="12.75" customHeight="1">
      <c r="E259" s="2"/>
      <c r="K259" s="2"/>
      <c r="L259" s="2"/>
      <c r="M259" s="2"/>
    </row>
    <row r="260" spans="5:13" ht="12.75" customHeight="1">
      <c r="E260" s="2"/>
      <c r="K260" s="2"/>
      <c r="L260" s="2"/>
      <c r="M260" s="2"/>
    </row>
    <row r="261" spans="5:13" ht="12.75" customHeight="1">
      <c r="E261" s="2"/>
      <c r="K261" s="2"/>
      <c r="L261" s="2"/>
      <c r="M261" s="2"/>
    </row>
    <row r="262" spans="5:13" ht="12.75" customHeight="1">
      <c r="E262" s="2"/>
      <c r="K262" s="2"/>
      <c r="L262" s="2"/>
      <c r="M262" s="2"/>
    </row>
    <row r="263" spans="5:13" ht="12.75" customHeight="1">
      <c r="E263" s="2"/>
      <c r="K263" s="2"/>
      <c r="L263" s="2"/>
      <c r="M263" s="2"/>
    </row>
    <row r="264" spans="5:13" ht="12.75" customHeight="1"/>
    <row r="265" spans="5:13" ht="12.75" customHeight="1"/>
    <row r="266" spans="5:13" ht="12.75" customHeight="1"/>
    <row r="267" spans="5:13" ht="12.75" customHeight="1">
      <c r="E267" s="2"/>
      <c r="K267" s="2"/>
      <c r="L267" s="2"/>
      <c r="M267" s="2"/>
    </row>
    <row r="268" spans="5:13" ht="12.75" customHeight="1">
      <c r="E268" s="2"/>
      <c r="K268" s="2"/>
      <c r="L268" s="2"/>
      <c r="M268" s="2"/>
    </row>
    <row r="269" spans="5:13" ht="12.75" customHeight="1">
      <c r="E269" s="2"/>
      <c r="K269" s="2"/>
      <c r="L269" s="2"/>
      <c r="M269" s="2"/>
    </row>
    <row r="270" spans="5:13" ht="12.75" customHeight="1">
      <c r="E270" s="2"/>
      <c r="K270" s="2"/>
      <c r="L270" s="2"/>
      <c r="M270" s="2"/>
    </row>
    <row r="271" spans="5:13" ht="12.75" customHeight="1">
      <c r="E271" s="2"/>
      <c r="K271" s="2"/>
      <c r="L271" s="2"/>
      <c r="M271" s="2"/>
    </row>
    <row r="272" spans="5:13" ht="12.75" customHeight="1">
      <c r="E272" s="2"/>
      <c r="K272" s="2"/>
      <c r="L272" s="2"/>
      <c r="M272" s="2"/>
    </row>
    <row r="273" spans="5:13" ht="12.75" customHeight="1">
      <c r="E273" s="2"/>
      <c r="K273" s="2"/>
      <c r="L273" s="2"/>
      <c r="M273" s="2"/>
    </row>
    <row r="274" spans="5:13" ht="12.75" customHeight="1">
      <c r="E274" s="2"/>
      <c r="K274" s="2"/>
      <c r="L274" s="2"/>
      <c r="M274" s="2"/>
    </row>
    <row r="275" spans="5:13" ht="12.75" customHeight="1">
      <c r="E275" s="2"/>
      <c r="K275" s="2"/>
      <c r="L275" s="2"/>
      <c r="M275" s="2"/>
    </row>
    <row r="276" spans="5:13" ht="12.75" customHeight="1">
      <c r="E276" s="2"/>
      <c r="K276" s="2"/>
      <c r="L276" s="2"/>
      <c r="M276" s="2"/>
    </row>
    <row r="277" spans="5:13" ht="12.75" customHeight="1">
      <c r="E277" s="2"/>
      <c r="K277" s="2"/>
      <c r="L277" s="2"/>
      <c r="M277" s="2"/>
    </row>
    <row r="278" spans="5:13" ht="12.75" customHeight="1">
      <c r="E278" s="2"/>
      <c r="K278" s="2"/>
      <c r="L278" s="2"/>
      <c r="M278" s="2"/>
    </row>
    <row r="279" spans="5:13" ht="12.75" customHeight="1">
      <c r="E279" s="2"/>
      <c r="K279" s="2"/>
      <c r="L279" s="2"/>
      <c r="M279" s="2"/>
    </row>
    <row r="280" spans="5:13" ht="12.75" customHeight="1">
      <c r="E280" s="2"/>
      <c r="K280" s="2"/>
      <c r="L280" s="2"/>
      <c r="M280" s="2"/>
    </row>
    <row r="281" spans="5:13" ht="12.75" customHeight="1">
      <c r="E281" s="2"/>
      <c r="K281" s="2"/>
      <c r="L281" s="2"/>
      <c r="M281" s="2"/>
    </row>
    <row r="282" spans="5:13" ht="12.75" customHeight="1">
      <c r="E282" s="2"/>
      <c r="K282" s="2"/>
      <c r="L282" s="2"/>
      <c r="M282" s="2"/>
    </row>
    <row r="283" spans="5:13" ht="12.75" customHeight="1">
      <c r="E283" s="2"/>
      <c r="K283" s="2"/>
      <c r="L283" s="2"/>
      <c r="M283" s="2"/>
    </row>
    <row r="284" spans="5:13" ht="12.75" customHeight="1">
      <c r="E284" s="2"/>
      <c r="K284" s="2"/>
      <c r="L284" s="2"/>
      <c r="M284" s="2"/>
    </row>
    <row r="285" spans="5:13" ht="12.75" customHeight="1">
      <c r="E285" s="2"/>
      <c r="K285" s="2"/>
      <c r="L285" s="2"/>
      <c r="M285" s="2"/>
    </row>
    <row r="286" spans="5:13" ht="12.75" customHeight="1">
      <c r="E286" s="2"/>
      <c r="K286" s="2"/>
      <c r="L286" s="2"/>
      <c r="M286" s="2"/>
    </row>
    <row r="287" spans="5:13" ht="12.75" customHeight="1">
      <c r="E287" s="2"/>
      <c r="K287" s="2"/>
      <c r="L287" s="2"/>
      <c r="M287" s="2"/>
    </row>
    <row r="288" spans="5:13" ht="12.75" customHeight="1">
      <c r="E288" s="2"/>
      <c r="K288" s="2"/>
      <c r="L288" s="2"/>
      <c r="M288" s="2"/>
    </row>
    <row r="289" spans="5:13" ht="12.75" customHeight="1">
      <c r="E289" s="2"/>
      <c r="K289" s="2"/>
      <c r="L289" s="2"/>
      <c r="M289" s="2"/>
    </row>
    <row r="290" spans="5:13" ht="12.75" customHeight="1">
      <c r="E290" s="2"/>
      <c r="K290" s="2"/>
      <c r="L290" s="2"/>
      <c r="M290" s="2"/>
    </row>
    <row r="291" spans="5:13" ht="12.75" customHeight="1">
      <c r="E291" s="2"/>
      <c r="K291" s="2"/>
      <c r="L291" s="2"/>
      <c r="M291" s="2"/>
    </row>
    <row r="292" spans="5:13" ht="12.75" customHeight="1">
      <c r="E292" s="2"/>
      <c r="K292" s="2"/>
      <c r="L292" s="2"/>
      <c r="M292" s="2"/>
    </row>
    <row r="293" spans="5:13" ht="12.75" customHeight="1">
      <c r="E293" s="2"/>
      <c r="K293" s="2"/>
      <c r="L293" s="2"/>
      <c r="M293" s="2"/>
    </row>
    <row r="294" spans="5:13" ht="12.75" customHeight="1">
      <c r="E294" s="2"/>
      <c r="K294" s="2"/>
      <c r="L294" s="2"/>
      <c r="M294" s="2"/>
    </row>
    <row r="295" spans="5:13" ht="12.75" customHeight="1">
      <c r="E295" s="2"/>
      <c r="K295" s="2"/>
      <c r="L295" s="2"/>
      <c r="M295" s="2"/>
    </row>
    <row r="296" spans="5:13" ht="12.75" customHeight="1">
      <c r="E296" s="2"/>
      <c r="K296" s="2"/>
      <c r="L296" s="2"/>
      <c r="M296" s="2"/>
    </row>
    <row r="297" spans="5:13" ht="12.75" customHeight="1">
      <c r="E297" s="2"/>
      <c r="K297" s="2"/>
      <c r="L297" s="2"/>
      <c r="M297" s="2"/>
    </row>
    <row r="298" spans="5:13" ht="12.75" customHeight="1">
      <c r="E298" s="2"/>
      <c r="K298" s="2"/>
      <c r="L298" s="2"/>
      <c r="M298" s="2"/>
    </row>
    <row r="299" spans="5:13" ht="12.75" customHeight="1">
      <c r="E299" s="2"/>
      <c r="K299" s="2"/>
      <c r="L299" s="2"/>
      <c r="M299" s="2"/>
    </row>
    <row r="300" spans="5:13" ht="12.75" customHeight="1">
      <c r="E300" s="2"/>
      <c r="K300" s="2"/>
      <c r="L300" s="2"/>
      <c r="M300" s="2"/>
    </row>
    <row r="301" spans="5:13" ht="12.75" customHeight="1">
      <c r="E301" s="2"/>
      <c r="K301" s="2"/>
      <c r="L301" s="2"/>
      <c r="M301" s="2"/>
    </row>
    <row r="302" spans="5:13" ht="12.75" customHeight="1">
      <c r="E302" s="2"/>
      <c r="K302" s="2"/>
      <c r="L302" s="2"/>
      <c r="M302" s="2"/>
    </row>
    <row r="303" spans="5:13" ht="12.75" customHeight="1">
      <c r="E303" s="2"/>
      <c r="K303" s="2"/>
      <c r="L303" s="2"/>
      <c r="M303" s="2"/>
    </row>
    <row r="304" spans="5:13" ht="12.75" customHeight="1">
      <c r="E304" s="2"/>
      <c r="K304" s="2"/>
      <c r="L304" s="2"/>
      <c r="M304" s="2"/>
    </row>
    <row r="305" spans="5:13" ht="12.75" customHeight="1">
      <c r="E305" s="2"/>
      <c r="K305" s="2"/>
      <c r="L305" s="2"/>
      <c r="M305" s="2"/>
    </row>
    <row r="306" spans="5:13" ht="12.75" customHeight="1">
      <c r="E306" s="2"/>
      <c r="K306" s="2"/>
      <c r="L306" s="2"/>
      <c r="M306" s="2"/>
    </row>
    <row r="307" spans="5:13" ht="12.75" customHeight="1">
      <c r="E307" s="2"/>
      <c r="K307" s="2"/>
      <c r="L307" s="2"/>
      <c r="M307" s="2"/>
    </row>
    <row r="308" spans="5:13" ht="12.75" customHeight="1">
      <c r="E308" s="2"/>
      <c r="K308" s="2"/>
      <c r="L308" s="2"/>
      <c r="M308" s="2"/>
    </row>
    <row r="309" spans="5:13" ht="12.75" customHeight="1">
      <c r="E309" s="2"/>
      <c r="K309" s="2"/>
      <c r="L309" s="2"/>
      <c r="M309" s="2"/>
    </row>
    <row r="310" spans="5:13" ht="12.75" customHeight="1">
      <c r="E310" s="2"/>
      <c r="K310" s="2"/>
      <c r="L310" s="2"/>
      <c r="M310" s="2"/>
    </row>
    <row r="311" spans="5:13" ht="12.75" customHeight="1">
      <c r="E311" s="2"/>
      <c r="K311" s="2"/>
      <c r="L311" s="2"/>
      <c r="M311" s="2"/>
    </row>
    <row r="312" spans="5:13" ht="12.75" customHeight="1">
      <c r="E312" s="2"/>
      <c r="K312" s="2"/>
      <c r="L312" s="2"/>
      <c r="M312" s="2"/>
    </row>
    <row r="313" spans="5:13" ht="12.75" customHeight="1">
      <c r="E313" s="2"/>
      <c r="K313" s="2"/>
      <c r="L313" s="2"/>
      <c r="M313" s="2"/>
    </row>
    <row r="314" spans="5:13" ht="12.75" customHeight="1">
      <c r="E314" s="2"/>
      <c r="K314" s="2"/>
      <c r="L314" s="2"/>
      <c r="M314" s="2"/>
    </row>
    <row r="315" spans="5:13" ht="12.75" customHeight="1">
      <c r="E315" s="2"/>
      <c r="K315" s="2"/>
      <c r="L315" s="2"/>
      <c r="M315" s="2"/>
    </row>
    <row r="316" spans="5:13" ht="12.75" customHeight="1">
      <c r="E316" s="2"/>
      <c r="K316" s="2"/>
      <c r="L316" s="2"/>
      <c r="M316" s="2"/>
    </row>
    <row r="317" spans="5:13" ht="12.75" customHeight="1">
      <c r="E317" s="2"/>
      <c r="K317" s="2"/>
      <c r="L317" s="2"/>
      <c r="M317" s="2"/>
    </row>
    <row r="318" spans="5:13" ht="12.75" customHeight="1">
      <c r="E318" s="2"/>
      <c r="K318" s="2"/>
      <c r="L318" s="2"/>
      <c r="M318" s="2"/>
    </row>
    <row r="319" spans="5:13" ht="12.75" customHeight="1">
      <c r="E319" s="2"/>
      <c r="K319" s="2"/>
      <c r="L319" s="2"/>
      <c r="M319" s="2"/>
    </row>
    <row r="320" spans="5:13" ht="12.75" customHeight="1">
      <c r="E320" s="2"/>
      <c r="K320" s="2"/>
      <c r="L320" s="2"/>
      <c r="M320" s="2"/>
    </row>
    <row r="321" spans="5:13" ht="12.75" customHeight="1">
      <c r="E321" s="2"/>
      <c r="K321" s="2"/>
      <c r="L321" s="2"/>
      <c r="M321" s="2"/>
    </row>
    <row r="322" spans="5:13" ht="12.75" customHeight="1">
      <c r="E322" s="2"/>
      <c r="K322" s="2"/>
      <c r="L322" s="2"/>
      <c r="M322" s="2"/>
    </row>
    <row r="323" spans="5:13" ht="12.75" customHeight="1">
      <c r="E323" s="2"/>
      <c r="K323" s="2"/>
      <c r="L323" s="2"/>
      <c r="M323" s="2"/>
    </row>
    <row r="324" spans="5:13" ht="12.75" customHeight="1">
      <c r="E324" s="2"/>
      <c r="K324" s="2"/>
      <c r="L324" s="2"/>
      <c r="M324" s="2"/>
    </row>
    <row r="325" spans="5:13" ht="12.75" customHeight="1">
      <c r="E325" s="2"/>
      <c r="K325" s="2"/>
      <c r="L325" s="2"/>
      <c r="M325" s="2"/>
    </row>
    <row r="326" spans="5:13" ht="12.75" customHeight="1">
      <c r="E326" s="2"/>
      <c r="K326" s="2"/>
      <c r="L326" s="2"/>
      <c r="M326" s="2"/>
    </row>
    <row r="327" spans="5:13" ht="12.75" customHeight="1">
      <c r="E327" s="2"/>
      <c r="K327" s="2"/>
      <c r="L327" s="2"/>
      <c r="M327" s="2"/>
    </row>
    <row r="328" spans="5:13" ht="12.75" customHeight="1">
      <c r="E328" s="2"/>
      <c r="K328" s="2"/>
      <c r="L328" s="2"/>
      <c r="M328" s="2"/>
    </row>
    <row r="329" spans="5:13" ht="12.75" customHeight="1">
      <c r="E329" s="2"/>
      <c r="K329" s="2"/>
      <c r="L329" s="2"/>
      <c r="M329" s="2"/>
    </row>
    <row r="330" spans="5:13" ht="12.75" customHeight="1">
      <c r="E330" s="2"/>
      <c r="K330" s="2"/>
      <c r="L330" s="2"/>
      <c r="M330" s="2"/>
    </row>
    <row r="331" spans="5:13" ht="12.75" customHeight="1">
      <c r="E331" s="2"/>
      <c r="K331" s="2"/>
      <c r="L331" s="2"/>
      <c r="M331" s="2"/>
    </row>
    <row r="332" spans="5:13" ht="12.75" customHeight="1">
      <c r="E332" s="2"/>
      <c r="K332" s="2"/>
      <c r="L332" s="2"/>
      <c r="M332" s="2"/>
    </row>
    <row r="333" spans="5:13" ht="12.75" customHeight="1">
      <c r="E333" s="2"/>
      <c r="K333" s="2"/>
      <c r="L333" s="2"/>
      <c r="M333" s="2"/>
    </row>
    <row r="334" spans="5:13" ht="12.75" customHeight="1">
      <c r="E334" s="2"/>
      <c r="K334" s="2"/>
      <c r="L334" s="2"/>
      <c r="M334" s="2"/>
    </row>
    <row r="335" spans="5:13" ht="12.75" customHeight="1">
      <c r="E335" s="2"/>
      <c r="K335" s="2"/>
      <c r="L335" s="2"/>
      <c r="M335" s="2"/>
    </row>
    <row r="336" spans="5:13" ht="12.75" customHeight="1">
      <c r="E336" s="2"/>
      <c r="K336" s="2"/>
      <c r="L336" s="2"/>
      <c r="M336" s="2"/>
    </row>
    <row r="337" spans="5:13" ht="12.75" customHeight="1">
      <c r="E337" s="2"/>
      <c r="K337" s="2"/>
      <c r="L337" s="2"/>
      <c r="M337" s="2"/>
    </row>
    <row r="338" spans="5:13" ht="12.75" customHeight="1">
      <c r="E338" s="2"/>
      <c r="K338" s="2"/>
      <c r="L338" s="2"/>
      <c r="M338" s="2"/>
    </row>
    <row r="339" spans="5:13" ht="12.75" customHeight="1">
      <c r="E339" s="2"/>
      <c r="K339" s="2"/>
      <c r="L339" s="2"/>
      <c r="M339" s="2"/>
    </row>
    <row r="340" spans="5:13" ht="12.75" customHeight="1">
      <c r="E340" s="2"/>
      <c r="K340" s="2"/>
      <c r="L340" s="2"/>
      <c r="M340" s="2"/>
    </row>
    <row r="341" spans="5:13" ht="12.75" customHeight="1">
      <c r="E341" s="2"/>
      <c r="K341" s="2"/>
      <c r="L341" s="2"/>
      <c r="M341" s="2"/>
    </row>
    <row r="342" spans="5:13" ht="12.75" customHeight="1">
      <c r="E342" s="2"/>
      <c r="K342" s="2"/>
      <c r="L342" s="2"/>
      <c r="M342" s="2"/>
    </row>
    <row r="343" spans="5:13" ht="12.75" customHeight="1">
      <c r="E343" s="2"/>
      <c r="K343" s="2"/>
      <c r="L343" s="2"/>
      <c r="M343" s="2"/>
    </row>
    <row r="344" spans="5:13" ht="12.75" customHeight="1">
      <c r="E344" s="2"/>
      <c r="K344" s="2"/>
      <c r="L344" s="2"/>
      <c r="M344" s="2"/>
    </row>
    <row r="345" spans="5:13" ht="12.75" customHeight="1">
      <c r="E345" s="2"/>
      <c r="K345" s="2"/>
      <c r="L345" s="2"/>
      <c r="M345" s="2"/>
    </row>
    <row r="346" spans="5:13" ht="12.75" customHeight="1">
      <c r="E346" s="2"/>
      <c r="K346" s="2"/>
      <c r="L346" s="2"/>
      <c r="M346" s="2"/>
    </row>
    <row r="347" spans="5:13" ht="12.75" customHeight="1">
      <c r="E347" s="2"/>
      <c r="K347" s="2"/>
      <c r="L347" s="2"/>
      <c r="M347" s="2"/>
    </row>
    <row r="348" spans="5:13" ht="12.75" customHeight="1">
      <c r="E348" s="2"/>
      <c r="K348" s="2"/>
      <c r="L348" s="2"/>
      <c r="M348" s="2"/>
    </row>
    <row r="349" spans="5:13" ht="12.75" customHeight="1">
      <c r="E349" s="2"/>
      <c r="K349" s="2"/>
      <c r="L349" s="2"/>
      <c r="M349" s="2"/>
    </row>
    <row r="350" spans="5:13" ht="12.75" customHeight="1">
      <c r="E350" s="2"/>
      <c r="K350" s="2"/>
      <c r="L350" s="2"/>
      <c r="M350" s="2"/>
    </row>
    <row r="351" spans="5:13" ht="12.75" customHeight="1">
      <c r="E351" s="2"/>
      <c r="K351" s="2"/>
      <c r="L351" s="2"/>
      <c r="M351" s="2"/>
    </row>
    <row r="352" spans="5:13" ht="12.75" customHeight="1">
      <c r="E352" s="2"/>
      <c r="K352" s="2"/>
      <c r="L352" s="2"/>
      <c r="M352" s="2"/>
    </row>
    <row r="353" spans="5:13" ht="12.75" customHeight="1">
      <c r="E353" s="2"/>
      <c r="K353" s="2"/>
      <c r="L353" s="2"/>
      <c r="M353" s="2"/>
    </row>
    <row r="354" spans="5:13" ht="12.75" customHeight="1">
      <c r="E354" s="2"/>
      <c r="K354" s="2"/>
      <c r="L354" s="2"/>
      <c r="M354" s="2"/>
    </row>
    <row r="355" spans="5:13" ht="12.75" customHeight="1">
      <c r="E355" s="2"/>
      <c r="K355" s="2"/>
      <c r="L355" s="2"/>
      <c r="M355" s="2"/>
    </row>
    <row r="356" spans="5:13" ht="12.75" customHeight="1">
      <c r="E356" s="2"/>
      <c r="K356" s="2"/>
      <c r="L356" s="2"/>
      <c r="M356" s="2"/>
    </row>
    <row r="357" spans="5:13" ht="12.75" customHeight="1">
      <c r="E357" s="2"/>
      <c r="K357" s="2"/>
      <c r="L357" s="2"/>
      <c r="M357" s="2"/>
    </row>
    <row r="358" spans="5:13" ht="12.75" customHeight="1">
      <c r="E358" s="2"/>
      <c r="K358" s="2"/>
      <c r="L358" s="2"/>
      <c r="M358" s="2"/>
    </row>
    <row r="359" spans="5:13" ht="12.75" customHeight="1">
      <c r="E359" s="2"/>
      <c r="K359" s="2"/>
      <c r="L359" s="2"/>
      <c r="M359" s="2"/>
    </row>
    <row r="360" spans="5:13" ht="12.75" customHeight="1">
      <c r="E360" s="2"/>
      <c r="K360" s="2"/>
      <c r="L360" s="2"/>
      <c r="M360" s="2"/>
    </row>
    <row r="361" spans="5:13" ht="12.75" customHeight="1">
      <c r="E361" s="2"/>
      <c r="K361" s="2"/>
      <c r="L361" s="2"/>
      <c r="M361" s="2"/>
    </row>
    <row r="362" spans="5:13" ht="12.75" customHeight="1">
      <c r="E362" s="2"/>
      <c r="K362" s="2"/>
      <c r="L362" s="2"/>
      <c r="M362" s="2"/>
    </row>
    <row r="363" spans="5:13" ht="12.75" customHeight="1">
      <c r="E363" s="2"/>
      <c r="K363" s="2"/>
      <c r="L363" s="2"/>
      <c r="M363" s="2"/>
    </row>
    <row r="364" spans="5:13" ht="12.75" customHeight="1">
      <c r="E364" s="2"/>
      <c r="K364" s="2"/>
      <c r="L364" s="2"/>
      <c r="M364" s="2"/>
    </row>
    <row r="365" spans="5:13" ht="12.75" customHeight="1">
      <c r="E365" s="2"/>
      <c r="K365" s="2"/>
      <c r="L365" s="2"/>
      <c r="M365" s="2"/>
    </row>
    <row r="366" spans="5:13" ht="12.75" customHeight="1">
      <c r="E366" s="2"/>
      <c r="K366" s="2"/>
      <c r="L366" s="2"/>
      <c r="M366" s="2"/>
    </row>
    <row r="367" spans="5:13" ht="12.75" customHeight="1">
      <c r="E367" s="2"/>
      <c r="K367" s="2"/>
      <c r="L367" s="2"/>
      <c r="M367" s="2"/>
    </row>
    <row r="368" spans="5:13" ht="12.75" customHeight="1">
      <c r="E368" s="2"/>
      <c r="K368" s="2"/>
      <c r="L368" s="2"/>
      <c r="M368" s="2"/>
    </row>
    <row r="369" spans="5:13" ht="12.75" customHeight="1">
      <c r="E369" s="2"/>
      <c r="K369" s="2"/>
      <c r="L369" s="2"/>
      <c r="M369" s="2"/>
    </row>
    <row r="370" spans="5:13" ht="12.75" customHeight="1">
      <c r="E370" s="2"/>
      <c r="K370" s="2"/>
      <c r="L370" s="2"/>
      <c r="M370" s="2"/>
    </row>
    <row r="371" spans="5:13" ht="12.75" customHeight="1">
      <c r="E371" s="2"/>
      <c r="K371" s="2"/>
      <c r="L371" s="2"/>
      <c r="M371" s="2"/>
    </row>
    <row r="372" spans="5:13" ht="12.75" customHeight="1">
      <c r="E372" s="2"/>
      <c r="K372" s="2"/>
      <c r="L372" s="2"/>
      <c r="M372" s="2"/>
    </row>
    <row r="373" spans="5:13" ht="12.75" customHeight="1">
      <c r="E373" s="2"/>
      <c r="K373" s="2"/>
      <c r="L373" s="2"/>
      <c r="M373" s="2"/>
    </row>
    <row r="374" spans="5:13" ht="12.75" customHeight="1">
      <c r="E374" s="2"/>
      <c r="K374" s="2"/>
      <c r="L374" s="2"/>
      <c r="M374" s="2"/>
    </row>
    <row r="375" spans="5:13" ht="12.75" customHeight="1">
      <c r="E375" s="2"/>
      <c r="K375" s="2"/>
      <c r="L375" s="2"/>
      <c r="M375" s="2"/>
    </row>
    <row r="376" spans="5:13" ht="12.75" customHeight="1">
      <c r="E376" s="2"/>
      <c r="K376" s="2"/>
      <c r="L376" s="2"/>
      <c r="M376" s="2"/>
    </row>
    <row r="377" spans="5:13" ht="12.75" customHeight="1">
      <c r="E377" s="2"/>
      <c r="K377" s="2"/>
      <c r="L377" s="2"/>
      <c r="M377" s="2"/>
    </row>
    <row r="378" spans="5:13" ht="12.75" customHeight="1">
      <c r="E378" s="2"/>
      <c r="K378" s="2"/>
      <c r="L378" s="2"/>
      <c r="M378" s="2"/>
    </row>
    <row r="379" spans="5:13" ht="12.75" customHeight="1">
      <c r="E379" s="2"/>
      <c r="K379" s="2"/>
      <c r="L379" s="2"/>
      <c r="M379" s="2"/>
    </row>
    <row r="380" spans="5:13" ht="12.75" customHeight="1">
      <c r="E380" s="2"/>
      <c r="K380" s="2"/>
      <c r="L380" s="2"/>
      <c r="M380" s="2"/>
    </row>
    <row r="381" spans="5:13" ht="12.75" customHeight="1">
      <c r="E381" s="2"/>
      <c r="K381" s="2"/>
      <c r="L381" s="2"/>
      <c r="M381" s="2"/>
    </row>
    <row r="382" spans="5:13" ht="12.75" customHeight="1">
      <c r="E382" s="2"/>
      <c r="K382" s="2"/>
      <c r="L382" s="2"/>
      <c r="M382" s="2"/>
    </row>
    <row r="383" spans="5:13" ht="12.75" customHeight="1">
      <c r="E383" s="2"/>
      <c r="K383" s="2"/>
      <c r="L383" s="2"/>
      <c r="M383" s="2"/>
    </row>
    <row r="384" spans="5:13" ht="12.75" customHeight="1">
      <c r="E384" s="2"/>
      <c r="K384" s="2"/>
      <c r="L384" s="2"/>
      <c r="M384" s="2"/>
    </row>
    <row r="385" spans="5:13" ht="12.75" customHeight="1">
      <c r="E385" s="2"/>
      <c r="K385" s="2"/>
      <c r="L385" s="2"/>
      <c r="M385" s="2"/>
    </row>
    <row r="386" spans="5:13" ht="12.75" customHeight="1">
      <c r="E386" s="2"/>
      <c r="K386" s="2"/>
      <c r="L386" s="2"/>
      <c r="M386" s="2"/>
    </row>
    <row r="387" spans="5:13" ht="12.75" customHeight="1">
      <c r="E387" s="2"/>
      <c r="K387" s="2"/>
      <c r="L387" s="2"/>
      <c r="M387" s="2"/>
    </row>
    <row r="388" spans="5:13" ht="12.75" customHeight="1">
      <c r="E388" s="2"/>
      <c r="K388" s="2"/>
      <c r="L388" s="2"/>
      <c r="M388" s="2"/>
    </row>
    <row r="389" spans="5:13" ht="12.75" customHeight="1">
      <c r="E389" s="2"/>
      <c r="K389" s="2"/>
      <c r="L389" s="2"/>
      <c r="M389" s="2"/>
    </row>
    <row r="390" spans="5:13" ht="12.75" customHeight="1">
      <c r="E390" s="2"/>
      <c r="K390" s="2"/>
      <c r="L390" s="2"/>
      <c r="M390" s="2"/>
    </row>
    <row r="391" spans="5:13" ht="12.75" customHeight="1">
      <c r="E391" s="2"/>
      <c r="K391" s="2"/>
      <c r="L391" s="2"/>
      <c r="M391" s="2"/>
    </row>
    <row r="392" spans="5:13" ht="12.75" customHeight="1">
      <c r="E392" s="2"/>
      <c r="K392" s="2"/>
      <c r="L392" s="2"/>
      <c r="M392" s="2"/>
    </row>
    <row r="393" spans="5:13" ht="12.75" customHeight="1">
      <c r="E393" s="2"/>
      <c r="K393" s="2"/>
      <c r="L393" s="2"/>
      <c r="M393" s="2"/>
    </row>
    <row r="394" spans="5:13" ht="12.75" customHeight="1">
      <c r="E394" s="2"/>
      <c r="K394" s="2"/>
      <c r="L394" s="2"/>
      <c r="M394" s="2"/>
    </row>
    <row r="395" spans="5:13" ht="12.75" customHeight="1">
      <c r="E395" s="2"/>
      <c r="K395" s="2"/>
      <c r="L395" s="2"/>
      <c r="M395" s="2"/>
    </row>
    <row r="396" spans="5:13" ht="12.75" customHeight="1">
      <c r="E396" s="2"/>
      <c r="K396" s="2"/>
      <c r="L396" s="2"/>
      <c r="M396" s="2"/>
    </row>
    <row r="397" spans="5:13" ht="12.75" customHeight="1">
      <c r="E397" s="2"/>
      <c r="K397" s="2"/>
      <c r="L397" s="2"/>
      <c r="M397" s="2"/>
    </row>
    <row r="398" spans="5:13" ht="12.75" customHeight="1">
      <c r="E398" s="2"/>
      <c r="K398" s="2"/>
      <c r="L398" s="2"/>
      <c r="M398" s="2"/>
    </row>
    <row r="399" spans="5:13" ht="12.75" customHeight="1">
      <c r="E399" s="2"/>
      <c r="K399" s="2"/>
      <c r="L399" s="2"/>
      <c r="M399" s="2"/>
    </row>
    <row r="400" spans="5:13" ht="12.75" customHeight="1">
      <c r="E400" s="2"/>
      <c r="K400" s="2"/>
      <c r="L400" s="2"/>
      <c r="M400" s="2"/>
    </row>
    <row r="401" spans="5:13" ht="12.75" customHeight="1">
      <c r="E401" s="2"/>
      <c r="K401" s="2"/>
      <c r="L401" s="2"/>
      <c r="M401" s="2"/>
    </row>
    <row r="402" spans="5:13" ht="12.75" customHeight="1">
      <c r="E402" s="2"/>
      <c r="K402" s="2"/>
      <c r="L402" s="2"/>
      <c r="M402" s="2"/>
    </row>
    <row r="403" spans="5:13" ht="12.75" customHeight="1">
      <c r="E403" s="2"/>
      <c r="K403" s="2"/>
      <c r="L403" s="2"/>
      <c r="M403" s="2"/>
    </row>
    <row r="404" spans="5:13" ht="12.75" customHeight="1">
      <c r="E404" s="2"/>
      <c r="K404" s="2"/>
      <c r="L404" s="2"/>
      <c r="M404" s="2"/>
    </row>
    <row r="405" spans="5:13" ht="12.75" customHeight="1">
      <c r="E405" s="2"/>
      <c r="K405" s="2"/>
      <c r="L405" s="2"/>
      <c r="M405" s="2"/>
    </row>
    <row r="406" spans="5:13" ht="12.75" customHeight="1">
      <c r="E406" s="2"/>
      <c r="K406" s="2"/>
      <c r="L406" s="2"/>
      <c r="M406" s="2"/>
    </row>
    <row r="407" spans="5:13" ht="12.75" customHeight="1">
      <c r="E407" s="2"/>
      <c r="K407" s="2"/>
      <c r="L407" s="2"/>
      <c r="M407" s="2"/>
    </row>
    <row r="408" spans="5:13" ht="12.75" customHeight="1">
      <c r="E408" s="2"/>
      <c r="K408" s="2"/>
      <c r="L408" s="2"/>
      <c r="M408" s="2"/>
    </row>
    <row r="409" spans="5:13" ht="12.75" customHeight="1">
      <c r="E409" s="2"/>
      <c r="K409" s="2"/>
      <c r="L409" s="2"/>
      <c r="M409" s="2"/>
    </row>
    <row r="410" spans="5:13" ht="12.75" customHeight="1">
      <c r="E410" s="2"/>
      <c r="K410" s="2"/>
      <c r="L410" s="2"/>
      <c r="M410" s="2"/>
    </row>
    <row r="411" spans="5:13" ht="12.75" customHeight="1">
      <c r="E411" s="2"/>
      <c r="K411" s="2"/>
      <c r="L411" s="2"/>
      <c r="M411" s="2"/>
    </row>
    <row r="412" spans="5:13" ht="12.75" customHeight="1">
      <c r="E412" s="2"/>
      <c r="K412" s="2"/>
      <c r="L412" s="2"/>
      <c r="M412" s="2"/>
    </row>
    <row r="413" spans="5:13" ht="12.75" customHeight="1">
      <c r="E413" s="2"/>
      <c r="K413" s="2"/>
      <c r="L413" s="2"/>
      <c r="M413" s="2"/>
    </row>
    <row r="414" spans="5:13" ht="12.75" customHeight="1">
      <c r="E414" s="2"/>
      <c r="K414" s="2"/>
      <c r="L414" s="2"/>
      <c r="M414" s="2"/>
    </row>
    <row r="415" spans="5:13" ht="12.75" customHeight="1">
      <c r="E415" s="2"/>
      <c r="K415" s="2"/>
      <c r="L415" s="2"/>
      <c r="M415" s="2"/>
    </row>
    <row r="416" spans="5:13" ht="12.75" customHeight="1">
      <c r="E416" s="2"/>
      <c r="K416" s="2"/>
      <c r="L416" s="2"/>
      <c r="M416" s="2"/>
    </row>
    <row r="417" spans="5:13" ht="12.75" customHeight="1">
      <c r="E417" s="2"/>
      <c r="K417" s="2"/>
      <c r="L417" s="2"/>
      <c r="M417" s="2"/>
    </row>
    <row r="418" spans="5:13" ht="12.75" customHeight="1">
      <c r="E418" s="2"/>
      <c r="K418" s="2"/>
      <c r="L418" s="2"/>
      <c r="M418" s="2"/>
    </row>
    <row r="419" spans="5:13" ht="12.75" customHeight="1">
      <c r="E419" s="2"/>
      <c r="K419" s="2"/>
      <c r="L419" s="2"/>
      <c r="M419" s="2"/>
    </row>
    <row r="420" spans="5:13" ht="12.75" customHeight="1">
      <c r="E420" s="2"/>
      <c r="K420" s="2"/>
      <c r="L420" s="2"/>
      <c r="M420" s="2"/>
    </row>
    <row r="421" spans="5:13" ht="12.75" customHeight="1">
      <c r="E421" s="2"/>
      <c r="K421" s="2"/>
      <c r="L421" s="2"/>
      <c r="M421" s="2"/>
    </row>
    <row r="422" spans="5:13" ht="12.75" customHeight="1">
      <c r="E422" s="2"/>
      <c r="K422" s="2"/>
      <c r="L422" s="2"/>
      <c r="M422" s="2"/>
    </row>
    <row r="423" spans="5:13" ht="12.75" customHeight="1">
      <c r="E423" s="2"/>
      <c r="K423" s="2"/>
      <c r="L423" s="2"/>
      <c r="M423" s="2"/>
    </row>
    <row r="424" spans="5:13" ht="12.75" customHeight="1">
      <c r="E424" s="2"/>
      <c r="K424" s="2"/>
      <c r="L424" s="2"/>
      <c r="M424" s="2"/>
    </row>
    <row r="425" spans="5:13" ht="12.75" customHeight="1">
      <c r="E425" s="2"/>
      <c r="K425" s="2"/>
      <c r="L425" s="2"/>
      <c r="M425" s="2"/>
    </row>
    <row r="426" spans="5:13" ht="12.75" customHeight="1">
      <c r="E426" s="2"/>
      <c r="K426" s="2"/>
      <c r="L426" s="2"/>
      <c r="M426" s="2"/>
    </row>
    <row r="427" spans="5:13" ht="12.75" customHeight="1">
      <c r="E427" s="2"/>
      <c r="K427" s="2"/>
      <c r="L427" s="2"/>
      <c r="M427" s="2"/>
    </row>
    <row r="428" spans="5:13" ht="12.75" customHeight="1">
      <c r="E428" s="2"/>
      <c r="K428" s="2"/>
      <c r="L428" s="2"/>
      <c r="M428" s="2"/>
    </row>
    <row r="429" spans="5:13" ht="12.75" customHeight="1">
      <c r="E429" s="2"/>
      <c r="K429" s="2"/>
      <c r="L429" s="2"/>
      <c r="M429" s="2"/>
    </row>
    <row r="430" spans="5:13" ht="12.75" customHeight="1">
      <c r="E430" s="2"/>
      <c r="K430" s="2"/>
      <c r="L430" s="2"/>
      <c r="M430" s="2"/>
    </row>
    <row r="431" spans="5:13" ht="12.75" customHeight="1">
      <c r="E431" s="2"/>
      <c r="K431" s="2"/>
      <c r="L431" s="2"/>
      <c r="M431" s="2"/>
    </row>
    <row r="432" spans="5:13" ht="12.75" customHeight="1">
      <c r="E432" s="2"/>
      <c r="K432" s="2"/>
      <c r="L432" s="2"/>
      <c r="M432" s="2"/>
    </row>
    <row r="433" spans="5:13" ht="12.75" customHeight="1">
      <c r="E433" s="2"/>
      <c r="K433" s="2"/>
      <c r="L433" s="2"/>
      <c r="M433" s="2"/>
    </row>
    <row r="434" spans="5:13" ht="12.75" customHeight="1">
      <c r="E434" s="2"/>
      <c r="K434" s="2"/>
      <c r="L434" s="2"/>
      <c r="M434" s="2"/>
    </row>
    <row r="435" spans="5:13" ht="12.75" customHeight="1">
      <c r="E435" s="2"/>
      <c r="K435" s="2"/>
      <c r="L435" s="2"/>
      <c r="M435" s="2"/>
    </row>
    <row r="436" spans="5:13" ht="12.75" customHeight="1">
      <c r="E436" s="2"/>
      <c r="K436" s="2"/>
      <c r="L436" s="2"/>
      <c r="M436" s="2"/>
    </row>
    <row r="437" spans="5:13" ht="12.75" customHeight="1">
      <c r="E437" s="2"/>
      <c r="K437" s="2"/>
      <c r="L437" s="2"/>
      <c r="M437" s="2"/>
    </row>
    <row r="438" spans="5:13" ht="12.75" customHeight="1">
      <c r="E438" s="2"/>
      <c r="K438" s="2"/>
      <c r="L438" s="2"/>
      <c r="M438" s="2"/>
    </row>
    <row r="439" spans="5:13" ht="12.75" customHeight="1">
      <c r="E439" s="2"/>
      <c r="K439" s="2"/>
      <c r="L439" s="2"/>
      <c r="M439" s="2"/>
    </row>
    <row r="440" spans="5:13" ht="12.75" customHeight="1">
      <c r="E440" s="2"/>
      <c r="K440" s="2"/>
      <c r="L440" s="2"/>
      <c r="M440" s="2"/>
    </row>
    <row r="441" spans="5:13" ht="12.75" customHeight="1">
      <c r="E441" s="2"/>
      <c r="K441" s="2"/>
      <c r="L441" s="2"/>
      <c r="M441" s="2"/>
    </row>
    <row r="442" spans="5:13" ht="12.75" customHeight="1">
      <c r="E442" s="2"/>
      <c r="K442" s="2"/>
      <c r="L442" s="2"/>
      <c r="M442" s="2"/>
    </row>
    <row r="443" spans="5:13" ht="12.75" customHeight="1">
      <c r="E443" s="2"/>
      <c r="K443" s="2"/>
      <c r="L443" s="2"/>
      <c r="M443" s="2"/>
    </row>
    <row r="444" spans="5:13" ht="12.75" customHeight="1">
      <c r="E444" s="2"/>
      <c r="K444" s="2"/>
      <c r="L444" s="2"/>
      <c r="M444" s="2"/>
    </row>
    <row r="445" spans="5:13" ht="12.75" customHeight="1">
      <c r="E445" s="2"/>
      <c r="K445" s="2"/>
      <c r="L445" s="2"/>
      <c r="M445" s="2"/>
    </row>
    <row r="446" spans="5:13" ht="12.75" customHeight="1">
      <c r="E446" s="2"/>
      <c r="K446" s="2"/>
      <c r="L446" s="2"/>
      <c r="M446" s="2"/>
    </row>
    <row r="447" spans="5:13" ht="12.75" customHeight="1">
      <c r="E447" s="2"/>
      <c r="K447" s="2"/>
      <c r="L447" s="2"/>
      <c r="M447" s="2"/>
    </row>
    <row r="448" spans="5:13" ht="12.75" customHeight="1">
      <c r="E448" s="2"/>
      <c r="K448" s="2"/>
      <c r="L448" s="2"/>
      <c r="M448" s="2"/>
    </row>
    <row r="449" spans="5:13" ht="12.75" customHeight="1">
      <c r="E449" s="2"/>
      <c r="K449" s="2"/>
      <c r="L449" s="2"/>
      <c r="M449" s="2"/>
    </row>
    <row r="450" spans="5:13" ht="12.75" customHeight="1">
      <c r="E450" s="2"/>
      <c r="K450" s="2"/>
      <c r="L450" s="2"/>
      <c r="M450" s="2"/>
    </row>
    <row r="451" spans="5:13" ht="12.75" customHeight="1">
      <c r="E451" s="2"/>
      <c r="K451" s="2"/>
      <c r="L451" s="2"/>
      <c r="M451" s="2"/>
    </row>
    <row r="452" spans="5:13" ht="12.75" customHeight="1">
      <c r="E452" s="2"/>
      <c r="K452" s="2"/>
      <c r="L452" s="2"/>
      <c r="M452" s="2"/>
    </row>
    <row r="453" spans="5:13" ht="12.75" customHeight="1">
      <c r="E453" s="2"/>
      <c r="K453" s="2"/>
      <c r="L453" s="2"/>
      <c r="M453" s="2"/>
    </row>
    <row r="454" spans="5:13" ht="12.75" customHeight="1">
      <c r="E454" s="2"/>
      <c r="K454" s="2"/>
      <c r="L454" s="2"/>
      <c r="M454" s="2"/>
    </row>
    <row r="455" spans="5:13" ht="12.75" customHeight="1">
      <c r="E455" s="2"/>
      <c r="K455" s="2"/>
      <c r="L455" s="2"/>
      <c r="M455" s="2"/>
    </row>
    <row r="456" spans="5:13" ht="12.75" customHeight="1">
      <c r="E456" s="2"/>
      <c r="K456" s="2"/>
      <c r="L456" s="2"/>
      <c r="M456" s="2"/>
    </row>
    <row r="457" spans="5:13" ht="12.75" customHeight="1">
      <c r="E457" s="2"/>
      <c r="K457" s="2"/>
      <c r="L457" s="2"/>
      <c r="M457" s="2"/>
    </row>
    <row r="458" spans="5:13" ht="12.75" customHeight="1">
      <c r="E458" s="2"/>
      <c r="K458" s="2"/>
      <c r="L458" s="2"/>
      <c r="M458" s="2"/>
    </row>
    <row r="459" spans="5:13" ht="12.75" customHeight="1">
      <c r="E459" s="2"/>
      <c r="K459" s="2"/>
      <c r="L459" s="2"/>
      <c r="M459" s="2"/>
    </row>
    <row r="460" spans="5:13" ht="12.75" customHeight="1">
      <c r="E460" s="2"/>
      <c r="K460" s="2"/>
      <c r="L460" s="2"/>
      <c r="M460" s="2"/>
    </row>
    <row r="461" spans="5:13" ht="12.75" customHeight="1">
      <c r="E461" s="2"/>
      <c r="K461" s="2"/>
      <c r="L461" s="2"/>
      <c r="M461" s="2"/>
    </row>
    <row r="462" spans="5:13" ht="12.75" customHeight="1">
      <c r="E462" s="2"/>
      <c r="K462" s="2"/>
      <c r="L462" s="2"/>
      <c r="M462" s="2"/>
    </row>
    <row r="463" spans="5:13" ht="12.75" customHeight="1">
      <c r="E463" s="2"/>
      <c r="K463" s="2"/>
      <c r="L463" s="2"/>
      <c r="M463" s="2"/>
    </row>
    <row r="464" spans="5:13" ht="12.75" customHeight="1">
      <c r="E464" s="2"/>
      <c r="K464" s="2"/>
      <c r="L464" s="2"/>
      <c r="M464" s="2"/>
    </row>
    <row r="465" spans="5:13" ht="12.75" customHeight="1">
      <c r="E465" s="2"/>
      <c r="K465" s="2"/>
      <c r="L465" s="2"/>
      <c r="M465" s="2"/>
    </row>
    <row r="466" spans="5:13" ht="12.75" customHeight="1">
      <c r="E466" s="2"/>
      <c r="K466" s="2"/>
      <c r="L466" s="2"/>
      <c r="M466" s="2"/>
    </row>
    <row r="467" spans="5:13" ht="12.75" customHeight="1">
      <c r="E467" s="2"/>
      <c r="K467" s="2"/>
      <c r="L467" s="2"/>
      <c r="M467" s="2"/>
    </row>
    <row r="468" spans="5:13" ht="12.75" customHeight="1">
      <c r="E468" s="2"/>
      <c r="K468" s="2"/>
      <c r="L468" s="2"/>
      <c r="M468" s="2"/>
    </row>
    <row r="469" spans="5:13" ht="12.75" customHeight="1">
      <c r="E469" s="2"/>
      <c r="K469" s="2"/>
      <c r="L469" s="2"/>
      <c r="M469" s="2"/>
    </row>
    <row r="470" spans="5:13" ht="12.75" customHeight="1">
      <c r="E470" s="2"/>
      <c r="K470" s="2"/>
      <c r="L470" s="2"/>
      <c r="M470" s="2"/>
    </row>
    <row r="471" spans="5:13" ht="12.75" customHeight="1">
      <c r="E471" s="2"/>
      <c r="K471" s="2"/>
      <c r="L471" s="2"/>
      <c r="M471" s="2"/>
    </row>
    <row r="472" spans="5:13" ht="12.75" customHeight="1">
      <c r="E472" s="2"/>
      <c r="K472" s="2"/>
      <c r="L472" s="2"/>
      <c r="M472" s="2"/>
    </row>
    <row r="473" spans="5:13" ht="12.75" customHeight="1">
      <c r="E473" s="2"/>
      <c r="K473" s="2"/>
      <c r="L473" s="2"/>
      <c r="M473" s="2"/>
    </row>
    <row r="474" spans="5:13" ht="12.75" customHeight="1">
      <c r="E474" s="2"/>
      <c r="K474" s="2"/>
      <c r="L474" s="2"/>
      <c r="M474" s="2"/>
    </row>
    <row r="475" spans="5:13" ht="12.75" customHeight="1">
      <c r="E475" s="2"/>
      <c r="K475" s="2"/>
      <c r="L475" s="2"/>
      <c r="M475" s="2"/>
    </row>
    <row r="476" spans="5:13" ht="12.75" customHeight="1">
      <c r="E476" s="2"/>
      <c r="K476" s="2"/>
      <c r="L476" s="2"/>
      <c r="M476" s="2"/>
    </row>
    <row r="477" spans="5:13" ht="12.75" customHeight="1">
      <c r="E477" s="2"/>
      <c r="K477" s="2"/>
      <c r="L477" s="2"/>
      <c r="M477" s="2"/>
    </row>
    <row r="478" spans="5:13" ht="12.75" customHeight="1">
      <c r="E478" s="2"/>
      <c r="K478" s="2"/>
      <c r="L478" s="2"/>
      <c r="M478" s="2"/>
    </row>
    <row r="479" spans="5:13" ht="12.75" customHeight="1">
      <c r="E479" s="2"/>
      <c r="K479" s="2"/>
      <c r="L479" s="2"/>
      <c r="M479" s="2"/>
    </row>
    <row r="480" spans="5:13" ht="12.75" customHeight="1">
      <c r="E480" s="2"/>
      <c r="K480" s="2"/>
      <c r="L480" s="2"/>
      <c r="M480" s="2"/>
    </row>
    <row r="481" spans="5:13" ht="12.75" customHeight="1">
      <c r="E481" s="2"/>
      <c r="K481" s="2"/>
      <c r="L481" s="2"/>
      <c r="M481" s="2"/>
    </row>
    <row r="482" spans="5:13" ht="12.75" customHeight="1">
      <c r="E482" s="2"/>
      <c r="K482" s="2"/>
      <c r="L482" s="2"/>
      <c r="M482" s="2"/>
    </row>
    <row r="483" spans="5:13" ht="12.75" customHeight="1">
      <c r="E483" s="2"/>
      <c r="K483" s="2"/>
      <c r="L483" s="2"/>
      <c r="M483" s="2"/>
    </row>
    <row r="484" spans="5:13" ht="12.75" customHeight="1">
      <c r="E484" s="2"/>
      <c r="K484" s="2"/>
      <c r="L484" s="2"/>
      <c r="M484" s="2"/>
    </row>
    <row r="485" spans="5:13" ht="12.75" customHeight="1">
      <c r="E485" s="2"/>
      <c r="K485" s="2"/>
      <c r="L485" s="2"/>
      <c r="M485" s="2"/>
    </row>
    <row r="486" spans="5:13" ht="12.75" customHeight="1">
      <c r="E486" s="2"/>
      <c r="K486" s="2"/>
      <c r="L486" s="2"/>
      <c r="M486" s="2"/>
    </row>
    <row r="487" spans="5:13" ht="12.75" customHeight="1">
      <c r="E487" s="2"/>
      <c r="K487" s="2"/>
      <c r="L487" s="2"/>
      <c r="M487" s="2"/>
    </row>
    <row r="488" spans="5:13" ht="12.75" customHeight="1">
      <c r="E488" s="2"/>
      <c r="K488" s="2"/>
      <c r="L488" s="2"/>
      <c r="M488" s="2"/>
    </row>
    <row r="489" spans="5:13" ht="12.75" customHeight="1">
      <c r="E489" s="2"/>
      <c r="K489" s="2"/>
      <c r="L489" s="2"/>
      <c r="M489" s="2"/>
    </row>
    <row r="490" spans="5:13" ht="12.75" customHeight="1">
      <c r="E490" s="2"/>
      <c r="K490" s="2"/>
      <c r="L490" s="2"/>
      <c r="M490" s="2"/>
    </row>
    <row r="491" spans="5:13" ht="12.75" customHeight="1">
      <c r="E491" s="2"/>
      <c r="K491" s="2"/>
      <c r="L491" s="2"/>
      <c r="M491" s="2"/>
    </row>
    <row r="492" spans="5:13" ht="12.75" customHeight="1">
      <c r="E492" s="2"/>
      <c r="K492" s="2"/>
      <c r="L492" s="2"/>
      <c r="M492" s="2"/>
    </row>
    <row r="493" spans="5:13" ht="12.75" customHeight="1">
      <c r="E493" s="2"/>
      <c r="K493" s="2"/>
      <c r="L493" s="2"/>
      <c r="M493" s="2"/>
    </row>
    <row r="494" spans="5:13" ht="12.75" customHeight="1">
      <c r="E494" s="2"/>
      <c r="K494" s="2"/>
      <c r="L494" s="2"/>
      <c r="M494" s="2"/>
    </row>
    <row r="495" spans="5:13" ht="12.75" customHeight="1">
      <c r="E495" s="2"/>
      <c r="K495" s="2"/>
      <c r="L495" s="2"/>
      <c r="M495" s="2"/>
    </row>
    <row r="496" spans="5:13" ht="12.75" customHeight="1">
      <c r="E496" s="2"/>
      <c r="K496" s="2"/>
      <c r="L496" s="2"/>
      <c r="M496" s="2"/>
    </row>
    <row r="497" spans="5:13" ht="12.75" customHeight="1">
      <c r="E497" s="2"/>
      <c r="K497" s="2"/>
      <c r="L497" s="2"/>
      <c r="M497" s="2"/>
    </row>
    <row r="498" spans="5:13" ht="12.75" customHeight="1">
      <c r="E498" s="2"/>
      <c r="K498" s="2"/>
      <c r="L498" s="2"/>
      <c r="M498" s="2"/>
    </row>
    <row r="499" spans="5:13" ht="12.75" customHeight="1">
      <c r="E499" s="2"/>
      <c r="K499" s="2"/>
      <c r="L499" s="2"/>
      <c r="M499" s="2"/>
    </row>
    <row r="500" spans="5:13" ht="12.75" customHeight="1">
      <c r="E500" s="2"/>
      <c r="K500" s="2"/>
      <c r="L500" s="2"/>
      <c r="M500" s="2"/>
    </row>
    <row r="501" spans="5:13" ht="12.75" customHeight="1">
      <c r="E501" s="2"/>
      <c r="K501" s="2"/>
      <c r="L501" s="2"/>
      <c r="M501" s="2"/>
    </row>
    <row r="502" spans="5:13" ht="12.75" customHeight="1">
      <c r="E502" s="2"/>
      <c r="K502" s="2"/>
      <c r="L502" s="2"/>
      <c r="M502" s="2"/>
    </row>
    <row r="503" spans="5:13" ht="12.75" customHeight="1">
      <c r="E503" s="2"/>
      <c r="K503" s="2"/>
      <c r="L503" s="2"/>
      <c r="M503" s="2"/>
    </row>
    <row r="504" spans="5:13" ht="12.75" customHeight="1">
      <c r="E504" s="2"/>
      <c r="K504" s="2"/>
      <c r="L504" s="2"/>
      <c r="M504" s="2"/>
    </row>
    <row r="505" spans="5:13" ht="12.75" customHeight="1">
      <c r="E505" s="2"/>
      <c r="K505" s="2"/>
      <c r="L505" s="2"/>
      <c r="M505" s="2"/>
    </row>
    <row r="506" spans="5:13" ht="12.75" customHeight="1">
      <c r="E506" s="2"/>
      <c r="K506" s="2"/>
      <c r="L506" s="2"/>
      <c r="M506" s="2"/>
    </row>
    <row r="507" spans="5:13" ht="12.75" customHeight="1">
      <c r="E507" s="2"/>
      <c r="K507" s="2"/>
      <c r="L507" s="2"/>
      <c r="M507" s="2"/>
    </row>
    <row r="508" spans="5:13" ht="12.75" customHeight="1">
      <c r="E508" s="2"/>
      <c r="K508" s="2"/>
      <c r="L508" s="2"/>
      <c r="M508" s="2"/>
    </row>
    <row r="509" spans="5:13" ht="12.75" customHeight="1">
      <c r="E509" s="2"/>
      <c r="K509" s="2"/>
      <c r="L509" s="2"/>
      <c r="M509" s="2"/>
    </row>
    <row r="510" spans="5:13" ht="12.75" customHeight="1">
      <c r="E510" s="2"/>
      <c r="K510" s="2"/>
      <c r="L510" s="2"/>
      <c r="M510" s="2"/>
    </row>
    <row r="511" spans="5:13" ht="12.75" customHeight="1">
      <c r="E511" s="2"/>
      <c r="K511" s="2"/>
      <c r="L511" s="2"/>
      <c r="M511" s="2"/>
    </row>
    <row r="512" spans="5:13" ht="12.75" customHeight="1">
      <c r="E512" s="2"/>
      <c r="K512" s="2"/>
      <c r="L512" s="2"/>
      <c r="M512" s="2"/>
    </row>
    <row r="513" spans="5:13" ht="12.75" customHeight="1">
      <c r="E513" s="2"/>
      <c r="K513" s="2"/>
      <c r="L513" s="2"/>
      <c r="M513" s="2"/>
    </row>
    <row r="514" spans="5:13" ht="12.75" customHeight="1">
      <c r="E514" s="2"/>
      <c r="K514" s="2"/>
      <c r="L514" s="2"/>
      <c r="M514" s="2"/>
    </row>
    <row r="515" spans="5:13" ht="12.75" customHeight="1">
      <c r="E515" s="2"/>
      <c r="K515" s="2"/>
      <c r="L515" s="2"/>
      <c r="M515" s="2"/>
    </row>
    <row r="516" spans="5:13" ht="12.75" customHeight="1">
      <c r="E516" s="2"/>
      <c r="K516" s="2"/>
      <c r="L516" s="2"/>
      <c r="M516" s="2"/>
    </row>
    <row r="517" spans="5:13" ht="12.75" customHeight="1">
      <c r="E517" s="2"/>
      <c r="K517" s="2"/>
      <c r="L517" s="2"/>
      <c r="M517" s="2"/>
    </row>
    <row r="518" spans="5:13" ht="12.75" customHeight="1">
      <c r="E518" s="2"/>
      <c r="K518" s="2"/>
      <c r="L518" s="2"/>
      <c r="M518" s="2"/>
    </row>
    <row r="519" spans="5:13" ht="12.75" customHeight="1">
      <c r="E519" s="2"/>
      <c r="K519" s="2"/>
      <c r="L519" s="2"/>
      <c r="M519" s="2"/>
    </row>
    <row r="520" spans="5:13" ht="12.75" customHeight="1">
      <c r="E520" s="2"/>
      <c r="K520" s="2"/>
      <c r="L520" s="2"/>
      <c r="M520" s="2"/>
    </row>
    <row r="521" spans="5:13" ht="12.75" customHeight="1">
      <c r="E521" s="2"/>
      <c r="K521" s="2"/>
      <c r="L521" s="2"/>
      <c r="M521" s="2"/>
    </row>
    <row r="522" spans="5:13" ht="12.75" customHeight="1">
      <c r="E522" s="2"/>
      <c r="K522" s="2"/>
      <c r="L522" s="2"/>
      <c r="M522" s="2"/>
    </row>
    <row r="523" spans="5:13" ht="12.75" customHeight="1">
      <c r="E523" s="2"/>
      <c r="K523" s="2"/>
      <c r="L523" s="2"/>
      <c r="M523" s="2"/>
    </row>
    <row r="524" spans="5:13" ht="12.75" customHeight="1">
      <c r="E524" s="2"/>
      <c r="K524" s="2"/>
      <c r="L524" s="2"/>
      <c r="M524" s="2"/>
    </row>
    <row r="525" spans="5:13" ht="12.75" customHeight="1">
      <c r="E525" s="2"/>
      <c r="K525" s="2"/>
      <c r="L525" s="2"/>
      <c r="M525" s="2"/>
    </row>
    <row r="526" spans="5:13" ht="12.75" customHeight="1">
      <c r="E526" s="2"/>
      <c r="K526" s="2"/>
      <c r="L526" s="2"/>
      <c r="M526" s="2"/>
    </row>
    <row r="527" spans="5:13" ht="12.75" customHeight="1">
      <c r="E527" s="2"/>
      <c r="K527" s="2"/>
      <c r="L527" s="2"/>
      <c r="M527" s="2"/>
    </row>
    <row r="528" spans="5:13" ht="12.75" customHeight="1">
      <c r="E528" s="2"/>
      <c r="K528" s="2"/>
      <c r="L528" s="2"/>
      <c r="M528" s="2"/>
    </row>
    <row r="529" spans="5:13" ht="12.75" customHeight="1">
      <c r="E529" s="2"/>
      <c r="K529" s="2"/>
      <c r="L529" s="2"/>
      <c r="M529" s="2"/>
    </row>
    <row r="530" spans="5:13" ht="12.75" customHeight="1">
      <c r="E530" s="2"/>
      <c r="K530" s="2"/>
      <c r="L530" s="2"/>
      <c r="M530" s="2"/>
    </row>
    <row r="531" spans="5:13" ht="12.75" customHeight="1">
      <c r="E531" s="2"/>
      <c r="K531" s="2"/>
      <c r="L531" s="2"/>
      <c r="M531" s="2"/>
    </row>
    <row r="532" spans="5:13" ht="12.75" customHeight="1">
      <c r="E532" s="2"/>
      <c r="K532" s="2"/>
      <c r="L532" s="2"/>
      <c r="M532" s="2"/>
    </row>
    <row r="533" spans="5:13" ht="12.75" customHeight="1">
      <c r="E533" s="2"/>
      <c r="K533" s="2"/>
      <c r="L533" s="2"/>
      <c r="M533" s="2"/>
    </row>
    <row r="534" spans="5:13" ht="12.75" customHeight="1">
      <c r="E534" s="2"/>
      <c r="K534" s="2"/>
      <c r="L534" s="2"/>
      <c r="M534" s="2"/>
    </row>
    <row r="535" spans="5:13" ht="12.75" customHeight="1">
      <c r="E535" s="2"/>
      <c r="K535" s="2"/>
      <c r="L535" s="2"/>
      <c r="M535" s="2"/>
    </row>
    <row r="536" spans="5:13" ht="12.75" customHeight="1">
      <c r="E536" s="2"/>
      <c r="K536" s="2"/>
      <c r="L536" s="2"/>
      <c r="M536" s="2"/>
    </row>
    <row r="537" spans="5:13" ht="12.75" customHeight="1">
      <c r="E537" s="2"/>
      <c r="K537" s="2"/>
      <c r="L537" s="2"/>
      <c r="M537" s="2"/>
    </row>
    <row r="538" spans="5:13" ht="12.75" customHeight="1">
      <c r="E538" s="2"/>
      <c r="K538" s="2"/>
      <c r="L538" s="2"/>
      <c r="M538" s="2"/>
    </row>
    <row r="539" spans="5:13" ht="12.75" customHeight="1">
      <c r="E539" s="2"/>
      <c r="K539" s="2"/>
      <c r="L539" s="2"/>
      <c r="M539" s="2"/>
    </row>
    <row r="540" spans="5:13" ht="12.75" customHeight="1">
      <c r="E540" s="2"/>
      <c r="K540" s="2"/>
      <c r="L540" s="2"/>
      <c r="M540" s="2"/>
    </row>
    <row r="541" spans="5:13" ht="12.75" customHeight="1">
      <c r="E541" s="2"/>
      <c r="K541" s="2"/>
      <c r="L541" s="2"/>
      <c r="M541" s="2"/>
    </row>
    <row r="542" spans="5:13" ht="12.75" customHeight="1">
      <c r="E542" s="2"/>
      <c r="K542" s="2"/>
      <c r="L542" s="2"/>
      <c r="M542" s="2"/>
    </row>
    <row r="543" spans="5:13" ht="12.75" customHeight="1">
      <c r="E543" s="2"/>
      <c r="K543" s="2"/>
      <c r="L543" s="2"/>
      <c r="M543" s="2"/>
    </row>
    <row r="544" spans="5:13" ht="12.75" customHeight="1">
      <c r="E544" s="2"/>
      <c r="K544" s="2"/>
      <c r="L544" s="2"/>
      <c r="M544" s="2"/>
    </row>
    <row r="545" spans="5:13" ht="12.75" customHeight="1">
      <c r="E545" s="2"/>
      <c r="K545" s="2"/>
      <c r="L545" s="2"/>
      <c r="M545" s="2"/>
    </row>
    <row r="546" spans="5:13" ht="12.75" customHeight="1">
      <c r="E546" s="2"/>
      <c r="K546" s="2"/>
      <c r="L546" s="2"/>
      <c r="M546" s="2"/>
    </row>
    <row r="547" spans="5:13" ht="12.75" customHeight="1">
      <c r="E547" s="2"/>
      <c r="K547" s="2"/>
      <c r="L547" s="2"/>
      <c r="M547" s="2"/>
    </row>
    <row r="548" spans="5:13" ht="12.75" customHeight="1">
      <c r="E548" s="2"/>
      <c r="K548" s="2"/>
      <c r="L548" s="2"/>
      <c r="M548" s="2"/>
    </row>
    <row r="549" spans="5:13" ht="12.75" customHeight="1">
      <c r="E549" s="2"/>
      <c r="K549" s="2"/>
      <c r="L549" s="2"/>
      <c r="M549" s="2"/>
    </row>
    <row r="550" spans="5:13" ht="12.75" customHeight="1">
      <c r="E550" s="2"/>
      <c r="K550" s="2"/>
      <c r="L550" s="2"/>
      <c r="M550" s="2"/>
    </row>
    <row r="551" spans="5:13" ht="12.75" customHeight="1">
      <c r="E551" s="2"/>
      <c r="K551" s="2"/>
      <c r="L551" s="2"/>
      <c r="M551" s="2"/>
    </row>
    <row r="552" spans="5:13" ht="12.75" customHeight="1">
      <c r="E552" s="2"/>
      <c r="K552" s="2"/>
      <c r="L552" s="2"/>
      <c r="M552" s="2"/>
    </row>
    <row r="553" spans="5:13" ht="12.75" customHeight="1">
      <c r="E553" s="2"/>
      <c r="K553" s="2"/>
      <c r="L553" s="2"/>
      <c r="M553" s="2"/>
    </row>
    <row r="554" spans="5:13" ht="12.75" customHeight="1">
      <c r="E554" s="2"/>
      <c r="K554" s="2"/>
      <c r="L554" s="2"/>
      <c r="M554" s="2"/>
    </row>
    <row r="555" spans="5:13" ht="12.75" customHeight="1">
      <c r="E555" s="2"/>
      <c r="K555" s="2"/>
      <c r="L555" s="2"/>
      <c r="M555" s="2"/>
    </row>
    <row r="556" spans="5:13" ht="12.75" customHeight="1">
      <c r="E556" s="2"/>
      <c r="K556" s="2"/>
      <c r="L556" s="2"/>
      <c r="M556" s="2"/>
    </row>
    <row r="557" spans="5:13" ht="12.75" customHeight="1">
      <c r="E557" s="2"/>
      <c r="K557" s="2"/>
      <c r="L557" s="2"/>
      <c r="M557" s="2"/>
    </row>
    <row r="558" spans="5:13" ht="12.75" customHeight="1">
      <c r="E558" s="2"/>
      <c r="K558" s="2"/>
      <c r="L558" s="2"/>
      <c r="M558" s="2"/>
    </row>
    <row r="559" spans="5:13" ht="12.75" customHeight="1">
      <c r="E559" s="2"/>
      <c r="K559" s="2"/>
      <c r="L559" s="2"/>
      <c r="M559" s="2"/>
    </row>
    <row r="560" spans="5:13" ht="12.75" customHeight="1">
      <c r="E560" s="2"/>
      <c r="K560" s="2"/>
      <c r="L560" s="2"/>
      <c r="M560" s="2"/>
    </row>
    <row r="561" spans="5:13" ht="12.75" customHeight="1">
      <c r="E561" s="2"/>
      <c r="K561" s="2"/>
      <c r="L561" s="2"/>
      <c r="M561" s="2"/>
    </row>
    <row r="562" spans="5:13" ht="12.75" customHeight="1">
      <c r="E562" s="2"/>
      <c r="K562" s="2"/>
      <c r="L562" s="2"/>
      <c r="M562" s="2"/>
    </row>
    <row r="563" spans="5:13" ht="12.75" customHeight="1">
      <c r="E563" s="2"/>
      <c r="K563" s="2"/>
      <c r="L563" s="2"/>
      <c r="M563" s="2"/>
    </row>
    <row r="564" spans="5:13" ht="12.75" customHeight="1">
      <c r="E564" s="2"/>
      <c r="K564" s="2"/>
      <c r="L564" s="2"/>
      <c r="M564" s="2"/>
    </row>
    <row r="565" spans="5:13" ht="12.75" customHeight="1">
      <c r="E565" s="2"/>
      <c r="K565" s="2"/>
      <c r="L565" s="2"/>
      <c r="M565" s="2"/>
    </row>
    <row r="566" spans="5:13" ht="12.75" customHeight="1">
      <c r="E566" s="2"/>
      <c r="K566" s="2"/>
      <c r="L566" s="2"/>
      <c r="M566" s="2"/>
    </row>
    <row r="567" spans="5:13" ht="12.75" customHeight="1">
      <c r="E567" s="2"/>
      <c r="K567" s="2"/>
      <c r="L567" s="2"/>
      <c r="M567" s="2"/>
    </row>
    <row r="568" spans="5:13" ht="12.75" customHeight="1">
      <c r="E568" s="2"/>
      <c r="K568" s="2"/>
      <c r="L568" s="2"/>
      <c r="M568" s="2"/>
    </row>
    <row r="569" spans="5:13" ht="12.75" customHeight="1">
      <c r="E569" s="2"/>
      <c r="K569" s="2"/>
      <c r="L569" s="2"/>
      <c r="M569" s="2"/>
    </row>
    <row r="570" spans="5:13" ht="12.75" customHeight="1">
      <c r="E570" s="2"/>
      <c r="K570" s="2"/>
      <c r="L570" s="2"/>
      <c r="M570" s="2"/>
    </row>
    <row r="571" spans="5:13" ht="12.75" customHeight="1">
      <c r="E571" s="2"/>
      <c r="K571" s="2"/>
      <c r="L571" s="2"/>
      <c r="M571" s="2"/>
    </row>
    <row r="572" spans="5:13" ht="12.75" customHeight="1">
      <c r="E572" s="2"/>
      <c r="K572" s="2"/>
      <c r="L572" s="2"/>
      <c r="M572" s="2"/>
    </row>
    <row r="573" spans="5:13" ht="12.75" customHeight="1">
      <c r="E573" s="2"/>
      <c r="K573" s="2"/>
      <c r="L573" s="2"/>
      <c r="M573" s="2"/>
    </row>
    <row r="574" spans="5:13" ht="12.75" customHeight="1">
      <c r="E574" s="2"/>
      <c r="K574" s="2"/>
      <c r="L574" s="2"/>
      <c r="M574" s="2"/>
    </row>
    <row r="575" spans="5:13" ht="12.75" customHeight="1">
      <c r="E575" s="2"/>
      <c r="K575" s="2"/>
      <c r="L575" s="2"/>
      <c r="M575" s="2"/>
    </row>
    <row r="576" spans="5:13" ht="12.75" customHeight="1">
      <c r="E576" s="2"/>
      <c r="K576" s="2"/>
      <c r="L576" s="2"/>
      <c r="M576" s="2"/>
    </row>
    <row r="577" spans="5:13" ht="12.75" customHeight="1">
      <c r="E577" s="2"/>
      <c r="K577" s="2"/>
      <c r="L577" s="2"/>
      <c r="M577" s="2"/>
    </row>
    <row r="578" spans="5:13" ht="12.75" customHeight="1">
      <c r="E578" s="2"/>
      <c r="K578" s="2"/>
      <c r="L578" s="2"/>
      <c r="M578" s="2"/>
    </row>
    <row r="579" spans="5:13" ht="12.75" customHeight="1">
      <c r="E579" s="2"/>
      <c r="K579" s="2"/>
      <c r="L579" s="2"/>
      <c r="M579" s="2"/>
    </row>
    <row r="580" spans="5:13" ht="12.75" customHeight="1">
      <c r="E580" s="2"/>
      <c r="K580" s="2"/>
      <c r="L580" s="2"/>
      <c r="M580" s="2"/>
    </row>
    <row r="581" spans="5:13" ht="12.75" customHeight="1">
      <c r="E581" s="2"/>
      <c r="K581" s="2"/>
      <c r="L581" s="2"/>
      <c r="M581" s="2"/>
    </row>
    <row r="582" spans="5:13" ht="12.75" customHeight="1">
      <c r="E582" s="2"/>
      <c r="K582" s="2"/>
      <c r="L582" s="2"/>
      <c r="M582" s="2"/>
    </row>
    <row r="583" spans="5:13" ht="12.75" customHeight="1">
      <c r="E583" s="2"/>
      <c r="K583" s="2"/>
      <c r="L583" s="2"/>
      <c r="M583" s="2"/>
    </row>
    <row r="584" spans="5:13" ht="12.75" customHeight="1">
      <c r="E584" s="2"/>
      <c r="K584" s="2"/>
      <c r="L584" s="2"/>
      <c r="M584" s="2"/>
    </row>
    <row r="585" spans="5:13" ht="12.75" customHeight="1">
      <c r="E585" s="2"/>
      <c r="K585" s="2"/>
      <c r="L585" s="2"/>
      <c r="M585" s="2"/>
    </row>
    <row r="586" spans="5:13" ht="12.75" customHeight="1">
      <c r="E586" s="2"/>
      <c r="K586" s="2"/>
      <c r="L586" s="2"/>
      <c r="M586" s="2"/>
    </row>
    <row r="587" spans="5:13" ht="12.75" customHeight="1">
      <c r="E587" s="2"/>
      <c r="K587" s="2"/>
      <c r="L587" s="2"/>
      <c r="M587" s="2"/>
    </row>
    <row r="588" spans="5:13" ht="12.75" customHeight="1">
      <c r="E588" s="2"/>
      <c r="K588" s="2"/>
      <c r="L588" s="2"/>
      <c r="M588" s="2"/>
    </row>
    <row r="589" spans="5:13" ht="12.75" customHeight="1">
      <c r="E589" s="2"/>
      <c r="K589" s="2"/>
      <c r="L589" s="2"/>
      <c r="M589" s="2"/>
    </row>
    <row r="590" spans="5:13" ht="12.75" customHeight="1">
      <c r="E590" s="2"/>
      <c r="K590" s="2"/>
      <c r="L590" s="2"/>
      <c r="M590" s="2"/>
    </row>
    <row r="591" spans="5:13" ht="12.75" customHeight="1">
      <c r="E591" s="2"/>
      <c r="K591" s="2"/>
      <c r="L591" s="2"/>
      <c r="M591" s="2"/>
    </row>
    <row r="592" spans="5:13" ht="12.75" customHeight="1">
      <c r="E592" s="2"/>
      <c r="K592" s="2"/>
      <c r="L592" s="2"/>
      <c r="M592" s="2"/>
    </row>
    <row r="593" spans="5:13" ht="12.75" customHeight="1">
      <c r="E593" s="2"/>
      <c r="K593" s="2"/>
      <c r="L593" s="2"/>
      <c r="M593" s="2"/>
    </row>
    <row r="594" spans="5:13" ht="12.75" customHeight="1">
      <c r="E594" s="2"/>
      <c r="K594" s="2"/>
      <c r="L594" s="2"/>
      <c r="M594" s="2"/>
    </row>
    <row r="595" spans="5:13" ht="12.75" customHeight="1">
      <c r="E595" s="2"/>
      <c r="K595" s="2"/>
      <c r="L595" s="2"/>
      <c r="M595" s="2"/>
    </row>
    <row r="596" spans="5:13" ht="12.75" customHeight="1">
      <c r="E596" s="2"/>
      <c r="K596" s="2"/>
      <c r="L596" s="2"/>
      <c r="M596" s="2"/>
    </row>
    <row r="597" spans="5:13" ht="12.75" customHeight="1">
      <c r="E597" s="2"/>
      <c r="K597" s="2"/>
      <c r="L597" s="2"/>
      <c r="M597" s="2"/>
    </row>
    <row r="598" spans="5:13" ht="12.75" customHeight="1">
      <c r="E598" s="2"/>
      <c r="K598" s="2"/>
      <c r="L598" s="2"/>
      <c r="M598" s="2"/>
    </row>
    <row r="599" spans="5:13" ht="12.75" customHeight="1">
      <c r="E599" s="2"/>
      <c r="K599" s="2"/>
      <c r="L599" s="2"/>
      <c r="M599" s="2"/>
    </row>
    <row r="600" spans="5:13" ht="12.75" customHeight="1">
      <c r="E600" s="2"/>
      <c r="K600" s="2"/>
      <c r="L600" s="2"/>
      <c r="M600" s="2"/>
    </row>
    <row r="601" spans="5:13" ht="12.75" customHeight="1">
      <c r="E601" s="2"/>
      <c r="K601" s="2"/>
      <c r="L601" s="2"/>
      <c r="M601" s="2"/>
    </row>
    <row r="602" spans="5:13" ht="12.75" customHeight="1">
      <c r="E602" s="2"/>
      <c r="K602" s="2"/>
      <c r="L602" s="2"/>
      <c r="M602" s="2"/>
    </row>
    <row r="603" spans="5:13" ht="12.75" customHeight="1">
      <c r="E603" s="2"/>
      <c r="K603" s="2"/>
      <c r="L603" s="2"/>
      <c r="M603" s="2"/>
    </row>
    <row r="604" spans="5:13" ht="12.75" customHeight="1">
      <c r="E604" s="2"/>
      <c r="K604" s="2"/>
      <c r="L604" s="2"/>
      <c r="M604" s="2"/>
    </row>
    <row r="605" spans="5:13" ht="12.75" customHeight="1">
      <c r="E605" s="2"/>
      <c r="K605" s="2"/>
      <c r="L605" s="2"/>
      <c r="M605" s="2"/>
    </row>
    <row r="606" spans="5:13" ht="12.75" customHeight="1">
      <c r="E606" s="2"/>
      <c r="K606" s="2"/>
      <c r="L606" s="2"/>
      <c r="M606" s="2"/>
    </row>
    <row r="607" spans="5:13" ht="12.75" customHeight="1">
      <c r="E607" s="2"/>
      <c r="K607" s="2"/>
      <c r="L607" s="2"/>
      <c r="M607" s="2"/>
    </row>
    <row r="608" spans="5:13" ht="12.75" customHeight="1">
      <c r="E608" s="2"/>
      <c r="K608" s="2"/>
      <c r="L608" s="2"/>
      <c r="M608" s="2"/>
    </row>
    <row r="609" spans="5:13" ht="12.75" customHeight="1">
      <c r="E609" s="2"/>
      <c r="K609" s="2"/>
      <c r="L609" s="2"/>
      <c r="M609" s="2"/>
    </row>
    <row r="610" spans="5:13" ht="12.75" customHeight="1">
      <c r="E610" s="2"/>
      <c r="K610" s="2"/>
      <c r="L610" s="2"/>
      <c r="M610" s="2"/>
    </row>
    <row r="611" spans="5:13" ht="12.75" customHeight="1">
      <c r="E611" s="2"/>
      <c r="K611" s="2"/>
      <c r="L611" s="2"/>
      <c r="M611" s="2"/>
    </row>
    <row r="612" spans="5:13" ht="12.75" customHeight="1">
      <c r="E612" s="2"/>
      <c r="K612" s="2"/>
      <c r="L612" s="2"/>
      <c r="M612" s="2"/>
    </row>
    <row r="613" spans="5:13" ht="12.75" customHeight="1">
      <c r="E613" s="2"/>
      <c r="K613" s="2"/>
      <c r="L613" s="2"/>
      <c r="M613" s="2"/>
    </row>
    <row r="614" spans="5:13" ht="12.75" customHeight="1">
      <c r="E614" s="2"/>
      <c r="K614" s="2"/>
      <c r="L614" s="2"/>
      <c r="M614" s="2"/>
    </row>
    <row r="615" spans="5:13" ht="12.75" customHeight="1">
      <c r="E615" s="2"/>
      <c r="K615" s="2"/>
      <c r="L615" s="2"/>
      <c r="M615" s="2"/>
    </row>
    <row r="616" spans="5:13" ht="12.75" customHeight="1">
      <c r="E616" s="2"/>
      <c r="K616" s="2"/>
      <c r="L616" s="2"/>
      <c r="M616" s="2"/>
    </row>
    <row r="617" spans="5:13" ht="12.75" customHeight="1">
      <c r="E617" s="2"/>
      <c r="K617" s="2"/>
      <c r="L617" s="2"/>
      <c r="M617" s="2"/>
    </row>
    <row r="618" spans="5:13" ht="12.75" customHeight="1">
      <c r="E618" s="2"/>
      <c r="K618" s="2"/>
      <c r="L618" s="2"/>
      <c r="M618" s="2"/>
    </row>
    <row r="619" spans="5:13" ht="12.75" customHeight="1">
      <c r="E619" s="2"/>
      <c r="K619" s="2"/>
      <c r="L619" s="2"/>
      <c r="M619" s="2"/>
    </row>
    <row r="620" spans="5:13" ht="12.75" customHeight="1">
      <c r="E620" s="2"/>
      <c r="K620" s="2"/>
      <c r="L620" s="2"/>
      <c r="M620" s="2"/>
    </row>
    <row r="621" spans="5:13" ht="12.75" customHeight="1">
      <c r="E621" s="2"/>
      <c r="K621" s="2"/>
      <c r="L621" s="2"/>
      <c r="M621" s="2"/>
    </row>
    <row r="622" spans="5:13" ht="12.75" customHeight="1">
      <c r="E622" s="2"/>
      <c r="K622" s="2"/>
      <c r="L622" s="2"/>
      <c r="M622" s="2"/>
    </row>
    <row r="623" spans="5:13" ht="12.75" customHeight="1">
      <c r="E623" s="2"/>
      <c r="K623" s="2"/>
      <c r="L623" s="2"/>
      <c r="M623" s="2"/>
    </row>
    <row r="624" spans="5:13" ht="12.75" customHeight="1">
      <c r="E624" s="2"/>
      <c r="K624" s="2"/>
      <c r="L624" s="2"/>
      <c r="M624" s="2"/>
    </row>
    <row r="625" spans="5:13" ht="12.75" customHeight="1">
      <c r="E625" s="2"/>
      <c r="K625" s="2"/>
      <c r="L625" s="2"/>
      <c r="M625" s="2"/>
    </row>
    <row r="626" spans="5:13" ht="12.75" customHeight="1">
      <c r="E626" s="2"/>
      <c r="K626" s="2"/>
      <c r="L626" s="2"/>
      <c r="M626" s="2"/>
    </row>
    <row r="627" spans="5:13" ht="12.75" customHeight="1">
      <c r="E627" s="2"/>
      <c r="K627" s="2"/>
      <c r="L627" s="2"/>
      <c r="M627" s="2"/>
    </row>
    <row r="628" spans="5:13" ht="12.75" customHeight="1">
      <c r="E628" s="2"/>
      <c r="K628" s="2"/>
      <c r="L628" s="2"/>
      <c r="M628" s="2"/>
    </row>
    <row r="629" spans="5:13" ht="12.75" customHeight="1">
      <c r="E629" s="2"/>
      <c r="K629" s="2"/>
      <c r="L629" s="2"/>
      <c r="M629" s="2"/>
    </row>
    <row r="630" spans="5:13" ht="12.75" customHeight="1">
      <c r="E630" s="2"/>
      <c r="K630" s="2"/>
      <c r="L630" s="2"/>
      <c r="M630" s="2"/>
    </row>
    <row r="631" spans="5:13" ht="12.75" customHeight="1">
      <c r="E631" s="2"/>
      <c r="K631" s="2"/>
      <c r="L631" s="2"/>
      <c r="M631" s="2"/>
    </row>
    <row r="632" spans="5:13" ht="12.75" customHeight="1">
      <c r="E632" s="2"/>
      <c r="K632" s="2"/>
      <c r="L632" s="2"/>
      <c r="M632" s="2"/>
    </row>
    <row r="633" spans="5:13" ht="12.75" customHeight="1">
      <c r="E633" s="2"/>
      <c r="K633" s="2"/>
      <c r="L633" s="2"/>
      <c r="M633" s="2"/>
    </row>
    <row r="634" spans="5:13" ht="12.75" customHeight="1">
      <c r="E634" s="2"/>
      <c r="K634" s="2"/>
      <c r="L634" s="2"/>
      <c r="M634" s="2"/>
    </row>
    <row r="635" spans="5:13" ht="12.75" customHeight="1">
      <c r="E635" s="2"/>
      <c r="K635" s="2"/>
      <c r="L635" s="2"/>
      <c r="M635" s="2"/>
    </row>
    <row r="636" spans="5:13" ht="12.75" customHeight="1">
      <c r="E636" s="2"/>
      <c r="K636" s="2"/>
      <c r="L636" s="2"/>
      <c r="M636" s="2"/>
    </row>
    <row r="637" spans="5:13" ht="12.75" customHeight="1">
      <c r="E637" s="2"/>
      <c r="K637" s="2"/>
      <c r="L637" s="2"/>
      <c r="M637" s="2"/>
    </row>
    <row r="638" spans="5:13" ht="12.75" customHeight="1">
      <c r="E638" s="2"/>
      <c r="K638" s="2"/>
      <c r="L638" s="2"/>
      <c r="M638" s="2"/>
    </row>
    <row r="639" spans="5:13" ht="12.75" customHeight="1">
      <c r="E639" s="2"/>
      <c r="K639" s="2"/>
      <c r="L639" s="2"/>
      <c r="M639" s="2"/>
    </row>
    <row r="640" spans="5:13" ht="12.75" customHeight="1">
      <c r="E640" s="2"/>
      <c r="K640" s="2"/>
      <c r="L640" s="2"/>
      <c r="M640" s="2"/>
    </row>
    <row r="641" spans="5:13" ht="12.75" customHeight="1">
      <c r="E641" s="2"/>
      <c r="K641" s="2"/>
      <c r="L641" s="2"/>
      <c r="M641" s="2"/>
    </row>
    <row r="642" spans="5:13" ht="12.75" customHeight="1">
      <c r="E642" s="2"/>
      <c r="K642" s="2"/>
      <c r="L642" s="2"/>
      <c r="M642" s="2"/>
    </row>
    <row r="643" spans="5:13" ht="12.75" customHeight="1">
      <c r="E643" s="2"/>
      <c r="K643" s="2"/>
      <c r="L643" s="2"/>
      <c r="M643" s="2"/>
    </row>
    <row r="644" spans="5:13" ht="12.75" customHeight="1">
      <c r="E644" s="2"/>
      <c r="K644" s="2"/>
      <c r="L644" s="2"/>
      <c r="M644" s="2"/>
    </row>
    <row r="645" spans="5:13" ht="12.75" customHeight="1">
      <c r="E645" s="2"/>
      <c r="K645" s="2"/>
      <c r="L645" s="2"/>
      <c r="M645" s="2"/>
    </row>
    <row r="646" spans="5:13" ht="12.75" customHeight="1">
      <c r="E646" s="2"/>
      <c r="K646" s="2"/>
      <c r="L646" s="2"/>
      <c r="M646" s="2"/>
    </row>
    <row r="647" spans="5:13" ht="12.75" customHeight="1">
      <c r="E647" s="2"/>
      <c r="K647" s="2"/>
      <c r="L647" s="2"/>
      <c r="M647" s="2"/>
    </row>
    <row r="648" spans="5:13" ht="12.75" customHeight="1">
      <c r="E648" s="2"/>
      <c r="K648" s="2"/>
      <c r="L648" s="2"/>
      <c r="M648" s="2"/>
    </row>
    <row r="649" spans="5:13" ht="12.75" customHeight="1">
      <c r="E649" s="2"/>
      <c r="K649" s="2"/>
      <c r="L649" s="2"/>
      <c r="M649" s="2"/>
    </row>
    <row r="650" spans="5:13" ht="12.75" customHeight="1">
      <c r="E650" s="2"/>
      <c r="K650" s="2"/>
      <c r="L650" s="2"/>
      <c r="M650" s="2"/>
    </row>
    <row r="651" spans="5:13" ht="12.75" customHeight="1">
      <c r="E651" s="2"/>
      <c r="K651" s="2"/>
      <c r="L651" s="2"/>
      <c r="M651" s="2"/>
    </row>
    <row r="652" spans="5:13" ht="12.75" customHeight="1">
      <c r="E652" s="2"/>
      <c r="K652" s="2"/>
      <c r="L652" s="2"/>
      <c r="M652" s="2"/>
    </row>
    <row r="653" spans="5:13" ht="12.75" customHeight="1">
      <c r="E653" s="2"/>
      <c r="K653" s="2"/>
      <c r="L653" s="2"/>
      <c r="M653" s="2"/>
    </row>
    <row r="654" spans="5:13" ht="12.75" customHeight="1">
      <c r="E654" s="2"/>
      <c r="K654" s="2"/>
      <c r="L654" s="2"/>
      <c r="M654" s="2"/>
    </row>
    <row r="655" spans="5:13" ht="12.75" customHeight="1">
      <c r="E655" s="2"/>
      <c r="K655" s="2"/>
      <c r="L655" s="2"/>
      <c r="M655" s="2"/>
    </row>
    <row r="656" spans="5:13" ht="12.75" customHeight="1">
      <c r="E656" s="2"/>
      <c r="K656" s="2"/>
      <c r="L656" s="2"/>
      <c r="M656" s="2"/>
    </row>
    <row r="657" spans="5:13" ht="12.75" customHeight="1">
      <c r="E657" s="2"/>
      <c r="K657" s="2"/>
      <c r="L657" s="2"/>
      <c r="M657" s="2"/>
    </row>
    <row r="658" spans="5:13" ht="12.75" customHeight="1">
      <c r="E658" s="2"/>
      <c r="K658" s="2"/>
      <c r="L658" s="2"/>
      <c r="M658" s="2"/>
    </row>
    <row r="659" spans="5:13" ht="12.75" customHeight="1">
      <c r="E659" s="2"/>
      <c r="K659" s="2"/>
      <c r="L659" s="2"/>
      <c r="M659" s="2"/>
    </row>
    <row r="660" spans="5:13" ht="12.75" customHeight="1">
      <c r="E660" s="2"/>
      <c r="K660" s="2"/>
      <c r="L660" s="2"/>
      <c r="M660" s="2"/>
    </row>
    <row r="661" spans="5:13" ht="12.75" customHeight="1">
      <c r="E661" s="2"/>
      <c r="K661" s="2"/>
      <c r="L661" s="2"/>
      <c r="M661" s="2"/>
    </row>
    <row r="662" spans="5:13" ht="12.75" customHeight="1">
      <c r="E662" s="2"/>
      <c r="K662" s="2"/>
      <c r="L662" s="2"/>
      <c r="M662" s="2"/>
    </row>
    <row r="663" spans="5:13" ht="12.75" customHeight="1">
      <c r="E663" s="2"/>
      <c r="K663" s="2"/>
      <c r="L663" s="2"/>
      <c r="M663" s="2"/>
    </row>
    <row r="664" spans="5:13" ht="12.75" customHeight="1">
      <c r="E664" s="2"/>
      <c r="K664" s="2"/>
      <c r="L664" s="2"/>
      <c r="M664" s="2"/>
    </row>
    <row r="665" spans="5:13" ht="12.75" customHeight="1">
      <c r="E665" s="2"/>
      <c r="K665" s="2"/>
      <c r="L665" s="2"/>
      <c r="M665" s="2"/>
    </row>
    <row r="666" spans="5:13" ht="12.75" customHeight="1">
      <c r="E666" s="2"/>
      <c r="K666" s="2"/>
      <c r="L666" s="2"/>
      <c r="M666" s="2"/>
    </row>
    <row r="667" spans="5:13" ht="12.75" customHeight="1">
      <c r="E667" s="2"/>
      <c r="K667" s="2"/>
      <c r="L667" s="2"/>
      <c r="M667" s="2"/>
    </row>
    <row r="668" spans="5:13" ht="12.75" customHeight="1">
      <c r="E668" s="2"/>
      <c r="K668" s="2"/>
      <c r="L668" s="2"/>
      <c r="M668" s="2"/>
    </row>
    <row r="669" spans="5:13" ht="12.75" customHeight="1">
      <c r="E669" s="2"/>
      <c r="K669" s="2"/>
      <c r="L669" s="2"/>
      <c r="M669" s="2"/>
    </row>
    <row r="670" spans="5:13" ht="12.75" customHeight="1">
      <c r="E670" s="2"/>
      <c r="K670" s="2"/>
      <c r="L670" s="2"/>
      <c r="M670" s="2"/>
    </row>
    <row r="671" spans="5:13" ht="12.75" customHeight="1">
      <c r="E671" s="2"/>
      <c r="K671" s="2"/>
      <c r="L671" s="2"/>
      <c r="M671" s="2"/>
    </row>
    <row r="672" spans="5:13" ht="12.75" customHeight="1">
      <c r="E672" s="2"/>
      <c r="K672" s="2"/>
      <c r="L672" s="2"/>
      <c r="M672" s="2"/>
    </row>
    <row r="673" spans="5:13" ht="12.75" customHeight="1">
      <c r="E673" s="2"/>
      <c r="K673" s="2"/>
      <c r="L673" s="2"/>
      <c r="M673" s="2"/>
    </row>
    <row r="674" spans="5:13" ht="12.75" customHeight="1">
      <c r="E674" s="2"/>
      <c r="K674" s="2"/>
      <c r="L674" s="2"/>
      <c r="M674" s="2"/>
    </row>
    <row r="675" spans="5:13" ht="12.75" customHeight="1">
      <c r="E675" s="2"/>
      <c r="K675" s="2"/>
      <c r="L675" s="2"/>
      <c r="M675" s="2"/>
    </row>
    <row r="676" spans="5:13" ht="12.75" customHeight="1">
      <c r="E676" s="2"/>
      <c r="K676" s="2"/>
      <c r="L676" s="2"/>
      <c r="M676" s="2"/>
    </row>
    <row r="677" spans="5:13" ht="12.75" customHeight="1">
      <c r="E677" s="2"/>
      <c r="K677" s="2"/>
      <c r="L677" s="2"/>
      <c r="M677" s="2"/>
    </row>
    <row r="678" spans="5:13" ht="12.75" customHeight="1">
      <c r="E678" s="2"/>
      <c r="K678" s="2"/>
      <c r="L678" s="2"/>
      <c r="M678" s="2"/>
    </row>
    <row r="679" spans="5:13" ht="12.75" customHeight="1">
      <c r="E679" s="2"/>
      <c r="K679" s="2"/>
      <c r="L679" s="2"/>
      <c r="M679" s="2"/>
    </row>
    <row r="680" spans="5:13" ht="12.75" customHeight="1">
      <c r="E680" s="2"/>
      <c r="K680" s="2"/>
      <c r="L680" s="2"/>
      <c r="M680" s="2"/>
    </row>
    <row r="681" spans="5:13" ht="12.75" customHeight="1">
      <c r="E681" s="2"/>
      <c r="K681" s="2"/>
      <c r="L681" s="2"/>
      <c r="M681" s="2"/>
    </row>
    <row r="682" spans="5:13" ht="12.75" customHeight="1">
      <c r="E682" s="2"/>
      <c r="K682" s="2"/>
      <c r="L682" s="2"/>
      <c r="M682" s="2"/>
    </row>
    <row r="683" spans="5:13" ht="12.75" customHeight="1">
      <c r="E683" s="2"/>
      <c r="K683" s="2"/>
      <c r="L683" s="2"/>
      <c r="M683" s="2"/>
    </row>
    <row r="684" spans="5:13" ht="12.75" customHeight="1">
      <c r="E684" s="2"/>
      <c r="K684" s="2"/>
      <c r="L684" s="2"/>
      <c r="M684" s="2"/>
    </row>
    <row r="685" spans="5:13" ht="12.75" customHeight="1">
      <c r="E685" s="2"/>
      <c r="K685" s="2"/>
      <c r="L685" s="2"/>
      <c r="M685" s="2"/>
    </row>
    <row r="686" spans="5:13" ht="12.75" customHeight="1">
      <c r="E686" s="2"/>
      <c r="K686" s="2"/>
      <c r="L686" s="2"/>
      <c r="M686" s="2"/>
    </row>
    <row r="687" spans="5:13" ht="12.75" customHeight="1">
      <c r="E687" s="2"/>
      <c r="K687" s="2"/>
      <c r="L687" s="2"/>
      <c r="M687" s="2"/>
    </row>
    <row r="688" spans="5:13" ht="12.75" customHeight="1">
      <c r="E688" s="2"/>
      <c r="K688" s="2"/>
      <c r="L688" s="2"/>
      <c r="M688" s="2"/>
    </row>
    <row r="689" spans="5:13" ht="12.75" customHeight="1">
      <c r="E689" s="2"/>
      <c r="K689" s="2"/>
      <c r="L689" s="2"/>
      <c r="M689" s="2"/>
    </row>
    <row r="690" spans="5:13" ht="12.75" customHeight="1">
      <c r="E690" s="2"/>
      <c r="K690" s="2"/>
      <c r="L690" s="2"/>
      <c r="M690" s="2"/>
    </row>
    <row r="691" spans="5:13" ht="12.75" customHeight="1">
      <c r="E691" s="2"/>
      <c r="K691" s="2"/>
      <c r="L691" s="2"/>
      <c r="M691" s="2"/>
    </row>
    <row r="692" spans="5:13" ht="12.75" customHeight="1">
      <c r="E692" s="2"/>
      <c r="K692" s="2"/>
      <c r="L692" s="2"/>
      <c r="M692" s="2"/>
    </row>
    <row r="693" spans="5:13" ht="12.75" customHeight="1">
      <c r="E693" s="2"/>
      <c r="K693" s="2"/>
      <c r="L693" s="2"/>
      <c r="M693" s="2"/>
    </row>
    <row r="694" spans="5:13" ht="12.75" customHeight="1">
      <c r="E694" s="2"/>
      <c r="K694" s="2"/>
      <c r="L694" s="2"/>
      <c r="M694" s="2"/>
    </row>
    <row r="695" spans="5:13" ht="12.75" customHeight="1">
      <c r="E695" s="2"/>
      <c r="K695" s="2"/>
      <c r="L695" s="2"/>
      <c r="M695" s="2"/>
    </row>
    <row r="696" spans="5:13" ht="12.75" customHeight="1">
      <c r="E696" s="2"/>
      <c r="K696" s="2"/>
      <c r="L696" s="2"/>
      <c r="M696" s="2"/>
    </row>
    <row r="697" spans="5:13" ht="12.75" customHeight="1">
      <c r="E697" s="2"/>
      <c r="K697" s="2"/>
      <c r="L697" s="2"/>
      <c r="M697" s="2"/>
    </row>
    <row r="698" spans="5:13" ht="12.75" customHeight="1">
      <c r="E698" s="2"/>
      <c r="K698" s="2"/>
      <c r="L698" s="2"/>
      <c r="M698" s="2"/>
    </row>
    <row r="699" spans="5:13" ht="12.75" customHeight="1">
      <c r="E699" s="2"/>
      <c r="K699" s="2"/>
      <c r="L699" s="2"/>
      <c r="M699" s="2"/>
    </row>
    <row r="700" spans="5:13" ht="12.75" customHeight="1">
      <c r="E700" s="2"/>
      <c r="K700" s="2"/>
      <c r="L700" s="2"/>
      <c r="M700" s="2"/>
    </row>
    <row r="701" spans="5:13" ht="12.75" customHeight="1">
      <c r="E701" s="2"/>
      <c r="K701" s="2"/>
      <c r="L701" s="2"/>
      <c r="M701" s="2"/>
    </row>
    <row r="702" spans="5:13" ht="12.75" customHeight="1">
      <c r="E702" s="2"/>
      <c r="K702" s="2"/>
      <c r="L702" s="2"/>
      <c r="M702" s="2"/>
    </row>
    <row r="703" spans="5:13" ht="12.75" customHeight="1">
      <c r="E703" s="2"/>
      <c r="K703" s="2"/>
      <c r="L703" s="2"/>
      <c r="M703" s="2"/>
    </row>
    <row r="704" spans="5:13" ht="12.75" customHeight="1">
      <c r="E704" s="2"/>
      <c r="K704" s="2"/>
      <c r="L704" s="2"/>
      <c r="M704" s="2"/>
    </row>
    <row r="705" spans="5:13" ht="12.75" customHeight="1">
      <c r="E705" s="2"/>
      <c r="K705" s="2"/>
      <c r="L705" s="2"/>
      <c r="M705" s="2"/>
    </row>
    <row r="706" spans="5:13" ht="12.75" customHeight="1">
      <c r="E706" s="2"/>
      <c r="K706" s="2"/>
      <c r="L706" s="2"/>
      <c r="M706" s="2"/>
    </row>
    <row r="707" spans="5:13" ht="12.75" customHeight="1">
      <c r="E707" s="2"/>
      <c r="K707" s="2"/>
      <c r="L707" s="2"/>
      <c r="M707" s="2"/>
    </row>
    <row r="708" spans="5:13" ht="12.75" customHeight="1">
      <c r="E708" s="2"/>
      <c r="K708" s="2"/>
      <c r="L708" s="2"/>
      <c r="M708" s="2"/>
    </row>
    <row r="709" spans="5:13" ht="12.75" customHeight="1">
      <c r="E709" s="2"/>
      <c r="K709" s="2"/>
      <c r="L709" s="2"/>
      <c r="M709" s="2"/>
    </row>
    <row r="710" spans="5:13" ht="12.75" customHeight="1">
      <c r="E710" s="2"/>
      <c r="K710" s="2"/>
      <c r="L710" s="2"/>
      <c r="M710" s="2"/>
    </row>
    <row r="711" spans="5:13" ht="12.75" customHeight="1">
      <c r="E711" s="2"/>
      <c r="K711" s="2"/>
      <c r="L711" s="2"/>
      <c r="M711" s="2"/>
    </row>
    <row r="712" spans="5:13" ht="12.75" customHeight="1">
      <c r="E712" s="2"/>
      <c r="K712" s="2"/>
      <c r="L712" s="2"/>
      <c r="M712" s="2"/>
    </row>
    <row r="713" spans="5:13" ht="12.75" customHeight="1">
      <c r="E713" s="2"/>
      <c r="K713" s="2"/>
      <c r="L713" s="2"/>
      <c r="M713" s="2"/>
    </row>
    <row r="714" spans="5:13" ht="12.75" customHeight="1">
      <c r="E714" s="2"/>
      <c r="K714" s="2"/>
      <c r="L714" s="2"/>
      <c r="M714" s="2"/>
    </row>
    <row r="715" spans="5:13" ht="12.75" customHeight="1">
      <c r="E715" s="2"/>
      <c r="K715" s="2"/>
      <c r="L715" s="2"/>
      <c r="M715" s="2"/>
    </row>
    <row r="716" spans="5:13" ht="12.75" customHeight="1">
      <c r="E716" s="2"/>
      <c r="K716" s="2"/>
      <c r="L716" s="2"/>
      <c r="M716" s="2"/>
    </row>
    <row r="717" spans="5:13" ht="12.75" customHeight="1">
      <c r="E717" s="2"/>
      <c r="K717" s="2"/>
      <c r="L717" s="2"/>
      <c r="M717" s="2"/>
    </row>
    <row r="718" spans="5:13" ht="12.75" customHeight="1">
      <c r="E718" s="2"/>
      <c r="K718" s="2"/>
      <c r="L718" s="2"/>
      <c r="M718" s="2"/>
    </row>
    <row r="719" spans="5:13" ht="12.75" customHeight="1">
      <c r="E719" s="2"/>
      <c r="K719" s="2"/>
      <c r="L719" s="2"/>
      <c r="M719" s="2"/>
    </row>
    <row r="720" spans="5:13" ht="12.75" customHeight="1">
      <c r="E720" s="2"/>
      <c r="K720" s="2"/>
      <c r="L720" s="2"/>
      <c r="M720" s="2"/>
    </row>
    <row r="721" spans="5:13" ht="12.75" customHeight="1">
      <c r="E721" s="2"/>
      <c r="K721" s="2"/>
      <c r="L721" s="2"/>
      <c r="M721" s="2"/>
    </row>
    <row r="722" spans="5:13" ht="12.75" customHeight="1">
      <c r="E722" s="2"/>
      <c r="K722" s="2"/>
      <c r="L722" s="2"/>
      <c r="M722" s="2"/>
    </row>
    <row r="723" spans="5:13" ht="12.75" customHeight="1">
      <c r="E723" s="2"/>
      <c r="K723" s="2"/>
      <c r="L723" s="2"/>
      <c r="M723" s="2"/>
    </row>
    <row r="724" spans="5:13" ht="12.75" customHeight="1">
      <c r="E724" s="2"/>
      <c r="K724" s="2"/>
      <c r="L724" s="2"/>
      <c r="M724" s="2"/>
    </row>
    <row r="725" spans="5:13" ht="12.75" customHeight="1">
      <c r="E725" s="2"/>
      <c r="K725" s="2"/>
      <c r="L725" s="2"/>
      <c r="M725" s="2"/>
    </row>
    <row r="726" spans="5:13" ht="12.75" customHeight="1">
      <c r="E726" s="2"/>
      <c r="K726" s="2"/>
      <c r="L726" s="2"/>
      <c r="M726" s="2"/>
    </row>
    <row r="727" spans="5:13" ht="12.75" customHeight="1">
      <c r="E727" s="2"/>
      <c r="K727" s="2"/>
      <c r="L727" s="2"/>
      <c r="M727" s="2"/>
    </row>
    <row r="728" spans="5:13" ht="12.75" customHeight="1">
      <c r="E728" s="2"/>
      <c r="K728" s="2"/>
      <c r="L728" s="2"/>
      <c r="M728" s="2"/>
    </row>
    <row r="729" spans="5:13" ht="12.75" customHeight="1">
      <c r="E729" s="2"/>
      <c r="K729" s="2"/>
      <c r="L729" s="2"/>
      <c r="M729" s="2"/>
    </row>
    <row r="730" spans="5:13" ht="12.75" customHeight="1">
      <c r="E730" s="2"/>
      <c r="K730" s="2"/>
      <c r="L730" s="2"/>
      <c r="M730" s="2"/>
    </row>
    <row r="731" spans="5:13" ht="12.75" customHeight="1">
      <c r="E731" s="2"/>
      <c r="K731" s="2"/>
      <c r="L731" s="2"/>
      <c r="M731" s="2"/>
    </row>
    <row r="732" spans="5:13" ht="12.75" customHeight="1">
      <c r="E732" s="2"/>
      <c r="K732" s="2"/>
      <c r="L732" s="2"/>
      <c r="M732" s="2"/>
    </row>
    <row r="733" spans="5:13" ht="12.75" customHeight="1">
      <c r="E733" s="2"/>
      <c r="K733" s="2"/>
      <c r="L733" s="2"/>
      <c r="M733" s="2"/>
    </row>
    <row r="734" spans="5:13" ht="12.75" customHeight="1">
      <c r="E734" s="2"/>
      <c r="K734" s="2"/>
      <c r="L734" s="2"/>
      <c r="M734" s="2"/>
    </row>
    <row r="735" spans="5:13" ht="12.75" customHeight="1">
      <c r="E735" s="2"/>
      <c r="K735" s="2"/>
      <c r="L735" s="2"/>
      <c r="M735" s="2"/>
    </row>
    <row r="736" spans="5:13" ht="12.75" customHeight="1">
      <c r="E736" s="2"/>
      <c r="K736" s="2"/>
      <c r="L736" s="2"/>
      <c r="M736" s="2"/>
    </row>
    <row r="737" spans="5:13" ht="12.75" customHeight="1">
      <c r="E737" s="2"/>
      <c r="K737" s="2"/>
      <c r="L737" s="2"/>
      <c r="M737" s="2"/>
    </row>
    <row r="738" spans="5:13" ht="12.75" customHeight="1">
      <c r="E738" s="2"/>
      <c r="K738" s="2"/>
      <c r="L738" s="2"/>
      <c r="M738" s="2"/>
    </row>
    <row r="739" spans="5:13" ht="12.75" customHeight="1">
      <c r="E739" s="2"/>
      <c r="K739" s="2"/>
      <c r="L739" s="2"/>
      <c r="M739" s="2"/>
    </row>
    <row r="740" spans="5:13" ht="12.75" customHeight="1">
      <c r="E740" s="2"/>
      <c r="K740" s="2"/>
      <c r="L740" s="2"/>
      <c r="M740" s="2"/>
    </row>
    <row r="741" spans="5:13" ht="12.75" customHeight="1">
      <c r="E741" s="2"/>
      <c r="K741" s="2"/>
      <c r="L741" s="2"/>
      <c r="M741" s="2"/>
    </row>
    <row r="742" spans="5:13" ht="12.75" customHeight="1">
      <c r="E742" s="2"/>
      <c r="K742" s="2"/>
      <c r="L742" s="2"/>
      <c r="M742" s="2"/>
    </row>
    <row r="743" spans="5:13" ht="12.75" customHeight="1">
      <c r="E743" s="2"/>
      <c r="K743" s="2"/>
      <c r="L743" s="2"/>
      <c r="M743" s="2"/>
    </row>
    <row r="744" spans="5:13" ht="12.75" customHeight="1">
      <c r="E744" s="2"/>
      <c r="K744" s="2"/>
      <c r="L744" s="2"/>
      <c r="M744" s="2"/>
    </row>
    <row r="745" spans="5:13" ht="12.75" customHeight="1">
      <c r="E745" s="2"/>
      <c r="K745" s="2"/>
      <c r="L745" s="2"/>
      <c r="M745" s="2"/>
    </row>
    <row r="746" spans="5:13" ht="12.75" customHeight="1">
      <c r="E746" s="2"/>
      <c r="K746" s="2"/>
      <c r="L746" s="2"/>
      <c r="M746" s="2"/>
    </row>
    <row r="747" spans="5:13" ht="12.75" customHeight="1">
      <c r="E747" s="2"/>
      <c r="K747" s="2"/>
      <c r="L747" s="2"/>
      <c r="M747" s="2"/>
    </row>
    <row r="748" spans="5:13" ht="12.75" customHeight="1">
      <c r="E748" s="2"/>
      <c r="K748" s="2"/>
      <c r="L748" s="2"/>
      <c r="M748" s="2"/>
    </row>
    <row r="749" spans="5:13" ht="12.75" customHeight="1">
      <c r="E749" s="2"/>
      <c r="K749" s="2"/>
      <c r="L749" s="2"/>
      <c r="M749" s="2"/>
    </row>
    <row r="750" spans="5:13" ht="12.75" customHeight="1">
      <c r="E750" s="2"/>
      <c r="K750" s="2"/>
      <c r="L750" s="2"/>
      <c r="M750" s="2"/>
    </row>
    <row r="751" spans="5:13" ht="12.75" customHeight="1">
      <c r="E751" s="2"/>
      <c r="K751" s="2"/>
      <c r="L751" s="2"/>
      <c r="M751" s="2"/>
    </row>
    <row r="752" spans="5:13" ht="12.75" customHeight="1">
      <c r="E752" s="2"/>
      <c r="K752" s="2"/>
      <c r="L752" s="2"/>
      <c r="M752" s="2"/>
    </row>
    <row r="753" spans="5:13" ht="12.75" customHeight="1">
      <c r="E753" s="2"/>
      <c r="K753" s="2"/>
      <c r="L753" s="2"/>
      <c r="M753" s="2"/>
    </row>
    <row r="754" spans="5:13" ht="12.75" customHeight="1">
      <c r="E754" s="2"/>
      <c r="K754" s="2"/>
      <c r="L754" s="2"/>
      <c r="M754" s="2"/>
    </row>
    <row r="755" spans="5:13" ht="12.75" customHeight="1">
      <c r="E755" s="2"/>
      <c r="K755" s="2"/>
      <c r="L755" s="2"/>
      <c r="M755" s="2"/>
    </row>
    <row r="756" spans="5:13" ht="12.75" customHeight="1">
      <c r="E756" s="2"/>
      <c r="K756" s="2"/>
      <c r="L756" s="2"/>
      <c r="M756" s="2"/>
    </row>
    <row r="757" spans="5:13" ht="12.75" customHeight="1">
      <c r="E757" s="2"/>
      <c r="K757" s="2"/>
      <c r="L757" s="2"/>
      <c r="M757" s="2"/>
    </row>
    <row r="758" spans="5:13" ht="12.75" customHeight="1">
      <c r="E758" s="2"/>
      <c r="K758" s="2"/>
      <c r="L758" s="2"/>
      <c r="M758" s="2"/>
    </row>
    <row r="759" spans="5:13" ht="12.75" customHeight="1">
      <c r="E759" s="2"/>
      <c r="K759" s="2"/>
      <c r="L759" s="2"/>
      <c r="M759" s="2"/>
    </row>
    <row r="760" spans="5:13" ht="12.75" customHeight="1">
      <c r="E760" s="2"/>
      <c r="K760" s="2"/>
      <c r="L760" s="2"/>
      <c r="M760" s="2"/>
    </row>
    <row r="761" spans="5:13" ht="12.75" customHeight="1">
      <c r="E761" s="2"/>
      <c r="K761" s="2"/>
      <c r="L761" s="2"/>
      <c r="M761" s="2"/>
    </row>
    <row r="762" spans="5:13" ht="12.75" customHeight="1">
      <c r="E762" s="2"/>
      <c r="K762" s="2"/>
      <c r="L762" s="2"/>
      <c r="M762" s="2"/>
    </row>
    <row r="763" spans="5:13" ht="12.75" customHeight="1">
      <c r="E763" s="2"/>
      <c r="K763" s="2"/>
      <c r="L763" s="2"/>
      <c r="M763" s="2"/>
    </row>
    <row r="764" spans="5:13" ht="12.75" customHeight="1">
      <c r="E764" s="2"/>
      <c r="K764" s="2"/>
      <c r="L764" s="2"/>
      <c r="M764" s="2"/>
    </row>
    <row r="765" spans="5:13" ht="12.75" customHeight="1">
      <c r="E765" s="2"/>
      <c r="K765" s="2"/>
      <c r="L765" s="2"/>
      <c r="M765" s="2"/>
    </row>
    <row r="766" spans="5:13" ht="12.75" customHeight="1">
      <c r="E766" s="2"/>
      <c r="K766" s="2"/>
      <c r="L766" s="2"/>
      <c r="M766" s="2"/>
    </row>
    <row r="767" spans="5:13" ht="12.75" customHeight="1">
      <c r="E767" s="2"/>
      <c r="K767" s="2"/>
      <c r="L767" s="2"/>
      <c r="M767" s="2"/>
    </row>
    <row r="768" spans="5:13" ht="12.75" customHeight="1">
      <c r="E768" s="2"/>
      <c r="K768" s="2"/>
      <c r="L768" s="2"/>
      <c r="M768" s="2"/>
    </row>
    <row r="769" spans="5:13" ht="12.75" customHeight="1">
      <c r="E769" s="2"/>
      <c r="K769" s="2"/>
      <c r="L769" s="2"/>
      <c r="M769" s="2"/>
    </row>
    <row r="770" spans="5:13" ht="12.75" customHeight="1">
      <c r="E770" s="2"/>
      <c r="K770" s="2"/>
      <c r="L770" s="2"/>
      <c r="M770" s="2"/>
    </row>
    <row r="771" spans="5:13" ht="12.75" customHeight="1">
      <c r="E771" s="2"/>
      <c r="K771" s="2"/>
      <c r="L771" s="2"/>
      <c r="M771" s="2"/>
    </row>
    <row r="772" spans="5:13" ht="12.75" customHeight="1">
      <c r="E772" s="2"/>
      <c r="K772" s="2"/>
      <c r="L772" s="2"/>
      <c r="M772" s="2"/>
    </row>
    <row r="773" spans="5:13" ht="12.75" customHeight="1">
      <c r="E773" s="2"/>
      <c r="K773" s="2"/>
      <c r="L773" s="2"/>
      <c r="M773" s="2"/>
    </row>
    <row r="774" spans="5:13" ht="12.75" customHeight="1">
      <c r="E774" s="2"/>
      <c r="K774" s="2"/>
      <c r="L774" s="2"/>
      <c r="M774" s="2"/>
    </row>
    <row r="775" spans="5:13" ht="12.75" customHeight="1">
      <c r="E775" s="2"/>
      <c r="K775" s="2"/>
      <c r="L775" s="2"/>
      <c r="M775" s="2"/>
    </row>
    <row r="776" spans="5:13" ht="12.75" customHeight="1">
      <c r="E776" s="2"/>
      <c r="K776" s="2"/>
      <c r="L776" s="2"/>
      <c r="M776" s="2"/>
    </row>
    <row r="777" spans="5:13" ht="12.75" customHeight="1">
      <c r="E777" s="2"/>
      <c r="K777" s="2"/>
      <c r="L777" s="2"/>
      <c r="M777" s="2"/>
    </row>
    <row r="778" spans="5:13" ht="12.75" customHeight="1">
      <c r="E778" s="2"/>
      <c r="K778" s="2"/>
      <c r="L778" s="2"/>
      <c r="M778" s="2"/>
    </row>
    <row r="779" spans="5:13" ht="12.75" customHeight="1">
      <c r="E779" s="2"/>
      <c r="K779" s="2"/>
      <c r="L779" s="2"/>
      <c r="M779" s="2"/>
    </row>
    <row r="780" spans="5:13" ht="12.75" customHeight="1">
      <c r="E780" s="2"/>
      <c r="K780" s="2"/>
      <c r="L780" s="2"/>
      <c r="M780" s="2"/>
    </row>
    <row r="781" spans="5:13" ht="12.75" customHeight="1">
      <c r="E781" s="2"/>
      <c r="K781" s="2"/>
      <c r="L781" s="2"/>
      <c r="M781" s="2"/>
    </row>
    <row r="782" spans="5:13" ht="12.75" customHeight="1">
      <c r="E782" s="2"/>
      <c r="K782" s="2"/>
      <c r="L782" s="2"/>
      <c r="M782" s="2"/>
    </row>
    <row r="783" spans="5:13" ht="12.75" customHeight="1">
      <c r="E783" s="2"/>
      <c r="K783" s="2"/>
      <c r="L783" s="2"/>
      <c r="M783" s="2"/>
    </row>
    <row r="784" spans="5:13" ht="12.75" customHeight="1">
      <c r="E784" s="2"/>
      <c r="K784" s="2"/>
      <c r="L784" s="2"/>
      <c r="M784" s="2"/>
    </row>
    <row r="785" spans="5:13" ht="12.75" customHeight="1">
      <c r="E785" s="2"/>
      <c r="K785" s="2"/>
      <c r="L785" s="2"/>
      <c r="M785" s="2"/>
    </row>
    <row r="786" spans="5:13" ht="12.75" customHeight="1">
      <c r="E786" s="2"/>
      <c r="K786" s="2"/>
      <c r="L786" s="2"/>
      <c r="M786" s="2"/>
    </row>
    <row r="787" spans="5:13" ht="12.75" customHeight="1">
      <c r="E787" s="2"/>
      <c r="K787" s="2"/>
      <c r="L787" s="2"/>
      <c r="M787" s="2"/>
    </row>
    <row r="788" spans="5:13" ht="12.75" customHeight="1">
      <c r="E788" s="2"/>
      <c r="K788" s="2"/>
      <c r="L788" s="2"/>
      <c r="M788" s="2"/>
    </row>
    <row r="789" spans="5:13" ht="12.75" customHeight="1">
      <c r="E789" s="2"/>
      <c r="K789" s="2"/>
      <c r="L789" s="2"/>
      <c r="M789" s="2"/>
    </row>
    <row r="790" spans="5:13" ht="12.75" customHeight="1">
      <c r="E790" s="2"/>
      <c r="K790" s="2"/>
      <c r="L790" s="2"/>
      <c r="M790" s="2"/>
    </row>
    <row r="791" spans="5:13" ht="12.75" customHeight="1">
      <c r="E791" s="2"/>
      <c r="K791" s="2"/>
      <c r="L791" s="2"/>
      <c r="M791" s="2"/>
    </row>
    <row r="792" spans="5:13" ht="12.75" customHeight="1">
      <c r="E792" s="2"/>
      <c r="K792" s="2"/>
      <c r="L792" s="2"/>
      <c r="M792" s="2"/>
    </row>
    <row r="793" spans="5:13" ht="12.75" customHeight="1">
      <c r="E793" s="2"/>
      <c r="K793" s="2"/>
      <c r="L793" s="2"/>
      <c r="M793" s="2"/>
    </row>
    <row r="794" spans="5:13" ht="12.75" customHeight="1">
      <c r="E794" s="2"/>
      <c r="K794" s="2"/>
      <c r="L794" s="2"/>
      <c r="M794" s="2"/>
    </row>
    <row r="795" spans="5:13" ht="12.75" customHeight="1">
      <c r="E795" s="2"/>
      <c r="K795" s="2"/>
      <c r="L795" s="2"/>
      <c r="M795" s="2"/>
    </row>
    <row r="796" spans="5:13" ht="12.75" customHeight="1">
      <c r="E796" s="2"/>
      <c r="K796" s="2"/>
      <c r="L796" s="2"/>
      <c r="M796" s="2"/>
    </row>
    <row r="797" spans="5:13" ht="12.75" customHeight="1">
      <c r="E797" s="2"/>
      <c r="K797" s="2"/>
      <c r="L797" s="2"/>
      <c r="M797" s="2"/>
    </row>
    <row r="798" spans="5:13" ht="12.75" customHeight="1">
      <c r="E798" s="2"/>
      <c r="K798" s="2"/>
      <c r="L798" s="2"/>
      <c r="M798" s="2"/>
    </row>
    <row r="799" spans="5:13" ht="12.75" customHeight="1">
      <c r="E799" s="2"/>
      <c r="K799" s="2"/>
      <c r="L799" s="2"/>
      <c r="M799" s="2"/>
    </row>
    <row r="800" spans="5:13" ht="12.75" customHeight="1">
      <c r="E800" s="2"/>
      <c r="K800" s="2"/>
      <c r="L800" s="2"/>
      <c r="M800" s="2"/>
    </row>
    <row r="801" spans="5:13" ht="12.75" customHeight="1">
      <c r="E801" s="2"/>
      <c r="K801" s="2"/>
      <c r="L801" s="2"/>
      <c r="M801" s="2"/>
    </row>
    <row r="802" spans="5:13" ht="12.75" customHeight="1">
      <c r="E802" s="2"/>
      <c r="K802" s="2"/>
      <c r="L802" s="2"/>
      <c r="M802" s="2"/>
    </row>
    <row r="803" spans="5:13" ht="12.75" customHeight="1">
      <c r="E803" s="2"/>
      <c r="K803" s="2"/>
      <c r="L803" s="2"/>
      <c r="M803" s="2"/>
    </row>
    <row r="804" spans="5:13" ht="12.75" customHeight="1">
      <c r="E804" s="2"/>
      <c r="K804" s="2"/>
      <c r="L804" s="2"/>
      <c r="M804" s="2"/>
    </row>
    <row r="805" spans="5:13" ht="12.75" customHeight="1">
      <c r="E805" s="2"/>
      <c r="K805" s="2"/>
      <c r="L805" s="2"/>
      <c r="M805" s="2"/>
    </row>
    <row r="806" spans="5:13" ht="12.75" customHeight="1">
      <c r="E806" s="2"/>
      <c r="K806" s="2"/>
      <c r="L806" s="2"/>
      <c r="M806" s="2"/>
    </row>
    <row r="807" spans="5:13" ht="12.75" customHeight="1">
      <c r="E807" s="2"/>
      <c r="K807" s="2"/>
      <c r="L807" s="2"/>
      <c r="M807" s="2"/>
    </row>
    <row r="808" spans="5:13" ht="12.75" customHeight="1">
      <c r="E808" s="2"/>
      <c r="K808" s="2"/>
      <c r="L808" s="2"/>
      <c r="M808" s="2"/>
    </row>
    <row r="809" spans="5:13" ht="12.75" customHeight="1">
      <c r="E809" s="2"/>
      <c r="K809" s="2"/>
      <c r="L809" s="2"/>
      <c r="M809" s="2"/>
    </row>
    <row r="810" spans="5:13" ht="12.75" customHeight="1">
      <c r="E810" s="2"/>
      <c r="K810" s="2"/>
      <c r="L810" s="2"/>
      <c r="M810" s="2"/>
    </row>
    <row r="811" spans="5:13" ht="12.75" customHeight="1">
      <c r="E811" s="2"/>
      <c r="K811" s="2"/>
      <c r="L811" s="2"/>
      <c r="M811" s="2"/>
    </row>
    <row r="812" spans="5:13" ht="12.75" customHeight="1">
      <c r="E812" s="2"/>
      <c r="K812" s="2"/>
      <c r="L812" s="2"/>
      <c r="M812" s="2"/>
    </row>
    <row r="813" spans="5:13" ht="12.75" customHeight="1">
      <c r="E813" s="2"/>
      <c r="K813" s="2"/>
      <c r="L813" s="2"/>
      <c r="M813" s="2"/>
    </row>
    <row r="814" spans="5:13" ht="12.75" customHeight="1">
      <c r="E814" s="2"/>
      <c r="K814" s="2"/>
      <c r="L814" s="2"/>
      <c r="M814" s="2"/>
    </row>
    <row r="815" spans="5:13" ht="12.75" customHeight="1">
      <c r="E815" s="2"/>
      <c r="K815" s="2"/>
      <c r="L815" s="2"/>
      <c r="M815" s="2"/>
    </row>
    <row r="816" spans="5:13" ht="12.75" customHeight="1">
      <c r="E816" s="2"/>
      <c r="K816" s="2"/>
      <c r="L816" s="2"/>
      <c r="M816" s="2"/>
    </row>
    <row r="817" spans="5:13" ht="12.75" customHeight="1">
      <c r="E817" s="2"/>
      <c r="K817" s="2"/>
      <c r="L817" s="2"/>
      <c r="M817" s="2"/>
    </row>
    <row r="818" spans="5:13" ht="12.75" customHeight="1">
      <c r="E818" s="2"/>
      <c r="K818" s="2"/>
      <c r="L818" s="2"/>
      <c r="M818" s="2"/>
    </row>
    <row r="819" spans="5:13" ht="12.75" customHeight="1">
      <c r="E819" s="2"/>
      <c r="K819" s="2"/>
      <c r="L819" s="2"/>
      <c r="M819" s="2"/>
    </row>
    <row r="820" spans="5:13" ht="12.75" customHeight="1">
      <c r="E820" s="2"/>
      <c r="K820" s="2"/>
      <c r="L820" s="2"/>
      <c r="M820" s="2"/>
    </row>
    <row r="821" spans="5:13" ht="12.75" customHeight="1">
      <c r="E821" s="2"/>
      <c r="K821" s="2"/>
      <c r="L821" s="2"/>
      <c r="M821" s="2"/>
    </row>
    <row r="822" spans="5:13" ht="12.75" customHeight="1">
      <c r="E822" s="2"/>
      <c r="K822" s="2"/>
      <c r="L822" s="2"/>
      <c r="M822" s="2"/>
    </row>
    <row r="823" spans="5:13" ht="12.75" customHeight="1">
      <c r="E823" s="2"/>
      <c r="K823" s="2"/>
      <c r="L823" s="2"/>
      <c r="M823" s="2"/>
    </row>
    <row r="824" spans="5:13" ht="12.75" customHeight="1">
      <c r="E824" s="2"/>
      <c r="K824" s="2"/>
      <c r="L824" s="2"/>
      <c r="M824" s="2"/>
    </row>
    <row r="825" spans="5:13" ht="12.75" customHeight="1">
      <c r="E825" s="2"/>
      <c r="K825" s="2"/>
      <c r="L825" s="2"/>
      <c r="M825" s="2"/>
    </row>
    <row r="826" spans="5:13" ht="12.75" customHeight="1">
      <c r="E826" s="2"/>
      <c r="K826" s="2"/>
      <c r="L826" s="2"/>
      <c r="M826" s="2"/>
    </row>
    <row r="827" spans="5:13" ht="12.75" customHeight="1">
      <c r="E827" s="2"/>
      <c r="K827" s="2"/>
      <c r="L827" s="2"/>
      <c r="M827" s="2"/>
    </row>
    <row r="828" spans="5:13" ht="12.75" customHeight="1">
      <c r="E828" s="2"/>
      <c r="K828" s="2"/>
      <c r="L828" s="2"/>
      <c r="M828" s="2"/>
    </row>
    <row r="829" spans="5:13" ht="12.75" customHeight="1">
      <c r="E829" s="2"/>
      <c r="K829" s="2"/>
      <c r="L829" s="2"/>
      <c r="M829" s="2"/>
    </row>
    <row r="830" spans="5:13" ht="12.75" customHeight="1">
      <c r="E830" s="2"/>
      <c r="K830" s="2"/>
      <c r="L830" s="2"/>
      <c r="M830" s="2"/>
    </row>
    <row r="831" spans="5:13" ht="12.75" customHeight="1">
      <c r="E831" s="2"/>
      <c r="K831" s="2"/>
      <c r="L831" s="2"/>
      <c r="M831" s="2"/>
    </row>
    <row r="832" spans="5:13" ht="12.75" customHeight="1">
      <c r="E832" s="2"/>
      <c r="K832" s="2"/>
      <c r="L832" s="2"/>
      <c r="M832" s="2"/>
    </row>
    <row r="833" spans="5:13" ht="12.75" customHeight="1">
      <c r="E833" s="2"/>
      <c r="K833" s="2"/>
      <c r="L833" s="2"/>
      <c r="M833" s="2"/>
    </row>
    <row r="834" spans="5:13" ht="12.75" customHeight="1">
      <c r="E834" s="2"/>
      <c r="K834" s="2"/>
      <c r="L834" s="2"/>
      <c r="M834" s="2"/>
    </row>
    <row r="835" spans="5:13" ht="12.75" customHeight="1">
      <c r="E835" s="2"/>
      <c r="K835" s="2"/>
      <c r="L835" s="2"/>
      <c r="M835" s="2"/>
    </row>
    <row r="836" spans="5:13" ht="12.75" customHeight="1">
      <c r="E836" s="2"/>
      <c r="K836" s="2"/>
      <c r="L836" s="2"/>
      <c r="M836" s="2"/>
    </row>
    <row r="837" spans="5:13" ht="12.75" customHeight="1">
      <c r="E837" s="2"/>
      <c r="K837" s="2"/>
      <c r="L837" s="2"/>
      <c r="M837" s="2"/>
    </row>
    <row r="838" spans="5:13" ht="12.75" customHeight="1">
      <c r="E838" s="2"/>
      <c r="K838" s="2"/>
      <c r="L838" s="2"/>
      <c r="M838" s="2"/>
    </row>
    <row r="839" spans="5:13" ht="12.75" customHeight="1">
      <c r="E839" s="2"/>
      <c r="K839" s="2"/>
      <c r="L839" s="2"/>
      <c r="M839" s="2"/>
    </row>
    <row r="840" spans="5:13" ht="12.75" customHeight="1">
      <c r="E840" s="2"/>
      <c r="K840" s="2"/>
      <c r="L840" s="2"/>
      <c r="M840" s="2"/>
    </row>
    <row r="841" spans="5:13" ht="12.75" customHeight="1">
      <c r="E841" s="2"/>
      <c r="K841" s="2"/>
      <c r="L841" s="2"/>
      <c r="M841" s="2"/>
    </row>
    <row r="842" spans="5:13" ht="12.75" customHeight="1">
      <c r="E842" s="2"/>
      <c r="K842" s="2"/>
      <c r="L842" s="2"/>
      <c r="M842" s="2"/>
    </row>
    <row r="843" spans="5:13" ht="12.75" customHeight="1">
      <c r="E843" s="2"/>
      <c r="K843" s="2"/>
      <c r="L843" s="2"/>
      <c r="M843" s="2"/>
    </row>
    <row r="844" spans="5:13" ht="12.75" customHeight="1">
      <c r="E844" s="2"/>
      <c r="K844" s="2"/>
      <c r="L844" s="2"/>
      <c r="M844" s="2"/>
    </row>
    <row r="845" spans="5:13" ht="12.75" customHeight="1">
      <c r="E845" s="2"/>
      <c r="K845" s="2"/>
      <c r="L845" s="2"/>
      <c r="M845" s="2"/>
    </row>
    <row r="846" spans="5:13" ht="12.75" customHeight="1">
      <c r="E846" s="2"/>
      <c r="K846" s="2"/>
      <c r="L846" s="2"/>
      <c r="M846" s="2"/>
    </row>
    <row r="847" spans="5:13" ht="12.75" customHeight="1">
      <c r="E847" s="2"/>
      <c r="K847" s="2"/>
      <c r="L847" s="2"/>
      <c r="M847" s="2"/>
    </row>
    <row r="848" spans="5:13" ht="12.75" customHeight="1">
      <c r="E848" s="2"/>
      <c r="K848" s="2"/>
      <c r="L848" s="2"/>
      <c r="M848" s="2"/>
    </row>
    <row r="849" spans="5:13" ht="12.75" customHeight="1">
      <c r="E849" s="2"/>
      <c r="K849" s="2"/>
      <c r="L849" s="2"/>
      <c r="M849" s="2"/>
    </row>
    <row r="850" spans="5:13" ht="12.75" customHeight="1">
      <c r="E850" s="2"/>
      <c r="K850" s="2"/>
      <c r="L850" s="2"/>
      <c r="M850" s="2"/>
    </row>
    <row r="851" spans="5:13" ht="12.75" customHeight="1">
      <c r="E851" s="2"/>
      <c r="K851" s="2"/>
      <c r="L851" s="2"/>
      <c r="M851" s="2"/>
    </row>
    <row r="852" spans="5:13" ht="12.75" customHeight="1">
      <c r="E852" s="2"/>
      <c r="K852" s="2"/>
      <c r="L852" s="2"/>
      <c r="M852" s="2"/>
    </row>
    <row r="853" spans="5:13" ht="12.75" customHeight="1">
      <c r="E853" s="2"/>
      <c r="K853" s="2"/>
      <c r="L853" s="2"/>
      <c r="M853" s="2"/>
    </row>
    <row r="854" spans="5:13" ht="12.75" customHeight="1">
      <c r="E854" s="2"/>
      <c r="K854" s="2"/>
      <c r="L854" s="2"/>
      <c r="M854" s="2"/>
    </row>
    <row r="855" spans="5:13" ht="12.75" customHeight="1">
      <c r="E855" s="2"/>
      <c r="K855" s="2"/>
      <c r="L855" s="2"/>
      <c r="M855" s="2"/>
    </row>
    <row r="856" spans="5:13" ht="12.75" customHeight="1">
      <c r="E856" s="2"/>
      <c r="K856" s="2"/>
      <c r="L856" s="2"/>
      <c r="M856" s="2"/>
    </row>
    <row r="857" spans="5:13" ht="12.75" customHeight="1">
      <c r="E857" s="2"/>
      <c r="K857" s="2"/>
      <c r="L857" s="2"/>
      <c r="M857" s="2"/>
    </row>
    <row r="858" spans="5:13" ht="12.75" customHeight="1">
      <c r="E858" s="2"/>
      <c r="K858" s="2"/>
      <c r="L858" s="2"/>
      <c r="M858" s="2"/>
    </row>
    <row r="859" spans="5:13" ht="12.75" customHeight="1">
      <c r="E859" s="2"/>
      <c r="K859" s="2"/>
      <c r="L859" s="2"/>
      <c r="M859" s="2"/>
    </row>
    <row r="860" spans="5:13" ht="12.75" customHeight="1">
      <c r="E860" s="2"/>
      <c r="K860" s="2"/>
      <c r="L860" s="2"/>
      <c r="M860" s="2"/>
    </row>
    <row r="861" spans="5:13" ht="12.75" customHeight="1">
      <c r="E861" s="2"/>
      <c r="K861" s="2"/>
      <c r="L861" s="2"/>
      <c r="M861" s="2"/>
    </row>
    <row r="862" spans="5:13" ht="12.75" customHeight="1">
      <c r="E862" s="2"/>
      <c r="K862" s="2"/>
      <c r="L862" s="2"/>
      <c r="M862" s="2"/>
    </row>
    <row r="863" spans="5:13" ht="12.75" customHeight="1">
      <c r="E863" s="2"/>
      <c r="K863" s="2"/>
      <c r="L863" s="2"/>
      <c r="M863" s="2"/>
    </row>
    <row r="864" spans="5:13" ht="12.75" customHeight="1">
      <c r="E864" s="2"/>
      <c r="K864" s="2"/>
      <c r="L864" s="2"/>
      <c r="M864" s="2"/>
    </row>
    <row r="865" spans="5:13" ht="12.75" customHeight="1">
      <c r="E865" s="2"/>
      <c r="K865" s="2"/>
      <c r="L865" s="2"/>
      <c r="M865" s="2"/>
    </row>
    <row r="866" spans="5:13" ht="12.75" customHeight="1">
      <c r="E866" s="2"/>
      <c r="K866" s="2"/>
      <c r="L866" s="2"/>
      <c r="M866" s="2"/>
    </row>
    <row r="867" spans="5:13" ht="12.75" customHeight="1">
      <c r="E867" s="2"/>
      <c r="K867" s="2"/>
      <c r="L867" s="2"/>
      <c r="M867" s="2"/>
    </row>
    <row r="868" spans="5:13" ht="12.75" customHeight="1">
      <c r="E868" s="2"/>
      <c r="K868" s="2"/>
      <c r="L868" s="2"/>
      <c r="M868" s="2"/>
    </row>
    <row r="869" spans="5:13" ht="12.75" customHeight="1">
      <c r="E869" s="2"/>
      <c r="K869" s="2"/>
      <c r="L869" s="2"/>
      <c r="M869" s="2"/>
    </row>
    <row r="870" spans="5:13" ht="12.75" customHeight="1">
      <c r="E870" s="2"/>
      <c r="K870" s="2"/>
      <c r="L870" s="2"/>
      <c r="M870" s="2"/>
    </row>
    <row r="871" spans="5:13" ht="12.75" customHeight="1">
      <c r="E871" s="2"/>
      <c r="K871" s="2"/>
      <c r="L871" s="2"/>
      <c r="M871" s="2"/>
    </row>
    <row r="872" spans="5:13" ht="12.75" customHeight="1">
      <c r="E872" s="2"/>
      <c r="K872" s="2"/>
      <c r="L872" s="2"/>
      <c r="M872" s="2"/>
    </row>
    <row r="873" spans="5:13" ht="12.75" customHeight="1">
      <c r="E873" s="2"/>
      <c r="K873" s="2"/>
      <c r="L873" s="2"/>
      <c r="M873" s="2"/>
    </row>
    <row r="874" spans="5:13" ht="12.75" customHeight="1">
      <c r="E874" s="2"/>
      <c r="K874" s="2"/>
      <c r="L874" s="2"/>
      <c r="M874" s="2"/>
    </row>
    <row r="875" spans="5:13" ht="12.75" customHeight="1">
      <c r="E875" s="2"/>
      <c r="K875" s="2"/>
      <c r="L875" s="2"/>
      <c r="M875" s="2"/>
    </row>
    <row r="876" spans="5:13" ht="12.75" customHeight="1">
      <c r="E876" s="2"/>
      <c r="K876" s="2"/>
      <c r="L876" s="2"/>
      <c r="M876" s="2"/>
    </row>
    <row r="877" spans="5:13" ht="12.75" customHeight="1">
      <c r="E877" s="2"/>
      <c r="K877" s="2"/>
      <c r="L877" s="2"/>
      <c r="M877" s="2"/>
    </row>
    <row r="878" spans="5:13" ht="12.75" customHeight="1">
      <c r="E878" s="2"/>
      <c r="K878" s="2"/>
      <c r="L878" s="2"/>
      <c r="M878" s="2"/>
    </row>
    <row r="879" spans="5:13" ht="12.75" customHeight="1">
      <c r="E879" s="2"/>
      <c r="K879" s="2"/>
      <c r="L879" s="2"/>
      <c r="M879" s="2"/>
    </row>
    <row r="880" spans="5:13" ht="12.75" customHeight="1">
      <c r="E880" s="2"/>
      <c r="K880" s="2"/>
      <c r="L880" s="2"/>
      <c r="M880" s="2"/>
    </row>
    <row r="881" spans="5:13" ht="12.75" customHeight="1">
      <c r="E881" s="2"/>
      <c r="K881" s="2"/>
      <c r="L881" s="2"/>
      <c r="M881" s="2"/>
    </row>
    <row r="882" spans="5:13" ht="12.75" customHeight="1">
      <c r="E882" s="2"/>
      <c r="K882" s="2"/>
      <c r="L882" s="2"/>
      <c r="M882" s="2"/>
    </row>
    <row r="883" spans="5:13" ht="12.75" customHeight="1">
      <c r="E883" s="2"/>
      <c r="K883" s="2"/>
      <c r="L883" s="2"/>
      <c r="M883" s="2"/>
    </row>
    <row r="884" spans="5:13" ht="12.75" customHeight="1">
      <c r="E884" s="2"/>
      <c r="K884" s="2"/>
      <c r="L884" s="2"/>
      <c r="M884" s="2"/>
    </row>
    <row r="885" spans="5:13" ht="12.75" customHeight="1">
      <c r="E885" s="2"/>
      <c r="K885" s="2"/>
      <c r="L885" s="2"/>
      <c r="M885" s="2"/>
    </row>
    <row r="886" spans="5:13" ht="12.75" customHeight="1">
      <c r="E886" s="2"/>
      <c r="K886" s="2"/>
      <c r="L886" s="2"/>
      <c r="M886" s="2"/>
    </row>
    <row r="887" spans="5:13" ht="12.75" customHeight="1">
      <c r="E887" s="2"/>
      <c r="K887" s="2"/>
      <c r="L887" s="2"/>
      <c r="M887" s="2"/>
    </row>
    <row r="888" spans="5:13" ht="12.75" customHeight="1">
      <c r="E888" s="2"/>
      <c r="K888" s="2"/>
      <c r="L888" s="2"/>
      <c r="M888" s="2"/>
    </row>
    <row r="889" spans="5:13" ht="12.75" customHeight="1">
      <c r="E889" s="2"/>
      <c r="K889" s="2"/>
      <c r="L889" s="2"/>
      <c r="M889" s="2"/>
    </row>
    <row r="890" spans="5:13" ht="12.75" customHeight="1">
      <c r="E890" s="2"/>
      <c r="K890" s="2"/>
      <c r="L890" s="2"/>
      <c r="M890" s="2"/>
    </row>
    <row r="891" spans="5:13" ht="12.75" customHeight="1">
      <c r="E891" s="2"/>
      <c r="K891" s="2"/>
      <c r="L891" s="2"/>
      <c r="M891" s="2"/>
    </row>
    <row r="892" spans="5:13" ht="12.75" customHeight="1">
      <c r="E892" s="2"/>
      <c r="K892" s="2"/>
      <c r="L892" s="2"/>
      <c r="M892" s="2"/>
    </row>
    <row r="893" spans="5:13" ht="12.75" customHeight="1">
      <c r="E893" s="2"/>
      <c r="K893" s="2"/>
      <c r="L893" s="2"/>
      <c r="M893" s="2"/>
    </row>
    <row r="894" spans="5:13" ht="12.75" customHeight="1">
      <c r="E894" s="2"/>
      <c r="K894" s="2"/>
      <c r="L894" s="2"/>
      <c r="M894" s="2"/>
    </row>
    <row r="895" spans="5:13" ht="12.75" customHeight="1">
      <c r="E895" s="2"/>
      <c r="K895" s="2"/>
      <c r="L895" s="2"/>
      <c r="M895" s="2"/>
    </row>
    <row r="896" spans="5:13" ht="12.75" customHeight="1">
      <c r="E896" s="2"/>
      <c r="K896" s="2"/>
      <c r="L896" s="2"/>
      <c r="M896" s="2"/>
    </row>
    <row r="897" spans="5:13" ht="12.75" customHeight="1">
      <c r="E897" s="2"/>
      <c r="K897" s="2"/>
      <c r="L897" s="2"/>
      <c r="M897" s="2"/>
    </row>
    <row r="898" spans="5:13" ht="12.75" customHeight="1">
      <c r="E898" s="2"/>
      <c r="K898" s="2"/>
      <c r="L898" s="2"/>
      <c r="M898" s="2"/>
    </row>
    <row r="899" spans="5:13" ht="12.75" customHeight="1">
      <c r="E899" s="2"/>
      <c r="K899" s="2"/>
      <c r="L899" s="2"/>
      <c r="M899" s="2"/>
    </row>
    <row r="900" spans="5:13" ht="12.75" customHeight="1">
      <c r="E900" s="2"/>
      <c r="K900" s="2"/>
      <c r="L900" s="2"/>
      <c r="M900" s="2"/>
    </row>
    <row r="901" spans="5:13" ht="12.75" customHeight="1">
      <c r="E901" s="2"/>
      <c r="K901" s="2"/>
      <c r="L901" s="2"/>
      <c r="M901" s="2"/>
    </row>
    <row r="902" spans="5:13" ht="12.75" customHeight="1">
      <c r="E902" s="2"/>
      <c r="K902" s="2"/>
      <c r="L902" s="2"/>
      <c r="M902" s="2"/>
    </row>
    <row r="903" spans="5:13" ht="12.75" customHeight="1">
      <c r="E903" s="2"/>
      <c r="K903" s="2"/>
      <c r="L903" s="2"/>
      <c r="M903" s="2"/>
    </row>
    <row r="904" spans="5:13" ht="12.75" customHeight="1">
      <c r="E904" s="2"/>
      <c r="K904" s="2"/>
      <c r="L904" s="2"/>
      <c r="M904" s="2"/>
    </row>
    <row r="905" spans="5:13" ht="12.75" customHeight="1">
      <c r="E905" s="2"/>
      <c r="K905" s="2"/>
      <c r="L905" s="2"/>
      <c r="M905" s="2"/>
    </row>
    <row r="906" spans="5:13" ht="12.75" customHeight="1">
      <c r="E906" s="2"/>
      <c r="K906" s="2"/>
      <c r="L906" s="2"/>
      <c r="M906" s="2"/>
    </row>
    <row r="907" spans="5:13" ht="12.75" customHeight="1">
      <c r="E907" s="2"/>
      <c r="K907" s="2"/>
      <c r="L907" s="2"/>
      <c r="M907" s="2"/>
    </row>
    <row r="908" spans="5:13" ht="12.75" customHeight="1">
      <c r="E908" s="2"/>
      <c r="K908" s="2"/>
      <c r="L908" s="2"/>
      <c r="M908" s="2"/>
    </row>
    <row r="909" spans="5:13" ht="12.75" customHeight="1">
      <c r="E909" s="2"/>
      <c r="K909" s="2"/>
      <c r="L909" s="2"/>
      <c r="M909" s="2"/>
    </row>
    <row r="910" spans="5:13" ht="12.75" customHeight="1">
      <c r="E910" s="2"/>
      <c r="K910" s="2"/>
      <c r="L910" s="2"/>
      <c r="M910" s="2"/>
    </row>
    <row r="911" spans="5:13" ht="12.75" customHeight="1"/>
    <row r="912" spans="5:13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</sheetData>
  <mergeCells count="2">
    <mergeCell ref="F3:J4"/>
    <mergeCell ref="T3:X4"/>
  </mergeCells>
  <hyperlinks>
    <hyperlink ref="E40" r:id="rId1" tooltip="חשבון נגדי" display="https://p.priority-connect.online/webui/openmail.htm?tenant=Z0SKU&amp;priority:priform@ACCOUNTS_GENERAL:51100:a110422:tabz0sku.ini:1" xr:uid="{E44CD901-47B8-5544-A72B-8B469651874C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E9F9-F0E5-B04F-933F-5D79003F5EAB}">
  <sheetPr codeName="Sheet20">
    <tabColor rgb="FF00B0F0"/>
  </sheetPr>
  <dimension ref="A2:I155"/>
  <sheetViews>
    <sheetView workbookViewId="0"/>
  </sheetViews>
  <sheetFormatPr defaultColWidth="10.85546875" defaultRowHeight="12.75"/>
  <cols>
    <col min="1" max="1" width="10.85546875" style="354"/>
    <col min="2" max="2" width="39" style="354" bestFit="1" customWidth="1"/>
    <col min="3" max="3" width="10.85546875" style="354"/>
    <col min="4" max="4" width="30.42578125" style="354" bestFit="1" customWidth="1"/>
    <col min="5" max="5" width="27.5703125" style="354" bestFit="1" customWidth="1"/>
    <col min="6" max="16384" width="10.85546875" style="354"/>
  </cols>
  <sheetData>
    <row r="2" spans="1:4">
      <c r="A2" s="426">
        <v>10004</v>
      </c>
      <c r="B2" s="354" t="s">
        <v>1452</v>
      </c>
      <c r="C2" s="354" t="s">
        <v>49</v>
      </c>
      <c r="D2" s="354" t="s">
        <v>50</v>
      </c>
    </row>
    <row r="3" spans="1:4">
      <c r="A3" s="426">
        <v>10101</v>
      </c>
      <c r="B3" s="354" t="s">
        <v>1453</v>
      </c>
      <c r="C3" s="354" t="s">
        <v>49</v>
      </c>
      <c r="D3" s="354" t="s">
        <v>289</v>
      </c>
    </row>
    <row r="4" spans="1:4">
      <c r="A4" s="426">
        <v>10200</v>
      </c>
      <c r="B4" s="354" t="s">
        <v>1454</v>
      </c>
      <c r="C4" s="354" t="s">
        <v>49</v>
      </c>
      <c r="D4" s="354" t="s">
        <v>50</v>
      </c>
    </row>
    <row r="5" spans="1:4">
      <c r="A5" s="426">
        <v>11100</v>
      </c>
      <c r="B5" s="354" t="s">
        <v>316</v>
      </c>
      <c r="C5" s="354" t="s">
        <v>49</v>
      </c>
      <c r="D5" s="354" t="s">
        <v>316</v>
      </c>
    </row>
    <row r="6" spans="1:4">
      <c r="A6" s="426">
        <v>12001</v>
      </c>
      <c r="B6" s="354" t="s">
        <v>371</v>
      </c>
      <c r="C6" s="354" t="s">
        <v>49</v>
      </c>
      <c r="D6" s="354" t="s">
        <v>110</v>
      </c>
    </row>
    <row r="7" spans="1:4">
      <c r="A7" s="426">
        <v>35002</v>
      </c>
      <c r="B7" s="354" t="s">
        <v>1455</v>
      </c>
      <c r="C7" s="354" t="s">
        <v>49</v>
      </c>
      <c r="D7" s="354" t="s">
        <v>110</v>
      </c>
    </row>
    <row r="8" spans="1:4">
      <c r="A8" s="426">
        <v>30000</v>
      </c>
      <c r="B8" s="354" t="s">
        <v>1456</v>
      </c>
      <c r="C8" s="354" t="s">
        <v>49</v>
      </c>
      <c r="D8" s="354" t="s">
        <v>55</v>
      </c>
    </row>
    <row r="9" spans="1:4">
      <c r="A9" s="426">
        <v>31006</v>
      </c>
      <c r="B9" s="354" t="s">
        <v>1457</v>
      </c>
      <c r="C9" s="354" t="s">
        <v>49</v>
      </c>
      <c r="D9" s="354" t="s">
        <v>55</v>
      </c>
    </row>
    <row r="10" spans="1:4">
      <c r="A10" s="426">
        <v>340001</v>
      </c>
      <c r="B10" s="354" t="s">
        <v>1458</v>
      </c>
      <c r="C10" s="354" t="s">
        <v>49</v>
      </c>
      <c r="D10" s="354" t="s">
        <v>59</v>
      </c>
    </row>
    <row r="11" spans="1:4">
      <c r="A11" s="426">
        <v>340002</v>
      </c>
      <c r="B11" s="354" t="s">
        <v>1459</v>
      </c>
      <c r="C11" s="354" t="s">
        <v>49</v>
      </c>
      <c r="D11" s="354" t="s">
        <v>59</v>
      </c>
    </row>
    <row r="12" spans="1:4">
      <c r="A12" s="426">
        <v>340003</v>
      </c>
      <c r="B12" s="354" t="s">
        <v>1460</v>
      </c>
      <c r="C12" s="354" t="s">
        <v>49</v>
      </c>
      <c r="D12" s="354" t="s">
        <v>59</v>
      </c>
    </row>
    <row r="13" spans="1:4">
      <c r="A13" s="426">
        <v>340004</v>
      </c>
      <c r="B13" s="354" t="s">
        <v>1461</v>
      </c>
      <c r="C13" s="354" t="s">
        <v>49</v>
      </c>
      <c r="D13" s="354" t="s">
        <v>59</v>
      </c>
    </row>
    <row r="14" spans="1:4">
      <c r="A14" s="426">
        <v>340006</v>
      </c>
      <c r="B14" s="354" t="s">
        <v>1462</v>
      </c>
      <c r="C14" s="354" t="s">
        <v>49</v>
      </c>
      <c r="D14" s="354" t="s">
        <v>59</v>
      </c>
    </row>
    <row r="15" spans="1:4">
      <c r="A15" s="426">
        <v>35001</v>
      </c>
      <c r="B15" s="354" t="s">
        <v>371</v>
      </c>
      <c r="C15" s="354" t="s">
        <v>49</v>
      </c>
      <c r="D15" s="354" t="s">
        <v>110</v>
      </c>
    </row>
    <row r="16" spans="1:4">
      <c r="A16" s="426">
        <v>36006</v>
      </c>
      <c r="B16" s="354" t="s">
        <v>1463</v>
      </c>
      <c r="C16" s="354" t="s">
        <v>49</v>
      </c>
      <c r="D16" s="354" t="s">
        <v>59</v>
      </c>
    </row>
    <row r="17" spans="1:5">
      <c r="A17" s="426">
        <v>37101</v>
      </c>
      <c r="B17" s="354" t="s">
        <v>1464</v>
      </c>
      <c r="C17" s="354" t="s">
        <v>49</v>
      </c>
      <c r="D17" s="354" t="s">
        <v>55</v>
      </c>
    </row>
    <row r="18" spans="1:5" ht="15">
      <c r="A18" s="426">
        <v>54000</v>
      </c>
      <c r="B18" s="354" t="s">
        <v>318</v>
      </c>
      <c r="C18" s="354" t="s">
        <v>49</v>
      </c>
      <c r="D18" s="445" t="s">
        <v>142</v>
      </c>
    </row>
    <row r="19" spans="1:5">
      <c r="A19" s="426">
        <v>60202096</v>
      </c>
      <c r="B19" s="354" t="s">
        <v>1465</v>
      </c>
      <c r="C19" s="354" t="s">
        <v>144</v>
      </c>
      <c r="D19" s="354" t="s">
        <v>145</v>
      </c>
      <c r="E19" s="354" t="s">
        <v>1465</v>
      </c>
    </row>
    <row r="20" spans="1:5">
      <c r="A20" s="426">
        <v>60202000</v>
      </c>
      <c r="B20" s="354" t="s">
        <v>1466</v>
      </c>
      <c r="C20" s="354" t="s">
        <v>144</v>
      </c>
      <c r="D20" s="354" t="s">
        <v>145</v>
      </c>
      <c r="E20" s="354" t="s">
        <v>1466</v>
      </c>
    </row>
    <row r="21" spans="1:5">
      <c r="A21" s="426">
        <v>60202007</v>
      </c>
      <c r="B21" s="354" t="s">
        <v>1467</v>
      </c>
      <c r="C21" s="354" t="s">
        <v>144</v>
      </c>
      <c r="D21" s="354" t="s">
        <v>145</v>
      </c>
      <c r="E21" s="354" t="s">
        <v>1467</v>
      </c>
    </row>
    <row r="22" spans="1:5">
      <c r="A22" s="426">
        <v>60202009</v>
      </c>
      <c r="B22" s="354" t="s">
        <v>1468</v>
      </c>
      <c r="C22" s="354" t="s">
        <v>144</v>
      </c>
      <c r="D22" s="354" t="s">
        <v>145</v>
      </c>
      <c r="E22" s="354" t="s">
        <v>1468</v>
      </c>
    </row>
    <row r="23" spans="1:5">
      <c r="A23" s="426">
        <v>60202016</v>
      </c>
      <c r="B23" s="354" t="s">
        <v>1469</v>
      </c>
      <c r="C23" s="354" t="s">
        <v>144</v>
      </c>
      <c r="D23" s="354" t="s">
        <v>145</v>
      </c>
      <c r="E23" s="354" t="s">
        <v>1469</v>
      </c>
    </row>
    <row r="24" spans="1:5">
      <c r="A24" s="426">
        <v>70201200</v>
      </c>
      <c r="B24" s="354" t="s">
        <v>1470</v>
      </c>
      <c r="C24" s="354" t="s">
        <v>144</v>
      </c>
      <c r="D24" s="354" t="s">
        <v>182</v>
      </c>
      <c r="E24" s="354" t="s">
        <v>182</v>
      </c>
    </row>
    <row r="25" spans="1:5">
      <c r="A25" s="426">
        <v>80201300</v>
      </c>
      <c r="B25" s="354" t="s">
        <v>1471</v>
      </c>
      <c r="C25" s="354" t="s">
        <v>144</v>
      </c>
      <c r="D25" s="354" t="s">
        <v>618</v>
      </c>
      <c r="E25" s="354" t="s">
        <v>1472</v>
      </c>
    </row>
    <row r="26" spans="1:5">
      <c r="A26" s="426">
        <v>80201307</v>
      </c>
      <c r="B26" s="354" t="s">
        <v>1473</v>
      </c>
      <c r="C26" s="354" t="s">
        <v>144</v>
      </c>
      <c r="D26" s="354" t="s">
        <v>618</v>
      </c>
      <c r="E26" s="354" t="s">
        <v>1474</v>
      </c>
    </row>
    <row r="27" spans="1:5">
      <c r="A27" s="426">
        <v>80201309</v>
      </c>
      <c r="B27" s="354" t="s">
        <v>1475</v>
      </c>
      <c r="C27" s="354" t="s">
        <v>144</v>
      </c>
      <c r="D27" s="354" t="s">
        <v>618</v>
      </c>
      <c r="E27" s="354" t="s">
        <v>1476</v>
      </c>
    </row>
    <row r="28" spans="1:5">
      <c r="A28" s="426">
        <v>80201316</v>
      </c>
      <c r="B28" s="354" t="s">
        <v>1477</v>
      </c>
      <c r="C28" s="354" t="s">
        <v>144</v>
      </c>
      <c r="D28" s="354" t="s">
        <v>618</v>
      </c>
      <c r="E28" s="354" t="s">
        <v>1478</v>
      </c>
    </row>
    <row r="29" spans="1:5">
      <c r="A29" s="426">
        <v>80201400</v>
      </c>
      <c r="B29" s="354" t="s">
        <v>1479</v>
      </c>
      <c r="C29" s="354" t="s">
        <v>144</v>
      </c>
      <c r="D29" s="354" t="s">
        <v>152</v>
      </c>
      <c r="E29" s="433" t="s">
        <v>1480</v>
      </c>
    </row>
    <row r="30" spans="1:5">
      <c r="A30" s="426">
        <v>80201500</v>
      </c>
      <c r="B30" s="354" t="s">
        <v>1481</v>
      </c>
      <c r="C30" s="354" t="s">
        <v>144</v>
      </c>
      <c r="D30" s="354" t="s">
        <v>618</v>
      </c>
      <c r="E30" s="354" t="s">
        <v>1482</v>
      </c>
    </row>
    <row r="31" spans="1:5">
      <c r="A31" s="426">
        <v>80201507</v>
      </c>
      <c r="B31" s="354" t="s">
        <v>1483</v>
      </c>
      <c r="C31" s="354" t="s">
        <v>144</v>
      </c>
      <c r="D31" s="354" t="s">
        <v>618</v>
      </c>
      <c r="E31" s="354" t="s">
        <v>1484</v>
      </c>
    </row>
    <row r="32" spans="1:5">
      <c r="A32" s="426">
        <v>80201516</v>
      </c>
      <c r="B32" s="354" t="s">
        <v>1485</v>
      </c>
      <c r="C32" s="354" t="s">
        <v>144</v>
      </c>
      <c r="D32" s="354" t="s">
        <v>618</v>
      </c>
      <c r="E32" s="354" t="s">
        <v>1486</v>
      </c>
    </row>
    <row r="33" spans="1:5">
      <c r="A33" s="426">
        <v>80200209</v>
      </c>
      <c r="B33" s="354" t="s">
        <v>1487</v>
      </c>
      <c r="C33" s="354" t="s">
        <v>144</v>
      </c>
      <c r="D33" s="354" t="s">
        <v>300</v>
      </c>
      <c r="E33" s="354" t="s">
        <v>300</v>
      </c>
    </row>
    <row r="34" spans="1:5">
      <c r="A34" s="426">
        <v>80200210</v>
      </c>
      <c r="B34" s="354" t="s">
        <v>1488</v>
      </c>
      <c r="C34" s="354" t="s">
        <v>144</v>
      </c>
      <c r="D34" s="354" t="s">
        <v>300</v>
      </c>
      <c r="E34" s="354" t="s">
        <v>300</v>
      </c>
    </row>
    <row r="35" spans="1:5">
      <c r="A35" s="426">
        <v>82110900</v>
      </c>
      <c r="B35" s="354" t="s">
        <v>1489</v>
      </c>
      <c r="C35" s="354" t="s">
        <v>144</v>
      </c>
      <c r="D35" s="354" t="s">
        <v>149</v>
      </c>
      <c r="E35" s="350" t="s">
        <v>312</v>
      </c>
    </row>
    <row r="36" spans="1:5">
      <c r="A36" s="426">
        <v>82110901</v>
      </c>
      <c r="B36" s="354" t="s">
        <v>1490</v>
      </c>
      <c r="C36" s="354" t="s">
        <v>144</v>
      </c>
      <c r="D36" s="354" t="s">
        <v>618</v>
      </c>
      <c r="E36" s="354" t="s">
        <v>1478</v>
      </c>
    </row>
    <row r="37" spans="1:5">
      <c r="A37" s="426">
        <v>82110909</v>
      </c>
      <c r="B37" s="354" t="s">
        <v>1491</v>
      </c>
      <c r="C37" s="354" t="s">
        <v>144</v>
      </c>
      <c r="D37" s="354" t="s">
        <v>149</v>
      </c>
      <c r="E37" s="354" t="s">
        <v>1492</v>
      </c>
    </row>
    <row r="38" spans="1:5">
      <c r="A38" s="426">
        <v>82110908</v>
      </c>
      <c r="B38" s="354" t="s">
        <v>1493</v>
      </c>
      <c r="C38" s="354" t="s">
        <v>144</v>
      </c>
      <c r="D38" s="354" t="s">
        <v>149</v>
      </c>
      <c r="E38" s="446" t="s">
        <v>153</v>
      </c>
    </row>
    <row r="39" spans="1:5">
      <c r="A39" s="426">
        <v>83140200</v>
      </c>
      <c r="B39" s="354" t="s">
        <v>841</v>
      </c>
      <c r="C39" s="354" t="s">
        <v>144</v>
      </c>
      <c r="D39" s="354" t="s">
        <v>152</v>
      </c>
      <c r="E39" s="354" t="s">
        <v>635</v>
      </c>
    </row>
    <row r="40" spans="1:5">
      <c r="A40" s="426">
        <v>83150206</v>
      </c>
      <c r="B40" s="354" t="s">
        <v>1494</v>
      </c>
      <c r="C40" s="354" t="s">
        <v>144</v>
      </c>
      <c r="D40" s="354" t="s">
        <v>152</v>
      </c>
      <c r="E40" s="354" t="s">
        <v>843</v>
      </c>
    </row>
    <row r="41" spans="1:5">
      <c r="A41" s="426">
        <v>90201100</v>
      </c>
      <c r="B41" s="354" t="s">
        <v>1495</v>
      </c>
      <c r="C41" s="354" t="s">
        <v>144</v>
      </c>
      <c r="D41" s="354" t="s">
        <v>163</v>
      </c>
      <c r="E41" s="354" t="s">
        <v>876</v>
      </c>
    </row>
    <row r="42" spans="1:5">
      <c r="A42" s="426">
        <v>90201104</v>
      </c>
      <c r="B42" s="354" t="s">
        <v>1496</v>
      </c>
      <c r="C42" s="354" t="s">
        <v>144</v>
      </c>
      <c r="D42" s="354" t="s">
        <v>163</v>
      </c>
      <c r="E42" s="354" t="s">
        <v>166</v>
      </c>
    </row>
    <row r="43" spans="1:5">
      <c r="A43" s="426">
        <v>340005</v>
      </c>
      <c r="B43" s="354" t="s">
        <v>1497</v>
      </c>
      <c r="C43" s="354" t="s">
        <v>49</v>
      </c>
      <c r="D43" s="354" t="s">
        <v>59</v>
      </c>
    </row>
    <row r="44" spans="1:5">
      <c r="A44" s="426">
        <v>340007</v>
      </c>
      <c r="B44" s="354" t="s">
        <v>1498</v>
      </c>
      <c r="C44" s="354" t="s">
        <v>49</v>
      </c>
      <c r="D44" s="354" t="s">
        <v>59</v>
      </c>
    </row>
    <row r="45" spans="1:5">
      <c r="A45" s="426">
        <v>340008</v>
      </c>
      <c r="B45" s="354" t="s">
        <v>1499</v>
      </c>
      <c r="C45" s="354" t="s">
        <v>49</v>
      </c>
      <c r="D45" s="354" t="s">
        <v>59</v>
      </c>
    </row>
    <row r="46" spans="1:5">
      <c r="A46" s="426">
        <v>340009</v>
      </c>
      <c r="B46" s="354" t="s">
        <v>1500</v>
      </c>
      <c r="C46" s="354" t="s">
        <v>49</v>
      </c>
      <c r="D46" s="354" t="s">
        <v>59</v>
      </c>
    </row>
    <row r="47" spans="1:5">
      <c r="A47" s="426">
        <v>340022</v>
      </c>
      <c r="B47" s="354" t="s">
        <v>1501</v>
      </c>
      <c r="C47" s="354" t="s">
        <v>49</v>
      </c>
      <c r="D47" s="354" t="s">
        <v>59</v>
      </c>
    </row>
    <row r="48" spans="1:5">
      <c r="A48" s="426">
        <v>60202023</v>
      </c>
      <c r="B48" s="354" t="s">
        <v>1502</v>
      </c>
      <c r="C48" s="354" t="s">
        <v>144</v>
      </c>
      <c r="D48" s="354" t="s">
        <v>145</v>
      </c>
      <c r="E48" s="354" t="s">
        <v>1503</v>
      </c>
    </row>
    <row r="49" spans="1:5">
      <c r="A49" s="426">
        <v>84200401</v>
      </c>
      <c r="B49" s="354" t="s">
        <v>1504</v>
      </c>
      <c r="C49" s="354" t="s">
        <v>144</v>
      </c>
      <c r="D49" s="354" t="s">
        <v>152</v>
      </c>
      <c r="E49" s="354" t="s">
        <v>158</v>
      </c>
    </row>
    <row r="50" spans="1:5">
      <c r="A50" s="426">
        <v>90201102</v>
      </c>
      <c r="B50" s="354" t="s">
        <v>1505</v>
      </c>
      <c r="C50" s="354" t="s">
        <v>144</v>
      </c>
      <c r="D50" s="354" t="s">
        <v>163</v>
      </c>
      <c r="E50" s="354" t="s">
        <v>166</v>
      </c>
    </row>
    <row r="51" spans="1:5">
      <c r="A51" s="426">
        <v>80201323</v>
      </c>
      <c r="B51" s="354" t="s">
        <v>1506</v>
      </c>
      <c r="C51" s="354" t="s">
        <v>144</v>
      </c>
      <c r="D51" s="354" t="s">
        <v>618</v>
      </c>
      <c r="E51" s="354" t="s">
        <v>1507</v>
      </c>
    </row>
    <row r="52" spans="1:5">
      <c r="A52" s="426">
        <v>80201509</v>
      </c>
      <c r="B52" s="354" t="s">
        <v>1508</v>
      </c>
      <c r="C52" s="354" t="s">
        <v>144</v>
      </c>
      <c r="D52" s="354" t="s">
        <v>618</v>
      </c>
      <c r="E52" s="354" t="s">
        <v>1509</v>
      </c>
    </row>
    <row r="53" spans="1:5">
      <c r="A53" s="426">
        <v>83120203</v>
      </c>
      <c r="B53" s="354" t="s">
        <v>1510</v>
      </c>
      <c r="C53" s="354" t="s">
        <v>144</v>
      </c>
      <c r="D53" s="354" t="s">
        <v>152</v>
      </c>
      <c r="E53" s="354" t="s">
        <v>635</v>
      </c>
    </row>
    <row r="54" spans="1:5">
      <c r="A54" s="426">
        <v>10005</v>
      </c>
      <c r="B54" s="354" t="s">
        <v>1511</v>
      </c>
      <c r="C54" s="354" t="s">
        <v>49</v>
      </c>
      <c r="D54" s="354" t="s">
        <v>50</v>
      </c>
    </row>
    <row r="55" spans="1:5">
      <c r="A55" s="426">
        <v>10201</v>
      </c>
      <c r="B55" s="354" t="s">
        <v>1512</v>
      </c>
      <c r="C55" s="354" t="s">
        <v>49</v>
      </c>
      <c r="D55" s="354" t="s">
        <v>50</v>
      </c>
    </row>
    <row r="56" spans="1:5">
      <c r="A56" s="426">
        <v>340011</v>
      </c>
      <c r="B56" s="354" t="s">
        <v>1513</v>
      </c>
      <c r="C56" s="354" t="s">
        <v>49</v>
      </c>
      <c r="D56" s="354" t="s">
        <v>59</v>
      </c>
    </row>
    <row r="57" spans="1:5">
      <c r="A57" s="426">
        <v>340012</v>
      </c>
      <c r="B57" s="354" t="s">
        <v>1514</v>
      </c>
      <c r="C57" s="354" t="s">
        <v>49</v>
      </c>
      <c r="D57" s="354" t="s">
        <v>59</v>
      </c>
    </row>
    <row r="58" spans="1:5">
      <c r="A58" s="426">
        <v>80201523</v>
      </c>
      <c r="B58" s="354" t="s">
        <v>1515</v>
      </c>
      <c r="C58" s="354" t="s">
        <v>144</v>
      </c>
      <c r="D58" s="354" t="s">
        <v>618</v>
      </c>
      <c r="E58" s="354" t="s">
        <v>1516</v>
      </c>
    </row>
    <row r="59" spans="1:5">
      <c r="A59" s="426">
        <v>90201103</v>
      </c>
      <c r="B59" s="354" t="s">
        <v>1517</v>
      </c>
      <c r="C59" s="354" t="s">
        <v>144</v>
      </c>
      <c r="D59" s="354" t="s">
        <v>163</v>
      </c>
      <c r="E59" s="354" t="s">
        <v>1191</v>
      </c>
    </row>
    <row r="60" spans="1:5">
      <c r="A60" s="426">
        <v>340023</v>
      </c>
      <c r="B60" s="354" t="s">
        <v>1518</v>
      </c>
      <c r="C60" s="354" t="s">
        <v>49</v>
      </c>
      <c r="D60" s="354" t="s">
        <v>59</v>
      </c>
    </row>
    <row r="61" spans="1:5">
      <c r="A61" s="426">
        <v>80201304</v>
      </c>
      <c r="B61" s="354" t="s">
        <v>1519</v>
      </c>
      <c r="C61" s="354" t="s">
        <v>144</v>
      </c>
      <c r="D61" s="354" t="s">
        <v>618</v>
      </c>
      <c r="E61" s="354" t="s">
        <v>1478</v>
      </c>
    </row>
    <row r="62" spans="1:5">
      <c r="A62" s="426">
        <v>82110300</v>
      </c>
      <c r="B62" s="354" t="s">
        <v>782</v>
      </c>
      <c r="C62" s="354" t="s">
        <v>144</v>
      </c>
      <c r="D62" s="354" t="s">
        <v>149</v>
      </c>
      <c r="E62" s="354" t="s">
        <v>153</v>
      </c>
    </row>
    <row r="63" spans="1:5">
      <c r="A63" s="426">
        <v>342001</v>
      </c>
      <c r="B63" s="354" t="s">
        <v>1458</v>
      </c>
      <c r="C63" s="354" t="s">
        <v>49</v>
      </c>
      <c r="D63" s="354" t="s">
        <v>59</v>
      </c>
    </row>
    <row r="64" spans="1:5">
      <c r="A64" s="426">
        <v>342002</v>
      </c>
      <c r="B64" s="354" t="s">
        <v>1459</v>
      </c>
      <c r="C64" s="354" t="s">
        <v>49</v>
      </c>
      <c r="D64" s="354" t="s">
        <v>59</v>
      </c>
    </row>
    <row r="65" spans="1:9">
      <c r="A65" s="426">
        <v>342003</v>
      </c>
      <c r="B65" s="354" t="s">
        <v>1460</v>
      </c>
      <c r="C65" s="354" t="s">
        <v>49</v>
      </c>
      <c r="D65" s="354" t="s">
        <v>59</v>
      </c>
    </row>
    <row r="66" spans="1:9">
      <c r="A66" s="426">
        <v>342004</v>
      </c>
      <c r="B66" s="354" t="s">
        <v>1461</v>
      </c>
      <c r="C66" s="354" t="s">
        <v>49</v>
      </c>
      <c r="D66" s="354" t="s">
        <v>59</v>
      </c>
    </row>
    <row r="67" spans="1:9">
      <c r="A67" s="426">
        <v>342005</v>
      </c>
      <c r="B67" s="354" t="s">
        <v>1497</v>
      </c>
      <c r="C67" s="354" t="s">
        <v>49</v>
      </c>
      <c r="D67" s="354" t="s">
        <v>59</v>
      </c>
    </row>
    <row r="68" spans="1:9">
      <c r="A68" s="426">
        <v>342006</v>
      </c>
      <c r="B68" s="354" t="s">
        <v>1462</v>
      </c>
      <c r="C68" s="354" t="s">
        <v>49</v>
      </c>
      <c r="D68" s="354" t="s">
        <v>59</v>
      </c>
    </row>
    <row r="69" spans="1:9">
      <c r="A69" s="426">
        <v>342007</v>
      </c>
      <c r="B69" s="354" t="s">
        <v>1498</v>
      </c>
      <c r="C69" s="354" t="s">
        <v>49</v>
      </c>
      <c r="D69" s="354" t="s">
        <v>59</v>
      </c>
    </row>
    <row r="70" spans="1:9">
      <c r="A70" s="426">
        <v>342008</v>
      </c>
      <c r="B70" s="354" t="s">
        <v>1499</v>
      </c>
      <c r="C70" s="354" t="s">
        <v>49</v>
      </c>
      <c r="D70" s="354" t="s">
        <v>59</v>
      </c>
    </row>
    <row r="71" spans="1:9">
      <c r="A71" s="426">
        <v>342009</v>
      </c>
      <c r="B71" s="354" t="s">
        <v>1500</v>
      </c>
      <c r="C71" s="354" t="s">
        <v>49</v>
      </c>
      <c r="D71" s="354" t="s">
        <v>59</v>
      </c>
    </row>
    <row r="72" spans="1:9">
      <c r="A72" s="426">
        <v>342011</v>
      </c>
      <c r="B72" s="354" t="s">
        <v>1513</v>
      </c>
      <c r="C72" s="354" t="s">
        <v>49</v>
      </c>
      <c r="D72" s="354" t="s">
        <v>59</v>
      </c>
      <c r="I72" s="433"/>
    </row>
    <row r="73" spans="1:9">
      <c r="A73" s="426">
        <v>342012</v>
      </c>
      <c r="B73" s="354" t="s">
        <v>1514</v>
      </c>
      <c r="C73" s="354" t="s">
        <v>49</v>
      </c>
      <c r="D73" s="354" t="s">
        <v>59</v>
      </c>
    </row>
    <row r="74" spans="1:9">
      <c r="A74" s="426">
        <v>342022</v>
      </c>
      <c r="B74" s="354" t="s">
        <v>1501</v>
      </c>
      <c r="C74" s="354" t="s">
        <v>49</v>
      </c>
      <c r="D74" s="354" t="s">
        <v>59</v>
      </c>
    </row>
    <row r="75" spans="1:9">
      <c r="A75" s="426">
        <v>342023</v>
      </c>
      <c r="B75" s="354" t="s">
        <v>1518</v>
      </c>
      <c r="C75" s="354" t="s">
        <v>49</v>
      </c>
      <c r="D75" s="354" t="s">
        <v>59</v>
      </c>
    </row>
    <row r="76" spans="1:9">
      <c r="A76" s="426">
        <v>83120215</v>
      </c>
      <c r="B76" s="354" t="s">
        <v>1520</v>
      </c>
      <c r="C76" s="354" t="s">
        <v>144</v>
      </c>
      <c r="D76" s="354" t="s">
        <v>152</v>
      </c>
      <c r="E76" s="354" t="s">
        <v>843</v>
      </c>
    </row>
    <row r="77" spans="1:9">
      <c r="A77" s="426">
        <v>83150207</v>
      </c>
      <c r="B77" s="354" t="s">
        <v>1521</v>
      </c>
      <c r="C77" s="354" t="s">
        <v>144</v>
      </c>
      <c r="D77" s="354" t="s">
        <v>152</v>
      </c>
      <c r="E77" s="354" t="s">
        <v>843</v>
      </c>
    </row>
    <row r="78" spans="1:9">
      <c r="A78" s="426">
        <v>342013</v>
      </c>
      <c r="B78" s="354" t="s">
        <v>93</v>
      </c>
      <c r="C78" s="354" t="s">
        <v>49</v>
      </c>
      <c r="D78" s="354" t="s">
        <v>59</v>
      </c>
    </row>
    <row r="79" spans="1:9">
      <c r="A79" s="426">
        <v>83120214</v>
      </c>
      <c r="B79" s="354" t="s">
        <v>1062</v>
      </c>
      <c r="C79" s="354" t="s">
        <v>144</v>
      </c>
      <c r="D79" s="354" t="s">
        <v>152</v>
      </c>
      <c r="E79" s="354" t="s">
        <v>635</v>
      </c>
    </row>
    <row r="80" spans="1:9">
      <c r="A80" s="426">
        <v>61202000</v>
      </c>
      <c r="B80" s="354" t="s">
        <v>1522</v>
      </c>
      <c r="C80" s="354" t="s">
        <v>144</v>
      </c>
      <c r="D80" s="354" t="s">
        <v>145</v>
      </c>
      <c r="E80" s="354" t="s">
        <v>1523</v>
      </c>
    </row>
    <row r="81" spans="1:5">
      <c r="A81" s="426">
        <v>31007</v>
      </c>
      <c r="B81" s="354" t="s">
        <v>478</v>
      </c>
      <c r="C81" s="354" t="s">
        <v>49</v>
      </c>
      <c r="D81" s="354" t="s">
        <v>1524</v>
      </c>
    </row>
    <row r="82" spans="1:5">
      <c r="A82" s="426">
        <v>83150205</v>
      </c>
      <c r="B82" s="354" t="s">
        <v>1525</v>
      </c>
      <c r="C82" s="354" t="s">
        <v>144</v>
      </c>
      <c r="D82" s="354" t="s">
        <v>152</v>
      </c>
      <c r="E82" s="354" t="s">
        <v>843</v>
      </c>
    </row>
    <row r="83" spans="1:5">
      <c r="A83" s="426">
        <v>10006</v>
      </c>
      <c r="B83" s="354" t="s">
        <v>1526</v>
      </c>
      <c r="C83" s="354" t="s">
        <v>49</v>
      </c>
      <c r="D83" s="354" t="s">
        <v>289</v>
      </c>
    </row>
    <row r="84" spans="1:5">
      <c r="A84" s="447">
        <v>342024</v>
      </c>
      <c r="B84" s="354" t="s">
        <v>1527</v>
      </c>
      <c r="C84" s="354" t="s">
        <v>49</v>
      </c>
      <c r="D84" s="354" t="s">
        <v>59</v>
      </c>
    </row>
    <row r="85" spans="1:5">
      <c r="A85" s="426">
        <v>342025</v>
      </c>
      <c r="B85" s="354" t="s">
        <v>1528</v>
      </c>
      <c r="C85" s="354" t="s">
        <v>49</v>
      </c>
      <c r="D85" s="354" t="s">
        <v>59</v>
      </c>
    </row>
    <row r="86" spans="1:5">
      <c r="A86" s="426">
        <v>342026</v>
      </c>
      <c r="B86" s="354" t="s">
        <v>1529</v>
      </c>
      <c r="C86" s="354" t="s">
        <v>49</v>
      </c>
      <c r="D86" s="354" t="s">
        <v>59</v>
      </c>
    </row>
    <row r="87" spans="1:5">
      <c r="A87" s="426">
        <v>70201201</v>
      </c>
      <c r="B87" s="354" t="s">
        <v>1530</v>
      </c>
      <c r="C87" s="354" t="s">
        <v>144</v>
      </c>
      <c r="D87" s="354" t="s">
        <v>182</v>
      </c>
      <c r="E87" s="354" t="s">
        <v>182</v>
      </c>
    </row>
    <row r="88" spans="1:5">
      <c r="A88" s="426">
        <v>82110904</v>
      </c>
      <c r="B88" s="354" t="s">
        <v>1531</v>
      </c>
      <c r="C88" s="354" t="s">
        <v>144</v>
      </c>
      <c r="D88" s="354" t="s">
        <v>149</v>
      </c>
      <c r="E88" s="433" t="s">
        <v>181</v>
      </c>
    </row>
    <row r="155" spans="6:6">
      <c r="F155" s="354" t="s">
        <v>615</v>
      </c>
    </row>
  </sheetData>
  <autoFilter ref="A1:J85" xr:uid="{86DA751A-7A46-C542-828F-E8750C36CEE5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8E9C-FC60-4345-B3B7-F129AE5B4B36}">
  <sheetPr codeName="Sheet21">
    <tabColor rgb="FF00B0F0"/>
  </sheetPr>
  <dimension ref="A2:I930"/>
  <sheetViews>
    <sheetView workbookViewId="0">
      <selection activeCell="B22" sqref="B22"/>
    </sheetView>
  </sheetViews>
  <sheetFormatPr defaultColWidth="14.42578125" defaultRowHeight="15" customHeight="1"/>
  <cols>
    <col min="1" max="1" width="17.42578125" style="354" customWidth="1"/>
    <col min="2" max="2" width="37.42578125" style="354" customWidth="1"/>
    <col min="3" max="3" width="14.42578125" style="354" customWidth="1"/>
    <col min="4" max="4" width="14.42578125" style="448"/>
    <col min="5" max="16384" width="14.42578125" style="354"/>
  </cols>
  <sheetData>
    <row r="2" spans="1:9" ht="15" customHeight="1">
      <c r="A2" s="790" t="s">
        <v>1566</v>
      </c>
      <c r="B2" s="790"/>
      <c r="C2" s="790"/>
      <c r="D2" s="540"/>
    </row>
    <row r="3" spans="1:9" ht="15" customHeight="1">
      <c r="A3" s="790"/>
      <c r="B3" s="790"/>
      <c r="C3" s="790"/>
      <c r="D3" s="540"/>
    </row>
    <row r="4" spans="1:9" ht="15" customHeight="1">
      <c r="A4" s="790"/>
      <c r="B4" s="790"/>
      <c r="C4" s="790"/>
      <c r="D4" s="540"/>
    </row>
    <row r="6" spans="1:9" ht="22.5">
      <c r="A6" s="450"/>
      <c r="B6" s="450"/>
      <c r="C6" s="538"/>
    </row>
    <row r="7" spans="1:9">
      <c r="A7" s="450"/>
      <c r="B7" s="1"/>
      <c r="C7" s="465"/>
      <c r="D7" s="539"/>
      <c r="E7" s="447"/>
    </row>
    <row r="8" spans="1:9">
      <c r="A8" s="450"/>
      <c r="B8" s="450"/>
      <c r="C8" s="541">
        <v>2022</v>
      </c>
      <c r="D8" s="453" t="s">
        <v>305</v>
      </c>
      <c r="E8" s="541">
        <v>2022</v>
      </c>
    </row>
    <row r="9" spans="1:9">
      <c r="A9" s="450"/>
      <c r="B9" s="450"/>
      <c r="C9" s="466" t="s">
        <v>369</v>
      </c>
      <c r="D9" s="453"/>
      <c r="E9" s="466" t="s">
        <v>369</v>
      </c>
    </row>
    <row r="10" spans="1:9">
      <c r="A10" s="450"/>
      <c r="B10" s="450"/>
      <c r="C10" s="465" t="s">
        <v>32</v>
      </c>
      <c r="D10" s="453"/>
      <c r="E10" s="465" t="s">
        <v>32</v>
      </c>
    </row>
    <row r="11" spans="1:9">
      <c r="A11" s="450"/>
      <c r="B11" s="458" t="s">
        <v>286</v>
      </c>
      <c r="C11" s="449"/>
      <c r="D11" s="453"/>
      <c r="E11" s="449"/>
    </row>
    <row r="12" spans="1:9" ht="8.1" customHeight="1">
      <c r="A12" s="450"/>
      <c r="B12" s="457"/>
      <c r="C12" s="450"/>
      <c r="D12" s="453"/>
      <c r="E12" s="450"/>
    </row>
    <row r="13" spans="1:9">
      <c r="A13" s="450"/>
      <c r="B13" s="427" t="s">
        <v>50</v>
      </c>
      <c r="C13" s="453">
        <f>SUMIF('TB INC 12.22'!I:I,'BS INC'!B13,'TB INC 12.22'!F:F)</f>
        <v>24693919.049999997</v>
      </c>
      <c r="D13" s="453"/>
      <c r="E13" s="453">
        <f>C13+D13</f>
        <v>24693919.049999997</v>
      </c>
    </row>
    <row r="14" spans="1:9">
      <c r="A14" s="450"/>
      <c r="B14" s="427" t="s">
        <v>51</v>
      </c>
      <c r="C14" s="453">
        <f>SUMIF('TB INC 12.22'!I:I,'BS INC'!B14,'TB INC 12.22'!F:F)</f>
        <v>0</v>
      </c>
      <c r="D14" s="453"/>
      <c r="E14" s="453">
        <f t="shared" ref="E14:E16" si="0">C14+D14</f>
        <v>0</v>
      </c>
    </row>
    <row r="15" spans="1:9">
      <c r="A15" s="450"/>
      <c r="B15" s="427" t="s">
        <v>110</v>
      </c>
      <c r="C15" s="453">
        <f>SUMIF('TB INC 12.22'!I:I,'BS INC'!B15,'TB INC 12.22'!F:F)</f>
        <v>-24505604.019999981</v>
      </c>
      <c r="D15" s="453">
        <f>'AJE 2022'!V12+'AJE 2022'!V17+'AJE 2022'!V21+'AJE 2022'!V26-'AJE 2022'!W31+'AJE 2022'!V35</f>
        <v>0</v>
      </c>
      <c r="E15" s="453">
        <f t="shared" si="0"/>
        <v>-24505604.019999981</v>
      </c>
      <c r="F15" s="463"/>
      <c r="G15" s="463"/>
      <c r="H15" s="463"/>
      <c r="I15" s="463"/>
    </row>
    <row r="16" spans="1:9">
      <c r="A16" s="450"/>
      <c r="B16" s="427" t="s">
        <v>53</v>
      </c>
      <c r="C16" s="453">
        <f>SUMIF('TB INC 12.22'!I:I,'BS INC'!B16,'TB INC 12.22'!F:F)</f>
        <v>1085652.44</v>
      </c>
      <c r="D16" s="453">
        <f>-'AJE 2022'!V35</f>
        <v>0</v>
      </c>
      <c r="E16" s="453">
        <f t="shared" si="0"/>
        <v>1085652.44</v>
      </c>
      <c r="F16" s="463"/>
      <c r="G16" s="463"/>
      <c r="H16" s="463"/>
      <c r="I16" s="463"/>
    </row>
    <row r="17" spans="1:9">
      <c r="A17" s="450"/>
      <c r="B17" s="427"/>
      <c r="C17" s="464">
        <f>SUM(C13:C16)</f>
        <v>1273967.470000016</v>
      </c>
      <c r="D17" s="453"/>
      <c r="E17" s="464">
        <f>SUM(E13:E16)</f>
        <v>1273967.470000016</v>
      </c>
      <c r="F17" s="463"/>
      <c r="G17" s="463"/>
      <c r="H17" s="463"/>
      <c r="I17" s="463"/>
    </row>
    <row r="18" spans="1:9">
      <c r="A18" s="450"/>
      <c r="B18" s="427"/>
      <c r="C18" s="455"/>
      <c r="D18" s="453"/>
      <c r="E18" s="455"/>
    </row>
    <row r="19" spans="1:9">
      <c r="A19" s="450"/>
      <c r="B19" s="427"/>
      <c r="C19" s="453"/>
      <c r="D19" s="453"/>
      <c r="E19" s="453"/>
    </row>
    <row r="20" spans="1:9">
      <c r="A20" s="450"/>
      <c r="B20" s="458" t="s">
        <v>1667</v>
      </c>
      <c r="C20" s="453"/>
      <c r="D20" s="453"/>
      <c r="E20" s="453"/>
    </row>
    <row r="21" spans="1:9">
      <c r="A21" s="450"/>
      <c r="B21" s="427"/>
      <c r="C21" s="453"/>
      <c r="D21" s="453"/>
      <c r="E21" s="453"/>
    </row>
    <row r="22" spans="1:9">
      <c r="A22" s="450"/>
      <c r="B22" s="40" t="s">
        <v>1668</v>
      </c>
      <c r="C22" s="453">
        <f>SUMIF('TB INC 12.22'!I:I,'BS INC'!B22,'TB INC 12.22'!F:F)</f>
        <v>1199999</v>
      </c>
      <c r="D22" s="453"/>
      <c r="E22" s="453">
        <f t="shared" ref="E22" si="1">C22+D22</f>
        <v>1199999</v>
      </c>
    </row>
    <row r="23" spans="1:9">
      <c r="A23" s="450"/>
      <c r="B23" s="427"/>
      <c r="C23" s="453"/>
      <c r="D23" s="453"/>
      <c r="E23" s="453"/>
    </row>
    <row r="24" spans="1:9">
      <c r="A24" s="450"/>
      <c r="B24" s="460" t="s">
        <v>291</v>
      </c>
      <c r="C24" s="459">
        <f>+C17+C22</f>
        <v>2473966.470000016</v>
      </c>
      <c r="D24" s="453"/>
      <c r="E24" s="459">
        <f>+E17+E22</f>
        <v>2473966.470000016</v>
      </c>
    </row>
    <row r="25" spans="1:9" ht="15.75" customHeight="1">
      <c r="A25" s="450"/>
      <c r="B25" s="427"/>
      <c r="C25" s="453"/>
      <c r="D25" s="453"/>
      <c r="E25" s="453"/>
      <c r="F25" s="463"/>
    </row>
    <row r="26" spans="1:9" ht="15.75" customHeight="1">
      <c r="A26" s="450"/>
      <c r="B26" s="458" t="s">
        <v>292</v>
      </c>
      <c r="C26" s="453"/>
      <c r="D26" s="453"/>
      <c r="E26" s="453"/>
      <c r="F26" s="463"/>
    </row>
    <row r="27" spans="1:9" ht="15.75" customHeight="1">
      <c r="A27" s="450"/>
      <c r="B27" s="427"/>
      <c r="C27" s="453"/>
      <c r="D27" s="453"/>
      <c r="E27" s="453"/>
      <c r="F27" s="463"/>
    </row>
    <row r="28" spans="1:9" ht="15.75" customHeight="1">
      <c r="A28" s="450"/>
      <c r="B28" s="427" t="s">
        <v>59</v>
      </c>
      <c r="C28" s="453">
        <f>SUMIF('TB INC 12.22'!I:I,'BS INC'!B28,'TB INC 12.22'!F:F)</f>
        <v>-952301.09</v>
      </c>
      <c r="D28" s="453"/>
      <c r="E28" s="453">
        <f t="shared" ref="E28:E29" si="2">C28+D28</f>
        <v>-952301.09</v>
      </c>
      <c r="F28" s="463"/>
    </row>
    <row r="29" spans="1:9" ht="15.75" customHeight="1">
      <c r="A29" s="450"/>
      <c r="B29" s="427" t="s">
        <v>55</v>
      </c>
      <c r="C29" s="453">
        <f>SUMIF('TB INC 12.22'!I:I,'BS INC'!B29,'TB INC 12.22'!F:F)</f>
        <v>-1211355.3999999999</v>
      </c>
      <c r="D29" s="453"/>
      <c r="E29" s="453">
        <f t="shared" si="2"/>
        <v>-1211355.3999999999</v>
      </c>
    </row>
    <row r="30" spans="1:9" ht="15.75" customHeight="1">
      <c r="A30" s="450"/>
      <c r="B30" s="354" t="s">
        <v>1524</v>
      </c>
      <c r="C30" s="453">
        <f>SUMIF('TB INC 12.22'!I:I,'BS INC'!B30,'TB INC 12.22'!F:F)</f>
        <v>0</v>
      </c>
      <c r="D30" s="453">
        <f>-'P&amp;L INC'!E17+'AJE 2022'!V30</f>
        <v>0</v>
      </c>
      <c r="E30" s="453">
        <f>C30+D30</f>
        <v>0</v>
      </c>
    </row>
    <row r="31" spans="1:9" ht="15.75" customHeight="1">
      <c r="A31" s="450"/>
      <c r="B31" s="427"/>
      <c r="C31" s="462">
        <f>SUM(C28:C30)</f>
        <v>-2163656.4899999998</v>
      </c>
      <c r="D31" s="453"/>
      <c r="E31" s="462">
        <f>SUM(E28:E30)</f>
        <v>-2163656.4899999998</v>
      </c>
      <c r="F31" s="518">
        <f>C30+11413446</f>
        <v>11413446</v>
      </c>
    </row>
    <row r="32" spans="1:9" ht="15.75" customHeight="1">
      <c r="A32" s="450"/>
      <c r="B32" s="427"/>
      <c r="C32" s="453"/>
      <c r="D32" s="453"/>
      <c r="E32" s="453"/>
    </row>
    <row r="33" spans="1:5" ht="15.75" customHeight="1">
      <c r="A33" s="450"/>
      <c r="B33" s="461"/>
      <c r="D33" s="453"/>
    </row>
    <row r="34" spans="1:5" ht="15.75" customHeight="1">
      <c r="A34" s="450"/>
      <c r="B34" s="460" t="s">
        <v>307</v>
      </c>
      <c r="C34" s="459">
        <f>+C31</f>
        <v>-2163656.4899999998</v>
      </c>
      <c r="D34" s="453"/>
      <c r="E34" s="459">
        <f>+E31</f>
        <v>-2163656.4899999998</v>
      </c>
    </row>
    <row r="35" spans="1:5" ht="15.75" customHeight="1">
      <c r="A35" s="450"/>
      <c r="B35" s="427"/>
      <c r="C35" s="453"/>
      <c r="D35" s="453"/>
      <c r="E35" s="453"/>
    </row>
    <row r="36" spans="1:5" ht="15.75" customHeight="1">
      <c r="A36" s="450"/>
      <c r="B36" s="458" t="s">
        <v>295</v>
      </c>
      <c r="C36" s="453"/>
      <c r="D36" s="453"/>
      <c r="E36" s="453"/>
    </row>
    <row r="37" spans="1:5" ht="15.75" customHeight="1">
      <c r="A37" s="450"/>
      <c r="B37" s="457"/>
      <c r="C37" s="453"/>
      <c r="D37" s="453"/>
      <c r="E37" s="453"/>
    </row>
    <row r="38" spans="1:5" ht="15.75" customHeight="1">
      <c r="A38" s="450"/>
      <c r="B38" s="427" t="s">
        <v>142</v>
      </c>
      <c r="C38" s="453">
        <f>SUMIF('TB INC 12.22'!I:I,'BS INC'!B38,'TB INC 12.22'!F:F)</f>
        <v>-297517.45</v>
      </c>
      <c r="D38" s="453"/>
      <c r="E38" s="453">
        <f t="shared" ref="E38:E39" si="3">C38+D38</f>
        <v>-297517.45</v>
      </c>
    </row>
    <row r="39" spans="1:5" ht="15.75" customHeight="1">
      <c r="A39" s="450"/>
      <c r="B39" s="427" t="s">
        <v>144</v>
      </c>
      <c r="C39" s="455">
        <f>'P&amp;L INC'!D51</f>
        <v>-12793.339999973701</v>
      </c>
      <c r="D39" s="453">
        <f>'P&amp;L INC'!E42</f>
        <v>0</v>
      </c>
      <c r="E39" s="455">
        <f t="shared" si="3"/>
        <v>-12793.339999973701</v>
      </c>
    </row>
    <row r="40" spans="1:5" ht="15.75" customHeight="1">
      <c r="A40" s="450"/>
      <c r="B40" s="450"/>
      <c r="C40" s="453">
        <f>SUM(C38:C39)</f>
        <v>-310310.78999997373</v>
      </c>
      <c r="D40" s="453"/>
      <c r="E40" s="453">
        <f>SUM(E38:E39)</f>
        <v>-310310.78999997373</v>
      </c>
    </row>
    <row r="41" spans="1:5" ht="15.75" customHeight="1">
      <c r="A41" s="450"/>
      <c r="B41" s="450"/>
      <c r="C41" s="455"/>
      <c r="E41" s="455"/>
    </row>
    <row r="42" spans="1:5" ht="15.75" customHeight="1" thickBot="1">
      <c r="A42" s="450"/>
      <c r="B42" s="450"/>
      <c r="C42" s="454">
        <f>C40+C34</f>
        <v>-2473967.2799999733</v>
      </c>
      <c r="E42" s="454">
        <f>E40+E34</f>
        <v>-2473967.2799999733</v>
      </c>
    </row>
    <row r="43" spans="1:5" ht="15.75" customHeight="1" thickTop="1">
      <c r="A43" s="450"/>
      <c r="B43" s="450"/>
      <c r="C43" s="453" t="b">
        <f>+C42=-C24</f>
        <v>0</v>
      </c>
      <c r="E43" s="453" t="b">
        <f>+E42=-E24</f>
        <v>0</v>
      </c>
    </row>
    <row r="44" spans="1:5" ht="15.75" customHeight="1">
      <c r="A44" s="450"/>
      <c r="B44" s="450"/>
      <c r="C44" s="453">
        <f>+C42+C24</f>
        <v>-0.80999995721504092</v>
      </c>
      <c r="E44" s="453">
        <f>+E42+E24</f>
        <v>-0.80999995721504092</v>
      </c>
    </row>
    <row r="45" spans="1:5" ht="15.75" customHeight="1">
      <c r="A45" s="450"/>
      <c r="B45" s="450"/>
      <c r="C45" s="450"/>
      <c r="E45" s="450"/>
    </row>
    <row r="46" spans="1:5" ht="15.75" customHeight="1">
      <c r="A46" s="450"/>
      <c r="B46" s="450"/>
      <c r="C46" s="452"/>
      <c r="E46" s="452"/>
    </row>
    <row r="47" spans="1:5" ht="15.75" customHeight="1">
      <c r="A47" s="450"/>
      <c r="B47" s="450"/>
      <c r="C47" s="449"/>
      <c r="E47" s="449"/>
    </row>
    <row r="48" spans="1:5" ht="15.75" customHeight="1">
      <c r="A48" s="450"/>
      <c r="B48" s="450"/>
      <c r="C48" s="449"/>
      <c r="E48" s="449"/>
    </row>
    <row r="49" spans="1:5" ht="15.75" customHeight="1">
      <c r="A49" s="450"/>
      <c r="B49" s="450"/>
      <c r="C49" s="449"/>
      <c r="E49" s="449"/>
    </row>
    <row r="50" spans="1:5" ht="15.75" customHeight="1">
      <c r="A50" s="450"/>
      <c r="B50" s="450"/>
      <c r="C50" s="449"/>
      <c r="E50" s="449"/>
    </row>
    <row r="51" spans="1:5" ht="15.75" customHeight="1">
      <c r="A51" s="450"/>
      <c r="B51" s="450"/>
      <c r="C51" s="451"/>
    </row>
    <row r="52" spans="1:5" ht="15.75" customHeight="1">
      <c r="A52" s="450"/>
      <c r="B52" s="450"/>
      <c r="C52" s="451"/>
    </row>
    <row r="53" spans="1:5" ht="15.75" customHeight="1">
      <c r="A53" s="450"/>
      <c r="B53" s="450"/>
      <c r="C53" s="451"/>
    </row>
    <row r="54" spans="1:5" s="448" customFormat="1" ht="15.75" customHeight="1">
      <c r="A54" s="450"/>
      <c r="B54" s="450"/>
      <c r="C54" s="449"/>
      <c r="E54" s="354"/>
    </row>
    <row r="55" spans="1:5" s="448" customFormat="1" ht="15.75" customHeight="1">
      <c r="A55" s="450"/>
      <c r="B55" s="450"/>
      <c r="C55" s="449"/>
      <c r="E55" s="354"/>
    </row>
    <row r="56" spans="1:5" s="448" customFormat="1" ht="15.75" customHeight="1">
      <c r="A56" s="450"/>
      <c r="B56" s="450"/>
      <c r="C56" s="449"/>
      <c r="E56" s="354"/>
    </row>
    <row r="57" spans="1:5" s="448" customFormat="1" ht="15.75" customHeight="1">
      <c r="A57" s="450"/>
      <c r="B57" s="450"/>
      <c r="C57" s="449"/>
      <c r="E57" s="354"/>
    </row>
    <row r="58" spans="1:5" s="448" customFormat="1" ht="15.75" customHeight="1">
      <c r="A58" s="450"/>
      <c r="B58" s="450"/>
      <c r="C58" s="449"/>
      <c r="E58" s="354"/>
    </row>
    <row r="59" spans="1:5" s="448" customFormat="1" ht="15.75" customHeight="1">
      <c r="A59" s="450"/>
      <c r="B59" s="450"/>
      <c r="C59" s="449"/>
      <c r="E59" s="354"/>
    </row>
    <row r="60" spans="1:5" s="448" customFormat="1" ht="15.75" customHeight="1">
      <c r="A60" s="450"/>
      <c r="B60" s="450"/>
      <c r="C60" s="449"/>
      <c r="E60" s="354"/>
    </row>
    <row r="61" spans="1:5" s="448" customFormat="1" ht="15.75" customHeight="1">
      <c r="A61" s="450"/>
      <c r="B61" s="450"/>
      <c r="C61" s="449"/>
      <c r="E61" s="354"/>
    </row>
    <row r="62" spans="1:5" s="448" customFormat="1" ht="15.75" customHeight="1">
      <c r="A62" s="450"/>
      <c r="B62" s="450"/>
      <c r="C62" s="449"/>
      <c r="E62" s="354"/>
    </row>
    <row r="63" spans="1:5" s="448" customFormat="1" ht="15.75" customHeight="1">
      <c r="A63" s="450"/>
      <c r="B63" s="450"/>
      <c r="C63" s="449"/>
      <c r="E63" s="354"/>
    </row>
    <row r="64" spans="1:5" s="448" customFormat="1" ht="15.75" customHeight="1">
      <c r="A64" s="450"/>
      <c r="B64" s="450"/>
      <c r="C64" s="449"/>
      <c r="E64" s="354"/>
    </row>
    <row r="65" spans="1:5" s="448" customFormat="1" ht="15.75" customHeight="1">
      <c r="A65" s="450"/>
      <c r="B65" s="450"/>
      <c r="C65" s="449"/>
      <c r="E65" s="354"/>
    </row>
    <row r="66" spans="1:5" s="448" customFormat="1" ht="15.75" customHeight="1">
      <c r="A66" s="450"/>
      <c r="B66" s="450"/>
      <c r="C66" s="449"/>
      <c r="E66" s="354"/>
    </row>
    <row r="67" spans="1:5" s="448" customFormat="1" ht="15.75" customHeight="1">
      <c r="A67" s="450"/>
      <c r="B67" s="450"/>
      <c r="C67" s="449"/>
      <c r="E67" s="354"/>
    </row>
    <row r="68" spans="1:5" s="448" customFormat="1" ht="15.75" customHeight="1">
      <c r="A68" s="450"/>
      <c r="B68" s="450"/>
      <c r="C68" s="449"/>
      <c r="E68" s="354"/>
    </row>
    <row r="69" spans="1:5" s="448" customFormat="1" ht="15.75" customHeight="1">
      <c r="A69" s="450"/>
      <c r="B69" s="450"/>
      <c r="C69" s="449"/>
      <c r="E69" s="354"/>
    </row>
    <row r="70" spans="1:5" s="448" customFormat="1" ht="15.75" customHeight="1">
      <c r="A70" s="450"/>
      <c r="B70" s="450"/>
      <c r="C70" s="449"/>
      <c r="E70" s="354"/>
    </row>
    <row r="71" spans="1:5" s="448" customFormat="1" ht="15.75" customHeight="1">
      <c r="A71" s="450"/>
      <c r="B71" s="450"/>
      <c r="C71" s="449"/>
      <c r="E71" s="354"/>
    </row>
    <row r="72" spans="1:5" s="448" customFormat="1" ht="15.75" customHeight="1">
      <c r="A72" s="450"/>
      <c r="B72" s="450"/>
      <c r="C72" s="449"/>
      <c r="E72" s="354"/>
    </row>
    <row r="73" spans="1:5" s="448" customFormat="1" ht="15.75" customHeight="1">
      <c r="A73" s="450"/>
      <c r="B73" s="450"/>
      <c r="C73" s="449"/>
      <c r="E73" s="354"/>
    </row>
    <row r="74" spans="1:5" s="448" customFormat="1" ht="15.75" customHeight="1">
      <c r="A74" s="450"/>
      <c r="B74" s="450"/>
      <c r="C74" s="449"/>
      <c r="E74" s="354"/>
    </row>
    <row r="75" spans="1:5" s="448" customFormat="1" ht="15.75" customHeight="1">
      <c r="A75" s="450"/>
      <c r="B75" s="450"/>
      <c r="C75" s="449"/>
      <c r="E75" s="354"/>
    </row>
    <row r="76" spans="1:5" s="448" customFormat="1" ht="15.75" customHeight="1">
      <c r="A76" s="450"/>
      <c r="B76" s="450"/>
      <c r="C76" s="449"/>
      <c r="E76" s="354"/>
    </row>
    <row r="77" spans="1:5" s="448" customFormat="1" ht="15.75" customHeight="1">
      <c r="A77" s="450"/>
      <c r="B77" s="450"/>
      <c r="C77" s="449"/>
      <c r="E77" s="354"/>
    </row>
    <row r="78" spans="1:5" s="448" customFormat="1" ht="15.75" customHeight="1">
      <c r="A78" s="450"/>
      <c r="B78" s="450"/>
      <c r="C78" s="449"/>
      <c r="E78" s="354"/>
    </row>
    <row r="79" spans="1:5" s="448" customFormat="1" ht="15.75" customHeight="1">
      <c r="A79" s="450"/>
      <c r="B79" s="450"/>
      <c r="C79" s="449"/>
      <c r="E79" s="354"/>
    </row>
    <row r="80" spans="1:5" s="448" customFormat="1" ht="15.75" customHeight="1">
      <c r="A80" s="450"/>
      <c r="B80" s="450"/>
      <c r="C80" s="449"/>
      <c r="E80" s="354"/>
    </row>
    <row r="81" spans="1:5" s="448" customFormat="1" ht="15.75" customHeight="1">
      <c r="A81" s="450"/>
      <c r="B81" s="450"/>
      <c r="C81" s="449"/>
      <c r="E81" s="354"/>
    </row>
    <row r="82" spans="1:5" s="448" customFormat="1" ht="15.75" customHeight="1">
      <c r="A82" s="450"/>
      <c r="B82" s="450"/>
      <c r="C82" s="449"/>
      <c r="E82" s="354"/>
    </row>
    <row r="83" spans="1:5" s="448" customFormat="1" ht="15.75" customHeight="1">
      <c r="A83" s="450"/>
      <c r="B83" s="450"/>
      <c r="C83" s="449"/>
      <c r="E83" s="354"/>
    </row>
    <row r="84" spans="1:5" s="448" customFormat="1" ht="15.75" customHeight="1">
      <c r="A84" s="450"/>
      <c r="B84" s="450"/>
      <c r="C84" s="449"/>
      <c r="E84" s="354"/>
    </row>
    <row r="85" spans="1:5" s="448" customFormat="1" ht="15.75" customHeight="1">
      <c r="A85" s="450"/>
      <c r="B85" s="450"/>
      <c r="C85" s="449"/>
      <c r="E85" s="354"/>
    </row>
    <row r="86" spans="1:5" s="448" customFormat="1" ht="15.75" customHeight="1">
      <c r="A86" s="450"/>
      <c r="B86" s="450"/>
      <c r="C86" s="449"/>
      <c r="E86" s="354"/>
    </row>
    <row r="87" spans="1:5" s="448" customFormat="1" ht="15.75" customHeight="1">
      <c r="A87" s="450"/>
      <c r="B87" s="450"/>
      <c r="C87" s="449"/>
      <c r="E87" s="354"/>
    </row>
    <row r="88" spans="1:5" s="448" customFormat="1" ht="15.75" customHeight="1">
      <c r="A88" s="450"/>
      <c r="B88" s="450"/>
      <c r="C88" s="449"/>
      <c r="E88" s="354"/>
    </row>
    <row r="89" spans="1:5" s="448" customFormat="1" ht="15.75" customHeight="1">
      <c r="A89" s="450"/>
      <c r="B89" s="450"/>
      <c r="C89" s="449"/>
      <c r="E89" s="354"/>
    </row>
    <row r="90" spans="1:5" s="448" customFormat="1" ht="15.75" customHeight="1">
      <c r="A90" s="450"/>
      <c r="B90" s="450"/>
      <c r="C90" s="449"/>
      <c r="E90" s="354"/>
    </row>
    <row r="91" spans="1:5" s="448" customFormat="1" ht="15.75" customHeight="1">
      <c r="A91" s="450"/>
      <c r="B91" s="450"/>
      <c r="C91" s="449"/>
      <c r="E91" s="354"/>
    </row>
    <row r="92" spans="1:5" s="448" customFormat="1" ht="15.75" customHeight="1">
      <c r="A92" s="450"/>
      <c r="B92" s="450"/>
      <c r="C92" s="449"/>
      <c r="E92" s="354"/>
    </row>
    <row r="93" spans="1:5" s="448" customFormat="1" ht="15.75" customHeight="1">
      <c r="A93" s="450"/>
      <c r="B93" s="450"/>
      <c r="C93" s="449"/>
      <c r="E93" s="354"/>
    </row>
    <row r="94" spans="1:5" s="448" customFormat="1" ht="15.75" customHeight="1">
      <c r="A94" s="450"/>
      <c r="B94" s="450"/>
      <c r="C94" s="449"/>
      <c r="E94" s="354"/>
    </row>
    <row r="95" spans="1:5" s="448" customFormat="1" ht="15.75" customHeight="1">
      <c r="A95" s="450"/>
      <c r="B95" s="450"/>
      <c r="C95" s="449"/>
      <c r="E95" s="354"/>
    </row>
    <row r="96" spans="1:5" s="448" customFormat="1" ht="15.75" customHeight="1">
      <c r="A96" s="450"/>
      <c r="B96" s="450"/>
      <c r="C96" s="449"/>
      <c r="E96" s="354"/>
    </row>
    <row r="97" spans="1:5" s="448" customFormat="1" ht="15.75" customHeight="1">
      <c r="A97" s="450"/>
      <c r="B97" s="450"/>
      <c r="C97" s="449"/>
      <c r="E97" s="354"/>
    </row>
    <row r="98" spans="1:5" s="448" customFormat="1" ht="15.75" customHeight="1">
      <c r="A98" s="450"/>
      <c r="B98" s="450"/>
      <c r="C98" s="449"/>
      <c r="E98" s="354"/>
    </row>
    <row r="99" spans="1:5" s="448" customFormat="1" ht="15.75" customHeight="1">
      <c r="A99" s="450"/>
      <c r="B99" s="450"/>
      <c r="C99" s="449"/>
      <c r="E99" s="354"/>
    </row>
    <row r="100" spans="1:5" s="448" customFormat="1" ht="15.75" customHeight="1">
      <c r="A100" s="450"/>
      <c r="B100" s="450"/>
      <c r="C100" s="449"/>
      <c r="E100" s="354"/>
    </row>
    <row r="101" spans="1:5" s="448" customFormat="1" ht="15.75" customHeight="1">
      <c r="A101" s="450"/>
      <c r="B101" s="450"/>
      <c r="C101" s="449"/>
      <c r="E101" s="354"/>
    </row>
    <row r="102" spans="1:5" s="448" customFormat="1" ht="15.75" customHeight="1">
      <c r="A102" s="450"/>
      <c r="B102" s="450"/>
      <c r="C102" s="449"/>
      <c r="E102" s="354"/>
    </row>
    <row r="103" spans="1:5" s="448" customFormat="1" ht="15.75" customHeight="1">
      <c r="A103" s="450"/>
      <c r="B103" s="450"/>
      <c r="C103" s="449"/>
      <c r="E103" s="354"/>
    </row>
    <row r="104" spans="1:5" s="448" customFormat="1" ht="15.75" customHeight="1">
      <c r="A104" s="450"/>
      <c r="B104" s="450"/>
      <c r="C104" s="449"/>
      <c r="E104" s="354"/>
    </row>
    <row r="105" spans="1:5" s="448" customFormat="1" ht="15.75" customHeight="1">
      <c r="A105" s="450"/>
      <c r="B105" s="450"/>
      <c r="C105" s="449"/>
      <c r="E105" s="354"/>
    </row>
    <row r="106" spans="1:5" s="448" customFormat="1" ht="15.75" customHeight="1">
      <c r="A106" s="450"/>
      <c r="B106" s="450"/>
      <c r="C106" s="449"/>
      <c r="E106" s="354"/>
    </row>
    <row r="107" spans="1:5" s="448" customFormat="1" ht="15.75" customHeight="1">
      <c r="A107" s="450"/>
      <c r="B107" s="450"/>
      <c r="C107" s="449"/>
      <c r="E107" s="354"/>
    </row>
    <row r="108" spans="1:5" s="448" customFormat="1" ht="15.75" customHeight="1">
      <c r="A108" s="450"/>
      <c r="B108" s="450"/>
      <c r="C108" s="449"/>
      <c r="E108" s="354"/>
    </row>
    <row r="109" spans="1:5" s="448" customFormat="1" ht="15.75" customHeight="1">
      <c r="A109" s="450"/>
      <c r="B109" s="450"/>
      <c r="C109" s="449"/>
      <c r="E109" s="354"/>
    </row>
    <row r="110" spans="1:5" s="448" customFormat="1" ht="15.75" customHeight="1">
      <c r="A110" s="450"/>
      <c r="B110" s="450"/>
      <c r="C110" s="449"/>
      <c r="E110" s="354"/>
    </row>
    <row r="111" spans="1:5" s="448" customFormat="1" ht="15.75" customHeight="1">
      <c r="A111" s="450"/>
      <c r="B111" s="450"/>
      <c r="C111" s="449"/>
      <c r="E111" s="354"/>
    </row>
    <row r="112" spans="1:5" s="448" customFormat="1" ht="15.75" customHeight="1">
      <c r="A112" s="450"/>
      <c r="B112" s="450"/>
      <c r="C112" s="449"/>
      <c r="E112" s="354"/>
    </row>
    <row r="113" spans="1:5" s="448" customFormat="1" ht="15.75" customHeight="1">
      <c r="A113" s="450"/>
      <c r="B113" s="450"/>
      <c r="C113" s="449"/>
      <c r="E113" s="354"/>
    </row>
    <row r="114" spans="1:5" s="448" customFormat="1" ht="15.75" customHeight="1">
      <c r="A114" s="450"/>
      <c r="B114" s="450"/>
      <c r="C114" s="449"/>
      <c r="E114" s="354"/>
    </row>
    <row r="115" spans="1:5" s="448" customFormat="1" ht="15.75" customHeight="1">
      <c r="A115" s="450"/>
      <c r="B115" s="450"/>
      <c r="C115" s="449"/>
      <c r="E115" s="354"/>
    </row>
    <row r="116" spans="1:5" s="448" customFormat="1" ht="15.75" customHeight="1">
      <c r="A116" s="450"/>
      <c r="B116" s="450"/>
      <c r="C116" s="449"/>
      <c r="E116" s="354"/>
    </row>
    <row r="117" spans="1:5" s="448" customFormat="1" ht="15.75" customHeight="1">
      <c r="A117" s="450"/>
      <c r="B117" s="450"/>
      <c r="C117" s="449"/>
      <c r="E117" s="354"/>
    </row>
    <row r="118" spans="1:5" s="448" customFormat="1" ht="15.75" customHeight="1">
      <c r="A118" s="450"/>
      <c r="B118" s="450"/>
      <c r="C118" s="449"/>
      <c r="E118" s="354"/>
    </row>
    <row r="119" spans="1:5" s="448" customFormat="1" ht="15.75" customHeight="1">
      <c r="A119" s="450"/>
      <c r="B119" s="450"/>
      <c r="C119" s="449"/>
      <c r="E119" s="354"/>
    </row>
    <row r="120" spans="1:5" s="448" customFormat="1" ht="15.75" customHeight="1">
      <c r="A120" s="450"/>
      <c r="B120" s="450"/>
      <c r="C120" s="449"/>
      <c r="E120" s="354"/>
    </row>
    <row r="121" spans="1:5" s="448" customFormat="1" ht="15.75" customHeight="1">
      <c r="A121" s="450"/>
      <c r="B121" s="450"/>
      <c r="C121" s="449"/>
      <c r="E121" s="354"/>
    </row>
    <row r="122" spans="1:5" s="448" customFormat="1" ht="15.75" customHeight="1">
      <c r="A122" s="450"/>
      <c r="B122" s="450"/>
      <c r="C122" s="449"/>
      <c r="E122" s="354"/>
    </row>
    <row r="123" spans="1:5" s="448" customFormat="1" ht="15.75" customHeight="1">
      <c r="A123" s="450"/>
      <c r="B123" s="450"/>
      <c r="C123" s="449"/>
      <c r="E123" s="354"/>
    </row>
    <row r="124" spans="1:5" s="448" customFormat="1" ht="15.75" customHeight="1">
      <c r="A124" s="450"/>
      <c r="B124" s="450"/>
      <c r="C124" s="449"/>
      <c r="E124" s="354"/>
    </row>
    <row r="125" spans="1:5" s="448" customFormat="1" ht="15.75" customHeight="1">
      <c r="A125" s="450"/>
      <c r="B125" s="450"/>
      <c r="C125" s="449"/>
      <c r="E125" s="354"/>
    </row>
    <row r="126" spans="1:5" s="448" customFormat="1" ht="15.75" customHeight="1">
      <c r="A126" s="450"/>
      <c r="B126" s="450"/>
      <c r="C126" s="449"/>
      <c r="E126" s="354"/>
    </row>
    <row r="127" spans="1:5" s="448" customFormat="1" ht="15.75" customHeight="1">
      <c r="A127" s="450"/>
      <c r="B127" s="450"/>
      <c r="C127" s="449"/>
      <c r="E127" s="354"/>
    </row>
    <row r="128" spans="1:5" s="448" customFormat="1" ht="15.75" customHeight="1">
      <c r="A128" s="450"/>
      <c r="B128" s="450"/>
      <c r="C128" s="449"/>
      <c r="E128" s="354"/>
    </row>
    <row r="129" spans="1:5" s="448" customFormat="1" ht="15.75" customHeight="1">
      <c r="A129" s="450"/>
      <c r="B129" s="450"/>
      <c r="C129" s="449"/>
      <c r="E129" s="354"/>
    </row>
    <row r="130" spans="1:5" s="448" customFormat="1" ht="15.75" customHeight="1">
      <c r="A130" s="450"/>
      <c r="B130" s="450"/>
      <c r="C130" s="449"/>
      <c r="E130" s="354"/>
    </row>
    <row r="131" spans="1:5" s="448" customFormat="1" ht="15.75" customHeight="1">
      <c r="A131" s="450"/>
      <c r="B131" s="450"/>
      <c r="C131" s="449"/>
      <c r="E131" s="354"/>
    </row>
    <row r="132" spans="1:5" s="448" customFormat="1" ht="15.75" customHeight="1">
      <c r="A132" s="450"/>
      <c r="B132" s="450"/>
      <c r="C132" s="449"/>
      <c r="E132" s="354"/>
    </row>
    <row r="133" spans="1:5" s="448" customFormat="1" ht="15.75" customHeight="1">
      <c r="A133" s="450"/>
      <c r="B133" s="450"/>
      <c r="C133" s="449"/>
      <c r="E133" s="354"/>
    </row>
    <row r="134" spans="1:5" s="448" customFormat="1" ht="15.75" customHeight="1">
      <c r="A134" s="450"/>
      <c r="B134" s="450"/>
      <c r="C134" s="449"/>
      <c r="E134" s="354"/>
    </row>
    <row r="135" spans="1:5" s="448" customFormat="1" ht="15.75" customHeight="1">
      <c r="A135" s="450"/>
      <c r="B135" s="450"/>
      <c r="C135" s="449"/>
      <c r="E135" s="354"/>
    </row>
    <row r="136" spans="1:5" s="448" customFormat="1" ht="15.75" customHeight="1">
      <c r="A136" s="450"/>
      <c r="B136" s="450"/>
      <c r="C136" s="449"/>
      <c r="E136" s="354"/>
    </row>
    <row r="137" spans="1:5" s="448" customFormat="1" ht="15.75" customHeight="1">
      <c r="A137" s="450"/>
      <c r="B137" s="450"/>
      <c r="C137" s="449"/>
      <c r="E137" s="354"/>
    </row>
    <row r="138" spans="1:5" s="448" customFormat="1" ht="15.75" customHeight="1">
      <c r="A138" s="450"/>
      <c r="B138" s="450"/>
      <c r="C138" s="449"/>
      <c r="E138" s="354"/>
    </row>
    <row r="139" spans="1:5" s="448" customFormat="1" ht="15.75" customHeight="1">
      <c r="A139" s="450"/>
      <c r="B139" s="450"/>
      <c r="C139" s="449"/>
      <c r="E139" s="354"/>
    </row>
    <row r="140" spans="1:5" s="448" customFormat="1" ht="15.75" customHeight="1">
      <c r="A140" s="450"/>
      <c r="B140" s="450"/>
      <c r="C140" s="449"/>
      <c r="E140" s="354"/>
    </row>
    <row r="141" spans="1:5" s="448" customFormat="1" ht="15.75" customHeight="1">
      <c r="A141" s="450"/>
      <c r="B141" s="450"/>
      <c r="C141" s="449"/>
      <c r="E141" s="354"/>
    </row>
    <row r="142" spans="1:5" s="448" customFormat="1" ht="15.75" customHeight="1">
      <c r="A142" s="450"/>
      <c r="B142" s="450"/>
      <c r="C142" s="449"/>
      <c r="E142" s="354"/>
    </row>
    <row r="143" spans="1:5" s="448" customFormat="1" ht="15.75" customHeight="1">
      <c r="A143" s="450"/>
      <c r="B143" s="450"/>
      <c r="C143" s="449"/>
      <c r="E143" s="354"/>
    </row>
    <row r="144" spans="1:5" s="448" customFormat="1" ht="15.75" customHeight="1">
      <c r="A144" s="450"/>
      <c r="B144" s="450"/>
      <c r="C144" s="449"/>
      <c r="E144" s="354"/>
    </row>
    <row r="145" spans="1:5" s="448" customFormat="1" ht="15.75" customHeight="1">
      <c r="A145" s="450"/>
      <c r="B145" s="450"/>
      <c r="C145" s="449"/>
      <c r="E145" s="354"/>
    </row>
    <row r="146" spans="1:5" s="448" customFormat="1" ht="15.75" customHeight="1">
      <c r="A146" s="450"/>
      <c r="B146" s="450"/>
      <c r="C146" s="449"/>
      <c r="E146" s="354"/>
    </row>
    <row r="147" spans="1:5" s="448" customFormat="1" ht="15.75" customHeight="1">
      <c r="A147" s="450"/>
      <c r="B147" s="450"/>
      <c r="C147" s="449"/>
      <c r="E147" s="354"/>
    </row>
    <row r="148" spans="1:5" s="448" customFormat="1" ht="15.75" customHeight="1">
      <c r="A148" s="450"/>
      <c r="B148" s="450"/>
      <c r="C148" s="449"/>
      <c r="E148" s="354"/>
    </row>
    <row r="149" spans="1:5" s="448" customFormat="1" ht="15.75" customHeight="1">
      <c r="A149" s="450"/>
      <c r="B149" s="450"/>
      <c r="C149" s="449"/>
      <c r="E149" s="354"/>
    </row>
    <row r="150" spans="1:5" s="448" customFormat="1" ht="15.75" customHeight="1">
      <c r="A150" s="450"/>
      <c r="B150" s="450"/>
      <c r="C150" s="449"/>
      <c r="E150" s="354"/>
    </row>
    <row r="151" spans="1:5" s="448" customFormat="1" ht="15.75" customHeight="1">
      <c r="A151" s="450"/>
      <c r="B151" s="450"/>
      <c r="C151" s="449"/>
      <c r="E151" s="354"/>
    </row>
    <row r="152" spans="1:5" s="448" customFormat="1" ht="15.75" customHeight="1">
      <c r="A152" s="450"/>
      <c r="B152" s="450"/>
      <c r="C152" s="449"/>
      <c r="E152" s="354"/>
    </row>
    <row r="153" spans="1:5" s="448" customFormat="1" ht="15.75" customHeight="1">
      <c r="A153" s="450"/>
      <c r="B153" s="450"/>
      <c r="C153" s="449"/>
      <c r="E153" s="354"/>
    </row>
    <row r="154" spans="1:5" s="448" customFormat="1" ht="15.75" customHeight="1">
      <c r="A154" s="450"/>
      <c r="B154" s="450"/>
      <c r="C154" s="449"/>
      <c r="E154" s="354"/>
    </row>
    <row r="155" spans="1:5" s="448" customFormat="1" ht="15.75" customHeight="1">
      <c r="A155" s="450"/>
      <c r="B155" s="450"/>
      <c r="C155" s="449"/>
      <c r="E155" s="354"/>
    </row>
    <row r="156" spans="1:5" s="448" customFormat="1" ht="15.75" customHeight="1">
      <c r="A156" s="450"/>
      <c r="B156" s="450"/>
      <c r="C156" s="449"/>
      <c r="E156" s="354"/>
    </row>
    <row r="157" spans="1:5" s="448" customFormat="1" ht="15.75" customHeight="1">
      <c r="A157" s="450"/>
      <c r="B157" s="450"/>
      <c r="C157" s="449"/>
      <c r="E157" s="354"/>
    </row>
    <row r="158" spans="1:5" s="448" customFormat="1" ht="15.75" customHeight="1">
      <c r="A158" s="450"/>
      <c r="B158" s="450"/>
      <c r="C158" s="449"/>
      <c r="E158" s="354"/>
    </row>
    <row r="159" spans="1:5" s="448" customFormat="1" ht="15.75" customHeight="1">
      <c r="A159" s="450"/>
      <c r="B159" s="450"/>
      <c r="C159" s="449"/>
      <c r="E159" s="354"/>
    </row>
    <row r="160" spans="1:5" s="448" customFormat="1" ht="15.75" customHeight="1">
      <c r="A160" s="450"/>
      <c r="B160" s="450"/>
      <c r="C160" s="449"/>
      <c r="E160" s="354"/>
    </row>
    <row r="161" spans="1:5" s="448" customFormat="1" ht="15.75" customHeight="1">
      <c r="A161" s="450"/>
      <c r="B161" s="450"/>
      <c r="C161" s="449"/>
      <c r="E161" s="354"/>
    </row>
    <row r="162" spans="1:5" s="448" customFormat="1" ht="15.75" customHeight="1">
      <c r="A162" s="450"/>
      <c r="B162" s="450"/>
      <c r="C162" s="449"/>
      <c r="E162" s="354"/>
    </row>
    <row r="163" spans="1:5" s="448" customFormat="1" ht="15.75" customHeight="1">
      <c r="A163" s="450"/>
      <c r="B163" s="450"/>
      <c r="C163" s="449"/>
      <c r="E163" s="354"/>
    </row>
    <row r="164" spans="1:5" s="448" customFormat="1" ht="15.75" customHeight="1">
      <c r="A164" s="450"/>
      <c r="B164" s="450"/>
      <c r="C164" s="449"/>
      <c r="E164" s="354"/>
    </row>
    <row r="165" spans="1:5" s="448" customFormat="1" ht="15.75" customHeight="1">
      <c r="A165" s="450"/>
      <c r="B165" s="450"/>
      <c r="C165" s="449"/>
      <c r="E165" s="354"/>
    </row>
    <row r="166" spans="1:5" s="448" customFormat="1" ht="15.75" customHeight="1">
      <c r="A166" s="450"/>
      <c r="B166" s="450"/>
      <c r="C166" s="449"/>
      <c r="E166" s="354"/>
    </row>
    <row r="167" spans="1:5" s="448" customFormat="1" ht="15.75" customHeight="1">
      <c r="A167" s="450"/>
      <c r="B167" s="450"/>
      <c r="C167" s="449"/>
      <c r="E167" s="354"/>
    </row>
    <row r="168" spans="1:5" s="448" customFormat="1" ht="15.75" customHeight="1">
      <c r="A168" s="450"/>
      <c r="B168" s="450"/>
      <c r="C168" s="449"/>
      <c r="E168" s="354"/>
    </row>
    <row r="169" spans="1:5" s="448" customFormat="1" ht="15.75" customHeight="1">
      <c r="A169" s="450"/>
      <c r="B169" s="450"/>
      <c r="C169" s="449"/>
      <c r="E169" s="354"/>
    </row>
    <row r="170" spans="1:5" s="448" customFormat="1" ht="15.75" customHeight="1">
      <c r="A170" s="450"/>
      <c r="B170" s="450"/>
      <c r="C170" s="449"/>
      <c r="E170" s="354"/>
    </row>
    <row r="171" spans="1:5" s="448" customFormat="1" ht="15.75" customHeight="1">
      <c r="A171" s="450"/>
      <c r="B171" s="450"/>
      <c r="C171" s="449"/>
      <c r="E171" s="354"/>
    </row>
    <row r="172" spans="1:5" s="448" customFormat="1" ht="15.75" customHeight="1">
      <c r="A172" s="450"/>
      <c r="B172" s="450"/>
      <c r="C172" s="449"/>
      <c r="E172" s="354"/>
    </row>
    <row r="173" spans="1:5" s="448" customFormat="1" ht="15.75" customHeight="1">
      <c r="A173" s="450"/>
      <c r="B173" s="450"/>
      <c r="C173" s="449"/>
      <c r="E173" s="354"/>
    </row>
    <row r="174" spans="1:5" s="448" customFormat="1" ht="15.75" customHeight="1">
      <c r="A174" s="450"/>
      <c r="B174" s="450"/>
      <c r="C174" s="449"/>
      <c r="E174" s="354"/>
    </row>
    <row r="175" spans="1:5" s="448" customFormat="1" ht="15.75" customHeight="1">
      <c r="A175" s="450"/>
      <c r="B175" s="450"/>
      <c r="C175" s="449"/>
      <c r="E175" s="354"/>
    </row>
    <row r="176" spans="1:5" s="448" customFormat="1" ht="15.75" customHeight="1">
      <c r="A176" s="450"/>
      <c r="B176" s="450"/>
      <c r="C176" s="449"/>
      <c r="E176" s="354"/>
    </row>
    <row r="177" spans="1:5" s="448" customFormat="1" ht="15.75" customHeight="1">
      <c r="A177" s="450"/>
      <c r="B177" s="450"/>
      <c r="C177" s="449"/>
      <c r="E177" s="354"/>
    </row>
    <row r="178" spans="1:5" s="448" customFormat="1" ht="15.75" customHeight="1">
      <c r="A178" s="450"/>
      <c r="B178" s="450"/>
      <c r="C178" s="449"/>
      <c r="E178" s="354"/>
    </row>
    <row r="179" spans="1:5" s="448" customFormat="1" ht="15.75" customHeight="1">
      <c r="A179" s="450"/>
      <c r="B179" s="450"/>
      <c r="C179" s="449"/>
      <c r="E179" s="354"/>
    </row>
    <row r="180" spans="1:5" s="448" customFormat="1" ht="15.75" customHeight="1">
      <c r="A180" s="450"/>
      <c r="B180" s="450"/>
      <c r="C180" s="449"/>
      <c r="E180" s="354"/>
    </row>
    <row r="181" spans="1:5" s="448" customFormat="1" ht="15.75" customHeight="1">
      <c r="A181" s="450"/>
      <c r="B181" s="450"/>
      <c r="C181" s="449"/>
      <c r="E181" s="354"/>
    </row>
    <row r="182" spans="1:5" s="448" customFormat="1" ht="15.75" customHeight="1">
      <c r="A182" s="450"/>
      <c r="B182" s="450"/>
      <c r="C182" s="449"/>
      <c r="E182" s="354"/>
    </row>
    <row r="183" spans="1:5" s="448" customFormat="1" ht="15.75" customHeight="1">
      <c r="A183" s="450"/>
      <c r="B183" s="450"/>
      <c r="C183" s="449"/>
      <c r="E183" s="354"/>
    </row>
    <row r="184" spans="1:5" s="448" customFormat="1" ht="15.75" customHeight="1">
      <c r="A184" s="450"/>
      <c r="B184" s="450"/>
      <c r="C184" s="449"/>
      <c r="E184" s="354"/>
    </row>
    <row r="185" spans="1:5" s="448" customFormat="1" ht="15.75" customHeight="1">
      <c r="A185" s="450"/>
      <c r="B185" s="450"/>
      <c r="C185" s="449"/>
      <c r="E185" s="354"/>
    </row>
    <row r="186" spans="1:5" s="448" customFormat="1" ht="15.75" customHeight="1">
      <c r="A186" s="450"/>
      <c r="B186" s="450"/>
      <c r="C186" s="449"/>
      <c r="E186" s="354"/>
    </row>
    <row r="187" spans="1:5" s="448" customFormat="1" ht="15.75" customHeight="1">
      <c r="A187" s="450"/>
      <c r="B187" s="450"/>
      <c r="C187" s="449"/>
      <c r="E187" s="354"/>
    </row>
    <row r="188" spans="1:5" s="448" customFormat="1" ht="15.75" customHeight="1">
      <c r="A188" s="450"/>
      <c r="B188" s="450"/>
      <c r="C188" s="449"/>
      <c r="E188" s="354"/>
    </row>
    <row r="189" spans="1:5" s="448" customFormat="1" ht="15.75" customHeight="1">
      <c r="A189" s="450"/>
      <c r="B189" s="450"/>
      <c r="C189" s="449"/>
      <c r="E189" s="354"/>
    </row>
    <row r="190" spans="1:5" s="448" customFormat="1" ht="15.75" customHeight="1">
      <c r="A190" s="450"/>
      <c r="B190" s="450"/>
      <c r="C190" s="449"/>
      <c r="E190" s="354"/>
    </row>
    <row r="191" spans="1:5" s="448" customFormat="1" ht="15.75" customHeight="1">
      <c r="A191" s="450"/>
      <c r="B191" s="450"/>
      <c r="C191" s="449"/>
      <c r="E191" s="354"/>
    </row>
    <row r="192" spans="1:5" s="448" customFormat="1" ht="15.75" customHeight="1">
      <c r="A192" s="450"/>
      <c r="B192" s="450"/>
      <c r="C192" s="449"/>
      <c r="E192" s="354"/>
    </row>
    <row r="193" spans="1:5" s="448" customFormat="1" ht="15.75" customHeight="1">
      <c r="A193" s="450"/>
      <c r="B193" s="450"/>
      <c r="C193" s="449"/>
      <c r="E193" s="354"/>
    </row>
    <row r="194" spans="1:5" s="448" customFormat="1" ht="15.75" customHeight="1">
      <c r="A194" s="450"/>
      <c r="B194" s="450"/>
      <c r="C194" s="449"/>
      <c r="E194" s="354"/>
    </row>
    <row r="195" spans="1:5" s="448" customFormat="1" ht="15.75" customHeight="1">
      <c r="A195" s="450"/>
      <c r="B195" s="450"/>
      <c r="C195" s="449"/>
      <c r="E195" s="354"/>
    </row>
    <row r="196" spans="1:5" s="448" customFormat="1" ht="15.75" customHeight="1">
      <c r="A196" s="450"/>
      <c r="B196" s="450"/>
      <c r="C196" s="449"/>
      <c r="E196" s="354"/>
    </row>
    <row r="197" spans="1:5" s="448" customFormat="1" ht="15.75" customHeight="1">
      <c r="A197" s="450"/>
      <c r="B197" s="450"/>
      <c r="C197" s="449"/>
      <c r="E197" s="354"/>
    </row>
    <row r="198" spans="1:5" s="448" customFormat="1" ht="15.75" customHeight="1">
      <c r="A198" s="450"/>
      <c r="B198" s="450"/>
      <c r="C198" s="449"/>
      <c r="E198" s="354"/>
    </row>
    <row r="199" spans="1:5" s="448" customFormat="1" ht="15.75" customHeight="1">
      <c r="A199" s="450"/>
      <c r="B199" s="450"/>
      <c r="C199" s="449"/>
      <c r="E199" s="354"/>
    </row>
    <row r="200" spans="1:5" s="448" customFormat="1" ht="15.75" customHeight="1">
      <c r="A200" s="450"/>
      <c r="B200" s="450"/>
      <c r="C200" s="449"/>
      <c r="E200" s="354"/>
    </row>
    <row r="201" spans="1:5" s="448" customFormat="1" ht="15.75" customHeight="1">
      <c r="A201" s="450"/>
      <c r="B201" s="450"/>
      <c r="C201" s="449"/>
      <c r="E201" s="354"/>
    </row>
    <row r="202" spans="1:5" s="448" customFormat="1" ht="15.75" customHeight="1">
      <c r="A202" s="450"/>
      <c r="B202" s="450"/>
      <c r="C202" s="449"/>
      <c r="E202" s="354"/>
    </row>
    <row r="203" spans="1:5" s="448" customFormat="1" ht="15.75" customHeight="1">
      <c r="A203" s="450"/>
      <c r="B203" s="450"/>
      <c r="C203" s="449"/>
      <c r="E203" s="354"/>
    </row>
    <row r="204" spans="1:5" s="448" customFormat="1" ht="15.75" customHeight="1">
      <c r="A204" s="450"/>
      <c r="B204" s="450"/>
      <c r="C204" s="449"/>
      <c r="E204" s="354"/>
    </row>
    <row r="205" spans="1:5" s="448" customFormat="1" ht="15.75" customHeight="1">
      <c r="A205" s="450"/>
      <c r="B205" s="450"/>
      <c r="C205" s="449"/>
      <c r="E205" s="354"/>
    </row>
    <row r="206" spans="1:5" s="448" customFormat="1" ht="15.75" customHeight="1">
      <c r="A206" s="450"/>
      <c r="B206" s="450"/>
      <c r="C206" s="449"/>
      <c r="E206" s="354"/>
    </row>
    <row r="207" spans="1:5" s="448" customFormat="1" ht="15.75" customHeight="1">
      <c r="A207" s="450"/>
      <c r="B207" s="450"/>
      <c r="C207" s="449"/>
      <c r="E207" s="354"/>
    </row>
    <row r="208" spans="1:5" s="448" customFormat="1" ht="15.75" customHeight="1">
      <c r="A208" s="450"/>
      <c r="B208" s="450"/>
      <c r="C208" s="449"/>
      <c r="E208" s="354"/>
    </row>
    <row r="209" spans="1:5" s="448" customFormat="1" ht="15.75" customHeight="1">
      <c r="A209" s="450"/>
      <c r="B209" s="450"/>
      <c r="C209" s="449"/>
      <c r="E209" s="354"/>
    </row>
    <row r="210" spans="1:5" s="448" customFormat="1" ht="15.75" customHeight="1">
      <c r="A210" s="450"/>
      <c r="B210" s="450"/>
      <c r="C210" s="449"/>
      <c r="E210" s="354"/>
    </row>
    <row r="211" spans="1:5" s="448" customFormat="1" ht="15.75" customHeight="1">
      <c r="A211" s="450"/>
      <c r="B211" s="450"/>
      <c r="C211" s="449"/>
      <c r="E211" s="354"/>
    </row>
    <row r="212" spans="1:5" s="448" customFormat="1" ht="15.75" customHeight="1">
      <c r="A212" s="450"/>
      <c r="B212" s="450"/>
      <c r="C212" s="449"/>
      <c r="E212" s="354"/>
    </row>
    <row r="213" spans="1:5" s="448" customFormat="1" ht="15.75" customHeight="1">
      <c r="A213" s="450"/>
      <c r="B213" s="450"/>
      <c r="C213" s="449"/>
      <c r="E213" s="354"/>
    </row>
    <row r="214" spans="1:5" s="448" customFormat="1" ht="15.75" customHeight="1">
      <c r="A214" s="450"/>
      <c r="B214" s="450"/>
      <c r="C214" s="449"/>
      <c r="E214" s="354"/>
    </row>
    <row r="215" spans="1:5" s="448" customFormat="1" ht="15.75" customHeight="1">
      <c r="A215" s="450"/>
      <c r="B215" s="450"/>
      <c r="C215" s="449"/>
      <c r="E215" s="354"/>
    </row>
    <row r="216" spans="1:5" s="448" customFormat="1" ht="15.75" customHeight="1">
      <c r="A216" s="450"/>
      <c r="B216" s="450"/>
      <c r="C216" s="449"/>
      <c r="E216" s="354"/>
    </row>
    <row r="217" spans="1:5" s="448" customFormat="1" ht="15.75" customHeight="1">
      <c r="A217" s="450"/>
      <c r="B217" s="450"/>
      <c r="C217" s="449"/>
      <c r="E217" s="354"/>
    </row>
    <row r="218" spans="1:5" s="448" customFormat="1" ht="15.75" customHeight="1">
      <c r="A218" s="450"/>
      <c r="B218" s="450"/>
      <c r="C218" s="449"/>
      <c r="E218" s="354"/>
    </row>
    <row r="219" spans="1:5" s="448" customFormat="1" ht="15.75" customHeight="1">
      <c r="A219" s="450"/>
      <c r="B219" s="450"/>
      <c r="C219" s="449"/>
      <c r="E219" s="354"/>
    </row>
    <row r="220" spans="1:5" s="448" customFormat="1" ht="15.75" customHeight="1">
      <c r="A220" s="450"/>
      <c r="B220" s="450"/>
      <c r="C220" s="449"/>
      <c r="E220" s="354"/>
    </row>
    <row r="221" spans="1:5" s="448" customFormat="1" ht="15.75" customHeight="1">
      <c r="A221" s="450"/>
      <c r="B221" s="450"/>
      <c r="C221" s="449"/>
      <c r="E221" s="354"/>
    </row>
    <row r="222" spans="1:5" s="448" customFormat="1" ht="15.75" customHeight="1">
      <c r="A222" s="450"/>
      <c r="B222" s="450"/>
      <c r="C222" s="449"/>
      <c r="E222" s="354"/>
    </row>
    <row r="223" spans="1:5" s="448" customFormat="1" ht="15.75" customHeight="1">
      <c r="A223" s="450"/>
      <c r="B223" s="450"/>
      <c r="C223" s="449"/>
      <c r="E223" s="354"/>
    </row>
    <row r="224" spans="1:5" s="448" customFormat="1" ht="15.75" customHeight="1">
      <c r="A224" s="450"/>
      <c r="B224" s="450"/>
      <c r="C224" s="449"/>
      <c r="E224" s="354"/>
    </row>
    <row r="225" spans="1:5" s="448" customFormat="1" ht="15.75" customHeight="1">
      <c r="A225" s="450"/>
      <c r="B225" s="450"/>
      <c r="C225" s="449"/>
      <c r="E225" s="354"/>
    </row>
    <row r="226" spans="1:5" s="448" customFormat="1" ht="15.75" customHeight="1">
      <c r="A226" s="450"/>
      <c r="B226" s="450"/>
      <c r="C226" s="449"/>
      <c r="E226" s="354"/>
    </row>
    <row r="227" spans="1:5" s="448" customFormat="1" ht="15.75" customHeight="1">
      <c r="A227" s="450"/>
      <c r="B227" s="450"/>
      <c r="C227" s="449"/>
      <c r="E227" s="354"/>
    </row>
    <row r="228" spans="1:5" s="448" customFormat="1" ht="15.75" customHeight="1">
      <c r="A228" s="450"/>
      <c r="B228" s="450"/>
      <c r="C228" s="449"/>
      <c r="E228" s="354"/>
    </row>
    <row r="229" spans="1:5" s="448" customFormat="1" ht="15.75" customHeight="1">
      <c r="A229" s="450"/>
      <c r="B229" s="450"/>
      <c r="C229" s="449"/>
      <c r="E229" s="354"/>
    </row>
    <row r="230" spans="1:5" s="448" customFormat="1" ht="15.75" customHeight="1">
      <c r="A230" s="450"/>
      <c r="B230" s="450"/>
      <c r="C230" s="449"/>
      <c r="E230" s="354"/>
    </row>
    <row r="231" spans="1:5" s="448" customFormat="1" ht="15.75" customHeight="1">
      <c r="A231" s="450"/>
      <c r="B231" s="450"/>
      <c r="C231" s="449"/>
      <c r="E231" s="354"/>
    </row>
    <row r="232" spans="1:5" s="448" customFormat="1" ht="15.75" customHeight="1">
      <c r="A232" s="450"/>
      <c r="B232" s="450"/>
      <c r="C232" s="449"/>
      <c r="E232" s="354"/>
    </row>
    <row r="233" spans="1:5" s="448" customFormat="1" ht="15.75" customHeight="1">
      <c r="A233" s="450"/>
      <c r="B233" s="450"/>
      <c r="C233" s="449"/>
      <c r="E233" s="354"/>
    </row>
    <row r="234" spans="1:5" s="448" customFormat="1" ht="15.75" customHeight="1">
      <c r="A234" s="450"/>
      <c r="B234" s="450"/>
      <c r="C234" s="449"/>
      <c r="E234" s="354"/>
    </row>
    <row r="235" spans="1:5" s="448" customFormat="1" ht="15.75" customHeight="1">
      <c r="A235" s="450"/>
      <c r="B235" s="450"/>
      <c r="C235" s="449"/>
      <c r="E235" s="354"/>
    </row>
    <row r="236" spans="1:5" s="448" customFormat="1" ht="15.75" customHeight="1">
      <c r="A236" s="450"/>
      <c r="B236" s="450"/>
      <c r="C236" s="449"/>
      <c r="E236" s="354"/>
    </row>
    <row r="237" spans="1:5" s="448" customFormat="1" ht="15.75" customHeight="1">
      <c r="A237" s="450"/>
      <c r="B237" s="450"/>
      <c r="C237" s="449"/>
      <c r="E237" s="354"/>
    </row>
    <row r="238" spans="1:5" s="448" customFormat="1" ht="15.75" customHeight="1">
      <c r="A238" s="450"/>
      <c r="B238" s="450"/>
      <c r="C238" s="449"/>
      <c r="E238" s="354"/>
    </row>
    <row r="239" spans="1:5" s="448" customFormat="1" ht="15.75" customHeight="1">
      <c r="A239" s="450"/>
      <c r="B239" s="450"/>
      <c r="C239" s="449"/>
      <c r="E239" s="354"/>
    </row>
    <row r="240" spans="1:5" s="448" customFormat="1" ht="15.75" customHeight="1">
      <c r="A240" s="450"/>
      <c r="B240" s="450"/>
      <c r="C240" s="449"/>
      <c r="E240" s="354"/>
    </row>
    <row r="241" spans="1:5" s="448" customFormat="1" ht="15.75" customHeight="1">
      <c r="A241" s="450"/>
      <c r="B241" s="450"/>
      <c r="C241" s="449"/>
      <c r="E241" s="354"/>
    </row>
    <row r="242" spans="1:5" s="448" customFormat="1" ht="15.75" customHeight="1">
      <c r="A242" s="450"/>
      <c r="B242" s="450"/>
      <c r="C242" s="449"/>
      <c r="E242" s="354"/>
    </row>
    <row r="243" spans="1:5" s="448" customFormat="1" ht="15.75" customHeight="1">
      <c r="A243" s="450"/>
      <c r="B243" s="450"/>
      <c r="C243" s="449"/>
      <c r="E243" s="354"/>
    </row>
    <row r="244" spans="1:5" s="448" customFormat="1" ht="15.75" customHeight="1">
      <c r="A244" s="450"/>
      <c r="B244" s="450"/>
      <c r="C244" s="449"/>
      <c r="E244" s="354"/>
    </row>
    <row r="245" spans="1:5" s="448" customFormat="1" ht="15.75" customHeight="1">
      <c r="A245" s="450"/>
      <c r="B245" s="450"/>
      <c r="C245" s="449"/>
      <c r="E245" s="354"/>
    </row>
    <row r="246" spans="1:5" s="448" customFormat="1" ht="15.75" customHeight="1">
      <c r="A246" s="450"/>
      <c r="B246" s="450"/>
      <c r="C246" s="449"/>
      <c r="E246" s="354"/>
    </row>
    <row r="247" spans="1:5" s="448" customFormat="1" ht="15.75" customHeight="1">
      <c r="A247" s="450"/>
      <c r="B247" s="450"/>
      <c r="C247" s="449"/>
      <c r="E247" s="354"/>
    </row>
    <row r="248" spans="1:5" s="448" customFormat="1" ht="15.75" customHeight="1">
      <c r="A248" s="450"/>
      <c r="B248" s="450"/>
      <c r="C248" s="449"/>
      <c r="E248" s="354"/>
    </row>
    <row r="249" spans="1:5" s="448" customFormat="1" ht="15.75" customHeight="1">
      <c r="A249" s="450"/>
      <c r="B249" s="450"/>
      <c r="C249" s="449"/>
      <c r="E249" s="354"/>
    </row>
    <row r="250" spans="1:5" s="448" customFormat="1" ht="15.75" customHeight="1">
      <c r="A250" s="450"/>
      <c r="B250" s="450"/>
      <c r="C250" s="449"/>
      <c r="E250" s="354"/>
    </row>
    <row r="251" spans="1:5" s="448" customFormat="1" ht="15.75" customHeight="1">
      <c r="A251" s="450"/>
      <c r="B251" s="450"/>
      <c r="C251" s="449"/>
      <c r="E251" s="354"/>
    </row>
    <row r="252" spans="1:5" s="448" customFormat="1" ht="15.75" customHeight="1">
      <c r="A252" s="450"/>
      <c r="B252" s="450"/>
      <c r="C252" s="449"/>
      <c r="E252" s="354"/>
    </row>
    <row r="253" spans="1:5" s="448" customFormat="1" ht="15.75" customHeight="1">
      <c r="A253" s="450"/>
      <c r="B253" s="450"/>
      <c r="C253" s="449"/>
      <c r="E253" s="354"/>
    </row>
    <row r="254" spans="1:5" s="448" customFormat="1" ht="15.75" customHeight="1">
      <c r="A254" s="450"/>
      <c r="B254" s="450"/>
      <c r="C254" s="449"/>
      <c r="E254" s="354"/>
    </row>
    <row r="255" spans="1:5" s="448" customFormat="1" ht="15.75" customHeight="1">
      <c r="A255" s="450"/>
      <c r="B255" s="450"/>
      <c r="C255" s="449"/>
      <c r="E255" s="354"/>
    </row>
    <row r="256" spans="1:5" s="448" customFormat="1" ht="15.75" customHeight="1">
      <c r="A256" s="450"/>
      <c r="B256" s="450"/>
      <c r="C256" s="449"/>
      <c r="E256" s="354"/>
    </row>
    <row r="257" spans="1:5" s="448" customFormat="1" ht="15.75" customHeight="1">
      <c r="A257" s="450"/>
      <c r="B257" s="450"/>
      <c r="C257" s="449"/>
      <c r="E257" s="354"/>
    </row>
    <row r="258" spans="1:5" s="448" customFormat="1" ht="15.75" customHeight="1">
      <c r="A258" s="450"/>
      <c r="B258" s="450"/>
      <c r="C258" s="449"/>
      <c r="E258" s="354"/>
    </row>
    <row r="259" spans="1:5" s="448" customFormat="1" ht="15.75" customHeight="1">
      <c r="A259" s="450"/>
      <c r="B259" s="450"/>
      <c r="C259" s="449"/>
      <c r="E259" s="354"/>
    </row>
    <row r="260" spans="1:5" s="448" customFormat="1" ht="15.75" customHeight="1">
      <c r="A260" s="450"/>
      <c r="B260" s="450"/>
      <c r="C260" s="449"/>
      <c r="E260" s="354"/>
    </row>
    <row r="261" spans="1:5" s="448" customFormat="1" ht="15.75" customHeight="1">
      <c r="A261" s="450"/>
      <c r="B261" s="450"/>
      <c r="C261" s="449"/>
      <c r="E261" s="354"/>
    </row>
    <row r="262" spans="1:5" s="448" customFormat="1" ht="15.75" customHeight="1">
      <c r="A262" s="450"/>
      <c r="B262" s="450"/>
      <c r="C262" s="449"/>
      <c r="E262" s="354"/>
    </row>
    <row r="263" spans="1:5" s="448" customFormat="1" ht="15.75" customHeight="1">
      <c r="A263" s="450"/>
      <c r="B263" s="450"/>
      <c r="C263" s="449"/>
      <c r="E263" s="354"/>
    </row>
    <row r="264" spans="1:5" s="448" customFormat="1" ht="15.75" customHeight="1">
      <c r="A264" s="450"/>
      <c r="B264" s="450"/>
      <c r="C264" s="449"/>
      <c r="E264" s="354"/>
    </row>
    <row r="265" spans="1:5" s="448" customFormat="1" ht="15.75" customHeight="1">
      <c r="A265" s="450"/>
      <c r="B265" s="450"/>
      <c r="C265" s="449"/>
      <c r="E265" s="354"/>
    </row>
    <row r="266" spans="1:5" s="448" customFormat="1" ht="15.75" customHeight="1">
      <c r="A266" s="450"/>
      <c r="B266" s="450"/>
      <c r="C266" s="449"/>
      <c r="E266" s="354"/>
    </row>
    <row r="267" spans="1:5" s="448" customFormat="1" ht="15.75" customHeight="1">
      <c r="A267" s="450"/>
      <c r="B267" s="450"/>
      <c r="C267" s="449"/>
      <c r="E267" s="354"/>
    </row>
    <row r="268" spans="1:5" s="448" customFormat="1" ht="15.75" customHeight="1">
      <c r="A268" s="450"/>
      <c r="B268" s="450"/>
      <c r="C268" s="449"/>
      <c r="E268" s="354"/>
    </row>
    <row r="269" spans="1:5" s="448" customFormat="1" ht="15.75" customHeight="1">
      <c r="A269" s="450"/>
      <c r="B269" s="450"/>
      <c r="C269" s="449"/>
      <c r="E269" s="354"/>
    </row>
    <row r="270" spans="1:5" s="448" customFormat="1" ht="15.75" customHeight="1">
      <c r="A270" s="450"/>
      <c r="B270" s="450"/>
      <c r="C270" s="449"/>
      <c r="E270" s="354"/>
    </row>
    <row r="271" spans="1:5" s="448" customFormat="1" ht="15.75" customHeight="1">
      <c r="A271" s="450"/>
      <c r="B271" s="450"/>
      <c r="C271" s="449"/>
      <c r="E271" s="354"/>
    </row>
    <row r="272" spans="1:5" s="448" customFormat="1" ht="15.75" customHeight="1">
      <c r="A272" s="450"/>
      <c r="B272" s="450"/>
      <c r="C272" s="449"/>
      <c r="E272" s="354"/>
    </row>
    <row r="273" spans="1:5" s="448" customFormat="1" ht="15.75" customHeight="1">
      <c r="A273" s="450"/>
      <c r="B273" s="450"/>
      <c r="C273" s="449"/>
      <c r="E273" s="354"/>
    </row>
    <row r="274" spans="1:5" s="448" customFormat="1" ht="15.75" customHeight="1">
      <c r="A274" s="450"/>
      <c r="B274" s="450"/>
      <c r="C274" s="449"/>
      <c r="E274" s="354"/>
    </row>
    <row r="275" spans="1:5" s="448" customFormat="1" ht="15.75" customHeight="1">
      <c r="A275" s="450"/>
      <c r="B275" s="450"/>
      <c r="C275" s="449"/>
      <c r="E275" s="354"/>
    </row>
    <row r="276" spans="1:5" s="448" customFormat="1" ht="15.75" customHeight="1">
      <c r="A276" s="450"/>
      <c r="B276" s="450"/>
      <c r="C276" s="449"/>
      <c r="E276" s="354"/>
    </row>
    <row r="277" spans="1:5" s="448" customFormat="1" ht="15.75" customHeight="1">
      <c r="A277" s="450"/>
      <c r="B277" s="450"/>
      <c r="C277" s="449"/>
      <c r="E277" s="354"/>
    </row>
    <row r="278" spans="1:5" s="448" customFormat="1" ht="15.75" customHeight="1">
      <c r="A278" s="450"/>
      <c r="B278" s="450"/>
      <c r="C278" s="449"/>
      <c r="E278" s="354"/>
    </row>
    <row r="279" spans="1:5" s="448" customFormat="1" ht="15.75" customHeight="1">
      <c r="A279" s="450"/>
      <c r="B279" s="450"/>
      <c r="C279" s="449"/>
      <c r="E279" s="354"/>
    </row>
    <row r="280" spans="1:5" s="448" customFormat="1" ht="15.75" customHeight="1">
      <c r="A280" s="450"/>
      <c r="B280" s="450"/>
      <c r="C280" s="449"/>
      <c r="E280" s="354"/>
    </row>
    <row r="281" spans="1:5" s="448" customFormat="1" ht="15.75" customHeight="1">
      <c r="A281" s="450"/>
      <c r="B281" s="450"/>
      <c r="C281" s="449"/>
      <c r="E281" s="354"/>
    </row>
    <row r="282" spans="1:5" s="448" customFormat="1" ht="15.75" customHeight="1">
      <c r="A282" s="450"/>
      <c r="B282" s="450"/>
      <c r="C282" s="449"/>
      <c r="E282" s="354"/>
    </row>
    <row r="283" spans="1:5" s="448" customFormat="1" ht="15.75" customHeight="1">
      <c r="A283" s="450"/>
      <c r="B283" s="450"/>
      <c r="C283" s="449"/>
      <c r="E283" s="354"/>
    </row>
    <row r="284" spans="1:5" s="448" customFormat="1" ht="15.75" customHeight="1">
      <c r="A284" s="450"/>
      <c r="B284" s="450"/>
      <c r="C284" s="449"/>
      <c r="E284" s="354"/>
    </row>
    <row r="285" spans="1:5" s="448" customFormat="1" ht="15.75" customHeight="1">
      <c r="A285" s="450"/>
      <c r="B285" s="450"/>
      <c r="C285" s="449"/>
      <c r="E285" s="354"/>
    </row>
    <row r="286" spans="1:5" s="448" customFormat="1" ht="15.75" customHeight="1">
      <c r="A286" s="450"/>
      <c r="B286" s="450"/>
      <c r="C286" s="449"/>
      <c r="E286" s="354"/>
    </row>
    <row r="287" spans="1:5" s="448" customFormat="1" ht="15.75" customHeight="1">
      <c r="A287" s="450"/>
      <c r="B287" s="450"/>
      <c r="C287" s="449"/>
      <c r="E287" s="354"/>
    </row>
    <row r="288" spans="1:5" s="448" customFormat="1" ht="15.75" customHeight="1">
      <c r="A288" s="450"/>
      <c r="B288" s="450"/>
      <c r="C288" s="449"/>
      <c r="E288" s="354"/>
    </row>
    <row r="289" spans="1:5" s="448" customFormat="1" ht="15.75" customHeight="1">
      <c r="A289" s="450"/>
      <c r="B289" s="450"/>
      <c r="C289" s="449"/>
      <c r="E289" s="354"/>
    </row>
    <row r="290" spans="1:5" s="448" customFormat="1" ht="15.75" customHeight="1">
      <c r="A290" s="450"/>
      <c r="B290" s="450"/>
      <c r="C290" s="449"/>
      <c r="E290" s="354"/>
    </row>
    <row r="291" spans="1:5" s="448" customFormat="1" ht="15.75" customHeight="1">
      <c r="A291" s="450"/>
      <c r="B291" s="450"/>
      <c r="C291" s="449"/>
      <c r="E291" s="354"/>
    </row>
    <row r="292" spans="1:5" s="448" customFormat="1" ht="15.75" customHeight="1">
      <c r="A292" s="450"/>
      <c r="B292" s="450"/>
      <c r="C292" s="449"/>
      <c r="E292" s="354"/>
    </row>
    <row r="293" spans="1:5" s="448" customFormat="1" ht="15.75" customHeight="1">
      <c r="A293" s="450"/>
      <c r="B293" s="450"/>
      <c r="C293" s="449"/>
      <c r="E293" s="354"/>
    </row>
    <row r="294" spans="1:5" s="448" customFormat="1" ht="15.75" customHeight="1">
      <c r="A294" s="450"/>
      <c r="B294" s="450"/>
      <c r="C294" s="449"/>
      <c r="E294" s="354"/>
    </row>
    <row r="295" spans="1:5" s="448" customFormat="1" ht="15.75" customHeight="1">
      <c r="A295" s="450"/>
      <c r="B295" s="450"/>
      <c r="C295" s="449"/>
      <c r="E295" s="354"/>
    </row>
    <row r="296" spans="1:5" s="448" customFormat="1" ht="15.75" customHeight="1">
      <c r="A296" s="450"/>
      <c r="B296" s="450"/>
      <c r="C296" s="449"/>
      <c r="E296" s="354"/>
    </row>
    <row r="297" spans="1:5" s="448" customFormat="1" ht="15.75" customHeight="1">
      <c r="A297" s="450"/>
      <c r="B297" s="450"/>
      <c r="C297" s="449"/>
      <c r="E297" s="354"/>
    </row>
    <row r="298" spans="1:5" s="448" customFormat="1" ht="15.75" customHeight="1">
      <c r="A298" s="450"/>
      <c r="B298" s="450"/>
      <c r="C298" s="449"/>
      <c r="E298" s="354"/>
    </row>
    <row r="299" spans="1:5" s="448" customFormat="1" ht="15.75" customHeight="1">
      <c r="A299" s="450"/>
      <c r="B299" s="450"/>
      <c r="C299" s="449"/>
      <c r="E299" s="354"/>
    </row>
    <row r="300" spans="1:5" s="448" customFormat="1" ht="15.75" customHeight="1">
      <c r="A300" s="450"/>
      <c r="B300" s="450"/>
      <c r="C300" s="449"/>
      <c r="E300" s="354"/>
    </row>
    <row r="301" spans="1:5" s="448" customFormat="1" ht="15.75" customHeight="1">
      <c r="A301" s="450"/>
      <c r="B301" s="450"/>
      <c r="C301" s="449"/>
      <c r="E301" s="354"/>
    </row>
    <row r="302" spans="1:5" s="448" customFormat="1" ht="15.75" customHeight="1">
      <c r="A302" s="450"/>
      <c r="B302" s="450"/>
      <c r="C302" s="449"/>
      <c r="E302" s="354"/>
    </row>
    <row r="303" spans="1:5" s="448" customFormat="1" ht="15.75" customHeight="1">
      <c r="A303" s="450"/>
      <c r="B303" s="450"/>
      <c r="C303" s="449"/>
      <c r="E303" s="354"/>
    </row>
    <row r="304" spans="1:5" s="448" customFormat="1" ht="15.75" customHeight="1">
      <c r="A304" s="450"/>
      <c r="B304" s="450"/>
      <c r="C304" s="449"/>
      <c r="E304" s="354"/>
    </row>
    <row r="305" spans="1:5" s="448" customFormat="1" ht="15.75" customHeight="1">
      <c r="A305" s="450"/>
      <c r="B305" s="450"/>
      <c r="C305" s="449"/>
      <c r="E305" s="354"/>
    </row>
    <row r="306" spans="1:5" s="448" customFormat="1" ht="15.75" customHeight="1">
      <c r="A306" s="450"/>
      <c r="B306" s="450"/>
      <c r="C306" s="449"/>
      <c r="E306" s="354"/>
    </row>
    <row r="307" spans="1:5" s="448" customFormat="1" ht="15.75" customHeight="1">
      <c r="A307" s="450"/>
      <c r="B307" s="450"/>
      <c r="C307" s="449"/>
      <c r="E307" s="354"/>
    </row>
    <row r="308" spans="1:5" s="448" customFormat="1" ht="15.75" customHeight="1">
      <c r="A308" s="450"/>
      <c r="B308" s="450"/>
      <c r="C308" s="449"/>
      <c r="E308" s="354"/>
    </row>
    <row r="309" spans="1:5" s="448" customFormat="1" ht="15.75" customHeight="1">
      <c r="A309" s="450"/>
      <c r="B309" s="450"/>
      <c r="C309" s="449"/>
      <c r="E309" s="354"/>
    </row>
    <row r="310" spans="1:5" s="448" customFormat="1" ht="15.75" customHeight="1">
      <c r="A310" s="450"/>
      <c r="B310" s="450"/>
      <c r="C310" s="449"/>
      <c r="E310" s="354"/>
    </row>
    <row r="311" spans="1:5" s="448" customFormat="1" ht="15.75" customHeight="1">
      <c r="A311" s="450"/>
      <c r="B311" s="450"/>
      <c r="C311" s="449"/>
      <c r="E311" s="354"/>
    </row>
    <row r="312" spans="1:5" s="448" customFormat="1" ht="15.75" customHeight="1">
      <c r="A312" s="450"/>
      <c r="B312" s="450"/>
      <c r="C312" s="449"/>
      <c r="E312" s="354"/>
    </row>
    <row r="313" spans="1:5" s="448" customFormat="1" ht="15.75" customHeight="1">
      <c r="A313" s="450"/>
      <c r="B313" s="450"/>
      <c r="C313" s="449"/>
      <c r="E313" s="354"/>
    </row>
    <row r="314" spans="1:5" s="448" customFormat="1" ht="15.75" customHeight="1">
      <c r="A314" s="450"/>
      <c r="B314" s="450"/>
      <c r="C314" s="449"/>
      <c r="E314" s="354"/>
    </row>
    <row r="315" spans="1:5" s="448" customFormat="1" ht="15.75" customHeight="1">
      <c r="A315" s="450"/>
      <c r="B315" s="450"/>
      <c r="C315" s="449"/>
      <c r="E315" s="354"/>
    </row>
    <row r="316" spans="1:5" s="448" customFormat="1" ht="15.75" customHeight="1">
      <c r="A316" s="450"/>
      <c r="B316" s="450"/>
      <c r="C316" s="449"/>
      <c r="E316" s="354"/>
    </row>
    <row r="317" spans="1:5" s="448" customFormat="1" ht="15.75" customHeight="1">
      <c r="A317" s="450"/>
      <c r="B317" s="450"/>
      <c r="C317" s="449"/>
      <c r="E317" s="354"/>
    </row>
    <row r="318" spans="1:5" s="448" customFormat="1" ht="15.75" customHeight="1">
      <c r="A318" s="450"/>
      <c r="B318" s="450"/>
      <c r="C318" s="449"/>
      <c r="E318" s="354"/>
    </row>
    <row r="319" spans="1:5" s="448" customFormat="1" ht="15.75" customHeight="1">
      <c r="A319" s="450"/>
      <c r="B319" s="450"/>
      <c r="C319" s="449"/>
      <c r="E319" s="354"/>
    </row>
    <row r="320" spans="1:5" s="448" customFormat="1" ht="15.75" customHeight="1">
      <c r="A320" s="450"/>
      <c r="B320" s="450"/>
      <c r="C320" s="449"/>
      <c r="E320" s="354"/>
    </row>
    <row r="321" spans="1:5" s="448" customFormat="1" ht="15.75" customHeight="1">
      <c r="A321" s="450"/>
      <c r="B321" s="450"/>
      <c r="C321" s="449"/>
      <c r="E321" s="354"/>
    </row>
    <row r="322" spans="1:5" s="448" customFormat="1" ht="15.75" customHeight="1">
      <c r="A322" s="450"/>
      <c r="B322" s="450"/>
      <c r="C322" s="449"/>
      <c r="E322" s="354"/>
    </row>
    <row r="323" spans="1:5" s="448" customFormat="1" ht="15.75" customHeight="1">
      <c r="A323" s="450"/>
      <c r="B323" s="450"/>
      <c r="C323" s="449"/>
      <c r="E323" s="354"/>
    </row>
    <row r="324" spans="1:5" s="448" customFormat="1" ht="15.75" customHeight="1">
      <c r="A324" s="450"/>
      <c r="B324" s="450"/>
      <c r="C324" s="449"/>
      <c r="E324" s="354"/>
    </row>
    <row r="325" spans="1:5" s="448" customFormat="1" ht="15.75" customHeight="1">
      <c r="A325" s="450"/>
      <c r="B325" s="450"/>
      <c r="C325" s="449"/>
      <c r="E325" s="354"/>
    </row>
    <row r="326" spans="1:5" s="448" customFormat="1" ht="15.75" customHeight="1">
      <c r="A326" s="450"/>
      <c r="B326" s="450"/>
      <c r="C326" s="449"/>
      <c r="E326" s="354"/>
    </row>
    <row r="327" spans="1:5" s="448" customFormat="1" ht="15.75" customHeight="1">
      <c r="A327" s="450"/>
      <c r="B327" s="450"/>
      <c r="C327" s="449"/>
      <c r="E327" s="354"/>
    </row>
    <row r="328" spans="1:5" s="448" customFormat="1" ht="15.75" customHeight="1">
      <c r="A328" s="450"/>
      <c r="B328" s="450"/>
      <c r="C328" s="449"/>
      <c r="E328" s="354"/>
    </row>
    <row r="329" spans="1:5" s="448" customFormat="1" ht="15.75" customHeight="1">
      <c r="A329" s="450"/>
      <c r="B329" s="450"/>
      <c r="C329" s="449"/>
      <c r="E329" s="354"/>
    </row>
    <row r="330" spans="1:5" s="448" customFormat="1" ht="15.75" customHeight="1">
      <c r="A330" s="450"/>
      <c r="B330" s="450"/>
      <c r="C330" s="449"/>
      <c r="E330" s="354"/>
    </row>
    <row r="331" spans="1:5" s="448" customFormat="1" ht="15.75" customHeight="1">
      <c r="A331" s="450"/>
      <c r="B331" s="450"/>
      <c r="C331" s="449"/>
      <c r="E331" s="354"/>
    </row>
    <row r="332" spans="1:5" s="448" customFormat="1" ht="15.75" customHeight="1">
      <c r="A332" s="450"/>
      <c r="B332" s="450"/>
      <c r="C332" s="449"/>
      <c r="E332" s="354"/>
    </row>
    <row r="333" spans="1:5" s="448" customFormat="1" ht="15.75" customHeight="1">
      <c r="A333" s="450"/>
      <c r="B333" s="450"/>
      <c r="C333" s="449"/>
      <c r="E333" s="354"/>
    </row>
    <row r="334" spans="1:5" s="448" customFormat="1" ht="15.75" customHeight="1">
      <c r="A334" s="450"/>
      <c r="B334" s="450"/>
      <c r="C334" s="449"/>
      <c r="E334" s="354"/>
    </row>
    <row r="335" spans="1:5" s="448" customFormat="1" ht="15.75" customHeight="1">
      <c r="A335" s="450"/>
      <c r="B335" s="450"/>
      <c r="C335" s="449"/>
      <c r="E335" s="354"/>
    </row>
    <row r="336" spans="1:5" s="448" customFormat="1" ht="15.75" customHeight="1">
      <c r="A336" s="450"/>
      <c r="B336" s="450"/>
      <c r="C336" s="449"/>
      <c r="E336" s="354"/>
    </row>
    <row r="337" spans="1:5" s="448" customFormat="1" ht="15.75" customHeight="1">
      <c r="A337" s="450"/>
      <c r="B337" s="450"/>
      <c r="C337" s="449"/>
      <c r="E337" s="354"/>
    </row>
    <row r="338" spans="1:5" s="448" customFormat="1" ht="15.75" customHeight="1">
      <c r="A338" s="450"/>
      <c r="B338" s="450"/>
      <c r="C338" s="449"/>
      <c r="E338" s="354"/>
    </row>
    <row r="339" spans="1:5" s="448" customFormat="1" ht="15.75" customHeight="1">
      <c r="A339" s="450"/>
      <c r="B339" s="450"/>
      <c r="C339" s="449"/>
      <c r="E339" s="354"/>
    </row>
    <row r="340" spans="1:5" s="448" customFormat="1" ht="15.75" customHeight="1">
      <c r="A340" s="450"/>
      <c r="B340" s="450"/>
      <c r="C340" s="449"/>
      <c r="E340" s="354"/>
    </row>
    <row r="341" spans="1:5" s="448" customFormat="1" ht="15.75" customHeight="1">
      <c r="A341" s="450"/>
      <c r="B341" s="450"/>
      <c r="C341" s="449"/>
      <c r="E341" s="354"/>
    </row>
    <row r="342" spans="1:5" s="448" customFormat="1" ht="15.75" customHeight="1">
      <c r="A342" s="450"/>
      <c r="B342" s="450"/>
      <c r="C342" s="449"/>
      <c r="E342" s="354"/>
    </row>
    <row r="343" spans="1:5" s="448" customFormat="1" ht="15.75" customHeight="1">
      <c r="A343" s="450"/>
      <c r="B343" s="450"/>
      <c r="C343" s="449"/>
      <c r="E343" s="354"/>
    </row>
    <row r="344" spans="1:5" s="448" customFormat="1" ht="15.75" customHeight="1">
      <c r="A344" s="450"/>
      <c r="B344" s="450"/>
      <c r="C344" s="449"/>
      <c r="E344" s="354"/>
    </row>
    <row r="345" spans="1:5" s="448" customFormat="1" ht="15.75" customHeight="1">
      <c r="A345" s="450"/>
      <c r="B345" s="450"/>
      <c r="C345" s="449"/>
      <c r="E345" s="354"/>
    </row>
    <row r="346" spans="1:5" s="448" customFormat="1" ht="15.75" customHeight="1">
      <c r="A346" s="450"/>
      <c r="B346" s="450"/>
      <c r="C346" s="449"/>
      <c r="E346" s="354"/>
    </row>
    <row r="347" spans="1:5" s="448" customFormat="1" ht="15.75" customHeight="1">
      <c r="A347" s="450"/>
      <c r="B347" s="450"/>
      <c r="C347" s="449"/>
      <c r="E347" s="354"/>
    </row>
    <row r="348" spans="1:5" s="448" customFormat="1" ht="15.75" customHeight="1">
      <c r="A348" s="450"/>
      <c r="B348" s="450"/>
      <c r="C348" s="449"/>
      <c r="E348" s="354"/>
    </row>
    <row r="349" spans="1:5" s="448" customFormat="1" ht="15.75" customHeight="1">
      <c r="A349" s="450"/>
      <c r="B349" s="450"/>
      <c r="C349" s="449"/>
      <c r="E349" s="354"/>
    </row>
    <row r="350" spans="1:5" s="448" customFormat="1" ht="15.75" customHeight="1">
      <c r="A350" s="450"/>
      <c r="B350" s="450"/>
      <c r="C350" s="449"/>
      <c r="E350" s="354"/>
    </row>
    <row r="351" spans="1:5" s="448" customFormat="1" ht="15.75" customHeight="1">
      <c r="A351" s="450"/>
      <c r="B351" s="450"/>
      <c r="C351" s="449"/>
      <c r="E351" s="354"/>
    </row>
    <row r="352" spans="1:5" s="448" customFormat="1" ht="15.75" customHeight="1">
      <c r="A352" s="450"/>
      <c r="B352" s="450"/>
      <c r="C352" s="449"/>
      <c r="E352" s="354"/>
    </row>
    <row r="353" spans="1:5" s="448" customFormat="1" ht="15.75" customHeight="1">
      <c r="A353" s="450"/>
      <c r="B353" s="450"/>
      <c r="C353" s="449"/>
      <c r="E353" s="354"/>
    </row>
    <row r="354" spans="1:5" s="448" customFormat="1" ht="15.75" customHeight="1">
      <c r="A354" s="450"/>
      <c r="B354" s="450"/>
      <c r="C354" s="449"/>
      <c r="E354" s="354"/>
    </row>
    <row r="355" spans="1:5" s="448" customFormat="1" ht="15.75" customHeight="1">
      <c r="A355" s="450"/>
      <c r="B355" s="450"/>
      <c r="C355" s="449"/>
      <c r="E355" s="354"/>
    </row>
    <row r="356" spans="1:5" s="448" customFormat="1" ht="15.75" customHeight="1">
      <c r="A356" s="450"/>
      <c r="B356" s="450"/>
      <c r="C356" s="449"/>
      <c r="E356" s="354"/>
    </row>
    <row r="357" spans="1:5" s="448" customFormat="1" ht="15.75" customHeight="1">
      <c r="A357" s="450"/>
      <c r="B357" s="450"/>
      <c r="C357" s="449"/>
      <c r="E357" s="354"/>
    </row>
    <row r="358" spans="1:5" s="448" customFormat="1" ht="15.75" customHeight="1">
      <c r="A358" s="450"/>
      <c r="B358" s="450"/>
      <c r="C358" s="449"/>
      <c r="E358" s="354"/>
    </row>
    <row r="359" spans="1:5" s="448" customFormat="1" ht="15.75" customHeight="1">
      <c r="A359" s="450"/>
      <c r="B359" s="450"/>
      <c r="C359" s="449"/>
      <c r="E359" s="354"/>
    </row>
    <row r="360" spans="1:5" s="448" customFormat="1" ht="15.75" customHeight="1">
      <c r="A360" s="450"/>
      <c r="B360" s="450"/>
      <c r="C360" s="449"/>
      <c r="E360" s="354"/>
    </row>
    <row r="361" spans="1:5" s="448" customFormat="1" ht="15.75" customHeight="1">
      <c r="A361" s="450"/>
      <c r="B361" s="450"/>
      <c r="C361" s="449"/>
      <c r="E361" s="354"/>
    </row>
    <row r="362" spans="1:5" s="448" customFormat="1" ht="15.75" customHeight="1">
      <c r="A362" s="450"/>
      <c r="B362" s="450"/>
      <c r="C362" s="449"/>
      <c r="E362" s="354"/>
    </row>
    <row r="363" spans="1:5" s="448" customFormat="1" ht="15.75" customHeight="1">
      <c r="A363" s="450"/>
      <c r="B363" s="450"/>
      <c r="C363" s="449"/>
      <c r="E363" s="354"/>
    </row>
    <row r="364" spans="1:5" s="448" customFormat="1" ht="15.75" customHeight="1">
      <c r="A364" s="450"/>
      <c r="B364" s="450"/>
      <c r="C364" s="449"/>
      <c r="E364" s="354"/>
    </row>
    <row r="365" spans="1:5" s="448" customFormat="1" ht="15.75" customHeight="1">
      <c r="A365" s="450"/>
      <c r="B365" s="450"/>
      <c r="C365" s="449"/>
      <c r="E365" s="354"/>
    </row>
    <row r="366" spans="1:5" s="448" customFormat="1" ht="15.75" customHeight="1">
      <c r="A366" s="450"/>
      <c r="B366" s="450"/>
      <c r="C366" s="449"/>
      <c r="E366" s="354"/>
    </row>
    <row r="367" spans="1:5" s="448" customFormat="1" ht="15.75" customHeight="1">
      <c r="A367" s="450"/>
      <c r="B367" s="450"/>
      <c r="C367" s="449"/>
      <c r="E367" s="354"/>
    </row>
    <row r="368" spans="1:5" s="448" customFormat="1" ht="15.75" customHeight="1">
      <c r="A368" s="450"/>
      <c r="B368" s="450"/>
      <c r="C368" s="449"/>
      <c r="E368" s="354"/>
    </row>
    <row r="369" spans="1:5" s="448" customFormat="1" ht="15.75" customHeight="1">
      <c r="A369" s="450"/>
      <c r="B369" s="450"/>
      <c r="C369" s="449"/>
      <c r="E369" s="354"/>
    </row>
    <row r="370" spans="1:5" s="448" customFormat="1" ht="15.75" customHeight="1">
      <c r="A370" s="450"/>
      <c r="B370" s="450"/>
      <c r="C370" s="449"/>
      <c r="E370" s="354"/>
    </row>
    <row r="371" spans="1:5" s="448" customFormat="1" ht="15.75" customHeight="1">
      <c r="A371" s="450"/>
      <c r="B371" s="450"/>
      <c r="C371" s="449"/>
      <c r="E371" s="354"/>
    </row>
    <row r="372" spans="1:5" s="448" customFormat="1" ht="15.75" customHeight="1">
      <c r="A372" s="450"/>
      <c r="B372" s="450"/>
      <c r="C372" s="449"/>
      <c r="E372" s="354"/>
    </row>
    <row r="373" spans="1:5" s="448" customFormat="1" ht="15.75" customHeight="1">
      <c r="A373" s="450"/>
      <c r="B373" s="450"/>
      <c r="C373" s="449"/>
      <c r="E373" s="354"/>
    </row>
    <row r="374" spans="1:5" s="448" customFormat="1" ht="15.75" customHeight="1">
      <c r="A374" s="450"/>
      <c r="B374" s="450"/>
      <c r="C374" s="449"/>
      <c r="E374" s="354"/>
    </row>
    <row r="375" spans="1:5" s="448" customFormat="1" ht="15.75" customHeight="1">
      <c r="A375" s="450"/>
      <c r="B375" s="450"/>
      <c r="C375" s="449"/>
      <c r="E375" s="354"/>
    </row>
    <row r="376" spans="1:5" s="448" customFormat="1" ht="15.75" customHeight="1">
      <c r="A376" s="450"/>
      <c r="B376" s="450"/>
      <c r="C376" s="449"/>
      <c r="E376" s="354"/>
    </row>
    <row r="377" spans="1:5" s="448" customFormat="1" ht="15.75" customHeight="1">
      <c r="A377" s="450"/>
      <c r="B377" s="450"/>
      <c r="C377" s="449"/>
      <c r="E377" s="354"/>
    </row>
    <row r="378" spans="1:5" s="448" customFormat="1" ht="15.75" customHeight="1">
      <c r="A378" s="450"/>
      <c r="B378" s="450"/>
      <c r="C378" s="449"/>
      <c r="E378" s="354"/>
    </row>
    <row r="379" spans="1:5" s="448" customFormat="1" ht="15.75" customHeight="1">
      <c r="A379" s="450"/>
      <c r="B379" s="450"/>
      <c r="C379" s="449"/>
      <c r="E379" s="354"/>
    </row>
    <row r="380" spans="1:5" s="448" customFormat="1" ht="15.75" customHeight="1">
      <c r="A380" s="450"/>
      <c r="B380" s="450"/>
      <c r="C380" s="449"/>
      <c r="E380" s="354"/>
    </row>
    <row r="381" spans="1:5" s="448" customFormat="1" ht="15.75" customHeight="1">
      <c r="A381" s="450"/>
      <c r="B381" s="450"/>
      <c r="C381" s="449"/>
      <c r="E381" s="354"/>
    </row>
    <row r="382" spans="1:5" s="448" customFormat="1" ht="15.75" customHeight="1">
      <c r="A382" s="450"/>
      <c r="B382" s="450"/>
      <c r="C382" s="449"/>
      <c r="E382" s="354"/>
    </row>
    <row r="383" spans="1:5" s="448" customFormat="1" ht="15.75" customHeight="1">
      <c r="A383" s="450"/>
      <c r="B383" s="450"/>
      <c r="C383" s="449"/>
      <c r="E383" s="354"/>
    </row>
    <row r="384" spans="1:5" s="448" customFormat="1" ht="15.75" customHeight="1">
      <c r="A384" s="450"/>
      <c r="B384" s="450"/>
      <c r="C384" s="449"/>
      <c r="E384" s="354"/>
    </row>
    <row r="385" spans="1:5" s="448" customFormat="1" ht="15.75" customHeight="1">
      <c r="A385" s="450"/>
      <c r="B385" s="450"/>
      <c r="C385" s="449"/>
      <c r="E385" s="354"/>
    </row>
    <row r="386" spans="1:5" s="448" customFormat="1" ht="15.75" customHeight="1">
      <c r="A386" s="450"/>
      <c r="B386" s="450"/>
      <c r="C386" s="449"/>
      <c r="E386" s="354"/>
    </row>
    <row r="387" spans="1:5" s="448" customFormat="1" ht="15.75" customHeight="1">
      <c r="A387" s="450"/>
      <c r="B387" s="450"/>
      <c r="C387" s="449"/>
      <c r="E387" s="354"/>
    </row>
    <row r="388" spans="1:5" s="448" customFormat="1" ht="15.75" customHeight="1">
      <c r="A388" s="450"/>
      <c r="B388" s="450"/>
      <c r="C388" s="449"/>
      <c r="E388" s="354"/>
    </row>
    <row r="389" spans="1:5" s="448" customFormat="1" ht="15.75" customHeight="1">
      <c r="A389" s="450"/>
      <c r="B389" s="450"/>
      <c r="C389" s="449"/>
      <c r="E389" s="354"/>
    </row>
    <row r="390" spans="1:5" s="448" customFormat="1" ht="15.75" customHeight="1">
      <c r="A390" s="450"/>
      <c r="B390" s="450"/>
      <c r="C390" s="449"/>
      <c r="E390" s="354"/>
    </row>
    <row r="391" spans="1:5" s="448" customFormat="1" ht="15.75" customHeight="1">
      <c r="A391" s="450"/>
      <c r="B391" s="450"/>
      <c r="C391" s="449"/>
      <c r="E391" s="354"/>
    </row>
    <row r="392" spans="1:5" s="448" customFormat="1" ht="15.75" customHeight="1">
      <c r="A392" s="450"/>
      <c r="B392" s="450"/>
      <c r="C392" s="449"/>
      <c r="E392" s="354"/>
    </row>
    <row r="393" spans="1:5" s="448" customFormat="1" ht="15.75" customHeight="1">
      <c r="A393" s="450"/>
      <c r="B393" s="450"/>
      <c r="C393" s="449"/>
      <c r="E393" s="354"/>
    </row>
    <row r="394" spans="1:5" s="448" customFormat="1" ht="15.75" customHeight="1">
      <c r="A394" s="450"/>
      <c r="B394" s="450"/>
      <c r="C394" s="449"/>
      <c r="E394" s="354"/>
    </row>
    <row r="395" spans="1:5" s="448" customFormat="1" ht="15.75" customHeight="1">
      <c r="A395" s="450"/>
      <c r="B395" s="450"/>
      <c r="C395" s="449"/>
      <c r="E395" s="354"/>
    </row>
    <row r="396" spans="1:5" s="448" customFormat="1" ht="15.75" customHeight="1">
      <c r="A396" s="450"/>
      <c r="B396" s="450"/>
      <c r="C396" s="449"/>
      <c r="E396" s="354"/>
    </row>
    <row r="397" spans="1:5" s="448" customFormat="1" ht="15.75" customHeight="1">
      <c r="A397" s="450"/>
      <c r="B397" s="450"/>
      <c r="C397" s="449"/>
      <c r="E397" s="354"/>
    </row>
    <row r="398" spans="1:5" s="448" customFormat="1" ht="15.75" customHeight="1">
      <c r="A398" s="450"/>
      <c r="B398" s="450"/>
      <c r="C398" s="449"/>
      <c r="E398" s="354"/>
    </row>
    <row r="399" spans="1:5" s="448" customFormat="1" ht="15.75" customHeight="1">
      <c r="A399" s="450"/>
      <c r="B399" s="450"/>
      <c r="C399" s="449"/>
      <c r="E399" s="354"/>
    </row>
    <row r="400" spans="1:5" s="448" customFormat="1" ht="15.75" customHeight="1">
      <c r="A400" s="450"/>
      <c r="B400" s="450"/>
      <c r="C400" s="449"/>
      <c r="E400" s="354"/>
    </row>
    <row r="401" spans="1:5" s="448" customFormat="1" ht="15.75" customHeight="1">
      <c r="A401" s="450"/>
      <c r="B401" s="450"/>
      <c r="C401" s="449"/>
      <c r="E401" s="354"/>
    </row>
    <row r="402" spans="1:5" s="448" customFormat="1" ht="15.75" customHeight="1">
      <c r="A402" s="450"/>
      <c r="B402" s="450"/>
      <c r="C402" s="449"/>
      <c r="E402" s="354"/>
    </row>
    <row r="403" spans="1:5" s="448" customFormat="1" ht="15.75" customHeight="1">
      <c r="A403" s="450"/>
      <c r="B403" s="450"/>
      <c r="C403" s="449"/>
      <c r="E403" s="354"/>
    </row>
    <row r="404" spans="1:5" s="448" customFormat="1" ht="15.75" customHeight="1">
      <c r="A404" s="450"/>
      <c r="B404" s="450"/>
      <c r="C404" s="449"/>
      <c r="E404" s="354"/>
    </row>
    <row r="405" spans="1:5" s="448" customFormat="1" ht="15.75" customHeight="1">
      <c r="A405" s="450"/>
      <c r="B405" s="450"/>
      <c r="C405" s="449"/>
      <c r="E405" s="354"/>
    </row>
    <row r="406" spans="1:5" s="448" customFormat="1" ht="15.75" customHeight="1">
      <c r="A406" s="450"/>
      <c r="B406" s="450"/>
      <c r="C406" s="449"/>
      <c r="E406" s="354"/>
    </row>
    <row r="407" spans="1:5" s="448" customFormat="1" ht="15.75" customHeight="1">
      <c r="A407" s="450"/>
      <c r="B407" s="450"/>
      <c r="C407" s="449"/>
      <c r="E407" s="354"/>
    </row>
    <row r="408" spans="1:5" s="448" customFormat="1" ht="15.75" customHeight="1">
      <c r="A408" s="450"/>
      <c r="B408" s="450"/>
      <c r="C408" s="449"/>
      <c r="E408" s="354"/>
    </row>
    <row r="409" spans="1:5" s="448" customFormat="1" ht="15.75" customHeight="1">
      <c r="A409" s="450"/>
      <c r="B409" s="450"/>
      <c r="C409" s="449"/>
      <c r="E409" s="354"/>
    </row>
    <row r="410" spans="1:5" s="448" customFormat="1" ht="15.75" customHeight="1">
      <c r="A410" s="450"/>
      <c r="B410" s="450"/>
      <c r="C410" s="449"/>
      <c r="E410" s="354"/>
    </row>
    <row r="411" spans="1:5" s="448" customFormat="1" ht="15.75" customHeight="1">
      <c r="A411" s="450"/>
      <c r="B411" s="450"/>
      <c r="C411" s="449"/>
      <c r="E411" s="354"/>
    </row>
    <row r="412" spans="1:5" s="448" customFormat="1" ht="15.75" customHeight="1">
      <c r="A412" s="450"/>
      <c r="B412" s="450"/>
      <c r="C412" s="449"/>
      <c r="E412" s="354"/>
    </row>
    <row r="413" spans="1:5" s="448" customFormat="1" ht="15.75" customHeight="1">
      <c r="A413" s="450"/>
      <c r="B413" s="450"/>
      <c r="C413" s="449"/>
      <c r="E413" s="354"/>
    </row>
    <row r="414" spans="1:5" s="448" customFormat="1" ht="15.75" customHeight="1">
      <c r="A414" s="450"/>
      <c r="B414" s="450"/>
      <c r="C414" s="449"/>
      <c r="E414" s="354"/>
    </row>
    <row r="415" spans="1:5" s="448" customFormat="1" ht="15.75" customHeight="1">
      <c r="A415" s="450"/>
      <c r="B415" s="450"/>
      <c r="C415" s="449"/>
      <c r="E415" s="354"/>
    </row>
    <row r="416" spans="1:5" s="448" customFormat="1" ht="15.75" customHeight="1">
      <c r="A416" s="450"/>
      <c r="B416" s="450"/>
      <c r="C416" s="449"/>
      <c r="E416" s="354"/>
    </row>
    <row r="417" spans="1:5" s="448" customFormat="1" ht="15.75" customHeight="1">
      <c r="A417" s="450"/>
      <c r="B417" s="450"/>
      <c r="C417" s="449"/>
      <c r="E417" s="354"/>
    </row>
    <row r="418" spans="1:5" s="448" customFormat="1" ht="15.75" customHeight="1">
      <c r="A418" s="450"/>
      <c r="B418" s="450"/>
      <c r="C418" s="449"/>
      <c r="E418" s="354"/>
    </row>
    <row r="419" spans="1:5" s="448" customFormat="1" ht="15.75" customHeight="1">
      <c r="A419" s="450"/>
      <c r="B419" s="450"/>
      <c r="C419" s="449"/>
      <c r="E419" s="354"/>
    </row>
    <row r="420" spans="1:5" s="448" customFormat="1" ht="15.75" customHeight="1">
      <c r="A420" s="450"/>
      <c r="B420" s="450"/>
      <c r="C420" s="449"/>
      <c r="E420" s="354"/>
    </row>
    <row r="421" spans="1:5" s="448" customFormat="1" ht="15.75" customHeight="1">
      <c r="A421" s="450"/>
      <c r="B421" s="450"/>
      <c r="C421" s="449"/>
      <c r="E421" s="354"/>
    </row>
    <row r="422" spans="1:5" s="448" customFormat="1" ht="15.75" customHeight="1">
      <c r="A422" s="450"/>
      <c r="B422" s="450"/>
      <c r="C422" s="449"/>
      <c r="E422" s="354"/>
    </row>
    <row r="423" spans="1:5" s="448" customFormat="1" ht="15.75" customHeight="1">
      <c r="A423" s="450"/>
      <c r="B423" s="450"/>
      <c r="C423" s="449"/>
      <c r="E423" s="354"/>
    </row>
    <row r="424" spans="1:5" s="448" customFormat="1" ht="15.75" customHeight="1">
      <c r="A424" s="450"/>
      <c r="B424" s="450"/>
      <c r="C424" s="449"/>
      <c r="E424" s="354"/>
    </row>
    <row r="425" spans="1:5" s="448" customFormat="1" ht="15.75" customHeight="1">
      <c r="A425" s="450"/>
      <c r="B425" s="450"/>
      <c r="C425" s="449"/>
      <c r="E425" s="354"/>
    </row>
    <row r="426" spans="1:5" s="448" customFormat="1" ht="15.75" customHeight="1">
      <c r="A426" s="450"/>
      <c r="B426" s="450"/>
      <c r="C426" s="449"/>
      <c r="E426" s="354"/>
    </row>
    <row r="427" spans="1:5" s="448" customFormat="1" ht="15.75" customHeight="1">
      <c r="A427" s="450"/>
      <c r="B427" s="450"/>
      <c r="C427" s="449"/>
      <c r="E427" s="354"/>
    </row>
    <row r="428" spans="1:5" s="448" customFormat="1" ht="15.75" customHeight="1">
      <c r="A428" s="450"/>
      <c r="B428" s="450"/>
      <c r="C428" s="449"/>
      <c r="E428" s="354"/>
    </row>
    <row r="429" spans="1:5" s="448" customFormat="1" ht="15.75" customHeight="1">
      <c r="A429" s="450"/>
      <c r="B429" s="450"/>
      <c r="C429" s="449"/>
      <c r="E429" s="354"/>
    </row>
    <row r="430" spans="1:5" s="448" customFormat="1" ht="15.75" customHeight="1">
      <c r="A430" s="450"/>
      <c r="B430" s="450"/>
      <c r="C430" s="449"/>
      <c r="E430" s="354"/>
    </row>
    <row r="431" spans="1:5" s="448" customFormat="1" ht="15.75" customHeight="1">
      <c r="A431" s="450"/>
      <c r="B431" s="450"/>
      <c r="C431" s="449"/>
      <c r="E431" s="354"/>
    </row>
    <row r="432" spans="1:5" s="448" customFormat="1" ht="15.75" customHeight="1">
      <c r="A432" s="450"/>
      <c r="B432" s="450"/>
      <c r="C432" s="449"/>
      <c r="E432" s="354"/>
    </row>
    <row r="433" spans="1:5" s="448" customFormat="1" ht="15.75" customHeight="1">
      <c r="A433" s="450"/>
      <c r="B433" s="450"/>
      <c r="C433" s="449"/>
      <c r="E433" s="354"/>
    </row>
    <row r="434" spans="1:5" s="448" customFormat="1" ht="15.75" customHeight="1">
      <c r="A434" s="450"/>
      <c r="B434" s="450"/>
      <c r="C434" s="449"/>
      <c r="E434" s="354"/>
    </row>
    <row r="435" spans="1:5" s="448" customFormat="1" ht="15.75" customHeight="1">
      <c r="A435" s="450"/>
      <c r="B435" s="450"/>
      <c r="C435" s="449"/>
      <c r="E435" s="354"/>
    </row>
    <row r="436" spans="1:5" s="448" customFormat="1" ht="15.75" customHeight="1">
      <c r="A436" s="450"/>
      <c r="B436" s="450"/>
      <c r="C436" s="449"/>
      <c r="E436" s="354"/>
    </row>
    <row r="437" spans="1:5" s="448" customFormat="1" ht="15.75" customHeight="1">
      <c r="A437" s="450"/>
      <c r="B437" s="450"/>
      <c r="C437" s="449"/>
      <c r="E437" s="354"/>
    </row>
    <row r="438" spans="1:5" s="448" customFormat="1" ht="15.75" customHeight="1">
      <c r="A438" s="450"/>
      <c r="B438" s="450"/>
      <c r="C438" s="449"/>
      <c r="E438" s="354"/>
    </row>
    <row r="439" spans="1:5" s="448" customFormat="1" ht="15.75" customHeight="1">
      <c r="A439" s="450"/>
      <c r="B439" s="450"/>
      <c r="C439" s="449"/>
      <c r="E439" s="354"/>
    </row>
    <row r="440" spans="1:5" s="448" customFormat="1" ht="15.75" customHeight="1">
      <c r="A440" s="450"/>
      <c r="B440" s="450"/>
      <c r="C440" s="449"/>
      <c r="E440" s="354"/>
    </row>
    <row r="441" spans="1:5" s="448" customFormat="1" ht="15.75" customHeight="1">
      <c r="A441" s="450"/>
      <c r="B441" s="450"/>
      <c r="C441" s="449"/>
      <c r="E441" s="354"/>
    </row>
    <row r="442" spans="1:5" s="448" customFormat="1" ht="15.75" customHeight="1">
      <c r="A442" s="450"/>
      <c r="B442" s="450"/>
      <c r="C442" s="449"/>
      <c r="E442" s="354"/>
    </row>
    <row r="443" spans="1:5" s="448" customFormat="1" ht="15.75" customHeight="1">
      <c r="A443" s="450"/>
      <c r="B443" s="450"/>
      <c r="C443" s="449"/>
      <c r="E443" s="354"/>
    </row>
    <row r="444" spans="1:5" s="448" customFormat="1" ht="15.75" customHeight="1">
      <c r="A444" s="450"/>
      <c r="B444" s="450"/>
      <c r="C444" s="449"/>
      <c r="E444" s="354"/>
    </row>
    <row r="445" spans="1:5" s="448" customFormat="1" ht="15.75" customHeight="1">
      <c r="A445" s="450"/>
      <c r="B445" s="450"/>
      <c r="C445" s="449"/>
      <c r="E445" s="354"/>
    </row>
    <row r="446" spans="1:5" s="448" customFormat="1" ht="15.75" customHeight="1">
      <c r="A446" s="450"/>
      <c r="B446" s="450"/>
      <c r="C446" s="449"/>
      <c r="E446" s="354"/>
    </row>
    <row r="447" spans="1:5" s="448" customFormat="1" ht="15.75" customHeight="1">
      <c r="A447" s="450"/>
      <c r="B447" s="450"/>
      <c r="C447" s="449"/>
      <c r="E447" s="354"/>
    </row>
    <row r="448" spans="1:5" s="448" customFormat="1" ht="15.75" customHeight="1">
      <c r="A448" s="450"/>
      <c r="B448" s="450"/>
      <c r="C448" s="449"/>
      <c r="E448" s="354"/>
    </row>
    <row r="449" spans="1:5" s="448" customFormat="1" ht="15.75" customHeight="1">
      <c r="A449" s="450"/>
      <c r="B449" s="450"/>
      <c r="C449" s="449"/>
      <c r="E449" s="354"/>
    </row>
    <row r="450" spans="1:5" s="448" customFormat="1" ht="15.75" customHeight="1">
      <c r="A450" s="450"/>
      <c r="B450" s="450"/>
      <c r="C450" s="449"/>
      <c r="E450" s="354"/>
    </row>
    <row r="451" spans="1:5" s="448" customFormat="1" ht="15.75" customHeight="1">
      <c r="A451" s="450"/>
      <c r="B451" s="450"/>
      <c r="C451" s="449"/>
      <c r="E451" s="354"/>
    </row>
    <row r="452" spans="1:5" s="448" customFormat="1" ht="15.75" customHeight="1">
      <c r="A452" s="450"/>
      <c r="B452" s="450"/>
      <c r="C452" s="449"/>
      <c r="E452" s="354"/>
    </row>
    <row r="453" spans="1:5" s="448" customFormat="1" ht="15.75" customHeight="1">
      <c r="A453" s="450"/>
      <c r="B453" s="450"/>
      <c r="C453" s="449"/>
      <c r="E453" s="354"/>
    </row>
    <row r="454" spans="1:5" s="448" customFormat="1" ht="15.75" customHeight="1">
      <c r="A454" s="450"/>
      <c r="B454" s="450"/>
      <c r="C454" s="449"/>
      <c r="E454" s="354"/>
    </row>
    <row r="455" spans="1:5" s="448" customFormat="1" ht="15.75" customHeight="1">
      <c r="A455" s="450"/>
      <c r="B455" s="450"/>
      <c r="C455" s="449"/>
      <c r="E455" s="354"/>
    </row>
    <row r="456" spans="1:5" s="448" customFormat="1" ht="15.75" customHeight="1">
      <c r="A456" s="450"/>
      <c r="B456" s="450"/>
      <c r="C456" s="449"/>
      <c r="E456" s="354"/>
    </row>
    <row r="457" spans="1:5" s="448" customFormat="1" ht="15.75" customHeight="1">
      <c r="A457" s="450"/>
      <c r="B457" s="450"/>
      <c r="C457" s="449"/>
      <c r="E457" s="354"/>
    </row>
    <row r="458" spans="1:5" s="448" customFormat="1" ht="15.75" customHeight="1">
      <c r="A458" s="450"/>
      <c r="B458" s="450"/>
      <c r="C458" s="449"/>
      <c r="E458" s="354"/>
    </row>
    <row r="459" spans="1:5" s="448" customFormat="1" ht="15.75" customHeight="1">
      <c r="A459" s="450"/>
      <c r="B459" s="450"/>
      <c r="C459" s="449"/>
      <c r="E459" s="354"/>
    </row>
    <row r="460" spans="1:5" s="448" customFormat="1" ht="15.75" customHeight="1">
      <c r="A460" s="450"/>
      <c r="B460" s="450"/>
      <c r="C460" s="449"/>
      <c r="E460" s="354"/>
    </row>
    <row r="461" spans="1:5" s="448" customFormat="1" ht="15.75" customHeight="1">
      <c r="A461" s="450"/>
      <c r="B461" s="450"/>
      <c r="C461" s="449"/>
      <c r="E461" s="354"/>
    </row>
    <row r="462" spans="1:5" s="448" customFormat="1" ht="15.75" customHeight="1">
      <c r="A462" s="450"/>
      <c r="B462" s="450"/>
      <c r="C462" s="449"/>
      <c r="E462" s="354"/>
    </row>
    <row r="463" spans="1:5" s="448" customFormat="1" ht="15.75" customHeight="1">
      <c r="A463" s="450"/>
      <c r="B463" s="450"/>
      <c r="C463" s="449"/>
      <c r="E463" s="354"/>
    </row>
    <row r="464" spans="1:5" s="448" customFormat="1" ht="15.75" customHeight="1">
      <c r="A464" s="450"/>
      <c r="B464" s="450"/>
      <c r="C464" s="449"/>
      <c r="E464" s="354"/>
    </row>
    <row r="465" spans="1:5" s="448" customFormat="1" ht="15.75" customHeight="1">
      <c r="A465" s="450"/>
      <c r="B465" s="450"/>
      <c r="C465" s="449"/>
      <c r="E465" s="354"/>
    </row>
    <row r="466" spans="1:5" s="448" customFormat="1" ht="15.75" customHeight="1">
      <c r="A466" s="450"/>
      <c r="B466" s="450"/>
      <c r="C466" s="449"/>
      <c r="E466" s="354"/>
    </row>
    <row r="467" spans="1:5" s="448" customFormat="1" ht="15.75" customHeight="1">
      <c r="A467" s="450"/>
      <c r="B467" s="450"/>
      <c r="C467" s="449"/>
      <c r="E467" s="354"/>
    </row>
    <row r="468" spans="1:5" s="448" customFormat="1" ht="15.75" customHeight="1">
      <c r="A468" s="450"/>
      <c r="B468" s="450"/>
      <c r="C468" s="449"/>
      <c r="E468" s="354"/>
    </row>
    <row r="469" spans="1:5" s="448" customFormat="1" ht="15.75" customHeight="1">
      <c r="A469" s="450"/>
      <c r="B469" s="450"/>
      <c r="C469" s="449"/>
      <c r="E469" s="354"/>
    </row>
    <row r="470" spans="1:5" s="448" customFormat="1" ht="15.75" customHeight="1">
      <c r="A470" s="450"/>
      <c r="B470" s="450"/>
      <c r="C470" s="449"/>
      <c r="E470" s="354"/>
    </row>
    <row r="471" spans="1:5" s="448" customFormat="1" ht="15.75" customHeight="1">
      <c r="A471" s="450"/>
      <c r="B471" s="450"/>
      <c r="C471" s="449"/>
      <c r="E471" s="354"/>
    </row>
    <row r="472" spans="1:5" s="448" customFormat="1" ht="15.75" customHeight="1">
      <c r="A472" s="450"/>
      <c r="B472" s="450"/>
      <c r="C472" s="449"/>
      <c r="E472" s="354"/>
    </row>
    <row r="473" spans="1:5" s="448" customFormat="1" ht="15.75" customHeight="1">
      <c r="A473" s="450"/>
      <c r="B473" s="450"/>
      <c r="C473" s="449"/>
      <c r="E473" s="354"/>
    </row>
    <row r="474" spans="1:5" s="448" customFormat="1" ht="15.75" customHeight="1">
      <c r="A474" s="450"/>
      <c r="B474" s="450"/>
      <c r="C474" s="449"/>
      <c r="E474" s="354"/>
    </row>
    <row r="475" spans="1:5" s="448" customFormat="1" ht="15.75" customHeight="1">
      <c r="A475" s="450"/>
      <c r="B475" s="450"/>
      <c r="C475" s="449"/>
      <c r="E475" s="354"/>
    </row>
    <row r="476" spans="1:5" s="448" customFormat="1" ht="15.75" customHeight="1">
      <c r="A476" s="450"/>
      <c r="B476" s="450"/>
      <c r="C476" s="449"/>
      <c r="E476" s="354"/>
    </row>
    <row r="477" spans="1:5" s="448" customFormat="1" ht="15.75" customHeight="1">
      <c r="A477" s="450"/>
      <c r="B477" s="450"/>
      <c r="C477" s="449"/>
      <c r="E477" s="354"/>
    </row>
    <row r="478" spans="1:5" s="448" customFormat="1" ht="15.75" customHeight="1">
      <c r="A478" s="450"/>
      <c r="B478" s="450"/>
      <c r="C478" s="449"/>
      <c r="E478" s="354"/>
    </row>
    <row r="479" spans="1:5" s="448" customFormat="1" ht="15.75" customHeight="1">
      <c r="A479" s="450"/>
      <c r="B479" s="450"/>
      <c r="C479" s="449"/>
      <c r="E479" s="354"/>
    </row>
    <row r="480" spans="1:5" s="448" customFormat="1" ht="15.75" customHeight="1">
      <c r="A480" s="450"/>
      <c r="B480" s="450"/>
      <c r="C480" s="449"/>
      <c r="E480" s="354"/>
    </row>
    <row r="481" spans="1:5" s="448" customFormat="1" ht="15.75" customHeight="1">
      <c r="A481" s="450"/>
      <c r="B481" s="450"/>
      <c r="C481" s="449"/>
      <c r="E481" s="354"/>
    </row>
    <row r="482" spans="1:5" s="448" customFormat="1" ht="15.75" customHeight="1">
      <c r="A482" s="450"/>
      <c r="B482" s="450"/>
      <c r="C482" s="449"/>
      <c r="E482" s="354"/>
    </row>
    <row r="483" spans="1:5" s="448" customFormat="1" ht="15.75" customHeight="1">
      <c r="A483" s="450"/>
      <c r="B483" s="450"/>
      <c r="C483" s="449"/>
      <c r="E483" s="354"/>
    </row>
    <row r="484" spans="1:5" s="448" customFormat="1" ht="15.75" customHeight="1">
      <c r="A484" s="450"/>
      <c r="B484" s="450"/>
      <c r="C484" s="449"/>
      <c r="E484" s="354"/>
    </row>
    <row r="485" spans="1:5" s="448" customFormat="1" ht="15.75" customHeight="1">
      <c r="A485" s="450"/>
      <c r="B485" s="450"/>
      <c r="C485" s="449"/>
      <c r="E485" s="354"/>
    </row>
    <row r="486" spans="1:5" s="448" customFormat="1" ht="15.75" customHeight="1">
      <c r="A486" s="450"/>
      <c r="B486" s="450"/>
      <c r="C486" s="449"/>
      <c r="E486" s="354"/>
    </row>
    <row r="487" spans="1:5" s="448" customFormat="1" ht="15.75" customHeight="1">
      <c r="A487" s="450"/>
      <c r="B487" s="450"/>
      <c r="C487" s="449"/>
      <c r="E487" s="354"/>
    </row>
    <row r="488" spans="1:5" s="448" customFormat="1" ht="15.75" customHeight="1">
      <c r="A488" s="450"/>
      <c r="B488" s="450"/>
      <c r="C488" s="449"/>
      <c r="E488" s="354"/>
    </row>
    <row r="489" spans="1:5" s="448" customFormat="1" ht="15.75" customHeight="1">
      <c r="A489" s="450"/>
      <c r="B489" s="450"/>
      <c r="C489" s="449"/>
      <c r="E489" s="354"/>
    </row>
    <row r="490" spans="1:5" s="448" customFormat="1" ht="15.75" customHeight="1">
      <c r="A490" s="450"/>
      <c r="B490" s="450"/>
      <c r="C490" s="449"/>
      <c r="E490" s="354"/>
    </row>
    <row r="491" spans="1:5" s="448" customFormat="1" ht="15.75" customHeight="1">
      <c r="A491" s="450"/>
      <c r="B491" s="450"/>
      <c r="C491" s="449"/>
      <c r="E491" s="354"/>
    </row>
    <row r="492" spans="1:5" s="448" customFormat="1" ht="15.75" customHeight="1">
      <c r="A492" s="450"/>
      <c r="B492" s="450"/>
      <c r="C492" s="449"/>
      <c r="E492" s="354"/>
    </row>
    <row r="493" spans="1:5" s="448" customFormat="1" ht="15.75" customHeight="1">
      <c r="A493" s="450"/>
      <c r="B493" s="450"/>
      <c r="C493" s="449"/>
      <c r="E493" s="354"/>
    </row>
    <row r="494" spans="1:5" s="448" customFormat="1" ht="15.75" customHeight="1">
      <c r="A494" s="450"/>
      <c r="B494" s="450"/>
      <c r="C494" s="449"/>
      <c r="E494" s="354"/>
    </row>
    <row r="495" spans="1:5" s="448" customFormat="1" ht="15.75" customHeight="1">
      <c r="A495" s="450"/>
      <c r="B495" s="450"/>
      <c r="C495" s="449"/>
      <c r="E495" s="354"/>
    </row>
    <row r="496" spans="1:5" s="448" customFormat="1" ht="15.75" customHeight="1">
      <c r="A496" s="450"/>
      <c r="B496" s="450"/>
      <c r="C496" s="449"/>
      <c r="E496" s="354"/>
    </row>
    <row r="497" spans="1:5" s="448" customFormat="1" ht="15.75" customHeight="1">
      <c r="A497" s="450"/>
      <c r="B497" s="450"/>
      <c r="C497" s="449"/>
      <c r="E497" s="354"/>
    </row>
    <row r="498" spans="1:5" s="448" customFormat="1" ht="15.75" customHeight="1">
      <c r="A498" s="450"/>
      <c r="B498" s="450"/>
      <c r="C498" s="449"/>
      <c r="E498" s="354"/>
    </row>
    <row r="499" spans="1:5" s="448" customFormat="1" ht="15.75" customHeight="1">
      <c r="A499" s="450"/>
      <c r="B499" s="450"/>
      <c r="C499" s="449"/>
      <c r="E499" s="354"/>
    </row>
    <row r="500" spans="1:5" s="448" customFormat="1" ht="15.75" customHeight="1">
      <c r="A500" s="450"/>
      <c r="B500" s="450"/>
      <c r="C500" s="449"/>
      <c r="E500" s="354"/>
    </row>
    <row r="501" spans="1:5" s="448" customFormat="1" ht="15.75" customHeight="1">
      <c r="A501" s="450"/>
      <c r="B501" s="450"/>
      <c r="C501" s="449"/>
      <c r="E501" s="354"/>
    </row>
    <row r="502" spans="1:5" s="448" customFormat="1" ht="15.75" customHeight="1">
      <c r="A502" s="450"/>
      <c r="B502" s="450"/>
      <c r="C502" s="449"/>
      <c r="E502" s="354"/>
    </row>
    <row r="503" spans="1:5" s="448" customFormat="1" ht="15.75" customHeight="1">
      <c r="A503" s="450"/>
      <c r="B503" s="450"/>
      <c r="C503" s="449"/>
      <c r="E503" s="354"/>
    </row>
    <row r="504" spans="1:5" s="448" customFormat="1" ht="15.75" customHeight="1">
      <c r="A504" s="450"/>
      <c r="B504" s="450"/>
      <c r="C504" s="449"/>
      <c r="E504" s="354"/>
    </row>
    <row r="505" spans="1:5" s="448" customFormat="1" ht="15.75" customHeight="1">
      <c r="A505" s="450"/>
      <c r="B505" s="450"/>
      <c r="C505" s="449"/>
      <c r="E505" s="354"/>
    </row>
    <row r="506" spans="1:5" s="448" customFormat="1" ht="15.75" customHeight="1">
      <c r="A506" s="450"/>
      <c r="B506" s="450"/>
      <c r="C506" s="449"/>
      <c r="E506" s="354"/>
    </row>
    <row r="507" spans="1:5" s="448" customFormat="1" ht="15.75" customHeight="1">
      <c r="A507" s="450"/>
      <c r="B507" s="450"/>
      <c r="C507" s="449"/>
      <c r="E507" s="354"/>
    </row>
    <row r="508" spans="1:5" s="448" customFormat="1" ht="15.75" customHeight="1">
      <c r="A508" s="450"/>
      <c r="B508" s="450"/>
      <c r="C508" s="449"/>
      <c r="E508" s="354"/>
    </row>
    <row r="509" spans="1:5" s="448" customFormat="1" ht="15.75" customHeight="1">
      <c r="A509" s="450"/>
      <c r="B509" s="450"/>
      <c r="C509" s="449"/>
      <c r="E509" s="354"/>
    </row>
    <row r="510" spans="1:5" s="448" customFormat="1" ht="15.75" customHeight="1">
      <c r="A510" s="450"/>
      <c r="B510" s="450"/>
      <c r="C510" s="449"/>
      <c r="E510" s="354"/>
    </row>
    <row r="511" spans="1:5" s="448" customFormat="1" ht="15.75" customHeight="1">
      <c r="A511" s="450"/>
      <c r="B511" s="450"/>
      <c r="C511" s="449"/>
      <c r="E511" s="354"/>
    </row>
    <row r="512" spans="1:5" s="448" customFormat="1" ht="15.75" customHeight="1">
      <c r="A512" s="450"/>
      <c r="B512" s="450"/>
      <c r="C512" s="449"/>
      <c r="E512" s="354"/>
    </row>
    <row r="513" spans="1:5" s="448" customFormat="1" ht="15.75" customHeight="1">
      <c r="A513" s="450"/>
      <c r="B513" s="450"/>
      <c r="C513" s="449"/>
      <c r="E513" s="354"/>
    </row>
    <row r="514" spans="1:5" s="448" customFormat="1" ht="15.75" customHeight="1">
      <c r="A514" s="450"/>
      <c r="B514" s="450"/>
      <c r="C514" s="449"/>
      <c r="E514" s="354"/>
    </row>
    <row r="515" spans="1:5" s="448" customFormat="1" ht="15.75" customHeight="1">
      <c r="A515" s="450"/>
      <c r="B515" s="450"/>
      <c r="C515" s="449"/>
      <c r="E515" s="354"/>
    </row>
    <row r="516" spans="1:5" s="448" customFormat="1" ht="15.75" customHeight="1">
      <c r="A516" s="450"/>
      <c r="B516" s="450"/>
      <c r="C516" s="449"/>
      <c r="E516" s="354"/>
    </row>
    <row r="517" spans="1:5" s="448" customFormat="1" ht="15.75" customHeight="1">
      <c r="A517" s="450"/>
      <c r="B517" s="450"/>
      <c r="C517" s="449"/>
      <c r="E517" s="354"/>
    </row>
    <row r="518" spans="1:5" s="448" customFormat="1" ht="15.75" customHeight="1">
      <c r="A518" s="450"/>
      <c r="B518" s="450"/>
      <c r="C518" s="449"/>
      <c r="E518" s="354"/>
    </row>
    <row r="519" spans="1:5" s="448" customFormat="1" ht="15.75" customHeight="1">
      <c r="A519" s="450"/>
      <c r="B519" s="450"/>
      <c r="C519" s="449"/>
      <c r="E519" s="354"/>
    </row>
    <row r="520" spans="1:5" s="448" customFormat="1" ht="15.75" customHeight="1">
      <c r="A520" s="450"/>
      <c r="B520" s="450"/>
      <c r="C520" s="449"/>
      <c r="E520" s="354"/>
    </row>
    <row r="521" spans="1:5" s="448" customFormat="1" ht="15.75" customHeight="1">
      <c r="A521" s="450"/>
      <c r="B521" s="450"/>
      <c r="C521" s="449"/>
      <c r="E521" s="354"/>
    </row>
    <row r="522" spans="1:5" s="448" customFormat="1" ht="15.75" customHeight="1">
      <c r="A522" s="450"/>
      <c r="B522" s="450"/>
      <c r="C522" s="449"/>
      <c r="E522" s="354"/>
    </row>
    <row r="523" spans="1:5" s="448" customFormat="1" ht="15.75" customHeight="1">
      <c r="A523" s="450"/>
      <c r="B523" s="450"/>
      <c r="C523" s="449"/>
      <c r="E523" s="354"/>
    </row>
    <row r="524" spans="1:5" s="448" customFormat="1" ht="15.75" customHeight="1">
      <c r="A524" s="450"/>
      <c r="B524" s="450"/>
      <c r="C524" s="449"/>
      <c r="E524" s="354"/>
    </row>
    <row r="525" spans="1:5" s="448" customFormat="1" ht="15.75" customHeight="1">
      <c r="A525" s="450"/>
      <c r="B525" s="450"/>
      <c r="C525" s="449"/>
      <c r="E525" s="354"/>
    </row>
    <row r="526" spans="1:5" s="448" customFormat="1" ht="15.75" customHeight="1">
      <c r="A526" s="450"/>
      <c r="B526" s="450"/>
      <c r="C526" s="449"/>
      <c r="E526" s="354"/>
    </row>
    <row r="527" spans="1:5" s="448" customFormat="1" ht="15.75" customHeight="1">
      <c r="A527" s="450"/>
      <c r="B527" s="450"/>
      <c r="C527" s="449"/>
      <c r="E527" s="354"/>
    </row>
    <row r="528" spans="1:5" s="448" customFormat="1" ht="15.75" customHeight="1">
      <c r="A528" s="450"/>
      <c r="B528" s="450"/>
      <c r="C528" s="449"/>
      <c r="E528" s="354"/>
    </row>
    <row r="529" spans="1:5" s="448" customFormat="1" ht="15.75" customHeight="1">
      <c r="A529" s="450"/>
      <c r="B529" s="450"/>
      <c r="C529" s="449"/>
      <c r="E529" s="354"/>
    </row>
    <row r="530" spans="1:5" s="448" customFormat="1" ht="15.75" customHeight="1">
      <c r="A530" s="450"/>
      <c r="B530" s="450"/>
      <c r="C530" s="449"/>
      <c r="E530" s="354"/>
    </row>
    <row r="531" spans="1:5" s="448" customFormat="1" ht="15.75" customHeight="1">
      <c r="A531" s="450"/>
      <c r="B531" s="450"/>
      <c r="C531" s="449"/>
      <c r="E531" s="354"/>
    </row>
    <row r="532" spans="1:5" s="448" customFormat="1" ht="15.75" customHeight="1">
      <c r="A532" s="450"/>
      <c r="B532" s="450"/>
      <c r="C532" s="449"/>
      <c r="E532" s="354"/>
    </row>
    <row r="533" spans="1:5" s="448" customFormat="1" ht="15.75" customHeight="1">
      <c r="A533" s="450"/>
      <c r="B533" s="450"/>
      <c r="C533" s="449"/>
      <c r="E533" s="354"/>
    </row>
    <row r="534" spans="1:5" s="448" customFormat="1" ht="15.75" customHeight="1">
      <c r="A534" s="450"/>
      <c r="B534" s="450"/>
      <c r="C534" s="449"/>
      <c r="E534" s="354"/>
    </row>
    <row r="535" spans="1:5" s="448" customFormat="1" ht="15.75" customHeight="1">
      <c r="A535" s="450"/>
      <c r="B535" s="450"/>
      <c r="C535" s="449"/>
      <c r="E535" s="354"/>
    </row>
    <row r="536" spans="1:5" s="448" customFormat="1" ht="15.75" customHeight="1">
      <c r="A536" s="450"/>
      <c r="B536" s="450"/>
      <c r="C536" s="449"/>
      <c r="E536" s="354"/>
    </row>
    <row r="537" spans="1:5" s="448" customFormat="1" ht="15.75" customHeight="1">
      <c r="A537" s="450"/>
      <c r="B537" s="450"/>
      <c r="C537" s="449"/>
      <c r="E537" s="354"/>
    </row>
    <row r="538" spans="1:5" s="448" customFormat="1" ht="15.75" customHeight="1">
      <c r="A538" s="450"/>
      <c r="B538" s="450"/>
      <c r="C538" s="449"/>
      <c r="E538" s="354"/>
    </row>
    <row r="539" spans="1:5" s="448" customFormat="1" ht="15.75" customHeight="1">
      <c r="A539" s="450"/>
      <c r="B539" s="450"/>
      <c r="C539" s="449"/>
      <c r="E539" s="354"/>
    </row>
    <row r="540" spans="1:5" s="448" customFormat="1" ht="15.75" customHeight="1">
      <c r="A540" s="450"/>
      <c r="B540" s="450"/>
      <c r="C540" s="449"/>
      <c r="E540" s="354"/>
    </row>
    <row r="541" spans="1:5" s="448" customFormat="1" ht="15.75" customHeight="1">
      <c r="A541" s="450"/>
      <c r="B541" s="450"/>
      <c r="C541" s="449"/>
      <c r="E541" s="354"/>
    </row>
    <row r="542" spans="1:5" s="448" customFormat="1" ht="15.75" customHeight="1">
      <c r="A542" s="450"/>
      <c r="B542" s="450"/>
      <c r="C542" s="449"/>
      <c r="E542" s="354"/>
    </row>
    <row r="543" spans="1:5" s="448" customFormat="1" ht="15.75" customHeight="1">
      <c r="A543" s="450"/>
      <c r="B543" s="450"/>
      <c r="C543" s="449"/>
      <c r="E543" s="354"/>
    </row>
    <row r="544" spans="1:5" s="448" customFormat="1" ht="15.75" customHeight="1">
      <c r="A544" s="450"/>
      <c r="B544" s="450"/>
      <c r="C544" s="449"/>
      <c r="E544" s="354"/>
    </row>
    <row r="545" spans="1:5" s="448" customFormat="1" ht="15.75" customHeight="1">
      <c r="A545" s="450"/>
      <c r="B545" s="450"/>
      <c r="C545" s="449"/>
      <c r="E545" s="354"/>
    </row>
    <row r="546" spans="1:5" s="448" customFormat="1" ht="15.75" customHeight="1">
      <c r="A546" s="450"/>
      <c r="B546" s="450"/>
      <c r="C546" s="449"/>
      <c r="E546" s="354"/>
    </row>
    <row r="547" spans="1:5" s="448" customFormat="1" ht="15.75" customHeight="1">
      <c r="A547" s="450"/>
      <c r="B547" s="450"/>
      <c r="C547" s="449"/>
      <c r="E547" s="354"/>
    </row>
    <row r="548" spans="1:5" s="448" customFormat="1" ht="15.75" customHeight="1">
      <c r="A548" s="450"/>
      <c r="B548" s="450"/>
      <c r="C548" s="449"/>
      <c r="E548" s="354"/>
    </row>
    <row r="549" spans="1:5" s="448" customFormat="1" ht="15.75" customHeight="1">
      <c r="A549" s="450"/>
      <c r="B549" s="450"/>
      <c r="C549" s="449"/>
      <c r="E549" s="354"/>
    </row>
    <row r="550" spans="1:5" s="448" customFormat="1" ht="15.75" customHeight="1">
      <c r="A550" s="450"/>
      <c r="B550" s="450"/>
      <c r="C550" s="449"/>
      <c r="E550" s="354"/>
    </row>
    <row r="551" spans="1:5" s="448" customFormat="1" ht="15.75" customHeight="1">
      <c r="A551" s="450"/>
      <c r="B551" s="450"/>
      <c r="C551" s="449"/>
      <c r="E551" s="354"/>
    </row>
    <row r="552" spans="1:5" s="448" customFormat="1" ht="15.75" customHeight="1">
      <c r="A552" s="450"/>
      <c r="B552" s="450"/>
      <c r="C552" s="449"/>
      <c r="E552" s="354"/>
    </row>
    <row r="553" spans="1:5" s="448" customFormat="1" ht="15.75" customHeight="1">
      <c r="A553" s="450"/>
      <c r="B553" s="450"/>
      <c r="C553" s="449"/>
      <c r="E553" s="354"/>
    </row>
    <row r="554" spans="1:5" s="448" customFormat="1" ht="15.75" customHeight="1">
      <c r="A554" s="450"/>
      <c r="B554" s="450"/>
      <c r="C554" s="449"/>
      <c r="E554" s="354"/>
    </row>
    <row r="555" spans="1:5" s="448" customFormat="1" ht="15.75" customHeight="1">
      <c r="A555" s="450"/>
      <c r="B555" s="450"/>
      <c r="C555" s="449"/>
      <c r="E555" s="354"/>
    </row>
    <row r="556" spans="1:5" s="448" customFormat="1" ht="15.75" customHeight="1">
      <c r="A556" s="450"/>
      <c r="B556" s="450"/>
      <c r="C556" s="449"/>
      <c r="E556" s="354"/>
    </row>
    <row r="557" spans="1:5" s="448" customFormat="1" ht="15.75" customHeight="1">
      <c r="A557" s="450"/>
      <c r="B557" s="450"/>
      <c r="C557" s="449"/>
      <c r="E557" s="354"/>
    </row>
    <row r="558" spans="1:5" s="448" customFormat="1" ht="15.75" customHeight="1">
      <c r="A558" s="450"/>
      <c r="B558" s="450"/>
      <c r="C558" s="449"/>
      <c r="E558" s="354"/>
    </row>
    <row r="559" spans="1:5" s="448" customFormat="1" ht="15.75" customHeight="1">
      <c r="A559" s="450"/>
      <c r="B559" s="450"/>
      <c r="C559" s="449"/>
      <c r="E559" s="354"/>
    </row>
    <row r="560" spans="1:5" s="448" customFormat="1" ht="15.75" customHeight="1">
      <c r="A560" s="450"/>
      <c r="B560" s="450"/>
      <c r="C560" s="449"/>
      <c r="E560" s="354"/>
    </row>
    <row r="561" spans="1:5" s="448" customFormat="1" ht="15.75" customHeight="1">
      <c r="A561" s="450"/>
      <c r="B561" s="450"/>
      <c r="C561" s="449"/>
      <c r="E561" s="354"/>
    </row>
    <row r="562" spans="1:5" s="448" customFormat="1" ht="15.75" customHeight="1">
      <c r="A562" s="450"/>
      <c r="B562" s="450"/>
      <c r="C562" s="449"/>
      <c r="E562" s="354"/>
    </row>
    <row r="563" spans="1:5" s="448" customFormat="1" ht="15.75" customHeight="1">
      <c r="A563" s="450"/>
      <c r="B563" s="450"/>
      <c r="C563" s="449"/>
      <c r="E563" s="354"/>
    </row>
    <row r="564" spans="1:5" s="448" customFormat="1" ht="15.75" customHeight="1">
      <c r="A564" s="450"/>
      <c r="B564" s="450"/>
      <c r="C564" s="449"/>
      <c r="E564" s="354"/>
    </row>
    <row r="565" spans="1:5" s="448" customFormat="1" ht="15.75" customHeight="1">
      <c r="A565" s="450"/>
      <c r="B565" s="450"/>
      <c r="C565" s="449"/>
      <c r="E565" s="354"/>
    </row>
    <row r="566" spans="1:5" s="448" customFormat="1" ht="15.75" customHeight="1">
      <c r="A566" s="450"/>
      <c r="B566" s="450"/>
      <c r="C566" s="449"/>
      <c r="E566" s="354"/>
    </row>
    <row r="567" spans="1:5" s="448" customFormat="1" ht="15.75" customHeight="1">
      <c r="A567" s="450"/>
      <c r="B567" s="450"/>
      <c r="C567" s="449"/>
      <c r="E567" s="354"/>
    </row>
    <row r="568" spans="1:5" s="448" customFormat="1" ht="15.75" customHeight="1">
      <c r="A568" s="450"/>
      <c r="B568" s="450"/>
      <c r="C568" s="449"/>
      <c r="E568" s="354"/>
    </row>
    <row r="569" spans="1:5" s="448" customFormat="1" ht="15.75" customHeight="1">
      <c r="A569" s="450"/>
      <c r="B569" s="450"/>
      <c r="C569" s="449"/>
      <c r="E569" s="354"/>
    </row>
    <row r="570" spans="1:5" s="448" customFormat="1" ht="15.75" customHeight="1">
      <c r="A570" s="450"/>
      <c r="B570" s="450"/>
      <c r="C570" s="449"/>
      <c r="E570" s="354"/>
    </row>
    <row r="571" spans="1:5" s="448" customFormat="1" ht="15.75" customHeight="1">
      <c r="A571" s="450"/>
      <c r="B571" s="450"/>
      <c r="C571" s="449"/>
      <c r="E571" s="354"/>
    </row>
    <row r="572" spans="1:5" s="448" customFormat="1" ht="15.75" customHeight="1">
      <c r="A572" s="450"/>
      <c r="B572" s="450"/>
      <c r="C572" s="449"/>
      <c r="E572" s="354"/>
    </row>
    <row r="573" spans="1:5" s="448" customFormat="1" ht="15.75" customHeight="1">
      <c r="A573" s="450"/>
      <c r="B573" s="450"/>
      <c r="C573" s="449"/>
      <c r="E573" s="354"/>
    </row>
    <row r="574" spans="1:5" s="448" customFormat="1" ht="15.75" customHeight="1">
      <c r="A574" s="450"/>
      <c r="B574" s="450"/>
      <c r="C574" s="449"/>
      <c r="E574" s="354"/>
    </row>
    <row r="575" spans="1:5" s="448" customFormat="1" ht="15.75" customHeight="1">
      <c r="A575" s="450"/>
      <c r="B575" s="450"/>
      <c r="C575" s="449"/>
      <c r="E575" s="354"/>
    </row>
    <row r="576" spans="1:5" s="448" customFormat="1" ht="15.75" customHeight="1">
      <c r="A576" s="450"/>
      <c r="B576" s="450"/>
      <c r="C576" s="449"/>
      <c r="E576" s="354"/>
    </row>
    <row r="577" spans="1:5" s="448" customFormat="1" ht="15.75" customHeight="1">
      <c r="A577" s="450"/>
      <c r="B577" s="450"/>
      <c r="C577" s="449"/>
      <c r="E577" s="354"/>
    </row>
    <row r="578" spans="1:5" s="448" customFormat="1" ht="15.75" customHeight="1">
      <c r="A578" s="450"/>
      <c r="B578" s="450"/>
      <c r="C578" s="449"/>
      <c r="E578" s="354"/>
    </row>
    <row r="579" spans="1:5" s="448" customFormat="1" ht="15.75" customHeight="1">
      <c r="A579" s="450"/>
      <c r="B579" s="450"/>
      <c r="C579" s="449"/>
      <c r="E579" s="354"/>
    </row>
    <row r="580" spans="1:5" s="448" customFormat="1" ht="15.75" customHeight="1">
      <c r="A580" s="450"/>
      <c r="B580" s="450"/>
      <c r="C580" s="449"/>
      <c r="E580" s="354"/>
    </row>
    <row r="581" spans="1:5" s="448" customFormat="1" ht="15.75" customHeight="1">
      <c r="A581" s="450"/>
      <c r="B581" s="450"/>
      <c r="C581" s="449"/>
      <c r="E581" s="354"/>
    </row>
    <row r="582" spans="1:5" s="448" customFormat="1" ht="15.75" customHeight="1">
      <c r="A582" s="450"/>
      <c r="B582" s="450"/>
      <c r="C582" s="449"/>
      <c r="E582" s="354"/>
    </row>
    <row r="583" spans="1:5" s="448" customFormat="1" ht="15.75" customHeight="1">
      <c r="A583" s="450"/>
      <c r="B583" s="450"/>
      <c r="C583" s="449"/>
      <c r="E583" s="354"/>
    </row>
    <row r="584" spans="1:5" s="448" customFormat="1" ht="15.75" customHeight="1">
      <c r="A584" s="450"/>
      <c r="B584" s="450"/>
      <c r="C584" s="449"/>
      <c r="E584" s="354"/>
    </row>
    <row r="585" spans="1:5" s="448" customFormat="1" ht="15.75" customHeight="1">
      <c r="A585" s="450"/>
      <c r="B585" s="450"/>
      <c r="C585" s="449"/>
      <c r="E585" s="354"/>
    </row>
    <row r="586" spans="1:5" s="448" customFormat="1" ht="15.75" customHeight="1">
      <c r="A586" s="450"/>
      <c r="B586" s="450"/>
      <c r="C586" s="449"/>
      <c r="E586" s="354"/>
    </row>
    <row r="587" spans="1:5" s="448" customFormat="1" ht="15.75" customHeight="1">
      <c r="A587" s="450"/>
      <c r="B587" s="450"/>
      <c r="C587" s="449"/>
      <c r="E587" s="354"/>
    </row>
    <row r="588" spans="1:5" s="448" customFormat="1" ht="15.75" customHeight="1">
      <c r="A588" s="450"/>
      <c r="B588" s="450"/>
      <c r="C588" s="449"/>
      <c r="E588" s="354"/>
    </row>
    <row r="589" spans="1:5" s="448" customFormat="1" ht="15.75" customHeight="1">
      <c r="A589" s="450"/>
      <c r="B589" s="450"/>
      <c r="C589" s="449"/>
      <c r="E589" s="354"/>
    </row>
    <row r="590" spans="1:5" s="448" customFormat="1" ht="15.75" customHeight="1">
      <c r="A590" s="450"/>
      <c r="B590" s="450"/>
      <c r="C590" s="449"/>
      <c r="E590" s="354"/>
    </row>
    <row r="591" spans="1:5" s="448" customFormat="1" ht="15.75" customHeight="1">
      <c r="A591" s="450"/>
      <c r="B591" s="450"/>
      <c r="C591" s="449"/>
      <c r="E591" s="354"/>
    </row>
    <row r="592" spans="1:5" s="448" customFormat="1" ht="15.75" customHeight="1">
      <c r="A592" s="450"/>
      <c r="B592" s="450"/>
      <c r="C592" s="449"/>
      <c r="E592" s="354"/>
    </row>
    <row r="593" spans="1:5" s="448" customFormat="1" ht="15.75" customHeight="1">
      <c r="A593" s="450"/>
      <c r="B593" s="450"/>
      <c r="C593" s="449"/>
      <c r="E593" s="354"/>
    </row>
    <row r="594" spans="1:5" s="448" customFormat="1" ht="15.75" customHeight="1">
      <c r="A594" s="450"/>
      <c r="B594" s="450"/>
      <c r="C594" s="449"/>
      <c r="E594" s="354"/>
    </row>
    <row r="595" spans="1:5" s="448" customFormat="1" ht="15.75" customHeight="1">
      <c r="A595" s="450"/>
      <c r="B595" s="450"/>
      <c r="C595" s="449"/>
      <c r="E595" s="354"/>
    </row>
    <row r="596" spans="1:5" s="448" customFormat="1" ht="15.75" customHeight="1">
      <c r="A596" s="450"/>
      <c r="B596" s="450"/>
      <c r="C596" s="449"/>
      <c r="E596" s="354"/>
    </row>
    <row r="597" spans="1:5" s="448" customFormat="1" ht="15.75" customHeight="1">
      <c r="A597" s="450"/>
      <c r="B597" s="450"/>
      <c r="C597" s="449"/>
      <c r="E597" s="354"/>
    </row>
    <row r="598" spans="1:5" s="448" customFormat="1" ht="15.75" customHeight="1">
      <c r="A598" s="450"/>
      <c r="B598" s="450"/>
      <c r="C598" s="449"/>
      <c r="E598" s="354"/>
    </row>
    <row r="599" spans="1:5" s="448" customFormat="1" ht="15.75" customHeight="1">
      <c r="A599" s="450"/>
      <c r="B599" s="450"/>
      <c r="C599" s="449"/>
      <c r="E599" s="354"/>
    </row>
    <row r="600" spans="1:5" s="448" customFormat="1" ht="15.75" customHeight="1">
      <c r="A600" s="450"/>
      <c r="B600" s="450"/>
      <c r="C600" s="449"/>
      <c r="E600" s="354"/>
    </row>
    <row r="601" spans="1:5" s="448" customFormat="1" ht="15.75" customHeight="1">
      <c r="A601" s="450"/>
      <c r="B601" s="450"/>
      <c r="C601" s="449"/>
      <c r="E601" s="354"/>
    </row>
    <row r="602" spans="1:5" s="448" customFormat="1" ht="15.75" customHeight="1">
      <c r="A602" s="450"/>
      <c r="B602" s="450"/>
      <c r="C602" s="449"/>
      <c r="E602" s="354"/>
    </row>
    <row r="603" spans="1:5" s="448" customFormat="1" ht="15.75" customHeight="1">
      <c r="A603" s="450"/>
      <c r="B603" s="450"/>
      <c r="C603" s="449"/>
      <c r="E603" s="354"/>
    </row>
    <row r="604" spans="1:5" s="448" customFormat="1" ht="15.75" customHeight="1">
      <c r="A604" s="450"/>
      <c r="B604" s="450"/>
      <c r="C604" s="449"/>
      <c r="E604" s="354"/>
    </row>
    <row r="605" spans="1:5" s="448" customFormat="1" ht="15.75" customHeight="1">
      <c r="A605" s="450"/>
      <c r="B605" s="450"/>
      <c r="C605" s="449"/>
      <c r="E605" s="354"/>
    </row>
    <row r="606" spans="1:5" s="448" customFormat="1" ht="15.75" customHeight="1">
      <c r="A606" s="450"/>
      <c r="B606" s="450"/>
      <c r="C606" s="449"/>
      <c r="E606" s="354"/>
    </row>
    <row r="607" spans="1:5" s="448" customFormat="1" ht="15.75" customHeight="1">
      <c r="A607" s="450"/>
      <c r="B607" s="450"/>
      <c r="C607" s="449"/>
      <c r="E607" s="354"/>
    </row>
    <row r="608" spans="1:5" s="448" customFormat="1" ht="15.75" customHeight="1">
      <c r="A608" s="450"/>
      <c r="B608" s="450"/>
      <c r="C608" s="449"/>
      <c r="E608" s="354"/>
    </row>
    <row r="609" spans="1:5" s="448" customFormat="1" ht="15.75" customHeight="1">
      <c r="A609" s="450"/>
      <c r="B609" s="450"/>
      <c r="C609" s="449"/>
      <c r="E609" s="354"/>
    </row>
    <row r="610" spans="1:5" s="448" customFormat="1" ht="15.75" customHeight="1">
      <c r="A610" s="450"/>
      <c r="B610" s="450"/>
      <c r="C610" s="449"/>
      <c r="E610" s="354"/>
    </row>
    <row r="611" spans="1:5" s="448" customFormat="1" ht="15.75" customHeight="1">
      <c r="A611" s="450"/>
      <c r="B611" s="450"/>
      <c r="C611" s="449"/>
      <c r="E611" s="354"/>
    </row>
    <row r="612" spans="1:5" s="448" customFormat="1" ht="15.75" customHeight="1">
      <c r="A612" s="450"/>
      <c r="B612" s="450"/>
      <c r="C612" s="449"/>
      <c r="E612" s="354"/>
    </row>
    <row r="613" spans="1:5" s="448" customFormat="1" ht="15.75" customHeight="1">
      <c r="A613" s="450"/>
      <c r="B613" s="450"/>
      <c r="C613" s="449"/>
      <c r="E613" s="354"/>
    </row>
    <row r="614" spans="1:5" s="448" customFormat="1" ht="15.75" customHeight="1">
      <c r="A614" s="450"/>
      <c r="B614" s="450"/>
      <c r="C614" s="449"/>
      <c r="E614" s="354"/>
    </row>
    <row r="615" spans="1:5" s="448" customFormat="1" ht="15.75" customHeight="1">
      <c r="A615" s="450"/>
      <c r="B615" s="450"/>
      <c r="C615" s="449"/>
      <c r="E615" s="354"/>
    </row>
    <row r="616" spans="1:5" s="448" customFormat="1" ht="15.75" customHeight="1">
      <c r="A616" s="450"/>
      <c r="B616" s="450"/>
      <c r="C616" s="449"/>
      <c r="E616" s="354"/>
    </row>
    <row r="617" spans="1:5" s="448" customFormat="1" ht="15.75" customHeight="1">
      <c r="A617" s="450"/>
      <c r="B617" s="450"/>
      <c r="C617" s="449"/>
      <c r="E617" s="354"/>
    </row>
    <row r="618" spans="1:5" s="448" customFormat="1" ht="15.75" customHeight="1">
      <c r="A618" s="450"/>
      <c r="B618" s="450"/>
      <c r="C618" s="449"/>
      <c r="E618" s="354"/>
    </row>
    <row r="619" spans="1:5" s="448" customFormat="1" ht="15.75" customHeight="1">
      <c r="A619" s="450"/>
      <c r="B619" s="450"/>
      <c r="C619" s="449"/>
      <c r="E619" s="354"/>
    </row>
    <row r="620" spans="1:5" s="448" customFormat="1" ht="15.75" customHeight="1">
      <c r="A620" s="450"/>
      <c r="B620" s="450"/>
      <c r="C620" s="449"/>
      <c r="E620" s="354"/>
    </row>
    <row r="621" spans="1:5" s="448" customFormat="1" ht="15.75" customHeight="1">
      <c r="A621" s="450"/>
      <c r="B621" s="450"/>
      <c r="C621" s="449"/>
      <c r="E621" s="354"/>
    </row>
    <row r="622" spans="1:5" s="448" customFormat="1" ht="15.75" customHeight="1">
      <c r="A622" s="450"/>
      <c r="B622" s="450"/>
      <c r="C622" s="449"/>
      <c r="E622" s="354"/>
    </row>
    <row r="623" spans="1:5" s="448" customFormat="1" ht="15.75" customHeight="1">
      <c r="A623" s="450"/>
      <c r="B623" s="450"/>
      <c r="C623" s="449"/>
      <c r="E623" s="354"/>
    </row>
    <row r="624" spans="1:5" s="448" customFormat="1" ht="15.75" customHeight="1">
      <c r="A624" s="450"/>
      <c r="B624" s="450"/>
      <c r="C624" s="449"/>
      <c r="E624" s="354"/>
    </row>
    <row r="625" spans="1:5" s="448" customFormat="1" ht="15.75" customHeight="1">
      <c r="A625" s="450"/>
      <c r="B625" s="450"/>
      <c r="C625" s="449"/>
      <c r="E625" s="354"/>
    </row>
    <row r="626" spans="1:5" s="448" customFormat="1" ht="15.75" customHeight="1">
      <c r="A626" s="450"/>
      <c r="B626" s="450"/>
      <c r="C626" s="449"/>
      <c r="E626" s="354"/>
    </row>
    <row r="627" spans="1:5" s="448" customFormat="1" ht="15.75" customHeight="1">
      <c r="A627" s="450"/>
      <c r="B627" s="450"/>
      <c r="C627" s="449"/>
      <c r="E627" s="354"/>
    </row>
    <row r="628" spans="1:5" s="448" customFormat="1" ht="15.75" customHeight="1">
      <c r="A628" s="450"/>
      <c r="B628" s="450"/>
      <c r="C628" s="449"/>
      <c r="E628" s="354"/>
    </row>
    <row r="629" spans="1:5" s="448" customFormat="1" ht="15.75" customHeight="1">
      <c r="A629" s="450"/>
      <c r="B629" s="450"/>
      <c r="C629" s="449"/>
      <c r="E629" s="354"/>
    </row>
    <row r="630" spans="1:5" s="448" customFormat="1" ht="15.75" customHeight="1">
      <c r="A630" s="450"/>
      <c r="B630" s="450"/>
      <c r="C630" s="449"/>
      <c r="E630" s="354"/>
    </row>
    <row r="631" spans="1:5" s="448" customFormat="1" ht="15.75" customHeight="1">
      <c r="A631" s="450"/>
      <c r="B631" s="450"/>
      <c r="C631" s="449"/>
      <c r="E631" s="354"/>
    </row>
    <row r="632" spans="1:5" s="448" customFormat="1" ht="15.75" customHeight="1">
      <c r="A632" s="450"/>
      <c r="B632" s="450"/>
      <c r="C632" s="449"/>
      <c r="E632" s="354"/>
    </row>
    <row r="633" spans="1:5" s="448" customFormat="1" ht="15.75" customHeight="1">
      <c r="A633" s="450"/>
      <c r="B633" s="450"/>
      <c r="C633" s="449"/>
      <c r="E633" s="354"/>
    </row>
    <row r="634" spans="1:5" s="448" customFormat="1" ht="15.75" customHeight="1">
      <c r="A634" s="450"/>
      <c r="B634" s="450"/>
      <c r="C634" s="449"/>
      <c r="E634" s="354"/>
    </row>
    <row r="635" spans="1:5" s="448" customFormat="1" ht="15.75" customHeight="1">
      <c r="A635" s="450"/>
      <c r="B635" s="450"/>
      <c r="C635" s="449"/>
      <c r="E635" s="354"/>
    </row>
    <row r="636" spans="1:5" s="448" customFormat="1" ht="15.75" customHeight="1">
      <c r="A636" s="450"/>
      <c r="B636" s="450"/>
      <c r="C636" s="449"/>
      <c r="E636" s="354"/>
    </row>
    <row r="637" spans="1:5" s="448" customFormat="1" ht="15.75" customHeight="1">
      <c r="A637" s="450"/>
      <c r="B637" s="450"/>
      <c r="C637" s="449"/>
      <c r="E637" s="354"/>
    </row>
    <row r="638" spans="1:5" s="448" customFormat="1" ht="15.75" customHeight="1">
      <c r="A638" s="450"/>
      <c r="B638" s="450"/>
      <c r="C638" s="449"/>
      <c r="E638" s="354"/>
    </row>
    <row r="639" spans="1:5" s="448" customFormat="1" ht="15.75" customHeight="1">
      <c r="A639" s="450"/>
      <c r="B639" s="450"/>
      <c r="C639" s="449"/>
      <c r="E639" s="354"/>
    </row>
    <row r="640" spans="1:5" s="448" customFormat="1" ht="15.75" customHeight="1">
      <c r="A640" s="450"/>
      <c r="B640" s="450"/>
      <c r="C640" s="449"/>
      <c r="E640" s="354"/>
    </row>
    <row r="641" spans="1:5" s="448" customFormat="1" ht="15.75" customHeight="1">
      <c r="A641" s="450"/>
      <c r="B641" s="450"/>
      <c r="C641" s="449"/>
      <c r="E641" s="354"/>
    </row>
    <row r="642" spans="1:5" s="448" customFormat="1" ht="15.75" customHeight="1">
      <c r="A642" s="450"/>
      <c r="B642" s="450"/>
      <c r="C642" s="449"/>
      <c r="E642" s="354"/>
    </row>
    <row r="643" spans="1:5" s="448" customFormat="1" ht="15.75" customHeight="1">
      <c r="A643" s="450"/>
      <c r="B643" s="450"/>
      <c r="C643" s="449"/>
      <c r="E643" s="354"/>
    </row>
    <row r="644" spans="1:5" s="448" customFormat="1" ht="15.75" customHeight="1">
      <c r="A644" s="450"/>
      <c r="B644" s="450"/>
      <c r="C644" s="449"/>
      <c r="E644" s="354"/>
    </row>
    <row r="645" spans="1:5" s="448" customFormat="1" ht="15.75" customHeight="1">
      <c r="A645" s="450"/>
      <c r="B645" s="450"/>
      <c r="C645" s="449"/>
      <c r="E645" s="354"/>
    </row>
    <row r="646" spans="1:5" s="448" customFormat="1" ht="15.75" customHeight="1">
      <c r="A646" s="450"/>
      <c r="B646" s="450"/>
      <c r="C646" s="449"/>
      <c r="E646" s="354"/>
    </row>
    <row r="647" spans="1:5" s="448" customFormat="1" ht="15.75" customHeight="1">
      <c r="A647" s="450"/>
      <c r="B647" s="450"/>
      <c r="C647" s="449"/>
      <c r="E647" s="354"/>
    </row>
    <row r="648" spans="1:5" s="448" customFormat="1" ht="15.75" customHeight="1">
      <c r="A648" s="450"/>
      <c r="B648" s="450"/>
      <c r="C648" s="449"/>
      <c r="E648" s="354"/>
    </row>
    <row r="649" spans="1:5" s="448" customFormat="1" ht="15.75" customHeight="1">
      <c r="A649" s="450"/>
      <c r="B649" s="450"/>
      <c r="C649" s="449"/>
      <c r="E649" s="354"/>
    </row>
    <row r="650" spans="1:5" s="448" customFormat="1" ht="15.75" customHeight="1">
      <c r="A650" s="450"/>
      <c r="B650" s="450"/>
      <c r="C650" s="449"/>
      <c r="E650" s="354"/>
    </row>
    <row r="651" spans="1:5" s="448" customFormat="1" ht="15.75" customHeight="1">
      <c r="A651" s="450"/>
      <c r="B651" s="450"/>
      <c r="C651" s="449"/>
      <c r="E651" s="354"/>
    </row>
    <row r="652" spans="1:5" s="448" customFormat="1" ht="15.75" customHeight="1">
      <c r="A652" s="450"/>
      <c r="B652" s="450"/>
      <c r="C652" s="449"/>
      <c r="E652" s="354"/>
    </row>
    <row r="653" spans="1:5" s="448" customFormat="1" ht="15.75" customHeight="1">
      <c r="A653" s="450"/>
      <c r="B653" s="450"/>
      <c r="C653" s="449"/>
      <c r="E653" s="354"/>
    </row>
    <row r="654" spans="1:5" s="448" customFormat="1" ht="15.75" customHeight="1">
      <c r="A654" s="450"/>
      <c r="B654" s="450"/>
      <c r="C654" s="449"/>
      <c r="E654" s="354"/>
    </row>
    <row r="655" spans="1:5" s="448" customFormat="1" ht="15.75" customHeight="1">
      <c r="A655" s="450"/>
      <c r="B655" s="450"/>
      <c r="C655" s="449"/>
      <c r="E655" s="354"/>
    </row>
    <row r="656" spans="1:5" s="448" customFormat="1" ht="15.75" customHeight="1">
      <c r="A656" s="450"/>
      <c r="B656" s="450"/>
      <c r="C656" s="449"/>
      <c r="E656" s="354"/>
    </row>
    <row r="657" spans="1:5" s="448" customFormat="1" ht="15.75" customHeight="1">
      <c r="A657" s="450"/>
      <c r="B657" s="450"/>
      <c r="C657" s="449"/>
      <c r="E657" s="354"/>
    </row>
    <row r="658" spans="1:5" s="448" customFormat="1" ht="15.75" customHeight="1">
      <c r="A658" s="450"/>
      <c r="B658" s="450"/>
      <c r="C658" s="449"/>
      <c r="E658" s="354"/>
    </row>
    <row r="659" spans="1:5" s="448" customFormat="1" ht="15.75" customHeight="1">
      <c r="A659" s="450"/>
      <c r="B659" s="450"/>
      <c r="C659" s="449"/>
      <c r="E659" s="354"/>
    </row>
    <row r="660" spans="1:5" s="448" customFormat="1" ht="15.75" customHeight="1">
      <c r="A660" s="450"/>
      <c r="B660" s="450"/>
      <c r="C660" s="449"/>
      <c r="E660" s="354"/>
    </row>
    <row r="661" spans="1:5" s="448" customFormat="1" ht="15.75" customHeight="1">
      <c r="A661" s="450"/>
      <c r="B661" s="450"/>
      <c r="C661" s="449"/>
      <c r="E661" s="354"/>
    </row>
    <row r="662" spans="1:5" s="448" customFormat="1" ht="15.75" customHeight="1">
      <c r="A662" s="450"/>
      <c r="B662" s="450"/>
      <c r="C662" s="449"/>
      <c r="E662" s="354"/>
    </row>
    <row r="663" spans="1:5" s="448" customFormat="1" ht="15.75" customHeight="1">
      <c r="A663" s="450"/>
      <c r="B663" s="450"/>
      <c r="C663" s="449"/>
      <c r="E663" s="354"/>
    </row>
    <row r="664" spans="1:5" s="448" customFormat="1" ht="15.75" customHeight="1">
      <c r="A664" s="450"/>
      <c r="B664" s="450"/>
      <c r="C664" s="449"/>
      <c r="E664" s="354"/>
    </row>
    <row r="665" spans="1:5" s="448" customFormat="1" ht="15.75" customHeight="1">
      <c r="A665" s="450"/>
      <c r="B665" s="450"/>
      <c r="C665" s="449"/>
      <c r="E665" s="354"/>
    </row>
    <row r="666" spans="1:5" s="448" customFormat="1" ht="15.75" customHeight="1">
      <c r="A666" s="450"/>
      <c r="B666" s="450"/>
      <c r="C666" s="449"/>
      <c r="E666" s="354"/>
    </row>
    <row r="667" spans="1:5" s="448" customFormat="1" ht="15.75" customHeight="1">
      <c r="A667" s="450"/>
      <c r="B667" s="450"/>
      <c r="C667" s="449"/>
      <c r="E667" s="354"/>
    </row>
    <row r="668" spans="1:5" s="448" customFormat="1" ht="15.75" customHeight="1">
      <c r="A668" s="450"/>
      <c r="B668" s="450"/>
      <c r="C668" s="449"/>
      <c r="E668" s="354"/>
    </row>
    <row r="669" spans="1:5" s="448" customFormat="1" ht="15.75" customHeight="1">
      <c r="A669" s="450"/>
      <c r="B669" s="450"/>
      <c r="C669" s="449"/>
      <c r="E669" s="354"/>
    </row>
    <row r="670" spans="1:5" s="448" customFormat="1" ht="15.75" customHeight="1">
      <c r="A670" s="450"/>
      <c r="B670" s="450"/>
      <c r="C670" s="449"/>
      <c r="E670" s="354"/>
    </row>
    <row r="671" spans="1:5" s="448" customFormat="1" ht="15.75" customHeight="1">
      <c r="A671" s="450"/>
      <c r="B671" s="450"/>
      <c r="C671" s="449"/>
      <c r="E671" s="354"/>
    </row>
    <row r="672" spans="1:5" s="448" customFormat="1" ht="15.75" customHeight="1">
      <c r="A672" s="450"/>
      <c r="B672" s="450"/>
      <c r="C672" s="449"/>
      <c r="E672" s="354"/>
    </row>
    <row r="673" spans="1:5" s="448" customFormat="1" ht="15.75" customHeight="1">
      <c r="A673" s="450"/>
      <c r="B673" s="450"/>
      <c r="C673" s="449"/>
      <c r="E673" s="354"/>
    </row>
    <row r="674" spans="1:5" s="448" customFormat="1" ht="15.75" customHeight="1">
      <c r="A674" s="450"/>
      <c r="B674" s="450"/>
      <c r="C674" s="449"/>
      <c r="E674" s="354"/>
    </row>
    <row r="675" spans="1:5" s="448" customFormat="1" ht="15.75" customHeight="1">
      <c r="A675" s="450"/>
      <c r="B675" s="450"/>
      <c r="C675" s="449"/>
      <c r="E675" s="354"/>
    </row>
    <row r="676" spans="1:5" s="448" customFormat="1" ht="15.75" customHeight="1">
      <c r="A676" s="450"/>
      <c r="B676" s="450"/>
      <c r="C676" s="449"/>
      <c r="E676" s="354"/>
    </row>
    <row r="677" spans="1:5" s="448" customFormat="1" ht="15.75" customHeight="1">
      <c r="A677" s="450"/>
      <c r="B677" s="450"/>
      <c r="C677" s="449"/>
      <c r="E677" s="354"/>
    </row>
    <row r="678" spans="1:5" s="448" customFormat="1" ht="15.75" customHeight="1">
      <c r="A678" s="450"/>
      <c r="B678" s="450"/>
      <c r="C678" s="449"/>
      <c r="E678" s="354"/>
    </row>
    <row r="679" spans="1:5" s="448" customFormat="1" ht="15.75" customHeight="1">
      <c r="A679" s="450"/>
      <c r="B679" s="450"/>
      <c r="C679" s="449"/>
      <c r="E679" s="354"/>
    </row>
    <row r="680" spans="1:5" s="448" customFormat="1" ht="15.75" customHeight="1">
      <c r="A680" s="450"/>
      <c r="B680" s="450"/>
      <c r="C680" s="449"/>
      <c r="E680" s="354"/>
    </row>
    <row r="681" spans="1:5" s="448" customFormat="1" ht="15.75" customHeight="1">
      <c r="A681" s="450"/>
      <c r="B681" s="450"/>
      <c r="C681" s="449"/>
      <c r="E681" s="354"/>
    </row>
    <row r="682" spans="1:5" s="448" customFormat="1" ht="15.75" customHeight="1">
      <c r="A682" s="450"/>
      <c r="B682" s="450"/>
      <c r="C682" s="449"/>
      <c r="E682" s="354"/>
    </row>
    <row r="683" spans="1:5" s="448" customFormat="1" ht="15.75" customHeight="1">
      <c r="A683" s="450"/>
      <c r="B683" s="450"/>
      <c r="C683" s="449"/>
      <c r="E683" s="354"/>
    </row>
    <row r="684" spans="1:5" s="448" customFormat="1" ht="15.75" customHeight="1">
      <c r="A684" s="450"/>
      <c r="B684" s="450"/>
      <c r="C684" s="449"/>
      <c r="E684" s="354"/>
    </row>
    <row r="685" spans="1:5" s="448" customFormat="1" ht="15.75" customHeight="1">
      <c r="A685" s="450"/>
      <c r="B685" s="450"/>
      <c r="C685" s="449"/>
      <c r="E685" s="354"/>
    </row>
    <row r="686" spans="1:5" s="448" customFormat="1" ht="15.75" customHeight="1">
      <c r="A686" s="450"/>
      <c r="B686" s="450"/>
      <c r="C686" s="449"/>
      <c r="E686" s="354"/>
    </row>
    <row r="687" spans="1:5" s="448" customFormat="1" ht="15.75" customHeight="1">
      <c r="A687" s="450"/>
      <c r="B687" s="450"/>
      <c r="C687" s="449"/>
      <c r="E687" s="354"/>
    </row>
    <row r="688" spans="1:5" s="448" customFormat="1" ht="15.75" customHeight="1">
      <c r="A688" s="450"/>
      <c r="B688" s="450"/>
      <c r="C688" s="449"/>
      <c r="E688" s="354"/>
    </row>
    <row r="689" spans="1:5" s="448" customFormat="1" ht="15.75" customHeight="1">
      <c r="A689" s="450"/>
      <c r="B689" s="450"/>
      <c r="C689" s="449"/>
      <c r="E689" s="354"/>
    </row>
    <row r="690" spans="1:5" s="448" customFormat="1" ht="15.75" customHeight="1">
      <c r="A690" s="450"/>
      <c r="B690" s="450"/>
      <c r="C690" s="449"/>
      <c r="E690" s="354"/>
    </row>
    <row r="691" spans="1:5" s="448" customFormat="1" ht="15.75" customHeight="1">
      <c r="A691" s="450"/>
      <c r="B691" s="450"/>
      <c r="C691" s="449"/>
      <c r="E691" s="354"/>
    </row>
    <row r="692" spans="1:5" s="448" customFormat="1" ht="15.75" customHeight="1">
      <c r="A692" s="450"/>
      <c r="B692" s="450"/>
      <c r="C692" s="449"/>
      <c r="E692" s="354"/>
    </row>
    <row r="693" spans="1:5" s="448" customFormat="1" ht="15.75" customHeight="1">
      <c r="A693" s="450"/>
      <c r="B693" s="450"/>
      <c r="C693" s="449"/>
      <c r="E693" s="354"/>
    </row>
    <row r="694" spans="1:5" s="448" customFormat="1" ht="15.75" customHeight="1">
      <c r="A694" s="450"/>
      <c r="B694" s="450"/>
      <c r="C694" s="449"/>
      <c r="E694" s="354"/>
    </row>
    <row r="695" spans="1:5" s="448" customFormat="1" ht="15.75" customHeight="1">
      <c r="A695" s="450"/>
      <c r="B695" s="450"/>
      <c r="C695" s="449"/>
      <c r="E695" s="354"/>
    </row>
    <row r="696" spans="1:5" s="448" customFormat="1" ht="15.75" customHeight="1">
      <c r="A696" s="450"/>
      <c r="B696" s="450"/>
      <c r="C696" s="449"/>
      <c r="E696" s="354"/>
    </row>
    <row r="697" spans="1:5" s="448" customFormat="1" ht="15.75" customHeight="1">
      <c r="A697" s="450"/>
      <c r="B697" s="450"/>
      <c r="C697" s="449"/>
      <c r="E697" s="354"/>
    </row>
    <row r="698" spans="1:5" s="448" customFormat="1" ht="15.75" customHeight="1">
      <c r="A698" s="450"/>
      <c r="B698" s="450"/>
      <c r="C698" s="449"/>
      <c r="E698" s="354"/>
    </row>
    <row r="699" spans="1:5" s="448" customFormat="1" ht="15.75" customHeight="1">
      <c r="A699" s="450"/>
      <c r="B699" s="450"/>
      <c r="C699" s="449"/>
      <c r="E699" s="354"/>
    </row>
    <row r="700" spans="1:5" s="448" customFormat="1" ht="15.75" customHeight="1">
      <c r="A700" s="450"/>
      <c r="B700" s="450"/>
      <c r="C700" s="449"/>
      <c r="E700" s="354"/>
    </row>
    <row r="701" spans="1:5" s="448" customFormat="1" ht="15.75" customHeight="1">
      <c r="A701" s="450"/>
      <c r="B701" s="450"/>
      <c r="C701" s="449"/>
      <c r="E701" s="354"/>
    </row>
    <row r="702" spans="1:5" s="448" customFormat="1" ht="15.75" customHeight="1">
      <c r="A702" s="450"/>
      <c r="B702" s="450"/>
      <c r="C702" s="449"/>
      <c r="E702" s="354"/>
    </row>
    <row r="703" spans="1:5" s="448" customFormat="1" ht="15.75" customHeight="1">
      <c r="A703" s="450"/>
      <c r="B703" s="450"/>
      <c r="C703" s="449"/>
      <c r="E703" s="354"/>
    </row>
    <row r="704" spans="1:5" s="448" customFormat="1" ht="15.75" customHeight="1">
      <c r="A704" s="450"/>
      <c r="B704" s="450"/>
      <c r="C704" s="449"/>
      <c r="E704" s="354"/>
    </row>
    <row r="705" spans="1:5" s="448" customFormat="1" ht="15.75" customHeight="1">
      <c r="A705" s="450"/>
      <c r="B705" s="450"/>
      <c r="C705" s="449"/>
      <c r="E705" s="354"/>
    </row>
    <row r="706" spans="1:5" s="448" customFormat="1" ht="15.75" customHeight="1">
      <c r="A706" s="450"/>
      <c r="B706" s="450"/>
      <c r="C706" s="449"/>
      <c r="E706" s="354"/>
    </row>
    <row r="707" spans="1:5" s="448" customFormat="1" ht="15.75" customHeight="1">
      <c r="A707" s="450"/>
      <c r="B707" s="450"/>
      <c r="C707" s="449"/>
      <c r="E707" s="354"/>
    </row>
    <row r="708" spans="1:5" s="448" customFormat="1" ht="15.75" customHeight="1">
      <c r="A708" s="450"/>
      <c r="B708" s="450"/>
      <c r="C708" s="449"/>
      <c r="E708" s="354"/>
    </row>
    <row r="709" spans="1:5" s="448" customFormat="1" ht="15.75" customHeight="1">
      <c r="A709" s="450"/>
      <c r="B709" s="450"/>
      <c r="C709" s="449"/>
      <c r="E709" s="354"/>
    </row>
    <row r="710" spans="1:5" s="448" customFormat="1" ht="15.75" customHeight="1">
      <c r="A710" s="450"/>
      <c r="B710" s="450"/>
      <c r="C710" s="449"/>
      <c r="E710" s="354"/>
    </row>
    <row r="711" spans="1:5" s="448" customFormat="1" ht="15.75" customHeight="1">
      <c r="A711" s="450"/>
      <c r="B711" s="450"/>
      <c r="C711" s="449"/>
      <c r="E711" s="354"/>
    </row>
    <row r="712" spans="1:5" s="448" customFormat="1" ht="15.75" customHeight="1">
      <c r="A712" s="450"/>
      <c r="B712" s="450"/>
      <c r="C712" s="449"/>
      <c r="E712" s="354"/>
    </row>
    <row r="713" spans="1:5" s="448" customFormat="1" ht="15.75" customHeight="1">
      <c r="A713" s="450"/>
      <c r="B713" s="450"/>
      <c r="C713" s="449"/>
      <c r="E713" s="354"/>
    </row>
    <row r="714" spans="1:5" s="448" customFormat="1" ht="15.75" customHeight="1">
      <c r="A714" s="450"/>
      <c r="B714" s="450"/>
      <c r="C714" s="449"/>
      <c r="E714" s="354"/>
    </row>
    <row r="715" spans="1:5" s="448" customFormat="1" ht="15.75" customHeight="1">
      <c r="A715" s="450"/>
      <c r="B715" s="450"/>
      <c r="C715" s="449"/>
      <c r="E715" s="354"/>
    </row>
    <row r="716" spans="1:5" s="448" customFormat="1" ht="15.75" customHeight="1">
      <c r="A716" s="450"/>
      <c r="B716" s="450"/>
      <c r="C716" s="449"/>
      <c r="E716" s="354"/>
    </row>
    <row r="717" spans="1:5" s="448" customFormat="1" ht="15.75" customHeight="1">
      <c r="A717" s="450"/>
      <c r="B717" s="450"/>
      <c r="C717" s="449"/>
      <c r="E717" s="354"/>
    </row>
    <row r="718" spans="1:5" s="448" customFormat="1" ht="15.75" customHeight="1">
      <c r="A718" s="450"/>
      <c r="B718" s="450"/>
      <c r="C718" s="449"/>
      <c r="E718" s="354"/>
    </row>
    <row r="719" spans="1:5" s="448" customFormat="1" ht="15.75" customHeight="1">
      <c r="A719" s="450"/>
      <c r="B719" s="450"/>
      <c r="C719" s="449"/>
      <c r="E719" s="354"/>
    </row>
    <row r="720" spans="1:5" s="448" customFormat="1" ht="15.75" customHeight="1">
      <c r="A720" s="450"/>
      <c r="B720" s="450"/>
      <c r="C720" s="449"/>
      <c r="E720" s="354"/>
    </row>
    <row r="721" spans="1:5" s="448" customFormat="1" ht="15.75" customHeight="1">
      <c r="A721" s="450"/>
      <c r="B721" s="450"/>
      <c r="C721" s="449"/>
      <c r="E721" s="354"/>
    </row>
    <row r="722" spans="1:5" s="448" customFormat="1" ht="15.75" customHeight="1">
      <c r="A722" s="450"/>
      <c r="B722" s="450"/>
      <c r="C722" s="449"/>
      <c r="E722" s="354"/>
    </row>
    <row r="723" spans="1:5" s="448" customFormat="1" ht="15.75" customHeight="1">
      <c r="A723" s="450"/>
      <c r="B723" s="450"/>
      <c r="C723" s="449"/>
      <c r="E723" s="354"/>
    </row>
    <row r="724" spans="1:5" s="448" customFormat="1" ht="15.75" customHeight="1">
      <c r="A724" s="450"/>
      <c r="B724" s="450"/>
      <c r="C724" s="449"/>
      <c r="E724" s="354"/>
    </row>
    <row r="725" spans="1:5" s="448" customFormat="1" ht="15.75" customHeight="1">
      <c r="A725" s="450"/>
      <c r="B725" s="450"/>
      <c r="C725" s="449"/>
      <c r="E725" s="354"/>
    </row>
    <row r="726" spans="1:5" s="448" customFormat="1" ht="15.75" customHeight="1">
      <c r="A726" s="450"/>
      <c r="B726" s="450"/>
      <c r="C726" s="449"/>
      <c r="E726" s="354"/>
    </row>
    <row r="727" spans="1:5" s="448" customFormat="1" ht="15.75" customHeight="1">
      <c r="A727" s="450"/>
      <c r="B727" s="450"/>
      <c r="C727" s="449"/>
      <c r="E727" s="354"/>
    </row>
    <row r="728" spans="1:5" s="448" customFormat="1" ht="15.75" customHeight="1">
      <c r="A728" s="450"/>
      <c r="B728" s="450"/>
      <c r="C728" s="449"/>
      <c r="E728" s="354"/>
    </row>
    <row r="729" spans="1:5" s="448" customFormat="1" ht="15.75" customHeight="1">
      <c r="A729" s="450"/>
      <c r="B729" s="450"/>
      <c r="C729" s="449"/>
      <c r="E729" s="354"/>
    </row>
    <row r="730" spans="1:5" s="448" customFormat="1" ht="15.75" customHeight="1">
      <c r="A730" s="450"/>
      <c r="B730" s="450"/>
      <c r="C730" s="449"/>
      <c r="E730" s="354"/>
    </row>
    <row r="731" spans="1:5" s="448" customFormat="1" ht="15.75" customHeight="1">
      <c r="A731" s="450"/>
      <c r="B731" s="450"/>
      <c r="C731" s="449"/>
      <c r="E731" s="354"/>
    </row>
    <row r="732" spans="1:5" s="448" customFormat="1" ht="15.75" customHeight="1">
      <c r="A732" s="450"/>
      <c r="B732" s="450"/>
      <c r="C732" s="449"/>
      <c r="E732" s="354"/>
    </row>
    <row r="733" spans="1:5" s="448" customFormat="1" ht="15.75" customHeight="1">
      <c r="A733" s="450"/>
      <c r="B733" s="450"/>
      <c r="C733" s="449"/>
      <c r="E733" s="354"/>
    </row>
    <row r="734" spans="1:5" s="448" customFormat="1" ht="15.75" customHeight="1">
      <c r="A734" s="450"/>
      <c r="B734" s="450"/>
      <c r="C734" s="449"/>
      <c r="E734" s="354"/>
    </row>
    <row r="735" spans="1:5" s="448" customFormat="1" ht="15.75" customHeight="1">
      <c r="A735" s="450"/>
      <c r="B735" s="450"/>
      <c r="C735" s="449"/>
      <c r="E735" s="354"/>
    </row>
    <row r="736" spans="1:5" s="448" customFormat="1" ht="15.75" customHeight="1">
      <c r="A736" s="450"/>
      <c r="B736" s="450"/>
      <c r="C736" s="449"/>
      <c r="E736" s="354"/>
    </row>
    <row r="737" spans="1:5" s="448" customFormat="1" ht="15.75" customHeight="1">
      <c r="A737" s="450"/>
      <c r="B737" s="450"/>
      <c r="C737" s="449"/>
      <c r="E737" s="354"/>
    </row>
    <row r="738" spans="1:5" s="448" customFormat="1" ht="15.75" customHeight="1">
      <c r="A738" s="450"/>
      <c r="B738" s="450"/>
      <c r="C738" s="449"/>
      <c r="E738" s="354"/>
    </row>
    <row r="739" spans="1:5" s="448" customFormat="1" ht="15.75" customHeight="1">
      <c r="A739" s="450"/>
      <c r="B739" s="450"/>
      <c r="C739" s="449"/>
      <c r="E739" s="354"/>
    </row>
    <row r="740" spans="1:5" s="448" customFormat="1" ht="15.75" customHeight="1">
      <c r="A740" s="450"/>
      <c r="B740" s="450"/>
      <c r="C740" s="449"/>
      <c r="E740" s="354"/>
    </row>
    <row r="741" spans="1:5" s="448" customFormat="1" ht="15.75" customHeight="1">
      <c r="A741" s="450"/>
      <c r="B741" s="450"/>
      <c r="C741" s="449"/>
      <c r="E741" s="354"/>
    </row>
    <row r="742" spans="1:5" s="448" customFormat="1" ht="15.75" customHeight="1">
      <c r="A742" s="450"/>
      <c r="B742" s="450"/>
      <c r="C742" s="449"/>
      <c r="E742" s="354"/>
    </row>
    <row r="743" spans="1:5" s="448" customFormat="1" ht="15.75" customHeight="1">
      <c r="A743" s="450"/>
      <c r="B743" s="450"/>
      <c r="C743" s="449"/>
      <c r="E743" s="354"/>
    </row>
    <row r="744" spans="1:5" s="448" customFormat="1" ht="15.75" customHeight="1">
      <c r="A744" s="450"/>
      <c r="B744" s="450"/>
      <c r="C744" s="449"/>
      <c r="E744" s="354"/>
    </row>
    <row r="745" spans="1:5" s="448" customFormat="1" ht="15.75" customHeight="1">
      <c r="A745" s="450"/>
      <c r="B745" s="450"/>
      <c r="C745" s="449"/>
      <c r="E745" s="354"/>
    </row>
    <row r="746" spans="1:5" s="448" customFormat="1" ht="15.75" customHeight="1">
      <c r="A746" s="450"/>
      <c r="B746" s="450"/>
      <c r="C746" s="449"/>
      <c r="E746" s="354"/>
    </row>
    <row r="747" spans="1:5" s="448" customFormat="1" ht="15.75" customHeight="1">
      <c r="A747" s="450"/>
      <c r="B747" s="450"/>
      <c r="C747" s="449"/>
      <c r="E747" s="354"/>
    </row>
    <row r="748" spans="1:5" s="448" customFormat="1" ht="15.75" customHeight="1">
      <c r="A748" s="450"/>
      <c r="B748" s="450"/>
      <c r="C748" s="449"/>
      <c r="E748" s="354"/>
    </row>
    <row r="749" spans="1:5" s="448" customFormat="1" ht="15.75" customHeight="1">
      <c r="A749" s="450"/>
      <c r="B749" s="450"/>
      <c r="C749" s="449"/>
      <c r="E749" s="354"/>
    </row>
    <row r="750" spans="1:5" s="448" customFormat="1" ht="15.75" customHeight="1">
      <c r="A750" s="450"/>
      <c r="B750" s="450"/>
      <c r="C750" s="449"/>
      <c r="E750" s="354"/>
    </row>
    <row r="751" spans="1:5" s="448" customFormat="1" ht="15.75" customHeight="1">
      <c r="A751" s="450"/>
      <c r="B751" s="450"/>
      <c r="C751" s="449"/>
      <c r="E751" s="354"/>
    </row>
    <row r="752" spans="1:5" s="448" customFormat="1" ht="15.75" customHeight="1">
      <c r="A752" s="450"/>
      <c r="B752" s="450"/>
      <c r="C752" s="449"/>
      <c r="E752" s="354"/>
    </row>
    <row r="753" spans="1:5" s="448" customFormat="1" ht="15.75" customHeight="1">
      <c r="A753" s="450"/>
      <c r="B753" s="450"/>
      <c r="C753" s="449"/>
      <c r="E753" s="354"/>
    </row>
    <row r="754" spans="1:5" s="448" customFormat="1" ht="15.75" customHeight="1">
      <c r="A754" s="450"/>
      <c r="B754" s="450"/>
      <c r="C754" s="449"/>
      <c r="E754" s="354"/>
    </row>
    <row r="755" spans="1:5" s="448" customFormat="1" ht="15.75" customHeight="1">
      <c r="A755" s="450"/>
      <c r="B755" s="450"/>
      <c r="C755" s="449"/>
      <c r="E755" s="354"/>
    </row>
    <row r="756" spans="1:5" s="448" customFormat="1" ht="15.75" customHeight="1">
      <c r="A756" s="450"/>
      <c r="B756" s="450"/>
      <c r="C756" s="449"/>
      <c r="E756" s="354"/>
    </row>
    <row r="757" spans="1:5" s="448" customFormat="1" ht="15.75" customHeight="1">
      <c r="A757" s="450"/>
      <c r="B757" s="450"/>
      <c r="C757" s="449"/>
      <c r="E757" s="354"/>
    </row>
    <row r="758" spans="1:5" s="448" customFormat="1" ht="15.75" customHeight="1">
      <c r="A758" s="450"/>
      <c r="B758" s="450"/>
      <c r="C758" s="449"/>
      <c r="E758" s="354"/>
    </row>
    <row r="759" spans="1:5" s="448" customFormat="1" ht="15.75" customHeight="1">
      <c r="A759" s="450"/>
      <c r="B759" s="450"/>
      <c r="C759" s="449"/>
      <c r="E759" s="354"/>
    </row>
    <row r="760" spans="1:5" s="448" customFormat="1" ht="15.75" customHeight="1">
      <c r="A760" s="450"/>
      <c r="B760" s="450"/>
      <c r="C760" s="449"/>
      <c r="E760" s="354"/>
    </row>
    <row r="761" spans="1:5" s="448" customFormat="1" ht="15.75" customHeight="1">
      <c r="A761" s="450"/>
      <c r="B761" s="450"/>
      <c r="C761" s="449"/>
      <c r="E761" s="354"/>
    </row>
    <row r="762" spans="1:5" s="448" customFormat="1" ht="15.75" customHeight="1">
      <c r="A762" s="450"/>
      <c r="B762" s="450"/>
      <c r="C762" s="449"/>
      <c r="E762" s="354"/>
    </row>
    <row r="763" spans="1:5" s="448" customFormat="1" ht="15.75" customHeight="1">
      <c r="A763" s="450"/>
      <c r="B763" s="450"/>
      <c r="C763" s="449"/>
      <c r="E763" s="354"/>
    </row>
    <row r="764" spans="1:5" s="448" customFormat="1" ht="15.75" customHeight="1">
      <c r="A764" s="450"/>
      <c r="B764" s="450"/>
      <c r="C764" s="449"/>
      <c r="E764" s="354"/>
    </row>
    <row r="765" spans="1:5" s="448" customFormat="1" ht="15.75" customHeight="1">
      <c r="A765" s="450"/>
      <c r="B765" s="450"/>
      <c r="C765" s="449"/>
      <c r="E765" s="354"/>
    </row>
    <row r="766" spans="1:5" s="448" customFormat="1" ht="15.75" customHeight="1">
      <c r="A766" s="450"/>
      <c r="B766" s="450"/>
      <c r="C766" s="449"/>
      <c r="E766" s="354"/>
    </row>
    <row r="767" spans="1:5" s="448" customFormat="1" ht="15.75" customHeight="1">
      <c r="A767" s="450"/>
      <c r="B767" s="450"/>
      <c r="C767" s="449"/>
      <c r="E767" s="354"/>
    </row>
    <row r="768" spans="1:5" s="448" customFormat="1" ht="15.75" customHeight="1">
      <c r="A768" s="450"/>
      <c r="B768" s="450"/>
      <c r="C768" s="449"/>
      <c r="E768" s="354"/>
    </row>
    <row r="769" spans="1:5" s="448" customFormat="1" ht="15.75" customHeight="1">
      <c r="A769" s="450"/>
      <c r="B769" s="450"/>
      <c r="C769" s="449"/>
      <c r="E769" s="354"/>
    </row>
    <row r="770" spans="1:5" s="448" customFormat="1" ht="15.75" customHeight="1">
      <c r="A770" s="450"/>
      <c r="B770" s="450"/>
      <c r="C770" s="449"/>
      <c r="E770" s="354"/>
    </row>
    <row r="771" spans="1:5" s="448" customFormat="1" ht="15.75" customHeight="1">
      <c r="A771" s="450"/>
      <c r="B771" s="450"/>
      <c r="C771" s="449"/>
      <c r="E771" s="354"/>
    </row>
    <row r="772" spans="1:5" s="448" customFormat="1" ht="15.75" customHeight="1">
      <c r="A772" s="450"/>
      <c r="B772" s="450"/>
      <c r="C772" s="449"/>
      <c r="E772" s="354"/>
    </row>
    <row r="773" spans="1:5" s="448" customFormat="1" ht="15.75" customHeight="1">
      <c r="A773" s="450"/>
      <c r="B773" s="450"/>
      <c r="C773" s="449"/>
      <c r="E773" s="354"/>
    </row>
    <row r="774" spans="1:5" s="448" customFormat="1" ht="15.75" customHeight="1">
      <c r="A774" s="450"/>
      <c r="B774" s="450"/>
      <c r="C774" s="449"/>
      <c r="E774" s="354"/>
    </row>
    <row r="775" spans="1:5" s="448" customFormat="1" ht="15.75" customHeight="1">
      <c r="A775" s="450"/>
      <c r="B775" s="450"/>
      <c r="C775" s="449"/>
      <c r="E775" s="354"/>
    </row>
    <row r="776" spans="1:5" s="448" customFormat="1" ht="15.75" customHeight="1">
      <c r="A776" s="450"/>
      <c r="B776" s="450"/>
      <c r="C776" s="449"/>
      <c r="E776" s="354"/>
    </row>
    <row r="777" spans="1:5" s="448" customFormat="1" ht="15.75" customHeight="1">
      <c r="A777" s="450"/>
      <c r="B777" s="450"/>
      <c r="C777" s="449"/>
      <c r="E777" s="354"/>
    </row>
    <row r="778" spans="1:5" s="448" customFormat="1" ht="15.75" customHeight="1">
      <c r="A778" s="450"/>
      <c r="B778" s="450"/>
      <c r="C778" s="449"/>
      <c r="E778" s="354"/>
    </row>
    <row r="779" spans="1:5" s="448" customFormat="1" ht="15.75" customHeight="1">
      <c r="A779" s="450"/>
      <c r="B779" s="450"/>
      <c r="C779" s="449"/>
      <c r="E779" s="354"/>
    </row>
    <row r="780" spans="1:5" s="448" customFormat="1" ht="15.75" customHeight="1">
      <c r="A780" s="450"/>
      <c r="B780" s="450"/>
      <c r="C780" s="449"/>
      <c r="E780" s="354"/>
    </row>
    <row r="781" spans="1:5" s="448" customFormat="1" ht="15.75" customHeight="1">
      <c r="A781" s="450"/>
      <c r="B781" s="450"/>
      <c r="C781" s="449"/>
      <c r="E781" s="354"/>
    </row>
    <row r="782" spans="1:5" s="448" customFormat="1" ht="15.75" customHeight="1">
      <c r="A782" s="450"/>
      <c r="B782" s="450"/>
      <c r="C782" s="449"/>
      <c r="E782" s="354"/>
    </row>
    <row r="783" spans="1:5" s="448" customFormat="1" ht="15.75" customHeight="1">
      <c r="A783" s="450"/>
      <c r="B783" s="450"/>
      <c r="C783" s="449"/>
      <c r="E783" s="354"/>
    </row>
    <row r="784" spans="1:5" s="448" customFormat="1" ht="15.75" customHeight="1">
      <c r="A784" s="450"/>
      <c r="B784" s="450"/>
      <c r="C784" s="449"/>
      <c r="E784" s="354"/>
    </row>
    <row r="785" spans="1:5" s="448" customFormat="1" ht="15.75" customHeight="1">
      <c r="A785" s="450"/>
      <c r="B785" s="450"/>
      <c r="C785" s="449"/>
      <c r="E785" s="354"/>
    </row>
    <row r="786" spans="1:5" s="448" customFormat="1" ht="15.75" customHeight="1">
      <c r="A786" s="450"/>
      <c r="B786" s="450"/>
      <c r="C786" s="449"/>
      <c r="E786" s="354"/>
    </row>
    <row r="787" spans="1:5" s="448" customFormat="1" ht="15.75" customHeight="1">
      <c r="A787" s="450"/>
      <c r="B787" s="450"/>
      <c r="C787" s="449"/>
      <c r="E787" s="354"/>
    </row>
    <row r="788" spans="1:5" s="448" customFormat="1" ht="15.75" customHeight="1">
      <c r="A788" s="450"/>
      <c r="B788" s="450"/>
      <c r="C788" s="449"/>
      <c r="E788" s="354"/>
    </row>
    <row r="789" spans="1:5" s="448" customFormat="1" ht="15.75" customHeight="1">
      <c r="A789" s="450"/>
      <c r="B789" s="450"/>
      <c r="C789" s="449"/>
      <c r="E789" s="354"/>
    </row>
    <row r="790" spans="1:5" s="448" customFormat="1" ht="15.75" customHeight="1">
      <c r="A790" s="450"/>
      <c r="B790" s="450"/>
      <c r="C790" s="449"/>
      <c r="E790" s="354"/>
    </row>
    <row r="791" spans="1:5" s="448" customFormat="1" ht="15.75" customHeight="1">
      <c r="A791" s="450"/>
      <c r="B791" s="450"/>
      <c r="C791" s="449"/>
      <c r="E791" s="354"/>
    </row>
    <row r="792" spans="1:5" s="448" customFormat="1" ht="15.75" customHeight="1">
      <c r="A792" s="450"/>
      <c r="B792" s="450"/>
      <c r="C792" s="449"/>
      <c r="E792" s="354"/>
    </row>
    <row r="793" spans="1:5" s="448" customFormat="1" ht="15.75" customHeight="1">
      <c r="A793" s="450"/>
      <c r="B793" s="450"/>
      <c r="C793" s="449"/>
      <c r="E793" s="354"/>
    </row>
    <row r="794" spans="1:5" s="448" customFormat="1" ht="15.75" customHeight="1">
      <c r="A794" s="450"/>
      <c r="B794" s="450"/>
      <c r="C794" s="449"/>
      <c r="E794" s="354"/>
    </row>
    <row r="795" spans="1:5" s="448" customFormat="1" ht="15.75" customHeight="1">
      <c r="A795" s="450"/>
      <c r="B795" s="450"/>
      <c r="C795" s="449"/>
      <c r="E795" s="354"/>
    </row>
    <row r="796" spans="1:5" s="448" customFormat="1" ht="15.75" customHeight="1">
      <c r="A796" s="450"/>
      <c r="B796" s="450"/>
      <c r="C796" s="449"/>
      <c r="E796" s="354"/>
    </row>
    <row r="797" spans="1:5" s="448" customFormat="1" ht="15.75" customHeight="1">
      <c r="A797" s="450"/>
      <c r="B797" s="450"/>
      <c r="C797" s="449"/>
      <c r="E797" s="354"/>
    </row>
    <row r="798" spans="1:5" s="448" customFormat="1" ht="15.75" customHeight="1">
      <c r="A798" s="450"/>
      <c r="B798" s="450"/>
      <c r="C798" s="449"/>
      <c r="E798" s="354"/>
    </row>
    <row r="799" spans="1:5" s="448" customFormat="1" ht="15.75" customHeight="1">
      <c r="A799" s="450"/>
      <c r="B799" s="450"/>
      <c r="C799" s="449"/>
      <c r="E799" s="354"/>
    </row>
    <row r="800" spans="1:5" s="448" customFormat="1" ht="15.75" customHeight="1">
      <c r="A800" s="450"/>
      <c r="B800" s="450"/>
      <c r="C800" s="449"/>
      <c r="E800" s="354"/>
    </row>
    <row r="801" spans="1:5" s="448" customFormat="1" ht="15.75" customHeight="1">
      <c r="A801" s="450"/>
      <c r="B801" s="450"/>
      <c r="C801" s="449"/>
      <c r="E801" s="354"/>
    </row>
    <row r="802" spans="1:5" s="448" customFormat="1" ht="15.75" customHeight="1">
      <c r="A802" s="450"/>
      <c r="B802" s="450"/>
      <c r="C802" s="449"/>
      <c r="E802" s="354"/>
    </row>
    <row r="803" spans="1:5" s="448" customFormat="1" ht="15.75" customHeight="1">
      <c r="A803" s="450"/>
      <c r="B803" s="450"/>
      <c r="C803" s="449"/>
      <c r="E803" s="354"/>
    </row>
    <row r="804" spans="1:5" s="448" customFormat="1" ht="15.75" customHeight="1">
      <c r="A804" s="450"/>
      <c r="B804" s="450"/>
      <c r="C804" s="449"/>
      <c r="E804" s="354"/>
    </row>
    <row r="805" spans="1:5" s="448" customFormat="1" ht="15.75" customHeight="1">
      <c r="A805" s="450"/>
      <c r="B805" s="450"/>
      <c r="C805" s="449"/>
      <c r="E805" s="354"/>
    </row>
    <row r="806" spans="1:5" s="448" customFormat="1" ht="15.75" customHeight="1">
      <c r="A806" s="450"/>
      <c r="B806" s="450"/>
      <c r="C806" s="449"/>
      <c r="E806" s="354"/>
    </row>
    <row r="807" spans="1:5" s="448" customFormat="1" ht="15.75" customHeight="1">
      <c r="A807" s="450"/>
      <c r="B807" s="450"/>
      <c r="C807" s="449"/>
      <c r="E807" s="354"/>
    </row>
    <row r="808" spans="1:5" s="448" customFormat="1" ht="15.75" customHeight="1">
      <c r="A808" s="450"/>
      <c r="B808" s="450"/>
      <c r="C808" s="449"/>
      <c r="E808" s="354"/>
    </row>
    <row r="809" spans="1:5" s="448" customFormat="1" ht="15.75" customHeight="1">
      <c r="A809" s="450"/>
      <c r="B809" s="450"/>
      <c r="C809" s="449"/>
      <c r="E809" s="354"/>
    </row>
    <row r="810" spans="1:5" s="448" customFormat="1" ht="15.75" customHeight="1">
      <c r="A810" s="450"/>
      <c r="B810" s="450"/>
      <c r="C810" s="449"/>
      <c r="E810" s="354"/>
    </row>
    <row r="811" spans="1:5" s="448" customFormat="1" ht="15.75" customHeight="1">
      <c r="A811" s="450"/>
      <c r="B811" s="450"/>
      <c r="C811" s="449"/>
      <c r="E811" s="354"/>
    </row>
    <row r="812" spans="1:5" s="448" customFormat="1" ht="15.75" customHeight="1">
      <c r="A812" s="450"/>
      <c r="B812" s="450"/>
      <c r="C812" s="449"/>
      <c r="E812" s="354"/>
    </row>
    <row r="813" spans="1:5" s="448" customFormat="1" ht="15.75" customHeight="1">
      <c r="A813" s="450"/>
      <c r="B813" s="450"/>
      <c r="C813" s="449"/>
      <c r="E813" s="354"/>
    </row>
    <row r="814" spans="1:5" s="448" customFormat="1" ht="15.75" customHeight="1">
      <c r="A814" s="450"/>
      <c r="B814" s="450"/>
      <c r="C814" s="449"/>
      <c r="E814" s="354"/>
    </row>
    <row r="815" spans="1:5" s="448" customFormat="1" ht="15.75" customHeight="1">
      <c r="A815" s="450"/>
      <c r="B815" s="450"/>
      <c r="C815" s="449"/>
      <c r="E815" s="354"/>
    </row>
    <row r="816" spans="1:5" s="448" customFormat="1" ht="15.75" customHeight="1">
      <c r="A816" s="450"/>
      <c r="B816" s="450"/>
      <c r="C816" s="449"/>
      <c r="E816" s="354"/>
    </row>
    <row r="817" spans="1:5" s="448" customFormat="1" ht="15.75" customHeight="1">
      <c r="A817" s="450"/>
      <c r="B817" s="450"/>
      <c r="C817" s="449"/>
      <c r="E817" s="354"/>
    </row>
    <row r="818" spans="1:5" s="448" customFormat="1" ht="15.75" customHeight="1">
      <c r="A818" s="450"/>
      <c r="B818" s="450"/>
      <c r="C818" s="449"/>
      <c r="E818" s="354"/>
    </row>
    <row r="819" spans="1:5" s="448" customFormat="1" ht="15.75" customHeight="1">
      <c r="A819" s="450"/>
      <c r="B819" s="450"/>
      <c r="C819" s="449"/>
      <c r="E819" s="354"/>
    </row>
    <row r="820" spans="1:5" s="448" customFormat="1" ht="15.75" customHeight="1">
      <c r="A820" s="450"/>
      <c r="B820" s="450"/>
      <c r="C820" s="449"/>
      <c r="E820" s="354"/>
    </row>
    <row r="821" spans="1:5" s="448" customFormat="1" ht="15.75" customHeight="1">
      <c r="A821" s="450"/>
      <c r="B821" s="450"/>
      <c r="C821" s="449"/>
      <c r="E821" s="354"/>
    </row>
    <row r="822" spans="1:5" s="448" customFormat="1" ht="15.75" customHeight="1">
      <c r="A822" s="450"/>
      <c r="B822" s="450"/>
      <c r="C822" s="449"/>
      <c r="E822" s="354"/>
    </row>
    <row r="823" spans="1:5" s="448" customFormat="1" ht="15.75" customHeight="1">
      <c r="A823" s="450"/>
      <c r="B823" s="450"/>
      <c r="C823" s="449"/>
      <c r="E823" s="354"/>
    </row>
    <row r="824" spans="1:5" s="448" customFormat="1" ht="15.75" customHeight="1">
      <c r="A824" s="450"/>
      <c r="B824" s="450"/>
      <c r="C824" s="449"/>
      <c r="E824" s="354"/>
    </row>
    <row r="825" spans="1:5" s="448" customFormat="1" ht="15.75" customHeight="1">
      <c r="A825" s="450"/>
      <c r="B825" s="450"/>
      <c r="C825" s="449"/>
      <c r="E825" s="354"/>
    </row>
    <row r="826" spans="1:5" s="448" customFormat="1" ht="15.75" customHeight="1">
      <c r="A826" s="450"/>
      <c r="B826" s="450"/>
      <c r="C826" s="449"/>
      <c r="E826" s="354"/>
    </row>
    <row r="827" spans="1:5" s="448" customFormat="1" ht="15.75" customHeight="1">
      <c r="A827" s="450"/>
      <c r="B827" s="450"/>
      <c r="C827" s="449"/>
      <c r="E827" s="354"/>
    </row>
    <row r="828" spans="1:5" s="448" customFormat="1" ht="15.75" customHeight="1">
      <c r="A828" s="450"/>
      <c r="B828" s="450"/>
      <c r="C828" s="449"/>
      <c r="E828" s="354"/>
    </row>
    <row r="829" spans="1:5" s="448" customFormat="1" ht="15.75" customHeight="1">
      <c r="A829" s="450"/>
      <c r="B829" s="450"/>
      <c r="C829" s="449"/>
      <c r="E829" s="354"/>
    </row>
    <row r="830" spans="1:5" s="448" customFormat="1" ht="15.75" customHeight="1">
      <c r="A830" s="450"/>
      <c r="B830" s="450"/>
      <c r="C830" s="449"/>
      <c r="E830" s="354"/>
    </row>
    <row r="831" spans="1:5" s="448" customFormat="1" ht="15.75" customHeight="1">
      <c r="A831" s="450"/>
      <c r="B831" s="450"/>
      <c r="C831" s="449"/>
      <c r="E831" s="354"/>
    </row>
    <row r="832" spans="1:5" s="448" customFormat="1" ht="15.75" customHeight="1">
      <c r="A832" s="450"/>
      <c r="B832" s="450"/>
      <c r="C832" s="449"/>
      <c r="E832" s="354"/>
    </row>
    <row r="833" spans="1:5" s="448" customFormat="1" ht="15.75" customHeight="1">
      <c r="A833" s="450"/>
      <c r="B833" s="450"/>
      <c r="C833" s="449"/>
      <c r="E833" s="354"/>
    </row>
    <row r="834" spans="1:5" s="448" customFormat="1" ht="15.75" customHeight="1">
      <c r="A834" s="450"/>
      <c r="B834" s="450"/>
      <c r="C834" s="449"/>
      <c r="E834" s="354"/>
    </row>
    <row r="835" spans="1:5" s="448" customFormat="1" ht="15.75" customHeight="1">
      <c r="A835" s="450"/>
      <c r="B835" s="450"/>
      <c r="C835" s="449"/>
      <c r="E835" s="354"/>
    </row>
    <row r="836" spans="1:5" s="448" customFormat="1" ht="15.75" customHeight="1">
      <c r="A836" s="450"/>
      <c r="B836" s="450"/>
      <c r="C836" s="449"/>
      <c r="E836" s="354"/>
    </row>
    <row r="837" spans="1:5" s="448" customFormat="1" ht="15.75" customHeight="1">
      <c r="A837" s="450"/>
      <c r="B837" s="450"/>
      <c r="C837" s="449"/>
      <c r="E837" s="354"/>
    </row>
    <row r="838" spans="1:5" s="448" customFormat="1" ht="15.75" customHeight="1">
      <c r="A838" s="450"/>
      <c r="B838" s="450"/>
      <c r="C838" s="449"/>
      <c r="E838" s="354"/>
    </row>
    <row r="839" spans="1:5" s="448" customFormat="1" ht="15.75" customHeight="1">
      <c r="A839" s="450"/>
      <c r="B839" s="450"/>
      <c r="C839" s="449"/>
      <c r="E839" s="354"/>
    </row>
    <row r="840" spans="1:5" s="448" customFormat="1" ht="15.75" customHeight="1">
      <c r="A840" s="450"/>
      <c r="B840" s="450"/>
      <c r="C840" s="449"/>
      <c r="E840" s="354"/>
    </row>
    <row r="841" spans="1:5" s="448" customFormat="1" ht="15.75" customHeight="1">
      <c r="A841" s="450"/>
      <c r="B841" s="450"/>
      <c r="C841" s="449"/>
      <c r="E841" s="354"/>
    </row>
    <row r="842" spans="1:5" s="448" customFormat="1" ht="15.75" customHeight="1">
      <c r="A842" s="450"/>
      <c r="B842" s="450"/>
      <c r="C842" s="449"/>
      <c r="E842" s="354"/>
    </row>
    <row r="843" spans="1:5" s="448" customFormat="1" ht="15.75" customHeight="1">
      <c r="A843" s="450"/>
      <c r="B843" s="450"/>
      <c r="C843" s="449"/>
      <c r="E843" s="354"/>
    </row>
    <row r="844" spans="1:5" s="448" customFormat="1" ht="15.75" customHeight="1">
      <c r="A844" s="450"/>
      <c r="B844" s="450"/>
      <c r="C844" s="449"/>
      <c r="E844" s="354"/>
    </row>
    <row r="845" spans="1:5" s="448" customFormat="1" ht="15.75" customHeight="1">
      <c r="A845" s="450"/>
      <c r="B845" s="450"/>
      <c r="C845" s="449"/>
      <c r="E845" s="354"/>
    </row>
    <row r="846" spans="1:5" s="448" customFormat="1" ht="15.75" customHeight="1">
      <c r="A846" s="450"/>
      <c r="B846" s="450"/>
      <c r="C846" s="449"/>
      <c r="E846" s="354"/>
    </row>
    <row r="847" spans="1:5" s="448" customFormat="1" ht="15.75" customHeight="1">
      <c r="A847" s="450"/>
      <c r="B847" s="450"/>
      <c r="C847" s="449"/>
      <c r="E847" s="354"/>
    </row>
    <row r="848" spans="1:5" s="448" customFormat="1" ht="15.75" customHeight="1">
      <c r="A848" s="450"/>
      <c r="B848" s="450"/>
      <c r="C848" s="449"/>
      <c r="E848" s="354"/>
    </row>
    <row r="849" spans="1:5" s="448" customFormat="1" ht="15.75" customHeight="1">
      <c r="A849" s="450"/>
      <c r="B849" s="450"/>
      <c r="C849" s="449"/>
      <c r="E849" s="354"/>
    </row>
    <row r="850" spans="1:5" s="448" customFormat="1" ht="15.75" customHeight="1">
      <c r="A850" s="450"/>
      <c r="B850" s="450"/>
      <c r="C850" s="449"/>
      <c r="E850" s="354"/>
    </row>
    <row r="851" spans="1:5" s="448" customFormat="1" ht="15.75" customHeight="1">
      <c r="A851" s="450"/>
      <c r="B851" s="450"/>
      <c r="C851" s="449"/>
      <c r="E851" s="354"/>
    </row>
    <row r="852" spans="1:5" s="448" customFormat="1" ht="15.75" customHeight="1">
      <c r="A852" s="450"/>
      <c r="B852" s="450"/>
      <c r="C852" s="449"/>
      <c r="E852" s="354"/>
    </row>
    <row r="853" spans="1:5" s="448" customFormat="1" ht="15.75" customHeight="1">
      <c r="A853" s="450"/>
      <c r="B853" s="450"/>
      <c r="C853" s="449"/>
      <c r="E853" s="354"/>
    </row>
    <row r="854" spans="1:5" s="448" customFormat="1" ht="15.75" customHeight="1">
      <c r="A854" s="450"/>
      <c r="B854" s="450"/>
      <c r="C854" s="449"/>
      <c r="E854" s="354"/>
    </row>
    <row r="855" spans="1:5" s="448" customFormat="1" ht="15.75" customHeight="1">
      <c r="A855" s="450"/>
      <c r="B855" s="450"/>
      <c r="C855" s="449"/>
      <c r="E855" s="354"/>
    </row>
    <row r="856" spans="1:5" s="448" customFormat="1" ht="15.75" customHeight="1">
      <c r="A856" s="450"/>
      <c r="B856" s="450"/>
      <c r="C856" s="449"/>
      <c r="E856" s="354"/>
    </row>
    <row r="857" spans="1:5" s="448" customFormat="1" ht="15.75" customHeight="1">
      <c r="A857" s="450"/>
      <c r="B857" s="450"/>
      <c r="C857" s="449"/>
      <c r="E857" s="354"/>
    </row>
    <row r="858" spans="1:5" s="448" customFormat="1" ht="15.75" customHeight="1">
      <c r="A858" s="450"/>
      <c r="B858" s="450"/>
      <c r="C858" s="449"/>
      <c r="E858" s="354"/>
    </row>
    <row r="859" spans="1:5" s="448" customFormat="1" ht="15.75" customHeight="1">
      <c r="A859" s="450"/>
      <c r="B859" s="450"/>
      <c r="C859" s="449"/>
      <c r="E859" s="354"/>
    </row>
    <row r="860" spans="1:5" s="448" customFormat="1" ht="15.75" customHeight="1">
      <c r="A860" s="450"/>
      <c r="B860" s="450"/>
      <c r="C860" s="449"/>
      <c r="E860" s="354"/>
    </row>
    <row r="861" spans="1:5" s="448" customFormat="1" ht="15.75" customHeight="1">
      <c r="A861" s="450"/>
      <c r="B861" s="450"/>
      <c r="C861" s="449"/>
      <c r="E861" s="354"/>
    </row>
    <row r="862" spans="1:5" s="448" customFormat="1" ht="15.75" customHeight="1">
      <c r="A862" s="450"/>
      <c r="B862" s="450"/>
      <c r="C862" s="449"/>
      <c r="E862" s="354"/>
    </row>
    <row r="863" spans="1:5" s="448" customFormat="1" ht="15.75" customHeight="1">
      <c r="A863" s="450"/>
      <c r="B863" s="450"/>
      <c r="C863" s="449"/>
      <c r="E863" s="354"/>
    </row>
    <row r="864" spans="1:5" s="448" customFormat="1" ht="15.75" customHeight="1">
      <c r="A864" s="450"/>
      <c r="B864" s="450"/>
      <c r="C864" s="449"/>
      <c r="E864" s="354"/>
    </row>
    <row r="865" spans="1:5" s="448" customFormat="1" ht="15.75" customHeight="1">
      <c r="A865" s="450"/>
      <c r="B865" s="450"/>
      <c r="C865" s="449"/>
      <c r="E865" s="354"/>
    </row>
    <row r="866" spans="1:5" s="448" customFormat="1" ht="15.75" customHeight="1">
      <c r="A866" s="450"/>
      <c r="B866" s="450"/>
      <c r="C866" s="449"/>
      <c r="E866" s="354"/>
    </row>
    <row r="867" spans="1:5" s="448" customFormat="1" ht="15.75" customHeight="1">
      <c r="A867" s="450"/>
      <c r="B867" s="450"/>
      <c r="C867" s="449"/>
      <c r="E867" s="354"/>
    </row>
    <row r="868" spans="1:5" s="448" customFormat="1" ht="15.75" customHeight="1">
      <c r="A868" s="450"/>
      <c r="B868" s="450"/>
      <c r="C868" s="449"/>
      <c r="E868" s="354"/>
    </row>
    <row r="869" spans="1:5" s="448" customFormat="1" ht="15.75" customHeight="1">
      <c r="A869" s="450"/>
      <c r="B869" s="450"/>
      <c r="C869" s="449"/>
      <c r="E869" s="354"/>
    </row>
    <row r="870" spans="1:5" s="448" customFormat="1" ht="15.75" customHeight="1">
      <c r="A870" s="450"/>
      <c r="B870" s="450"/>
      <c r="C870" s="449"/>
      <c r="E870" s="354"/>
    </row>
    <row r="871" spans="1:5" s="448" customFormat="1" ht="15.75" customHeight="1">
      <c r="A871" s="450"/>
      <c r="B871" s="450"/>
      <c r="C871" s="449"/>
      <c r="E871" s="354"/>
    </row>
    <row r="872" spans="1:5" s="448" customFormat="1" ht="15.75" customHeight="1">
      <c r="A872" s="450"/>
      <c r="B872" s="450"/>
      <c r="C872" s="449"/>
      <c r="E872" s="354"/>
    </row>
    <row r="873" spans="1:5" s="448" customFormat="1" ht="15.75" customHeight="1">
      <c r="A873" s="450"/>
      <c r="B873" s="450"/>
      <c r="C873" s="449"/>
      <c r="E873" s="354"/>
    </row>
    <row r="874" spans="1:5" s="448" customFormat="1" ht="15.75" customHeight="1">
      <c r="A874" s="450"/>
      <c r="B874" s="450"/>
      <c r="C874" s="449"/>
      <c r="E874" s="354"/>
    </row>
    <row r="875" spans="1:5" s="448" customFormat="1" ht="15.75" customHeight="1">
      <c r="A875" s="450"/>
      <c r="B875" s="450"/>
      <c r="C875" s="449"/>
      <c r="E875" s="354"/>
    </row>
    <row r="876" spans="1:5" s="448" customFormat="1" ht="15.75" customHeight="1">
      <c r="A876" s="450"/>
      <c r="B876" s="450"/>
      <c r="C876" s="449"/>
      <c r="E876" s="354"/>
    </row>
    <row r="877" spans="1:5" s="448" customFormat="1" ht="15.75" customHeight="1">
      <c r="A877" s="450"/>
      <c r="B877" s="450"/>
      <c r="C877" s="449"/>
      <c r="E877" s="354"/>
    </row>
    <row r="878" spans="1:5" s="448" customFormat="1" ht="15.75" customHeight="1">
      <c r="A878" s="450"/>
      <c r="B878" s="450"/>
      <c r="C878" s="449"/>
      <c r="E878" s="354"/>
    </row>
    <row r="879" spans="1:5" s="448" customFormat="1" ht="15.75" customHeight="1">
      <c r="A879" s="450"/>
      <c r="B879" s="450"/>
      <c r="C879" s="449"/>
      <c r="E879" s="354"/>
    </row>
    <row r="880" spans="1:5" s="448" customFormat="1" ht="15.75" customHeight="1">
      <c r="A880" s="450"/>
      <c r="B880" s="450"/>
      <c r="C880" s="449"/>
      <c r="E880" s="354"/>
    </row>
    <row r="881" spans="1:5" s="448" customFormat="1" ht="15.75" customHeight="1">
      <c r="A881" s="450"/>
      <c r="B881" s="450"/>
      <c r="C881" s="449"/>
      <c r="E881" s="354"/>
    </row>
    <row r="882" spans="1:5" s="448" customFormat="1" ht="15.75" customHeight="1">
      <c r="A882" s="450"/>
      <c r="B882" s="450"/>
      <c r="C882" s="449"/>
      <c r="E882" s="354"/>
    </row>
    <row r="883" spans="1:5" s="448" customFormat="1" ht="15.75" customHeight="1">
      <c r="A883" s="450"/>
      <c r="B883" s="450"/>
      <c r="C883" s="449"/>
      <c r="E883" s="354"/>
    </row>
    <row r="884" spans="1:5" s="448" customFormat="1" ht="15.75" customHeight="1">
      <c r="A884" s="450"/>
      <c r="B884" s="450"/>
      <c r="C884" s="449"/>
      <c r="E884" s="354"/>
    </row>
    <row r="885" spans="1:5" s="448" customFormat="1" ht="15.75" customHeight="1">
      <c r="A885" s="450"/>
      <c r="B885" s="450"/>
      <c r="C885" s="449"/>
      <c r="E885" s="354"/>
    </row>
    <row r="886" spans="1:5" s="448" customFormat="1" ht="15.75" customHeight="1">
      <c r="A886" s="450"/>
      <c r="B886" s="450"/>
      <c r="C886" s="449"/>
      <c r="E886" s="354"/>
    </row>
    <row r="887" spans="1:5" s="448" customFormat="1" ht="15.75" customHeight="1">
      <c r="A887" s="450"/>
      <c r="B887" s="450"/>
      <c r="C887" s="449"/>
      <c r="E887" s="354"/>
    </row>
    <row r="888" spans="1:5" s="448" customFormat="1" ht="15.75" customHeight="1">
      <c r="A888" s="450"/>
      <c r="B888" s="450"/>
      <c r="C888" s="449"/>
      <c r="E888" s="354"/>
    </row>
    <row r="889" spans="1:5" s="448" customFormat="1" ht="15.75" customHeight="1">
      <c r="A889" s="450"/>
      <c r="B889" s="450"/>
      <c r="C889" s="449"/>
      <c r="E889" s="354"/>
    </row>
    <row r="890" spans="1:5" s="448" customFormat="1" ht="15.75" customHeight="1">
      <c r="A890" s="450"/>
      <c r="B890" s="450"/>
      <c r="C890" s="449"/>
      <c r="E890" s="354"/>
    </row>
    <row r="891" spans="1:5" s="448" customFormat="1" ht="15.75" customHeight="1">
      <c r="A891" s="450"/>
      <c r="B891" s="450"/>
      <c r="C891" s="449"/>
      <c r="E891" s="354"/>
    </row>
    <row r="892" spans="1:5" s="448" customFormat="1" ht="15.75" customHeight="1">
      <c r="A892" s="450"/>
      <c r="B892" s="450"/>
      <c r="C892" s="449"/>
      <c r="E892" s="354"/>
    </row>
    <row r="893" spans="1:5" s="448" customFormat="1" ht="15.75" customHeight="1">
      <c r="A893" s="450"/>
      <c r="B893" s="450"/>
      <c r="C893" s="449"/>
      <c r="E893" s="354"/>
    </row>
    <row r="894" spans="1:5" s="448" customFormat="1" ht="15.75" customHeight="1">
      <c r="A894" s="450"/>
      <c r="B894" s="450"/>
      <c r="C894" s="449"/>
      <c r="E894" s="354"/>
    </row>
    <row r="895" spans="1:5" s="448" customFormat="1" ht="15.75" customHeight="1">
      <c r="A895" s="450"/>
      <c r="B895" s="450"/>
      <c r="C895" s="449"/>
      <c r="E895" s="354"/>
    </row>
    <row r="896" spans="1:5" s="448" customFormat="1" ht="15.75" customHeight="1">
      <c r="A896" s="450"/>
      <c r="B896" s="450"/>
      <c r="C896" s="449"/>
      <c r="E896" s="354"/>
    </row>
    <row r="897" spans="1:5" s="448" customFormat="1" ht="15.75" customHeight="1">
      <c r="A897" s="450"/>
      <c r="B897" s="450"/>
      <c r="C897" s="449"/>
      <c r="E897" s="354"/>
    </row>
    <row r="898" spans="1:5" s="448" customFormat="1" ht="15.75" customHeight="1">
      <c r="A898" s="450"/>
      <c r="B898" s="450"/>
      <c r="C898" s="449"/>
      <c r="E898" s="354"/>
    </row>
    <row r="899" spans="1:5" s="448" customFormat="1" ht="15.75" customHeight="1">
      <c r="A899" s="450"/>
      <c r="B899" s="450"/>
      <c r="C899" s="449"/>
      <c r="E899" s="354"/>
    </row>
    <row r="900" spans="1:5" s="448" customFormat="1" ht="15.75" customHeight="1">
      <c r="A900" s="450"/>
      <c r="B900" s="450"/>
      <c r="C900" s="449"/>
      <c r="E900" s="354"/>
    </row>
    <row r="901" spans="1:5" s="448" customFormat="1" ht="15.75" customHeight="1">
      <c r="A901" s="450"/>
      <c r="B901" s="450"/>
      <c r="C901" s="449"/>
      <c r="E901" s="354"/>
    </row>
    <row r="902" spans="1:5" s="448" customFormat="1" ht="15.75" customHeight="1">
      <c r="A902" s="450"/>
      <c r="B902" s="450"/>
      <c r="C902" s="449"/>
      <c r="E902" s="354"/>
    </row>
    <row r="903" spans="1:5" s="448" customFormat="1" ht="15.75" customHeight="1">
      <c r="A903" s="450"/>
      <c r="B903" s="450"/>
      <c r="C903" s="449"/>
      <c r="E903" s="354"/>
    </row>
    <row r="904" spans="1:5" s="448" customFormat="1" ht="15.75" customHeight="1">
      <c r="A904" s="450"/>
      <c r="B904" s="450"/>
      <c r="C904" s="449"/>
      <c r="E904" s="354"/>
    </row>
    <row r="905" spans="1:5" s="448" customFormat="1" ht="15.75" customHeight="1">
      <c r="A905" s="450"/>
      <c r="B905" s="450"/>
      <c r="C905" s="449"/>
      <c r="E905" s="354"/>
    </row>
    <row r="906" spans="1:5" s="448" customFormat="1" ht="15.75" customHeight="1">
      <c r="A906" s="450"/>
      <c r="B906" s="450"/>
      <c r="C906" s="449"/>
      <c r="E906" s="354"/>
    </row>
    <row r="907" spans="1:5" s="448" customFormat="1" ht="15.75" customHeight="1">
      <c r="A907" s="450"/>
      <c r="B907" s="450"/>
      <c r="C907" s="449"/>
      <c r="E907" s="354"/>
    </row>
    <row r="908" spans="1:5" s="448" customFormat="1" ht="15.75" customHeight="1">
      <c r="A908" s="450"/>
      <c r="B908" s="450"/>
      <c r="C908" s="449"/>
      <c r="E908" s="354"/>
    </row>
    <row r="909" spans="1:5" s="448" customFormat="1" ht="15.75" customHeight="1">
      <c r="A909" s="450"/>
      <c r="B909" s="450"/>
      <c r="C909" s="449"/>
      <c r="E909" s="354"/>
    </row>
    <row r="910" spans="1:5" s="448" customFormat="1" ht="15.75" customHeight="1">
      <c r="A910" s="450"/>
      <c r="B910" s="450"/>
      <c r="C910" s="449"/>
      <c r="E910" s="354"/>
    </row>
    <row r="911" spans="1:5" s="448" customFormat="1" ht="15.75" customHeight="1">
      <c r="A911" s="450"/>
      <c r="B911" s="450"/>
      <c r="C911" s="449"/>
      <c r="E911" s="354"/>
    </row>
    <row r="912" spans="1:5" s="448" customFormat="1" ht="15.75" customHeight="1">
      <c r="A912" s="450"/>
      <c r="B912" s="450"/>
      <c r="C912" s="449"/>
      <c r="E912" s="354"/>
    </row>
    <row r="913" spans="1:5" s="448" customFormat="1" ht="15.75" customHeight="1">
      <c r="A913" s="450"/>
      <c r="B913" s="450"/>
      <c r="C913" s="449"/>
      <c r="E913" s="354"/>
    </row>
    <row r="914" spans="1:5" s="448" customFormat="1" ht="15.75" customHeight="1">
      <c r="A914" s="450"/>
      <c r="B914" s="450"/>
      <c r="C914" s="449"/>
      <c r="E914" s="354"/>
    </row>
    <row r="915" spans="1:5" s="448" customFormat="1" ht="15.75" customHeight="1">
      <c r="A915" s="450"/>
      <c r="B915" s="450"/>
      <c r="C915" s="449"/>
      <c r="E915" s="354"/>
    </row>
    <row r="916" spans="1:5" s="448" customFormat="1" ht="15.75" customHeight="1">
      <c r="A916" s="450"/>
      <c r="B916" s="450"/>
      <c r="C916" s="449"/>
      <c r="E916" s="354"/>
    </row>
    <row r="917" spans="1:5" s="448" customFormat="1" ht="15.75" customHeight="1">
      <c r="A917" s="450"/>
      <c r="B917" s="450"/>
      <c r="C917" s="449"/>
      <c r="E917" s="354"/>
    </row>
    <row r="918" spans="1:5" s="448" customFormat="1" ht="15.75" customHeight="1">
      <c r="A918" s="450"/>
      <c r="B918" s="450"/>
      <c r="C918" s="449"/>
      <c r="E918" s="354"/>
    </row>
    <row r="919" spans="1:5" s="448" customFormat="1" ht="15.75" customHeight="1">
      <c r="A919" s="450"/>
      <c r="B919" s="450"/>
      <c r="C919" s="449"/>
      <c r="E919" s="354"/>
    </row>
    <row r="920" spans="1:5" s="448" customFormat="1" ht="15.75" customHeight="1">
      <c r="A920" s="450"/>
      <c r="B920" s="450"/>
      <c r="C920" s="449"/>
      <c r="E920" s="354"/>
    </row>
    <row r="921" spans="1:5" s="448" customFormat="1" ht="15.75" customHeight="1">
      <c r="A921" s="450"/>
      <c r="B921" s="450"/>
      <c r="C921" s="449"/>
      <c r="E921" s="354"/>
    </row>
    <row r="922" spans="1:5" s="448" customFormat="1" ht="15.75" customHeight="1">
      <c r="A922" s="450"/>
      <c r="B922" s="450"/>
      <c r="C922" s="449"/>
      <c r="E922" s="354"/>
    </row>
    <row r="923" spans="1:5" s="448" customFormat="1" ht="15.75" customHeight="1">
      <c r="A923" s="450"/>
      <c r="B923" s="450"/>
      <c r="C923" s="449"/>
      <c r="E923" s="354"/>
    </row>
    <row r="924" spans="1:5" s="448" customFormat="1" ht="15.75" customHeight="1">
      <c r="A924" s="450"/>
      <c r="B924" s="450"/>
      <c r="C924" s="449"/>
      <c r="E924" s="354"/>
    </row>
    <row r="925" spans="1:5" s="448" customFormat="1" ht="15.75" customHeight="1">
      <c r="A925" s="450"/>
      <c r="B925" s="450"/>
      <c r="C925" s="449"/>
      <c r="E925" s="354"/>
    </row>
    <row r="926" spans="1:5" s="448" customFormat="1" ht="15.75" customHeight="1">
      <c r="A926" s="450"/>
      <c r="B926" s="450"/>
      <c r="C926" s="449"/>
      <c r="E926" s="354"/>
    </row>
    <row r="927" spans="1:5" s="448" customFormat="1" ht="15.75" customHeight="1">
      <c r="A927" s="450"/>
      <c r="B927" s="450"/>
      <c r="C927" s="449"/>
      <c r="E927" s="354"/>
    </row>
    <row r="928" spans="1:5" s="448" customFormat="1" ht="15.75" customHeight="1">
      <c r="A928" s="450"/>
      <c r="B928" s="450"/>
      <c r="C928" s="449"/>
      <c r="E928" s="354"/>
    </row>
    <row r="929" spans="1:5" s="448" customFormat="1" ht="15.75" customHeight="1">
      <c r="A929" s="450"/>
      <c r="B929" s="450"/>
      <c r="C929" s="449"/>
      <c r="E929" s="354"/>
    </row>
    <row r="930" spans="1:5" s="448" customFormat="1" ht="15.75" customHeight="1">
      <c r="A930" s="450"/>
      <c r="B930" s="450"/>
      <c r="C930" s="449"/>
      <c r="E930" s="354"/>
    </row>
  </sheetData>
  <mergeCells count="1">
    <mergeCell ref="A2:C4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CBBA-3B0F-D143-94D7-0E9B7FA8035D}">
  <sheetPr codeName="Sheet22">
    <tabColor rgb="FF00B0F0"/>
  </sheetPr>
  <dimension ref="A1:P967"/>
  <sheetViews>
    <sheetView topLeftCell="A42" workbookViewId="0">
      <selection activeCell="C73" sqref="C73"/>
    </sheetView>
  </sheetViews>
  <sheetFormatPr defaultColWidth="14.42578125" defaultRowHeight="15" customHeight="1" outlineLevelRow="1" outlineLevelCol="1"/>
  <cols>
    <col min="1" max="1" width="13.140625" style="354" customWidth="1"/>
    <col min="2" max="2" width="14.42578125" style="467" customWidth="1"/>
    <col min="3" max="3" width="41.42578125" style="354" customWidth="1"/>
    <col min="4" max="4" width="18.42578125" style="354" customWidth="1" outlineLevel="1"/>
    <col min="5" max="5" width="17" style="539" customWidth="1" outlineLevel="1"/>
    <col min="6" max="6" width="18.42578125" style="354" customWidth="1"/>
    <col min="7" max="7" width="17" style="354" customWidth="1"/>
    <col min="8" max="9" width="14.42578125" style="354"/>
    <col min="10" max="10" width="18.140625" style="354" customWidth="1"/>
    <col min="11" max="11" width="34.42578125" style="354" customWidth="1"/>
    <col min="12" max="16384" width="14.42578125" style="354"/>
  </cols>
  <sheetData>
    <row r="1" spans="1:11">
      <c r="B1" s="469"/>
      <c r="C1" s="450"/>
      <c r="D1" s="449"/>
      <c r="E1" s="618"/>
    </row>
    <row r="2" spans="1:11">
      <c r="A2" s="790" t="s">
        <v>1566</v>
      </c>
      <c r="B2" s="790"/>
      <c r="C2" s="790"/>
      <c r="D2" s="449"/>
      <c r="E2" s="618"/>
    </row>
    <row r="3" spans="1:11">
      <c r="A3" s="790"/>
      <c r="B3" s="790"/>
      <c r="C3" s="790"/>
      <c r="D3" s="449"/>
      <c r="E3" s="618"/>
    </row>
    <row r="4" spans="1:11">
      <c r="A4" s="790"/>
      <c r="B4" s="790"/>
      <c r="C4" s="790"/>
      <c r="D4" s="449"/>
      <c r="E4" s="618"/>
    </row>
    <row r="5" spans="1:11">
      <c r="B5" s="469"/>
      <c r="C5" s="433"/>
      <c r="D5" s="449"/>
      <c r="E5" s="618"/>
      <c r="G5"/>
    </row>
    <row r="6" spans="1:11">
      <c r="B6" s="469"/>
      <c r="C6" s="433"/>
      <c r="D6" s="449"/>
      <c r="E6" s="618"/>
      <c r="G6"/>
      <c r="H6"/>
      <c r="I6"/>
      <c r="J6"/>
    </row>
    <row r="7" spans="1:11">
      <c r="B7" s="469"/>
      <c r="C7" s="450"/>
      <c r="D7" s="449"/>
      <c r="E7" s="618"/>
      <c r="F7" s="449"/>
      <c r="G7"/>
      <c r="I7"/>
      <c r="J7"/>
    </row>
    <row r="8" spans="1:11">
      <c r="B8" s="469"/>
      <c r="C8" s="450"/>
      <c r="D8" s="537">
        <v>2022</v>
      </c>
      <c r="E8" s="498" t="s">
        <v>1565</v>
      </c>
      <c r="F8" s="537">
        <v>2022</v>
      </c>
      <c r="G8"/>
      <c r="I8"/>
      <c r="J8"/>
    </row>
    <row r="9" spans="1:11">
      <c r="B9" s="469"/>
      <c r="C9" s="453"/>
      <c r="D9" s="466" t="s">
        <v>284</v>
      </c>
      <c r="E9" s="497"/>
      <c r="F9" s="466" t="s">
        <v>284</v>
      </c>
      <c r="G9"/>
      <c r="I9"/>
      <c r="J9"/>
    </row>
    <row r="10" spans="1:11" ht="15.75" thickBot="1">
      <c r="B10" s="469"/>
      <c r="C10" s="450"/>
      <c r="D10" s="470"/>
      <c r="E10" s="619"/>
      <c r="F10" s="470"/>
      <c r="G10"/>
      <c r="I10"/>
      <c r="J10"/>
    </row>
    <row r="11" spans="1:11" ht="15.75" customHeight="1">
      <c r="B11" s="479" t="s">
        <v>145</v>
      </c>
      <c r="C11" s="433" t="s">
        <v>1465</v>
      </c>
      <c r="D11" s="453">
        <f>SUMIFS('TB INC 12.22'!F:F,'TB INC 12.22'!I:I,$B11,'TB INC 12.22'!J:J,$C11)</f>
        <v>-45183881.950000003</v>
      </c>
      <c r="E11" s="620">
        <f>-'AJE 2022'!W18-'AJE 2022'!V26</f>
        <v>0</v>
      </c>
      <c r="F11" s="453">
        <f>D11+E11</f>
        <v>-45183881.950000003</v>
      </c>
      <c r="G11"/>
      <c r="H11"/>
      <c r="I11"/>
      <c r="J11" s="651">
        <f>SUM(F12:F17)</f>
        <v>-339405831.35000002</v>
      </c>
      <c r="K11" s="653" t="s">
        <v>1633</v>
      </c>
    </row>
    <row r="12" spans="1:11" ht="15.75" customHeight="1">
      <c r="B12" s="479" t="s">
        <v>145</v>
      </c>
      <c r="C12" s="433" t="s">
        <v>1466</v>
      </c>
      <c r="D12" s="453">
        <f>SUMIFS('TB INC 12.22'!F:F,'TB INC 12.22'!I:I,$B12,'TB INC 12.22'!J:J,$C12)</f>
        <v>-79914237.700000003</v>
      </c>
      <c r="E12" s="620"/>
      <c r="F12" s="453">
        <f>D12+E12</f>
        <v>-79914237.700000003</v>
      </c>
      <c r="G12"/>
      <c r="I12"/>
      <c r="J12" s="652">
        <f>-(F38+F39)</f>
        <v>-339449012.94</v>
      </c>
      <c r="K12" s="654" t="s">
        <v>1640</v>
      </c>
    </row>
    <row r="13" spans="1:11" ht="15.75" customHeight="1">
      <c r="B13" s="479" t="s">
        <v>145</v>
      </c>
      <c r="C13" s="433" t="s">
        <v>1467</v>
      </c>
      <c r="D13" s="453">
        <f>SUMIFS('TB INC 12.22'!F:F,'TB INC 12.22'!I:I,$B13,'TB INC 12.22'!J:J,$C13)</f>
        <v>-32041473.140000001</v>
      </c>
      <c r="E13" s="620"/>
      <c r="F13" s="453">
        <f t="shared" ref="F13:F17" si="0">D13+E13</f>
        <v>-32041473.140000001</v>
      </c>
      <c r="G13"/>
      <c r="H13" s="518"/>
      <c r="I13"/>
      <c r="J13" s="655">
        <f>J11-J12</f>
        <v>43181.589999973774</v>
      </c>
      <c r="K13" s="656" t="s">
        <v>1635</v>
      </c>
    </row>
    <row r="14" spans="1:11" ht="15.75" customHeight="1">
      <c r="B14" s="479" t="s">
        <v>145</v>
      </c>
      <c r="C14" s="433" t="s">
        <v>1468</v>
      </c>
      <c r="D14" s="453">
        <f>SUMIFS('TB INC 12.22'!F:F,'TB INC 12.22'!I:I,$B14,'TB INC 12.22'!J:J,$C14)</f>
        <v>-78439126.260000005</v>
      </c>
      <c r="E14" s="620"/>
      <c r="F14" s="453">
        <f t="shared" si="0"/>
        <v>-78439126.260000005</v>
      </c>
      <c r="G14"/>
      <c r="I14"/>
      <c r="J14" s="652">
        <f>F38</f>
        <v>43181.59</v>
      </c>
      <c r="K14" s="654" t="s">
        <v>1641</v>
      </c>
    </row>
    <row r="15" spans="1:11" ht="15.75" customHeight="1">
      <c r="B15" s="479" t="s">
        <v>145</v>
      </c>
      <c r="C15" s="433" t="s">
        <v>1469</v>
      </c>
      <c r="D15" s="453">
        <f>SUMIFS('TB INC 12.22'!F:F,'TB INC 12.22'!I:I,$B15,'TB INC 12.22'!J:J,$C15)</f>
        <v>-136037469.36000001</v>
      </c>
      <c r="E15" s="620"/>
      <c r="F15" s="453">
        <f t="shared" si="0"/>
        <v>-136037469.36000001</v>
      </c>
      <c r="G15"/>
      <c r="H15"/>
      <c r="I15"/>
      <c r="J15" s="652">
        <f>J13-J14</f>
        <v>-2.6222551241517067E-8</v>
      </c>
      <c r="K15" s="654" t="s">
        <v>1634</v>
      </c>
    </row>
    <row r="16" spans="1:11" ht="15.75" customHeight="1">
      <c r="B16" s="479" t="s">
        <v>145</v>
      </c>
      <c r="C16" s="433" t="s">
        <v>1503</v>
      </c>
      <c r="D16" s="453">
        <f>SUMIFS('TB INC 12.22'!F:F,'TB INC 12.22'!I:I,$B16,'TB INC 12.22'!J:J,$C16)</f>
        <v>-24386970.890000001</v>
      </c>
      <c r="E16" s="620"/>
      <c r="F16" s="453">
        <f t="shared" si="0"/>
        <v>-24386970.890000001</v>
      </c>
      <c r="G16" s="635"/>
      <c r="I16"/>
      <c r="J16" s="660">
        <v>31274.20999995232</v>
      </c>
      <c r="K16" s="534"/>
    </row>
    <row r="17" spans="1:11" ht="15.75" customHeight="1">
      <c r="B17" s="479" t="s">
        <v>145</v>
      </c>
      <c r="C17" s="433" t="s">
        <v>1523</v>
      </c>
      <c r="D17" s="453">
        <f>SUMIFS('TB INC 12.22'!F:F,'TB INC 12.22'!I:I,$B17,'TB INC 12.22'!J:J,$C17)</f>
        <v>11413446</v>
      </c>
      <c r="E17" s="620">
        <f>'AJE 2022'!V8</f>
        <v>0</v>
      </c>
      <c r="F17" s="453">
        <f t="shared" si="0"/>
        <v>11413446</v>
      </c>
      <c r="G17" s="636">
        <v>11508311</v>
      </c>
      <c r="H17" s="518">
        <f>F17-G17</f>
        <v>-94865</v>
      </c>
      <c r="I17"/>
      <c r="J17" s="650"/>
      <c r="K17" s="534"/>
    </row>
    <row r="18" spans="1:11" ht="15.75" customHeight="1" thickBot="1">
      <c r="B18" s="479" t="s">
        <v>499</v>
      </c>
      <c r="C18" s="495" t="s">
        <v>1538</v>
      </c>
      <c r="D18" s="464">
        <f>SUM(D11:D17)</f>
        <v>-384589713.30000001</v>
      </c>
      <c r="E18" s="621">
        <f>SUM(E11:E17)</f>
        <v>0</v>
      </c>
      <c r="F18" s="464">
        <f>SUM(F11:F17)</f>
        <v>-384589713.30000001</v>
      </c>
      <c r="G18"/>
      <c r="H18" s="518"/>
      <c r="I18"/>
      <c r="J18" s="659"/>
      <c r="K18" s="536"/>
    </row>
    <row r="19" spans="1:11" ht="15.75" customHeight="1">
      <c r="B19" s="469"/>
      <c r="C19" s="453"/>
      <c r="D19" s="453"/>
      <c r="E19" s="620"/>
      <c r="F19" s="453"/>
      <c r="G19"/>
      <c r="I19"/>
      <c r="J19"/>
    </row>
    <row r="20" spans="1:11" ht="15.75" customHeight="1">
      <c r="B20" s="491"/>
      <c r="C20" s="496" t="s">
        <v>618</v>
      </c>
      <c r="D20" s="464">
        <f>SUM(D21:D25)</f>
        <v>19761871.789999999</v>
      </c>
      <c r="E20" s="621">
        <f>SUM(E21:E25)</f>
        <v>0</v>
      </c>
      <c r="F20" s="464">
        <f>SUM(F21:F25)</f>
        <v>19761871.789999999</v>
      </c>
      <c r="H20" s="518"/>
      <c r="I20"/>
      <c r="J20"/>
    </row>
    <row r="21" spans="1:11" ht="15.75" customHeight="1" outlineLevel="1" thickBot="1">
      <c r="A21" s="350" t="s">
        <v>319</v>
      </c>
      <c r="B21" s="491" t="s">
        <v>618</v>
      </c>
      <c r="C21" s="433" t="s">
        <v>1472</v>
      </c>
      <c r="D21" s="453">
        <f>SUMIFS('TB INC 12.22'!F:F,'TB INC 12.22'!I:I,$B21,'TB INC 12.22'!J:J,$C21)</f>
        <v>4897335.0199999996</v>
      </c>
      <c r="E21" s="620"/>
      <c r="F21" s="453">
        <f t="shared" ref="F21:F25" si="1">D21+E21</f>
        <v>4897335.0199999996</v>
      </c>
      <c r="H21" s="518"/>
      <c r="I21"/>
      <c r="J21" s="518"/>
    </row>
    <row r="22" spans="1:11" ht="15.75" customHeight="1" outlineLevel="1">
      <c r="A22" s="350" t="s">
        <v>319</v>
      </c>
      <c r="B22" s="491" t="s">
        <v>618</v>
      </c>
      <c r="C22" s="433" t="s">
        <v>1474</v>
      </c>
      <c r="D22" s="453">
        <f>SUMIFS('TB INC 12.22'!F:F,'TB INC 12.22'!I:I,$B22,'TB INC 12.22'!J:J,$C22)</f>
        <v>2076066.46</v>
      </c>
      <c r="E22" s="620"/>
      <c r="F22" s="453">
        <f t="shared" si="1"/>
        <v>2076066.46</v>
      </c>
      <c r="J22" s="651">
        <f>SUM(F12:F17)</f>
        <v>-339405831.35000002</v>
      </c>
      <c r="K22" s="653" t="s">
        <v>1633</v>
      </c>
    </row>
    <row r="23" spans="1:11" ht="15.75" customHeight="1" outlineLevel="1">
      <c r="A23" s="350" t="s">
        <v>319</v>
      </c>
      <c r="B23" s="491" t="s">
        <v>618</v>
      </c>
      <c r="C23" s="433" t="s">
        <v>1476</v>
      </c>
      <c r="D23" s="453">
        <f>SUMIFS('TB INC 12.22'!F:F,'TB INC 12.22'!I:I,$B23,'TB INC 12.22'!J:J,$C23)</f>
        <v>3479229.94</v>
      </c>
      <c r="E23" s="620"/>
      <c r="F23" s="453">
        <f t="shared" si="1"/>
        <v>3479229.94</v>
      </c>
      <c r="J23" s="652">
        <f>'P&amp;L LTD  USD'!F5</f>
        <v>-339636990.73999995</v>
      </c>
      <c r="K23" s="654" t="s">
        <v>1632</v>
      </c>
    </row>
    <row r="24" spans="1:11" ht="15.75" customHeight="1" outlineLevel="1">
      <c r="A24" s="350" t="s">
        <v>319</v>
      </c>
      <c r="B24" s="491" t="s">
        <v>618</v>
      </c>
      <c r="C24" s="433" t="s">
        <v>1478</v>
      </c>
      <c r="D24" s="453">
        <f>SUMIFS('TB INC 12.22'!F:F,'TB INC 12.22'!I:I,$B24,'TB INC 12.22'!J:J,$C24)</f>
        <v>8169253.9500000002</v>
      </c>
      <c r="E24" s="620"/>
      <c r="F24" s="453">
        <f t="shared" si="1"/>
        <v>8169253.9500000002</v>
      </c>
      <c r="J24" s="655">
        <f>J22-J23</f>
        <v>231159.38999992609</v>
      </c>
      <c r="K24" s="656" t="s">
        <v>1635</v>
      </c>
    </row>
    <row r="25" spans="1:11" ht="15.75" customHeight="1" outlineLevel="1">
      <c r="A25" s="350" t="s">
        <v>319</v>
      </c>
      <c r="B25" s="491" t="s">
        <v>618</v>
      </c>
      <c r="C25" s="433" t="s">
        <v>1507</v>
      </c>
      <c r="D25" s="453">
        <f>SUMIFS('TB INC 12.22'!F:F,'TB INC 12.22'!I:I,$B25,'TB INC 12.22'!J:J,$C25)</f>
        <v>1139986.42</v>
      </c>
      <c r="E25" s="620"/>
      <c r="F25" s="453">
        <f t="shared" si="1"/>
        <v>1139986.42</v>
      </c>
      <c r="J25" s="652">
        <v>249578</v>
      </c>
      <c r="K25" s="654" t="s">
        <v>1630</v>
      </c>
    </row>
    <row r="26" spans="1:11" ht="15.75" customHeight="1" thickBot="1">
      <c r="B26" s="491"/>
      <c r="C26" s="495" t="s">
        <v>1537</v>
      </c>
      <c r="D26" s="494">
        <f>D18+D20</f>
        <v>-364827841.50999999</v>
      </c>
      <c r="E26" s="622">
        <f>E18+E20</f>
        <v>0</v>
      </c>
      <c r="F26" s="494">
        <f>F18+F20</f>
        <v>-364827841.50999999</v>
      </c>
      <c r="J26" s="652">
        <f>J24-J25</f>
        <v>-18418.61000007391</v>
      </c>
      <c r="K26" s="654" t="s">
        <v>1634</v>
      </c>
    </row>
    <row r="27" spans="1:11" ht="15.75" customHeight="1">
      <c r="B27" s="491"/>
      <c r="C27" s="479"/>
      <c r="D27" s="453"/>
      <c r="E27" s="620"/>
      <c r="F27" s="453"/>
      <c r="J27" s="660"/>
      <c r="K27" s="534"/>
    </row>
    <row r="28" spans="1:11" ht="15.75" customHeight="1">
      <c r="B28" s="469"/>
      <c r="C28" s="492" t="s">
        <v>149</v>
      </c>
      <c r="D28" s="464">
        <f>SUM(D29:D32)</f>
        <v>24957327.619999997</v>
      </c>
      <c r="E28" s="621">
        <f>SUM(E29:E32)</f>
        <v>0</v>
      </c>
      <c r="F28" s="464">
        <f>SUM(F29:F32)</f>
        <v>24957327.619999997</v>
      </c>
      <c r="J28" s="650"/>
      <c r="K28" s="534"/>
    </row>
    <row r="29" spans="1:11" ht="15.75" customHeight="1" outlineLevel="1" thickBot="1">
      <c r="A29" s="480" t="s">
        <v>309</v>
      </c>
      <c r="B29" s="491" t="s">
        <v>149</v>
      </c>
      <c r="C29" s="433" t="s">
        <v>1492</v>
      </c>
      <c r="D29" s="453">
        <f>SUMIFS('TB INC 12.22'!F:F,'TB INC 12.22'!I:I,$B29,'TB INC 12.22'!J:J,$C29)</f>
        <v>61900.39</v>
      </c>
      <c r="E29" s="620"/>
      <c r="F29" s="453">
        <f t="shared" ref="F29:F32" si="2">D29+E29</f>
        <v>61900.39</v>
      </c>
      <c r="J29" s="659"/>
      <c r="K29" s="536"/>
    </row>
    <row r="30" spans="1:11" ht="15.75" customHeight="1" outlineLevel="1">
      <c r="A30" s="350" t="s">
        <v>312</v>
      </c>
      <c r="B30" s="491" t="s">
        <v>149</v>
      </c>
      <c r="C30" s="433" t="s">
        <v>312</v>
      </c>
      <c r="D30" s="453">
        <f>SUMIFS('TB INC 12.22'!F:F,'TB INC 12.22'!I:I,$B30,'TB INC 12.22'!J:J,$C30)</f>
        <v>24308066.149999999</v>
      </c>
      <c r="E30" s="620"/>
      <c r="F30" s="453">
        <f t="shared" si="2"/>
        <v>24308066.149999999</v>
      </c>
    </row>
    <row r="31" spans="1:11" ht="15.75" customHeight="1" outlineLevel="1">
      <c r="A31" s="493" t="s">
        <v>477</v>
      </c>
      <c r="B31" s="491" t="s">
        <v>149</v>
      </c>
      <c r="C31" s="433" t="s">
        <v>153</v>
      </c>
      <c r="D31" s="453">
        <f>SUMIFS('TB INC 12.22'!F:F,'TB INC 12.22'!I:I,$B31,'TB INC 12.22'!J:J,$C31)</f>
        <v>581361.07999999996</v>
      </c>
      <c r="E31" s="620"/>
      <c r="F31" s="453">
        <f t="shared" si="2"/>
        <v>581361.07999999996</v>
      </c>
      <c r="G31" s="518"/>
    </row>
    <row r="32" spans="1:11" ht="15.75" customHeight="1" outlineLevel="1" thickBot="1">
      <c r="A32" s="493" t="s">
        <v>477</v>
      </c>
      <c r="B32" s="491" t="s">
        <v>149</v>
      </c>
      <c r="C32" s="433" t="s">
        <v>181</v>
      </c>
      <c r="D32" s="453">
        <f>SUMIFS('TB INC 12.22'!F:F,'TB INC 12.22'!I:I,$B32,'TB INC 12.22'!J:J,$C32)</f>
        <v>6000</v>
      </c>
      <c r="E32" s="620"/>
      <c r="F32" s="453">
        <f t="shared" si="2"/>
        <v>6000</v>
      </c>
    </row>
    <row r="33" spans="1:11" ht="15.75" customHeight="1" outlineLevel="1">
      <c r="B33" s="491"/>
      <c r="C33" s="433"/>
      <c r="D33" s="453"/>
      <c r="E33" s="620"/>
      <c r="F33" s="453"/>
      <c r="J33" s="647">
        <f>F38+F39</f>
        <v>339449012.94</v>
      </c>
      <c r="K33" s="648" t="s">
        <v>1631</v>
      </c>
    </row>
    <row r="34" spans="1:11" ht="15.75" customHeight="1">
      <c r="B34" s="469"/>
      <c r="C34" s="492" t="s">
        <v>152</v>
      </c>
      <c r="D34" s="464">
        <f>SUM(D35:D38)</f>
        <v>182761.94999999998</v>
      </c>
      <c r="E34" s="621">
        <f>SUM(E35:E38)</f>
        <v>0</v>
      </c>
      <c r="F34" s="464">
        <f>SUM(F35:F38)</f>
        <v>182761.94999999998</v>
      </c>
      <c r="G34" s="643">
        <f>F34*7%</f>
        <v>12793.336499999999</v>
      </c>
      <c r="J34" s="649">
        <f>'P&amp;L LTD  USD'!F5</f>
        <v>-339636990.73999995</v>
      </c>
      <c r="K34" s="534" t="s">
        <v>1632</v>
      </c>
    </row>
    <row r="35" spans="1:11" ht="15.75" customHeight="1">
      <c r="A35" s="480" t="s">
        <v>309</v>
      </c>
      <c r="B35" s="491" t="s">
        <v>152</v>
      </c>
      <c r="C35" s="433" t="s">
        <v>635</v>
      </c>
      <c r="D35" s="453">
        <f>SUMIFS('TB INC 12.22'!F:F,'TB INC 12.22'!I:I,$B35,'TB INC 12.22'!J:J,$C35)</f>
        <v>64357.53</v>
      </c>
      <c r="E35" s="620"/>
      <c r="F35" s="453">
        <f t="shared" ref="F35:F39" si="3">D35+E35</f>
        <v>64357.53</v>
      </c>
      <c r="G35" s="430"/>
      <c r="H35" s="430"/>
      <c r="J35" s="655">
        <f>J33+J34</f>
        <v>-187977.79999995232</v>
      </c>
      <c r="K35" s="656" t="s">
        <v>1635</v>
      </c>
    </row>
    <row r="36" spans="1:11" ht="15.75" customHeight="1">
      <c r="A36" s="480" t="s">
        <v>309</v>
      </c>
      <c r="B36" s="491" t="s">
        <v>152</v>
      </c>
      <c r="C36" s="433" t="s">
        <v>158</v>
      </c>
      <c r="D36" s="453">
        <f>SUMIFS('TB INC 12.22'!F:F,'TB INC 12.22'!I:I,$B36,'TB INC 12.22'!J:J,$C36)</f>
        <v>550</v>
      </c>
      <c r="E36" s="620"/>
      <c r="F36" s="453">
        <f t="shared" si="3"/>
        <v>550</v>
      </c>
      <c r="G36" s="518"/>
      <c r="J36" s="649">
        <f>D38</f>
        <v>43181.59</v>
      </c>
      <c r="K36" s="654" t="s">
        <v>1637</v>
      </c>
    </row>
    <row r="37" spans="1:11" ht="15.75" customHeight="1" outlineLevel="1">
      <c r="A37" s="480" t="s">
        <v>309</v>
      </c>
      <c r="B37" s="491" t="s">
        <v>152</v>
      </c>
      <c r="C37" s="433" t="s">
        <v>843</v>
      </c>
      <c r="D37" s="453">
        <f>SUMIFS('TB INC 12.22'!F:F,'TB INC 12.22'!I:I,$B37,'TB INC 12.22'!J:J,$C37)</f>
        <v>74672.83</v>
      </c>
      <c r="E37" s="620"/>
      <c r="F37" s="453">
        <f t="shared" si="3"/>
        <v>74672.83</v>
      </c>
      <c r="J37" s="658">
        <f>-J25</f>
        <v>-249578</v>
      </c>
      <c r="K37" s="654" t="s">
        <v>1636</v>
      </c>
    </row>
    <row r="38" spans="1:11" ht="15.75" customHeight="1" outlineLevel="1">
      <c r="A38" s="480" t="s">
        <v>309</v>
      </c>
      <c r="B38" s="491" t="s">
        <v>152</v>
      </c>
      <c r="C38" s="433" t="s">
        <v>1480</v>
      </c>
      <c r="D38" s="453">
        <f>SUMIFS('TB INC 12.22'!F:F,'TB INC 12.22'!I:I,$B38,'TB INC 12.22'!J:J,$C38)</f>
        <v>43181.59</v>
      </c>
      <c r="E38" s="620"/>
      <c r="F38" s="453">
        <f t="shared" si="3"/>
        <v>43181.59</v>
      </c>
      <c r="G38" s="354" t="s">
        <v>1638</v>
      </c>
      <c r="H38" s="354" t="s">
        <v>1639</v>
      </c>
      <c r="I38" s="643">
        <v>73679.806499995306</v>
      </c>
      <c r="J38" s="650"/>
      <c r="K38" s="534"/>
    </row>
    <row r="39" spans="1:11" ht="15.75" customHeight="1" outlineLevel="1" thickBot="1">
      <c r="A39" s="480"/>
      <c r="B39" s="490" t="s">
        <v>300</v>
      </c>
      <c r="C39" s="489" t="s">
        <v>300</v>
      </c>
      <c r="D39" s="453">
        <f>SUMIFS('TB INC 12.22'!F:F,'TB INC 12.22'!I:I,$B39,'TB INC 12.22'!J:J,$C39)</f>
        <v>339405831.35000002</v>
      </c>
      <c r="E39" s="620">
        <f>-'AJE 2022'!V12-'AJE 2022'!W22</f>
        <v>0</v>
      </c>
      <c r="F39" s="453">
        <f t="shared" si="3"/>
        <v>339405831.35000002</v>
      </c>
      <c r="G39" s="643">
        <f>F20+F28+(F35+F37+F36+F38)*1.07</f>
        <v>44914754.696499996</v>
      </c>
      <c r="H39" s="518">
        <f>D11</f>
        <v>-45183881.950000003</v>
      </c>
      <c r="I39" s="643">
        <f>G39+H39</f>
        <v>-269127.25350000709</v>
      </c>
      <c r="J39" s="657">
        <f>J35-(J36+J37)</f>
        <v>18418.610000047687</v>
      </c>
      <c r="K39" s="536" t="s">
        <v>1634</v>
      </c>
    </row>
    <row r="40" spans="1:11" ht="15.75" customHeight="1" thickBot="1">
      <c r="B40" s="469"/>
      <c r="C40" s="485" t="s">
        <v>298</v>
      </c>
      <c r="D40" s="488">
        <f>D34+D28+D39</f>
        <v>364545920.92000002</v>
      </c>
      <c r="E40" s="623">
        <f>E34+E28+E39</f>
        <v>0</v>
      </c>
      <c r="F40" s="488">
        <f>F34+F28+F39</f>
        <v>364545920.92000002</v>
      </c>
    </row>
    <row r="41" spans="1:11" ht="15.75" customHeight="1">
      <c r="B41" s="469"/>
      <c r="C41" s="487"/>
      <c r="D41" s="482"/>
      <c r="E41" s="624"/>
      <c r="F41" s="482"/>
      <c r="G41" s="518"/>
      <c r="J41" s="595">
        <f>+J39+J26</f>
        <v>-2.6222551241517067E-8</v>
      </c>
    </row>
    <row r="42" spans="1:11" ht="15.75" customHeight="1" thickBot="1">
      <c r="B42" s="469"/>
      <c r="C42" s="485" t="s">
        <v>1536</v>
      </c>
      <c r="D42" s="484">
        <f>D40+D26</f>
        <v>-281920.58999997377</v>
      </c>
      <c r="E42" s="484">
        <f>E40+E26</f>
        <v>0</v>
      </c>
      <c r="F42" s="484">
        <f>F40+F26</f>
        <v>-281920.58999997377</v>
      </c>
      <c r="G42" s="643">
        <f>F42-G34</f>
        <v>-294713.92649997375</v>
      </c>
    </row>
    <row r="43" spans="1:11" ht="15.75" customHeight="1" thickTop="1">
      <c r="B43" s="469"/>
      <c r="C43" s="479"/>
      <c r="D43" s="453"/>
      <c r="E43" s="620"/>
      <c r="F43" s="453"/>
    </row>
    <row r="44" spans="1:11" ht="15.75" customHeight="1">
      <c r="B44" s="469"/>
      <c r="C44" s="434" t="s">
        <v>163</v>
      </c>
      <c r="D44" s="464">
        <f>SUM(D45:D48)</f>
        <v>179789.70000000007</v>
      </c>
      <c r="E44" s="621">
        <f>SUM(E45:E48)</f>
        <v>0</v>
      </c>
      <c r="F44" s="464">
        <f>SUM(F45:F48)</f>
        <v>179789.70000000007</v>
      </c>
      <c r="J44" s="643"/>
    </row>
    <row r="45" spans="1:11" ht="15.75" customHeight="1" outlineLevel="1">
      <c r="A45" s="480" t="s">
        <v>313</v>
      </c>
      <c r="B45" s="434" t="s">
        <v>163</v>
      </c>
      <c r="C45" s="435" t="s">
        <v>876</v>
      </c>
      <c r="D45" s="453">
        <f>SUMIFS('TB INC 12.22'!F:F,'TB INC 12.22'!I:I,$B45,'TB INC 12.22'!J:J,$C45)</f>
        <v>-19246.86</v>
      </c>
      <c r="E45" s="620"/>
      <c r="F45" s="453">
        <f t="shared" ref="F45:F49" si="4">D45+E45</f>
        <v>-19246.86</v>
      </c>
      <c r="H45" s="482"/>
      <c r="I45" s="482"/>
    </row>
    <row r="46" spans="1:11" ht="15.75" customHeight="1" outlineLevel="1">
      <c r="A46" s="480" t="s">
        <v>313</v>
      </c>
      <c r="B46" s="434" t="s">
        <v>163</v>
      </c>
      <c r="C46" s="435" t="s">
        <v>1191</v>
      </c>
      <c r="D46" s="453">
        <f>SUMIFS('TB INC 12.22'!F:F,'TB INC 12.22'!I:I,$B46,'TB INC 12.22'!J:J,$C46)</f>
        <v>-442911.25</v>
      </c>
      <c r="E46" s="620"/>
      <c r="F46" s="453">
        <f t="shared" si="4"/>
        <v>-442911.25</v>
      </c>
      <c r="H46" s="482"/>
      <c r="I46" s="482"/>
    </row>
    <row r="47" spans="1:11" ht="15.75" customHeight="1" outlineLevel="1">
      <c r="A47" s="480" t="s">
        <v>313</v>
      </c>
      <c r="B47" s="434" t="s">
        <v>163</v>
      </c>
      <c r="C47" s="435" t="s">
        <v>166</v>
      </c>
      <c r="D47" s="453">
        <f>SUMIFS('TB INC 12.22'!F:F,'TB INC 12.22'!I:I,$B47,'TB INC 12.22'!J:J,$C47)</f>
        <v>641947.81000000006</v>
      </c>
      <c r="E47" s="620"/>
      <c r="F47" s="453">
        <f t="shared" si="4"/>
        <v>641947.81000000006</v>
      </c>
    </row>
    <row r="48" spans="1:11" ht="15.75" customHeight="1" outlineLevel="1">
      <c r="B48" s="434" t="s">
        <v>163</v>
      </c>
      <c r="C48" s="481"/>
      <c r="D48" s="453">
        <f>SUMIFS('TB INC 12.22'!F:F,'TB INC 12.22'!I:I,$B48,'TB INC 12.22'!J:J,$C48)</f>
        <v>0</v>
      </c>
      <c r="E48" s="620"/>
      <c r="F48" s="453">
        <f t="shared" si="4"/>
        <v>0</v>
      </c>
    </row>
    <row r="49" spans="1:8" ht="15.75" customHeight="1">
      <c r="A49" s="480" t="s">
        <v>314</v>
      </c>
      <c r="B49" s="434" t="s">
        <v>182</v>
      </c>
      <c r="C49" s="433" t="s">
        <v>182</v>
      </c>
      <c r="D49" s="453">
        <f>SUMIFS('TB INC 12.22'!F:F,'TB INC 12.22'!I:I,$B49,'TB INC 12.22'!J:J,$C49)</f>
        <v>89337.55</v>
      </c>
      <c r="E49" s="620"/>
      <c r="F49" s="453">
        <f t="shared" si="4"/>
        <v>89337.55</v>
      </c>
      <c r="G49" s="518">
        <f>F44+F49</f>
        <v>269127.25000000006</v>
      </c>
      <c r="H49" s="518">
        <v>269127.25000000006</v>
      </c>
    </row>
    <row r="50" spans="1:8" ht="15.75" customHeight="1">
      <c r="B50" s="469"/>
      <c r="C50" s="479"/>
      <c r="D50" s="453"/>
      <c r="E50" s="620"/>
      <c r="F50" s="453"/>
    </row>
    <row r="51" spans="1:8" ht="15.75" customHeight="1" thickBot="1">
      <c r="B51" s="469"/>
      <c r="C51" s="478" t="s">
        <v>302</v>
      </c>
      <c r="D51" s="477">
        <f>+D42+D44+D49</f>
        <v>-12793.339999973701</v>
      </c>
      <c r="E51" s="625">
        <f>+E42+E44+E49</f>
        <v>0</v>
      </c>
      <c r="F51" s="586">
        <f>+F42+F44+F49</f>
        <v>-12793.339999973701</v>
      </c>
    </row>
    <row r="52" spans="1:8" ht="15.75" customHeight="1" thickTop="1">
      <c r="B52" s="469"/>
      <c r="C52" s="450"/>
      <c r="D52" s="475"/>
      <c r="E52" s="626"/>
      <c r="F52" s="475"/>
    </row>
    <row r="53" spans="1:8" ht="18.95" customHeight="1">
      <c r="B53" s="469"/>
      <c r="C53" s="450" t="s">
        <v>471</v>
      </c>
      <c r="D53" s="519">
        <v>-699975.26</v>
      </c>
      <c r="E53" s="627"/>
      <c r="F53" s="519">
        <v>-699975.26</v>
      </c>
      <c r="G53" s="473"/>
    </row>
    <row r="54" spans="1:8" ht="15.75" customHeight="1">
      <c r="B54" s="469"/>
      <c r="C54" s="450"/>
      <c r="D54" s="472">
        <f>D51-D53</f>
        <v>687181.92000002635</v>
      </c>
      <c r="E54" s="628"/>
      <c r="F54" s="472">
        <f>F51-F53</f>
        <v>687181.92000002635</v>
      </c>
    </row>
    <row r="55" spans="1:8" ht="15.75" customHeight="1" thickBot="1">
      <c r="B55" s="469"/>
      <c r="C55" s="450"/>
      <c r="D55" s="449"/>
      <c r="E55" s="627"/>
      <c r="F55" s="449"/>
    </row>
    <row r="56" spans="1:8" ht="15.75" customHeight="1">
      <c r="B56" s="469"/>
      <c r="C56" s="471" t="s">
        <v>1535</v>
      </c>
      <c r="D56" s="520">
        <f>SUM(D21:D25)</f>
        <v>19761871.789999999</v>
      </c>
      <c r="E56" s="627"/>
      <c r="F56" s="520">
        <f>SUM(F21:F25)</f>
        <v>19761871.789999999</v>
      </c>
    </row>
    <row r="57" spans="1:8" ht="15.75" customHeight="1">
      <c r="B57" s="469"/>
      <c r="C57" s="471" t="s">
        <v>1534</v>
      </c>
      <c r="D57" s="521">
        <f>SUM(D35:D38)</f>
        <v>182761.94999999998</v>
      </c>
      <c r="E57" s="627"/>
      <c r="F57" s="521">
        <f>SUM(F35:F38)</f>
        <v>182761.94999999998</v>
      </c>
    </row>
    <row r="58" spans="1:8" ht="15.75" customHeight="1">
      <c r="B58" s="469"/>
      <c r="C58" s="471" t="s">
        <v>1533</v>
      </c>
      <c r="D58" s="522">
        <f>D28</f>
        <v>24957327.619999997</v>
      </c>
      <c r="E58" s="627"/>
      <c r="F58" s="522">
        <f>F28</f>
        <v>24957327.619999997</v>
      </c>
    </row>
    <row r="59" spans="1:8" ht="15.75" customHeight="1">
      <c r="B59" s="469"/>
      <c r="C59" s="471" t="str">
        <f>C44</f>
        <v>Financial expenses, net</v>
      </c>
      <c r="D59" s="777">
        <f>D44</f>
        <v>179789.70000000007</v>
      </c>
      <c r="F59" s="777">
        <f>F44</f>
        <v>179789.70000000007</v>
      </c>
    </row>
    <row r="60" spans="1:8" ht="15.75" customHeight="1">
      <c r="B60" s="469"/>
      <c r="C60" s="471" t="str">
        <f>C49</f>
        <v>Tax expenses</v>
      </c>
      <c r="D60" s="777">
        <f>D49</f>
        <v>89337.55</v>
      </c>
      <c r="F60" s="777">
        <f>F49</f>
        <v>89337.55</v>
      </c>
    </row>
    <row r="61" spans="1:8" ht="15.75" customHeight="1">
      <c r="B61" s="469"/>
      <c r="C61" s="471" t="s">
        <v>1532</v>
      </c>
      <c r="D61" s="522">
        <f>D57*1.07+D58+D56+D59+D60</f>
        <v>45183881.946499996</v>
      </c>
      <c r="E61" s="627"/>
      <c r="F61" s="522">
        <f>F57*1.07+F58+F56+F59+F60</f>
        <v>45183881.946499996</v>
      </c>
    </row>
    <row r="62" spans="1:8" ht="15.75" customHeight="1">
      <c r="B62" s="469"/>
      <c r="C62" s="427"/>
      <c r="D62" s="523">
        <f>D61+D11</f>
        <v>-3.5000070929527283E-3</v>
      </c>
      <c r="E62" s="627"/>
      <c r="F62" s="523">
        <f>F61+F11</f>
        <v>-3.5000070929527283E-3</v>
      </c>
    </row>
    <row r="63" spans="1:8" ht="15.75" customHeight="1">
      <c r="B63" s="469"/>
      <c r="C63" s="430"/>
      <c r="D63" s="522"/>
      <c r="E63" s="627"/>
      <c r="F63" s="522"/>
    </row>
    <row r="64" spans="1:8" ht="15.75" customHeight="1">
      <c r="B64" s="469"/>
      <c r="C64" s="430" t="s">
        <v>320</v>
      </c>
      <c r="D64" s="522">
        <f>SUM(D12:D17)</f>
        <v>-339405831.35000002</v>
      </c>
      <c r="E64" s="627"/>
      <c r="F64" s="522">
        <f>SUM(F12:F17)</f>
        <v>-339405831.35000002</v>
      </c>
    </row>
    <row r="65" spans="2:16" ht="15.75" customHeight="1" thickBot="1">
      <c r="B65" s="469"/>
      <c r="C65" s="430" t="s">
        <v>321</v>
      </c>
      <c r="D65" s="524">
        <f>(-D39-D38)</f>
        <v>-339449012.94</v>
      </c>
      <c r="E65" s="627"/>
      <c r="F65" s="524">
        <f>(-F39-F38)</f>
        <v>-339449012.94</v>
      </c>
      <c r="G65" s="595">
        <f>F65-J23</f>
        <v>187977.79999995232</v>
      </c>
    </row>
    <row r="66" spans="2:16" ht="15.75" customHeight="1" thickBot="1">
      <c r="B66" s="469"/>
      <c r="C66" s="430"/>
      <c r="D66" s="525">
        <f>D64-D65</f>
        <v>43181.589999973774</v>
      </c>
      <c r="E66" s="627"/>
      <c r="F66" s="524">
        <f>F64-F65</f>
        <v>43181.589999973774</v>
      </c>
    </row>
    <row r="67" spans="2:16" ht="15.75" customHeight="1">
      <c r="B67" s="469"/>
      <c r="C67" s="450"/>
      <c r="D67" s="449"/>
      <c r="E67" s="627"/>
      <c r="K67" s="638"/>
      <c r="L67" s="447"/>
      <c r="M67" s="255"/>
      <c r="N67" s="255"/>
      <c r="P67" s="255"/>
    </row>
    <row r="68" spans="2:16" ht="15.75" customHeight="1" thickBot="1">
      <c r="B68" s="469"/>
      <c r="C68" s="450"/>
      <c r="D68" s="449"/>
      <c r="E68" s="627"/>
      <c r="K68" s="529"/>
      <c r="L68" s="630"/>
      <c r="M68" s="613"/>
      <c r="N68" s="613"/>
      <c r="O68" s="530"/>
      <c r="P68" s="595"/>
    </row>
    <row r="69" spans="2:16" ht="15.75" customHeight="1">
      <c r="B69" s="469"/>
      <c r="C69" s="450"/>
      <c r="D69" s="526"/>
      <c r="E69" s="629"/>
      <c r="F69" s="254" t="s">
        <v>1559</v>
      </c>
      <c r="G69" s="254" t="s">
        <v>1560</v>
      </c>
      <c r="H69" s="533"/>
      <c r="I69" s="527"/>
      <c r="K69" s="529"/>
      <c r="L69" s="630"/>
      <c r="M69" s="613"/>
      <c r="N69" s="613"/>
      <c r="O69" s="530"/>
      <c r="P69" s="595"/>
    </row>
    <row r="70" spans="2:16" ht="15.75" customHeight="1">
      <c r="B70" s="469"/>
      <c r="C70" s="450"/>
      <c r="D70" s="528" t="s">
        <v>1561</v>
      </c>
      <c r="E70" s="630">
        <f>SUM(F21:F25)</f>
        <v>19761871.789999999</v>
      </c>
      <c r="F70" s="613">
        <f>E70</f>
        <v>19761871.789999999</v>
      </c>
      <c r="G70" s="613">
        <f>'P&amp;L LTD  USD'!D31</f>
        <v>19761871.690000001</v>
      </c>
      <c r="H70" s="530">
        <f>F70-G70</f>
        <v>9.9999997764825821E-2</v>
      </c>
      <c r="I70" s="615">
        <v>5877.1766599975526</v>
      </c>
      <c r="K70" s="529"/>
      <c r="L70" s="630"/>
      <c r="M70" s="613"/>
      <c r="N70" s="613"/>
      <c r="O70" s="530"/>
      <c r="P70" s="595"/>
    </row>
    <row r="71" spans="2:16" ht="15.75" customHeight="1">
      <c r="B71" s="469"/>
      <c r="C71" s="450"/>
      <c r="D71" s="528" t="s">
        <v>1562</v>
      </c>
      <c r="E71" s="630">
        <f>SUM(F29:F32)</f>
        <v>24957327.619999997</v>
      </c>
      <c r="F71" s="613">
        <f>E71</f>
        <v>24957327.619999997</v>
      </c>
      <c r="G71" s="613">
        <f>'P&amp;L LTD  USD'!D80</f>
        <v>24957328.310000002</v>
      </c>
      <c r="H71" s="530">
        <f>F71-G71</f>
        <v>-0.69000000506639481</v>
      </c>
      <c r="I71" s="615">
        <v>-0.69000000506639481</v>
      </c>
      <c r="K71" s="529"/>
      <c r="L71" s="630"/>
      <c r="M71" s="613"/>
      <c r="N71" s="613"/>
      <c r="O71" s="529"/>
      <c r="P71" s="255"/>
    </row>
    <row r="72" spans="2:16" ht="15.75" customHeight="1">
      <c r="B72" s="469"/>
      <c r="C72" s="450"/>
      <c r="D72" s="528" t="s">
        <v>1563</v>
      </c>
      <c r="E72" s="630">
        <f>SUM(F35:F38)</f>
        <v>182761.94999999998</v>
      </c>
      <c r="F72" s="613">
        <f>SUM(F35:F37)*1.054</f>
        <v>147117.69944</v>
      </c>
      <c r="G72" s="613">
        <f>'P&amp;L LTD  USD'!D107</f>
        <v>195554.4</v>
      </c>
      <c r="H72" s="530">
        <f>F72-G72</f>
        <v>-48436.700559999997</v>
      </c>
      <c r="I72" s="615">
        <v>70756.695299999992</v>
      </c>
      <c r="K72" s="529"/>
      <c r="L72" s="632"/>
      <c r="N72" s="529"/>
      <c r="O72" s="530"/>
      <c r="P72" s="255"/>
    </row>
    <row r="73" spans="2:16" ht="15.75" customHeight="1">
      <c r="B73" s="469"/>
      <c r="C73" s="450"/>
      <c r="D73" s="528"/>
      <c r="E73" s="630"/>
      <c r="F73" s="613"/>
      <c r="G73" s="613"/>
      <c r="H73" s="529"/>
      <c r="I73" s="258"/>
    </row>
    <row r="74" spans="2:16" ht="15.75" customHeight="1" thickBot="1">
      <c r="B74" s="469"/>
      <c r="C74" s="450"/>
      <c r="D74" s="531"/>
      <c r="E74" s="631"/>
      <c r="F74" s="587"/>
      <c r="G74" s="532"/>
      <c r="H74" s="641">
        <f>SUM(H70:H73)</f>
        <v>-48437.290560007299</v>
      </c>
      <c r="I74" s="535" t="s">
        <v>1564</v>
      </c>
      <c r="K74" s="638"/>
      <c r="L74" s="447"/>
      <c r="M74" s="255"/>
      <c r="N74" s="255"/>
      <c r="P74" s="255"/>
    </row>
    <row r="75" spans="2:16" ht="15.75" customHeight="1">
      <c r="B75" s="469"/>
      <c r="C75" s="450"/>
      <c r="D75" s="529"/>
      <c r="E75" s="630"/>
      <c r="F75" s="613"/>
      <c r="G75" s="613"/>
      <c r="H75" s="644"/>
      <c r="I75" s="637"/>
      <c r="K75" s="529"/>
      <c r="L75" s="630"/>
      <c r="M75" s="613"/>
      <c r="N75" s="613"/>
      <c r="O75" s="639"/>
      <c r="P75" s="255"/>
    </row>
    <row r="76" spans="2:16" ht="15.75" customHeight="1">
      <c r="B76" s="469"/>
      <c r="C76" s="450"/>
      <c r="D76" s="529"/>
      <c r="E76" s="632"/>
      <c r="F76" s="529"/>
      <c r="G76" s="529"/>
      <c r="H76" s="530"/>
      <c r="K76" s="529"/>
      <c r="L76" s="632"/>
      <c r="M76" s="529"/>
      <c r="N76" s="529"/>
      <c r="O76" s="530"/>
    </row>
    <row r="77" spans="2:16" ht="15.75" customHeight="1">
      <c r="B77" s="469"/>
      <c r="C77" s="450"/>
      <c r="D77" s="529"/>
      <c r="E77" s="632"/>
      <c r="F77" s="529"/>
      <c r="G77" s="529"/>
      <c r="H77" s="642"/>
      <c r="K77" s="529"/>
      <c r="L77" s="632"/>
      <c r="M77" s="529"/>
      <c r="N77" s="529"/>
      <c r="O77" s="215"/>
    </row>
    <row r="78" spans="2:16" ht="15.75" customHeight="1">
      <c r="B78" s="469"/>
      <c r="C78" s="450"/>
      <c r="D78" s="449"/>
      <c r="E78" s="618"/>
    </row>
    <row r="79" spans="2:16" ht="15.75" customHeight="1">
      <c r="B79" s="469"/>
      <c r="C79" s="450"/>
      <c r="D79" s="449"/>
      <c r="E79" s="618"/>
      <c r="F79" s="518"/>
      <c r="H79" s="643"/>
    </row>
    <row r="80" spans="2:16" ht="15.75" customHeight="1">
      <c r="B80" s="469"/>
      <c r="C80" s="450"/>
      <c r="D80" s="449"/>
      <c r="E80" s="618"/>
    </row>
    <row r="81" spans="2:5" ht="15.75" customHeight="1">
      <c r="B81" s="469"/>
      <c r="C81" s="450"/>
      <c r="D81" s="449"/>
      <c r="E81" s="618"/>
    </row>
    <row r="82" spans="2:5" ht="15.75" customHeight="1">
      <c r="B82" s="469"/>
      <c r="C82" s="450"/>
      <c r="D82" s="449"/>
      <c r="E82" s="618"/>
    </row>
    <row r="83" spans="2:5" ht="15.75" customHeight="1">
      <c r="B83" s="469"/>
      <c r="C83" s="450"/>
      <c r="D83" s="449"/>
      <c r="E83" s="618"/>
    </row>
    <row r="84" spans="2:5" ht="15.75" customHeight="1">
      <c r="B84" s="469"/>
      <c r="C84" s="450"/>
      <c r="D84" s="449"/>
      <c r="E84" s="618"/>
    </row>
    <row r="85" spans="2:5" ht="15.75" customHeight="1">
      <c r="B85" s="469"/>
      <c r="C85" s="450"/>
      <c r="D85" s="449"/>
      <c r="E85" s="618"/>
    </row>
    <row r="86" spans="2:5" ht="15.75" customHeight="1">
      <c r="B86" s="469"/>
      <c r="C86" s="450"/>
      <c r="D86" s="449"/>
      <c r="E86" s="618"/>
    </row>
    <row r="87" spans="2:5" ht="15.75" customHeight="1">
      <c r="B87" s="469"/>
      <c r="C87" s="450"/>
      <c r="D87" s="449"/>
      <c r="E87" s="618"/>
    </row>
    <row r="88" spans="2:5" ht="15.75" customHeight="1">
      <c r="B88" s="469"/>
      <c r="C88" s="450"/>
      <c r="D88" s="449"/>
      <c r="E88" s="618"/>
    </row>
    <row r="89" spans="2:5" ht="15.75" customHeight="1">
      <c r="B89" s="469"/>
      <c r="C89" s="450"/>
      <c r="D89" s="449"/>
      <c r="E89" s="618"/>
    </row>
    <row r="90" spans="2:5" ht="15.75" customHeight="1">
      <c r="B90" s="469"/>
      <c r="C90" s="450"/>
      <c r="D90" s="449"/>
      <c r="E90" s="618"/>
    </row>
    <row r="91" spans="2:5" ht="15.75" customHeight="1">
      <c r="B91" s="469"/>
      <c r="C91" s="450"/>
      <c r="D91" s="449"/>
      <c r="E91" s="618"/>
    </row>
    <row r="92" spans="2:5" ht="15.75" customHeight="1">
      <c r="B92" s="469"/>
      <c r="C92" s="450"/>
      <c r="D92" s="449"/>
      <c r="E92" s="618"/>
    </row>
    <row r="93" spans="2:5" ht="15.75" customHeight="1">
      <c r="B93" s="469"/>
      <c r="C93" s="450"/>
      <c r="D93" s="449"/>
      <c r="E93" s="618"/>
    </row>
    <row r="94" spans="2:5" ht="15.75" customHeight="1">
      <c r="B94" s="469"/>
      <c r="C94" s="450"/>
      <c r="D94" s="449"/>
      <c r="E94" s="618"/>
    </row>
    <row r="95" spans="2:5" ht="15.75" customHeight="1">
      <c r="B95" s="469"/>
      <c r="C95" s="450"/>
      <c r="D95" s="449"/>
      <c r="E95" s="618"/>
    </row>
    <row r="96" spans="2:5" ht="15.75" customHeight="1">
      <c r="B96" s="469"/>
      <c r="C96" s="450"/>
      <c r="D96" s="449"/>
      <c r="E96" s="618"/>
    </row>
    <row r="97" spans="2:5" ht="15.75" customHeight="1">
      <c r="B97" s="469"/>
      <c r="C97" s="450"/>
      <c r="D97" s="449"/>
      <c r="E97" s="618"/>
    </row>
    <row r="98" spans="2:5" ht="15.75" customHeight="1">
      <c r="B98" s="469"/>
      <c r="C98" s="450"/>
      <c r="D98" s="449"/>
      <c r="E98" s="618"/>
    </row>
    <row r="99" spans="2:5" ht="15.75" customHeight="1">
      <c r="B99" s="469"/>
      <c r="C99" s="450"/>
      <c r="D99" s="449"/>
      <c r="E99" s="618"/>
    </row>
    <row r="100" spans="2:5" ht="15.75" customHeight="1">
      <c r="B100" s="469"/>
      <c r="C100" s="450"/>
      <c r="D100" s="449"/>
      <c r="E100" s="618"/>
    </row>
    <row r="101" spans="2:5" ht="15.75" customHeight="1">
      <c r="B101" s="469"/>
      <c r="C101" s="450"/>
      <c r="D101" s="449"/>
      <c r="E101" s="618"/>
    </row>
    <row r="102" spans="2:5" ht="15.75" customHeight="1">
      <c r="B102" s="469"/>
      <c r="C102" s="450"/>
      <c r="D102" s="449"/>
      <c r="E102" s="618"/>
    </row>
    <row r="103" spans="2:5" ht="15.75" customHeight="1">
      <c r="B103" s="469"/>
      <c r="C103" s="450"/>
      <c r="D103" s="449"/>
      <c r="E103" s="618"/>
    </row>
    <row r="104" spans="2:5" ht="15.75" customHeight="1">
      <c r="B104" s="469"/>
      <c r="C104" s="450"/>
      <c r="D104" s="449"/>
      <c r="E104" s="618"/>
    </row>
    <row r="105" spans="2:5" ht="15.75" customHeight="1">
      <c r="B105" s="469"/>
      <c r="C105" s="450"/>
      <c r="D105" s="449"/>
      <c r="E105" s="618"/>
    </row>
    <row r="106" spans="2:5" ht="15.75" customHeight="1">
      <c r="B106" s="469"/>
      <c r="C106" s="450"/>
      <c r="D106" s="449"/>
      <c r="E106" s="618"/>
    </row>
    <row r="107" spans="2:5" ht="15.75" customHeight="1">
      <c r="B107" s="469"/>
      <c r="C107" s="450"/>
      <c r="D107" s="449"/>
      <c r="E107" s="618"/>
    </row>
    <row r="108" spans="2:5" ht="15.75" customHeight="1">
      <c r="B108" s="469"/>
      <c r="C108" s="450"/>
      <c r="D108" s="449"/>
      <c r="E108" s="618"/>
    </row>
    <row r="109" spans="2:5" ht="15.75" customHeight="1">
      <c r="B109" s="469"/>
      <c r="C109" s="450"/>
      <c r="D109" s="449"/>
      <c r="E109" s="618"/>
    </row>
    <row r="110" spans="2:5" ht="15.75" customHeight="1">
      <c r="B110" s="469"/>
      <c r="C110" s="450"/>
      <c r="D110" s="449"/>
      <c r="E110" s="618"/>
    </row>
    <row r="111" spans="2:5" ht="15.75" customHeight="1">
      <c r="B111" s="469"/>
      <c r="C111" s="450"/>
      <c r="D111" s="449"/>
      <c r="E111" s="618"/>
    </row>
    <row r="112" spans="2:5" ht="15.75" customHeight="1">
      <c r="B112" s="469"/>
      <c r="C112" s="450"/>
      <c r="D112" s="449"/>
      <c r="E112" s="618"/>
    </row>
    <row r="113" spans="2:5" ht="15.75" customHeight="1">
      <c r="B113" s="469"/>
      <c r="C113" s="450"/>
      <c r="D113" s="449"/>
      <c r="E113" s="618"/>
    </row>
    <row r="114" spans="2:5" ht="15.75" customHeight="1">
      <c r="B114" s="469"/>
      <c r="C114" s="450"/>
      <c r="D114" s="449"/>
      <c r="E114" s="618"/>
    </row>
    <row r="115" spans="2:5" ht="15.75" customHeight="1">
      <c r="B115" s="469"/>
      <c r="C115" s="450"/>
      <c r="D115" s="449"/>
      <c r="E115" s="618"/>
    </row>
    <row r="116" spans="2:5" ht="15.75" customHeight="1">
      <c r="B116" s="469"/>
      <c r="C116" s="450"/>
      <c r="D116" s="449"/>
      <c r="E116" s="618"/>
    </row>
    <row r="117" spans="2:5" ht="15.75" customHeight="1">
      <c r="B117" s="469"/>
      <c r="C117" s="450"/>
      <c r="D117" s="449"/>
      <c r="E117" s="618"/>
    </row>
    <row r="118" spans="2:5" ht="15.75" customHeight="1">
      <c r="B118" s="469"/>
      <c r="C118" s="450"/>
      <c r="D118" s="449"/>
      <c r="E118" s="618"/>
    </row>
    <row r="119" spans="2:5" ht="15.75" customHeight="1">
      <c r="B119" s="469"/>
      <c r="C119" s="450"/>
      <c r="D119" s="449"/>
      <c r="E119" s="618"/>
    </row>
    <row r="120" spans="2:5" ht="15.75" customHeight="1">
      <c r="B120" s="469"/>
      <c r="C120" s="450"/>
      <c r="D120" s="449"/>
      <c r="E120" s="618"/>
    </row>
    <row r="121" spans="2:5" ht="15.75" customHeight="1">
      <c r="B121" s="469"/>
      <c r="C121" s="450"/>
      <c r="D121" s="449"/>
      <c r="E121" s="618"/>
    </row>
    <row r="122" spans="2:5" ht="15.75" customHeight="1">
      <c r="B122" s="469"/>
      <c r="C122" s="450"/>
      <c r="D122" s="449"/>
      <c r="E122" s="618"/>
    </row>
    <row r="123" spans="2:5" ht="15.75" customHeight="1">
      <c r="B123" s="469"/>
      <c r="C123" s="450"/>
      <c r="D123" s="449"/>
      <c r="E123" s="618"/>
    </row>
    <row r="124" spans="2:5" ht="15.75" customHeight="1">
      <c r="B124" s="469"/>
      <c r="C124" s="450"/>
      <c r="D124" s="449"/>
      <c r="E124" s="618"/>
    </row>
    <row r="125" spans="2:5" ht="15.75" customHeight="1">
      <c r="B125" s="469"/>
      <c r="C125" s="450"/>
      <c r="D125" s="449"/>
      <c r="E125" s="618"/>
    </row>
    <row r="126" spans="2:5" ht="15.75" customHeight="1">
      <c r="B126" s="469"/>
      <c r="C126" s="450"/>
      <c r="D126" s="449"/>
      <c r="E126" s="618"/>
    </row>
    <row r="127" spans="2:5" ht="15.75" customHeight="1">
      <c r="B127" s="469"/>
      <c r="C127" s="450"/>
      <c r="D127" s="449"/>
      <c r="E127" s="618"/>
    </row>
    <row r="128" spans="2:5" ht="15.75" customHeight="1">
      <c r="B128" s="469"/>
      <c r="C128" s="450"/>
      <c r="D128" s="449"/>
      <c r="E128" s="618"/>
    </row>
    <row r="129" spans="2:5" ht="15.75" customHeight="1">
      <c r="B129" s="469"/>
      <c r="C129" s="450"/>
      <c r="D129" s="449"/>
      <c r="E129" s="618"/>
    </row>
    <row r="130" spans="2:5" ht="15.75" customHeight="1">
      <c r="B130" s="469"/>
      <c r="C130" s="450"/>
      <c r="D130" s="449"/>
      <c r="E130" s="618"/>
    </row>
    <row r="131" spans="2:5" ht="15.75" customHeight="1">
      <c r="B131" s="469"/>
      <c r="C131" s="450"/>
      <c r="D131" s="449"/>
      <c r="E131" s="618"/>
    </row>
    <row r="132" spans="2:5" ht="15.75" customHeight="1">
      <c r="B132" s="469"/>
      <c r="C132" s="450"/>
      <c r="D132" s="449"/>
      <c r="E132" s="618"/>
    </row>
    <row r="133" spans="2:5" ht="15.75" customHeight="1">
      <c r="B133" s="469"/>
      <c r="C133" s="450"/>
      <c r="D133" s="449"/>
      <c r="E133" s="618"/>
    </row>
    <row r="134" spans="2:5" ht="15.75" customHeight="1">
      <c r="B134" s="469"/>
      <c r="C134" s="450"/>
      <c r="D134" s="449"/>
      <c r="E134" s="618"/>
    </row>
    <row r="135" spans="2:5" ht="15.75" customHeight="1">
      <c r="B135" s="469"/>
      <c r="C135" s="450"/>
      <c r="D135" s="449"/>
      <c r="E135" s="618"/>
    </row>
    <row r="136" spans="2:5" ht="15.75" customHeight="1">
      <c r="B136" s="469"/>
      <c r="C136" s="450"/>
      <c r="D136" s="449"/>
      <c r="E136" s="618"/>
    </row>
    <row r="137" spans="2:5" ht="15.75" customHeight="1">
      <c r="B137" s="469"/>
      <c r="C137" s="450"/>
      <c r="D137" s="449"/>
      <c r="E137" s="618"/>
    </row>
    <row r="138" spans="2:5" ht="15.75" customHeight="1">
      <c r="B138" s="469"/>
      <c r="C138" s="450"/>
      <c r="D138" s="449"/>
      <c r="E138" s="618"/>
    </row>
    <row r="139" spans="2:5" ht="15.75" customHeight="1">
      <c r="B139" s="469"/>
      <c r="C139" s="450"/>
      <c r="D139" s="449"/>
      <c r="E139" s="618"/>
    </row>
    <row r="140" spans="2:5" ht="15.75" customHeight="1">
      <c r="B140" s="469"/>
      <c r="C140" s="450"/>
      <c r="D140" s="449"/>
      <c r="E140" s="618"/>
    </row>
    <row r="141" spans="2:5" ht="15.75" customHeight="1">
      <c r="B141" s="469"/>
      <c r="C141" s="450"/>
      <c r="D141" s="449"/>
      <c r="E141" s="618"/>
    </row>
    <row r="142" spans="2:5" ht="15.75" customHeight="1">
      <c r="B142" s="469"/>
      <c r="C142" s="450"/>
      <c r="D142" s="449"/>
      <c r="E142" s="618"/>
    </row>
    <row r="143" spans="2:5" ht="15.75" customHeight="1">
      <c r="B143" s="469"/>
      <c r="C143" s="450"/>
      <c r="D143" s="449"/>
      <c r="E143" s="618"/>
    </row>
    <row r="144" spans="2:5" ht="15.75" customHeight="1">
      <c r="B144" s="469"/>
      <c r="C144" s="450"/>
      <c r="D144" s="449"/>
      <c r="E144" s="618"/>
    </row>
    <row r="145" spans="2:5" ht="15.75" customHeight="1">
      <c r="B145" s="469"/>
      <c r="C145" s="450"/>
      <c r="D145" s="449"/>
      <c r="E145" s="618"/>
    </row>
    <row r="146" spans="2:5" ht="15.75" customHeight="1">
      <c r="B146" s="469"/>
      <c r="C146" s="450"/>
      <c r="D146" s="449"/>
      <c r="E146" s="618"/>
    </row>
    <row r="147" spans="2:5" ht="15.75" customHeight="1">
      <c r="B147" s="469"/>
      <c r="C147" s="450"/>
      <c r="D147" s="449"/>
      <c r="E147" s="618"/>
    </row>
    <row r="148" spans="2:5" ht="15.75" customHeight="1">
      <c r="B148" s="469"/>
      <c r="C148" s="450"/>
      <c r="D148" s="449"/>
      <c r="E148" s="618"/>
    </row>
    <row r="149" spans="2:5" ht="15.75" customHeight="1">
      <c r="B149" s="469"/>
      <c r="C149" s="450"/>
      <c r="D149" s="449"/>
      <c r="E149" s="618"/>
    </row>
    <row r="150" spans="2:5" ht="15.75" customHeight="1">
      <c r="B150" s="469"/>
      <c r="C150" s="450"/>
      <c r="D150" s="449"/>
      <c r="E150" s="618"/>
    </row>
    <row r="151" spans="2:5" ht="15.75" customHeight="1">
      <c r="B151" s="469"/>
      <c r="C151" s="450"/>
      <c r="D151" s="449"/>
      <c r="E151" s="618"/>
    </row>
    <row r="152" spans="2:5" ht="15.75" customHeight="1">
      <c r="B152" s="469"/>
      <c r="C152" s="450"/>
      <c r="D152" s="449"/>
      <c r="E152" s="618"/>
    </row>
    <row r="153" spans="2:5" ht="15.75" customHeight="1">
      <c r="B153" s="469"/>
      <c r="C153" s="450"/>
      <c r="D153" s="449"/>
      <c r="E153" s="618"/>
    </row>
    <row r="154" spans="2:5" ht="15.75" customHeight="1">
      <c r="B154" s="469"/>
      <c r="C154" s="450"/>
      <c r="D154" s="449"/>
      <c r="E154" s="618"/>
    </row>
    <row r="155" spans="2:5" ht="15.75" customHeight="1">
      <c r="B155" s="469"/>
      <c r="C155" s="450"/>
      <c r="D155" s="449"/>
      <c r="E155" s="618"/>
    </row>
    <row r="156" spans="2:5" ht="15.75" customHeight="1">
      <c r="B156" s="469"/>
      <c r="C156" s="450"/>
      <c r="D156" s="449"/>
      <c r="E156" s="618"/>
    </row>
    <row r="157" spans="2:5" ht="15.75" customHeight="1">
      <c r="B157" s="469"/>
      <c r="C157" s="450"/>
      <c r="D157" s="449"/>
      <c r="E157" s="618"/>
    </row>
    <row r="158" spans="2:5" ht="15.75" customHeight="1">
      <c r="B158" s="469"/>
      <c r="C158" s="450"/>
      <c r="D158" s="449"/>
      <c r="E158" s="618"/>
    </row>
    <row r="159" spans="2:5" ht="15.75" customHeight="1">
      <c r="B159" s="469"/>
      <c r="C159" s="450"/>
      <c r="D159" s="449"/>
      <c r="E159" s="618"/>
    </row>
    <row r="160" spans="2:5" ht="15.75" customHeight="1">
      <c r="B160" s="469"/>
      <c r="C160" s="450"/>
      <c r="D160" s="449"/>
      <c r="E160" s="618"/>
    </row>
    <row r="161" spans="2:5" ht="15.75" customHeight="1">
      <c r="B161" s="469"/>
      <c r="C161" s="450"/>
      <c r="D161" s="449"/>
      <c r="E161" s="618"/>
    </row>
    <row r="162" spans="2:5" ht="15.75" customHeight="1">
      <c r="B162" s="469"/>
      <c r="C162" s="450"/>
      <c r="D162" s="449"/>
      <c r="E162" s="618"/>
    </row>
    <row r="163" spans="2:5" ht="15.75" customHeight="1">
      <c r="B163" s="469"/>
      <c r="C163" s="450"/>
      <c r="D163" s="449"/>
      <c r="E163" s="618"/>
    </row>
    <row r="164" spans="2:5" ht="15.75" customHeight="1">
      <c r="B164" s="469"/>
      <c r="C164" s="450"/>
      <c r="D164" s="449"/>
      <c r="E164" s="618"/>
    </row>
    <row r="165" spans="2:5" ht="15.75" customHeight="1">
      <c r="B165" s="469"/>
      <c r="C165" s="450"/>
      <c r="D165" s="449"/>
      <c r="E165" s="618"/>
    </row>
    <row r="166" spans="2:5" ht="15.75" customHeight="1">
      <c r="B166" s="469"/>
      <c r="C166" s="450"/>
      <c r="D166" s="449"/>
      <c r="E166" s="618"/>
    </row>
    <row r="167" spans="2:5" ht="15.75" customHeight="1">
      <c r="B167" s="469"/>
      <c r="C167" s="450"/>
      <c r="D167" s="449"/>
      <c r="E167" s="618"/>
    </row>
    <row r="168" spans="2:5" ht="15.75" customHeight="1">
      <c r="B168" s="469"/>
      <c r="C168" s="450"/>
      <c r="D168" s="449"/>
      <c r="E168" s="618"/>
    </row>
    <row r="169" spans="2:5" ht="15.75" customHeight="1">
      <c r="B169" s="469"/>
      <c r="C169" s="450"/>
      <c r="D169" s="449"/>
      <c r="E169" s="618"/>
    </row>
    <row r="170" spans="2:5" ht="15.75" customHeight="1">
      <c r="B170" s="469"/>
      <c r="C170" s="450"/>
      <c r="D170" s="449"/>
      <c r="E170" s="618"/>
    </row>
    <row r="171" spans="2:5" ht="15.75" customHeight="1">
      <c r="B171" s="469"/>
      <c r="C171" s="450"/>
      <c r="D171" s="449"/>
      <c r="E171" s="618"/>
    </row>
    <row r="172" spans="2:5" ht="15.75" customHeight="1">
      <c r="B172" s="469"/>
      <c r="C172" s="450"/>
      <c r="D172" s="449"/>
      <c r="E172" s="618"/>
    </row>
    <row r="173" spans="2:5" ht="15.75" customHeight="1">
      <c r="B173" s="469"/>
      <c r="C173" s="450"/>
      <c r="D173" s="449"/>
      <c r="E173" s="618"/>
    </row>
    <row r="174" spans="2:5" ht="15.75" customHeight="1">
      <c r="B174" s="469"/>
      <c r="C174" s="450"/>
      <c r="D174" s="449"/>
      <c r="E174" s="618"/>
    </row>
    <row r="175" spans="2:5" ht="15.75" customHeight="1">
      <c r="B175" s="469"/>
      <c r="C175" s="450"/>
      <c r="D175" s="449"/>
      <c r="E175" s="618"/>
    </row>
    <row r="176" spans="2:5" ht="15.75" customHeight="1">
      <c r="B176" s="469"/>
      <c r="C176" s="450"/>
      <c r="D176" s="449"/>
      <c r="E176" s="618"/>
    </row>
    <row r="177" spans="2:5" ht="15.75" customHeight="1">
      <c r="B177" s="469"/>
      <c r="C177" s="450"/>
      <c r="D177" s="449"/>
      <c r="E177" s="618"/>
    </row>
    <row r="178" spans="2:5" ht="15.75" customHeight="1">
      <c r="B178" s="469"/>
      <c r="C178" s="450"/>
      <c r="D178" s="449"/>
      <c r="E178" s="618"/>
    </row>
    <row r="179" spans="2:5" ht="15.75" customHeight="1">
      <c r="B179" s="469"/>
      <c r="C179" s="450"/>
      <c r="D179" s="449"/>
      <c r="E179" s="618"/>
    </row>
    <row r="180" spans="2:5" ht="15.75" customHeight="1">
      <c r="B180" s="469"/>
      <c r="C180" s="450"/>
      <c r="D180" s="449"/>
      <c r="E180" s="618"/>
    </row>
    <row r="181" spans="2:5" ht="15.75" customHeight="1">
      <c r="B181" s="469"/>
      <c r="C181" s="450"/>
      <c r="D181" s="449"/>
      <c r="E181" s="618"/>
    </row>
    <row r="182" spans="2:5" ht="15.75" customHeight="1">
      <c r="B182" s="469"/>
      <c r="C182" s="450"/>
      <c r="D182" s="449"/>
      <c r="E182" s="618"/>
    </row>
    <row r="183" spans="2:5" ht="15.75" customHeight="1">
      <c r="B183" s="469"/>
      <c r="C183" s="450"/>
      <c r="D183" s="449"/>
      <c r="E183" s="618"/>
    </row>
    <row r="184" spans="2:5" ht="15.75" customHeight="1">
      <c r="B184" s="469"/>
      <c r="C184" s="450"/>
      <c r="D184" s="449"/>
      <c r="E184" s="618"/>
    </row>
    <row r="185" spans="2:5" ht="15.75" customHeight="1">
      <c r="B185" s="469"/>
      <c r="C185" s="450"/>
      <c r="D185" s="449"/>
      <c r="E185" s="618"/>
    </row>
    <row r="186" spans="2:5" ht="15.75" customHeight="1">
      <c r="B186" s="469"/>
      <c r="C186" s="450"/>
      <c r="D186" s="449"/>
      <c r="E186" s="618"/>
    </row>
    <row r="187" spans="2:5" ht="15.75" customHeight="1">
      <c r="B187" s="469"/>
      <c r="C187" s="450"/>
      <c r="D187" s="449"/>
      <c r="E187" s="618"/>
    </row>
    <row r="188" spans="2:5" ht="15.75" customHeight="1">
      <c r="B188" s="469"/>
      <c r="C188" s="450"/>
      <c r="D188" s="449"/>
      <c r="E188" s="618"/>
    </row>
    <row r="189" spans="2:5" ht="15.75" customHeight="1">
      <c r="B189" s="469"/>
      <c r="C189" s="450"/>
      <c r="D189" s="449"/>
      <c r="E189" s="618"/>
    </row>
    <row r="190" spans="2:5" ht="15.75" customHeight="1">
      <c r="B190" s="469"/>
      <c r="C190" s="450"/>
      <c r="D190" s="449"/>
      <c r="E190" s="618"/>
    </row>
    <row r="191" spans="2:5" ht="15.75" customHeight="1">
      <c r="B191" s="469"/>
      <c r="C191" s="450"/>
      <c r="D191" s="449"/>
      <c r="E191" s="618"/>
    </row>
    <row r="192" spans="2:5" ht="15.75" customHeight="1">
      <c r="B192" s="469"/>
      <c r="C192" s="450"/>
      <c r="D192" s="449"/>
      <c r="E192" s="618"/>
    </row>
    <row r="193" spans="2:5" ht="15.75" customHeight="1">
      <c r="B193" s="469"/>
      <c r="C193" s="450"/>
      <c r="D193" s="449"/>
      <c r="E193" s="618"/>
    </row>
    <row r="194" spans="2:5" ht="15.75" customHeight="1">
      <c r="B194" s="469"/>
      <c r="C194" s="450"/>
      <c r="D194" s="449"/>
      <c r="E194" s="618"/>
    </row>
    <row r="195" spans="2:5" ht="15.75" customHeight="1">
      <c r="B195" s="469"/>
      <c r="C195" s="450"/>
      <c r="D195" s="449"/>
      <c r="E195" s="618"/>
    </row>
    <row r="196" spans="2:5" ht="15.75" customHeight="1">
      <c r="B196" s="469"/>
      <c r="C196" s="450"/>
      <c r="D196" s="449"/>
      <c r="E196" s="618"/>
    </row>
    <row r="197" spans="2:5" ht="15.75" customHeight="1">
      <c r="B197" s="469"/>
      <c r="C197" s="450"/>
      <c r="D197" s="449"/>
      <c r="E197" s="618"/>
    </row>
    <row r="198" spans="2:5" ht="15.75" customHeight="1">
      <c r="B198" s="469"/>
      <c r="C198" s="450"/>
      <c r="D198" s="449"/>
      <c r="E198" s="618"/>
    </row>
    <row r="199" spans="2:5" ht="15.75" customHeight="1">
      <c r="B199" s="469"/>
      <c r="C199" s="450"/>
      <c r="D199" s="449"/>
      <c r="E199" s="618"/>
    </row>
    <row r="200" spans="2:5" ht="15.75" customHeight="1">
      <c r="B200" s="469"/>
      <c r="C200" s="450"/>
      <c r="D200" s="449"/>
      <c r="E200" s="618"/>
    </row>
    <row r="201" spans="2:5" ht="15.75" customHeight="1">
      <c r="B201" s="469"/>
      <c r="C201" s="450"/>
      <c r="D201" s="449"/>
      <c r="E201" s="618"/>
    </row>
    <row r="202" spans="2:5" ht="15.75" customHeight="1">
      <c r="B202" s="469"/>
      <c r="C202" s="450"/>
      <c r="D202" s="449"/>
      <c r="E202" s="618"/>
    </row>
    <row r="203" spans="2:5" ht="15.75" customHeight="1">
      <c r="B203" s="469"/>
      <c r="C203" s="450"/>
      <c r="D203" s="449"/>
      <c r="E203" s="618"/>
    </row>
    <row r="204" spans="2:5" ht="15.75" customHeight="1">
      <c r="B204" s="469"/>
      <c r="C204" s="450"/>
      <c r="D204" s="449"/>
      <c r="E204" s="618"/>
    </row>
    <row r="205" spans="2:5" ht="15.75" customHeight="1">
      <c r="B205" s="469"/>
      <c r="C205" s="450"/>
      <c r="D205" s="449"/>
      <c r="E205" s="618"/>
    </row>
    <row r="206" spans="2:5" ht="15.75" customHeight="1">
      <c r="B206" s="469"/>
      <c r="C206" s="450"/>
      <c r="D206" s="449"/>
      <c r="E206" s="618"/>
    </row>
    <row r="207" spans="2:5" ht="15.75" customHeight="1">
      <c r="B207" s="469"/>
      <c r="C207" s="450"/>
      <c r="D207" s="449"/>
      <c r="E207" s="618"/>
    </row>
    <row r="208" spans="2:5" ht="15.75" customHeight="1">
      <c r="B208" s="469"/>
      <c r="C208" s="450"/>
      <c r="D208" s="449"/>
      <c r="E208" s="618"/>
    </row>
    <row r="209" spans="2:5" ht="15.75" customHeight="1">
      <c r="B209" s="469"/>
      <c r="C209" s="450"/>
      <c r="D209" s="449"/>
      <c r="E209" s="618"/>
    </row>
    <row r="210" spans="2:5" ht="15.75" customHeight="1">
      <c r="B210" s="469"/>
      <c r="C210" s="450"/>
      <c r="D210" s="449"/>
      <c r="E210" s="618"/>
    </row>
    <row r="211" spans="2:5" ht="15.75" customHeight="1">
      <c r="B211" s="469"/>
      <c r="C211" s="450"/>
      <c r="D211" s="449"/>
      <c r="E211" s="618"/>
    </row>
    <row r="212" spans="2:5" ht="15.75" customHeight="1">
      <c r="B212" s="469"/>
      <c r="C212" s="450"/>
      <c r="D212" s="449"/>
      <c r="E212" s="618"/>
    </row>
    <row r="213" spans="2:5" ht="15.75" customHeight="1">
      <c r="B213" s="469"/>
      <c r="C213" s="450"/>
      <c r="D213" s="449"/>
      <c r="E213" s="618"/>
    </row>
    <row r="214" spans="2:5" ht="15.75" customHeight="1">
      <c r="B214" s="469"/>
      <c r="C214" s="450"/>
      <c r="D214" s="449"/>
      <c r="E214" s="618"/>
    </row>
    <row r="215" spans="2:5" ht="15.75" customHeight="1">
      <c r="B215" s="469"/>
      <c r="C215" s="450"/>
      <c r="D215" s="449"/>
      <c r="E215" s="618"/>
    </row>
    <row r="216" spans="2:5" ht="15.75" customHeight="1">
      <c r="B216" s="469"/>
      <c r="C216" s="450"/>
      <c r="D216" s="449"/>
      <c r="E216" s="618"/>
    </row>
    <row r="217" spans="2:5" ht="15.75" customHeight="1">
      <c r="B217" s="469"/>
      <c r="C217" s="450"/>
      <c r="D217" s="449"/>
      <c r="E217" s="618"/>
    </row>
    <row r="218" spans="2:5" ht="15.75" customHeight="1">
      <c r="B218" s="469"/>
      <c r="C218" s="450"/>
      <c r="D218" s="449"/>
      <c r="E218" s="618"/>
    </row>
    <row r="219" spans="2:5" ht="15.75" customHeight="1">
      <c r="B219" s="469"/>
      <c r="C219" s="450"/>
      <c r="D219" s="449"/>
      <c r="E219" s="618"/>
    </row>
    <row r="220" spans="2:5" ht="15.75" customHeight="1">
      <c r="B220" s="469"/>
      <c r="C220" s="450"/>
      <c r="D220" s="449"/>
      <c r="E220" s="618"/>
    </row>
    <row r="221" spans="2:5" ht="15.75" customHeight="1">
      <c r="B221" s="469"/>
      <c r="C221" s="450"/>
      <c r="D221" s="449"/>
      <c r="E221" s="618"/>
    </row>
    <row r="222" spans="2:5" ht="15.75" customHeight="1">
      <c r="B222" s="469"/>
      <c r="C222" s="450"/>
      <c r="D222" s="449"/>
      <c r="E222" s="618"/>
    </row>
    <row r="223" spans="2:5" ht="15.75" customHeight="1">
      <c r="B223" s="469"/>
      <c r="C223" s="450"/>
      <c r="D223" s="449"/>
      <c r="E223" s="618"/>
    </row>
    <row r="224" spans="2:5" ht="15.75" customHeight="1">
      <c r="B224" s="469"/>
      <c r="C224" s="450"/>
      <c r="D224" s="449"/>
      <c r="E224" s="618"/>
    </row>
    <row r="225" spans="2:5" ht="15.75" customHeight="1">
      <c r="B225" s="469"/>
      <c r="C225" s="450"/>
      <c r="D225" s="449"/>
      <c r="E225" s="618"/>
    </row>
    <row r="226" spans="2:5" ht="15.75" customHeight="1">
      <c r="B226" s="469"/>
      <c r="C226" s="450"/>
      <c r="D226" s="449"/>
      <c r="E226" s="618"/>
    </row>
    <row r="227" spans="2:5" ht="15.75" customHeight="1">
      <c r="B227" s="469"/>
      <c r="C227" s="450"/>
      <c r="D227" s="449"/>
      <c r="E227" s="618"/>
    </row>
    <row r="228" spans="2:5" ht="15.75" customHeight="1">
      <c r="B228" s="469"/>
      <c r="C228" s="450"/>
      <c r="D228" s="449"/>
      <c r="E228" s="618"/>
    </row>
    <row r="229" spans="2:5" ht="15.75" customHeight="1">
      <c r="B229" s="469"/>
      <c r="C229" s="450"/>
      <c r="D229" s="449"/>
      <c r="E229" s="618"/>
    </row>
    <row r="230" spans="2:5" ht="15.75" customHeight="1">
      <c r="B230" s="469"/>
      <c r="C230" s="450"/>
      <c r="D230" s="449"/>
      <c r="E230" s="618"/>
    </row>
    <row r="231" spans="2:5" ht="15.75" customHeight="1">
      <c r="B231" s="469"/>
      <c r="C231" s="450"/>
      <c r="D231" s="449"/>
      <c r="E231" s="618"/>
    </row>
    <row r="232" spans="2:5" ht="15.75" customHeight="1">
      <c r="B232" s="469"/>
      <c r="C232" s="450"/>
      <c r="D232" s="449"/>
      <c r="E232" s="618"/>
    </row>
    <row r="233" spans="2:5" ht="15.75" customHeight="1">
      <c r="B233" s="469"/>
      <c r="C233" s="450"/>
      <c r="D233" s="449"/>
      <c r="E233" s="618"/>
    </row>
    <row r="234" spans="2:5" ht="15.75" customHeight="1">
      <c r="B234" s="469"/>
      <c r="C234" s="450"/>
      <c r="D234" s="449"/>
      <c r="E234" s="618"/>
    </row>
    <row r="235" spans="2:5" ht="15.75" customHeight="1">
      <c r="B235" s="469"/>
      <c r="C235" s="450"/>
      <c r="D235" s="449"/>
      <c r="E235" s="618"/>
    </row>
    <row r="236" spans="2:5" ht="15.75" customHeight="1">
      <c r="B236" s="469"/>
      <c r="C236" s="450"/>
      <c r="D236" s="449"/>
      <c r="E236" s="618"/>
    </row>
    <row r="237" spans="2:5" ht="15.75" customHeight="1">
      <c r="B237" s="469"/>
      <c r="C237" s="450"/>
      <c r="D237" s="449"/>
      <c r="E237" s="618"/>
    </row>
    <row r="238" spans="2:5" ht="15.75" customHeight="1">
      <c r="B238" s="469"/>
      <c r="C238" s="450"/>
      <c r="D238" s="449"/>
      <c r="E238" s="618"/>
    </row>
    <row r="239" spans="2:5" ht="15.75" customHeight="1">
      <c r="B239" s="469"/>
      <c r="C239" s="450"/>
      <c r="D239" s="449"/>
      <c r="E239" s="618"/>
    </row>
    <row r="240" spans="2:5" ht="15.75" customHeight="1">
      <c r="B240" s="469"/>
      <c r="C240" s="450"/>
      <c r="D240" s="449"/>
      <c r="E240" s="618"/>
    </row>
    <row r="241" spans="2:5" ht="15.75" customHeight="1">
      <c r="B241" s="469"/>
      <c r="C241" s="450"/>
      <c r="D241" s="449"/>
      <c r="E241" s="618"/>
    </row>
    <row r="242" spans="2:5" ht="15.75" customHeight="1">
      <c r="B242" s="469"/>
      <c r="C242" s="450"/>
      <c r="D242" s="449"/>
      <c r="E242" s="618"/>
    </row>
    <row r="243" spans="2:5" ht="15.75" customHeight="1">
      <c r="B243" s="469"/>
      <c r="C243" s="450"/>
      <c r="D243" s="449"/>
      <c r="E243" s="618"/>
    </row>
    <row r="244" spans="2:5" ht="15.75" customHeight="1">
      <c r="B244" s="469"/>
      <c r="C244" s="450"/>
      <c r="D244" s="449"/>
      <c r="E244" s="618"/>
    </row>
    <row r="245" spans="2:5" ht="15.75" customHeight="1">
      <c r="B245" s="469"/>
      <c r="C245" s="450"/>
      <c r="D245" s="449"/>
      <c r="E245" s="618"/>
    </row>
    <row r="246" spans="2:5" ht="15.75" customHeight="1">
      <c r="B246" s="469"/>
      <c r="C246" s="450"/>
      <c r="D246" s="449"/>
      <c r="E246" s="618"/>
    </row>
    <row r="247" spans="2:5" ht="15.75" customHeight="1">
      <c r="B247" s="469"/>
      <c r="C247" s="450"/>
      <c r="D247" s="449"/>
      <c r="E247" s="618"/>
    </row>
    <row r="248" spans="2:5" ht="15.75" customHeight="1">
      <c r="B248" s="469"/>
      <c r="C248" s="450"/>
      <c r="D248" s="449"/>
      <c r="E248" s="618"/>
    </row>
    <row r="249" spans="2:5" ht="15.75" customHeight="1">
      <c r="B249" s="469"/>
      <c r="C249" s="450"/>
      <c r="D249" s="449"/>
      <c r="E249" s="618"/>
    </row>
    <row r="250" spans="2:5" ht="15.75" customHeight="1">
      <c r="B250" s="469"/>
      <c r="C250" s="450"/>
      <c r="D250" s="449"/>
      <c r="E250" s="618"/>
    </row>
    <row r="251" spans="2:5" ht="15.75" customHeight="1">
      <c r="B251" s="469"/>
      <c r="C251" s="450"/>
      <c r="D251" s="449"/>
      <c r="E251" s="618"/>
    </row>
    <row r="252" spans="2:5" ht="15.75" customHeight="1">
      <c r="B252" s="469"/>
      <c r="C252" s="450"/>
      <c r="D252" s="449"/>
      <c r="E252" s="618"/>
    </row>
    <row r="253" spans="2:5" ht="15.75" customHeight="1">
      <c r="B253" s="469"/>
      <c r="C253" s="450"/>
      <c r="D253" s="449"/>
      <c r="E253" s="618"/>
    </row>
    <row r="254" spans="2:5" ht="15.75" customHeight="1">
      <c r="B254" s="469"/>
      <c r="C254" s="450"/>
      <c r="D254" s="449"/>
      <c r="E254" s="618"/>
    </row>
    <row r="255" spans="2:5" ht="15.75" customHeight="1">
      <c r="B255" s="469"/>
      <c r="C255" s="450"/>
      <c r="D255" s="449"/>
      <c r="E255" s="618"/>
    </row>
    <row r="256" spans="2:5" ht="15.75" customHeight="1">
      <c r="B256" s="469"/>
      <c r="C256" s="450"/>
      <c r="D256" s="449"/>
      <c r="E256" s="618"/>
    </row>
    <row r="257" spans="2:5" ht="15.75" customHeight="1">
      <c r="B257" s="469"/>
      <c r="C257" s="450"/>
      <c r="D257" s="449"/>
      <c r="E257" s="618"/>
    </row>
    <row r="258" spans="2:5" ht="15.75" customHeight="1">
      <c r="B258" s="469"/>
      <c r="C258" s="450"/>
      <c r="D258" s="449"/>
      <c r="E258" s="618"/>
    </row>
    <row r="259" spans="2:5" ht="15.75" customHeight="1">
      <c r="B259" s="469"/>
      <c r="C259" s="450"/>
      <c r="D259" s="449"/>
      <c r="E259" s="618"/>
    </row>
    <row r="260" spans="2:5" ht="15.75" customHeight="1">
      <c r="B260" s="469"/>
      <c r="C260" s="450"/>
      <c r="D260" s="449"/>
      <c r="E260" s="618"/>
    </row>
    <row r="261" spans="2:5" ht="15.75" customHeight="1">
      <c r="B261" s="469"/>
      <c r="C261" s="450"/>
      <c r="D261" s="449"/>
      <c r="E261" s="618"/>
    </row>
    <row r="262" spans="2:5" ht="15.75" customHeight="1">
      <c r="B262" s="469"/>
      <c r="C262" s="450"/>
      <c r="D262" s="449"/>
      <c r="E262" s="618"/>
    </row>
    <row r="263" spans="2:5" ht="15.75" customHeight="1">
      <c r="B263" s="469"/>
      <c r="C263" s="450"/>
      <c r="D263" s="449"/>
      <c r="E263" s="618"/>
    </row>
    <row r="264" spans="2:5" ht="15.75" customHeight="1">
      <c r="B264" s="469"/>
      <c r="C264" s="450"/>
      <c r="D264" s="449"/>
      <c r="E264" s="618"/>
    </row>
    <row r="265" spans="2:5" ht="15.75" customHeight="1">
      <c r="B265" s="469"/>
      <c r="C265" s="450"/>
      <c r="D265" s="449"/>
      <c r="E265" s="618"/>
    </row>
    <row r="266" spans="2:5" ht="15.75" customHeight="1">
      <c r="B266" s="469"/>
      <c r="C266" s="450"/>
      <c r="D266" s="449"/>
      <c r="E266" s="618"/>
    </row>
    <row r="267" spans="2:5" ht="15.75" customHeight="1">
      <c r="B267" s="469"/>
      <c r="C267" s="450"/>
      <c r="D267" s="449"/>
      <c r="E267" s="618"/>
    </row>
    <row r="268" spans="2:5" ht="15.75" customHeight="1">
      <c r="B268" s="469"/>
      <c r="C268" s="450"/>
      <c r="D268" s="449"/>
      <c r="E268" s="618"/>
    </row>
    <row r="269" spans="2:5" ht="15.75" customHeight="1">
      <c r="B269" s="469"/>
      <c r="C269" s="450"/>
      <c r="D269" s="449"/>
      <c r="E269" s="618"/>
    </row>
    <row r="270" spans="2:5" ht="15.75" customHeight="1">
      <c r="B270" s="469"/>
      <c r="C270" s="450"/>
      <c r="D270" s="449"/>
      <c r="E270" s="618"/>
    </row>
    <row r="271" spans="2:5" ht="15.75" customHeight="1">
      <c r="B271" s="469"/>
      <c r="C271" s="450"/>
      <c r="D271" s="449"/>
      <c r="E271" s="618"/>
    </row>
    <row r="272" spans="2:5" ht="15.75" customHeight="1">
      <c r="B272" s="469"/>
      <c r="C272" s="450"/>
      <c r="D272" s="449"/>
      <c r="E272" s="618"/>
    </row>
    <row r="273" spans="2:5" ht="15.75" customHeight="1">
      <c r="B273" s="469"/>
      <c r="C273" s="450"/>
      <c r="D273" s="449"/>
      <c r="E273" s="618"/>
    </row>
    <row r="274" spans="2:5" ht="15.75" customHeight="1">
      <c r="B274" s="469"/>
      <c r="C274" s="450"/>
      <c r="D274" s="449"/>
      <c r="E274" s="618"/>
    </row>
    <row r="275" spans="2:5" ht="15.75" customHeight="1">
      <c r="B275" s="469"/>
      <c r="C275" s="450"/>
      <c r="D275" s="449"/>
      <c r="E275" s="618"/>
    </row>
    <row r="276" spans="2:5" ht="15.75" customHeight="1">
      <c r="B276" s="469"/>
      <c r="C276" s="450"/>
      <c r="D276" s="449"/>
      <c r="E276" s="618"/>
    </row>
    <row r="277" spans="2:5" ht="15.75" customHeight="1">
      <c r="B277" s="469"/>
      <c r="C277" s="450"/>
      <c r="D277" s="449"/>
      <c r="E277" s="618"/>
    </row>
    <row r="278" spans="2:5" ht="15.75" customHeight="1">
      <c r="B278" s="469"/>
      <c r="C278" s="450"/>
      <c r="D278" s="449"/>
      <c r="E278" s="618"/>
    </row>
    <row r="279" spans="2:5" ht="15.75" customHeight="1">
      <c r="B279" s="469"/>
      <c r="C279" s="450"/>
      <c r="D279" s="449"/>
      <c r="E279" s="618"/>
    </row>
    <row r="280" spans="2:5" ht="15.75" customHeight="1">
      <c r="B280" s="469"/>
      <c r="C280" s="450"/>
      <c r="D280" s="449"/>
      <c r="E280" s="618"/>
    </row>
    <row r="281" spans="2:5" ht="15.75" customHeight="1">
      <c r="B281" s="469"/>
      <c r="C281" s="450"/>
      <c r="D281" s="449"/>
      <c r="E281" s="618"/>
    </row>
    <row r="282" spans="2:5" ht="15.75" customHeight="1">
      <c r="B282" s="469"/>
      <c r="C282" s="450"/>
      <c r="D282" s="449"/>
      <c r="E282" s="618"/>
    </row>
    <row r="283" spans="2:5" ht="15.75" customHeight="1">
      <c r="B283" s="469"/>
      <c r="C283" s="450"/>
      <c r="D283" s="449"/>
      <c r="E283" s="618"/>
    </row>
    <row r="284" spans="2:5" ht="15.75" customHeight="1">
      <c r="B284" s="469"/>
      <c r="C284" s="450"/>
      <c r="D284" s="449"/>
      <c r="E284" s="618"/>
    </row>
    <row r="285" spans="2:5" ht="15.75" customHeight="1">
      <c r="B285" s="469"/>
      <c r="C285" s="450"/>
      <c r="D285" s="449"/>
      <c r="E285" s="618"/>
    </row>
    <row r="286" spans="2:5" ht="15.75" customHeight="1">
      <c r="B286" s="469"/>
      <c r="C286" s="450"/>
      <c r="D286" s="449"/>
      <c r="E286" s="618"/>
    </row>
    <row r="287" spans="2:5" ht="15.75" customHeight="1">
      <c r="B287" s="469"/>
      <c r="C287" s="450"/>
      <c r="D287" s="449"/>
      <c r="E287" s="618"/>
    </row>
    <row r="288" spans="2:5" ht="15.75" customHeight="1">
      <c r="B288" s="469"/>
      <c r="C288" s="450"/>
      <c r="D288" s="449"/>
      <c r="E288" s="618"/>
    </row>
    <row r="289" spans="2:5" ht="15.75" customHeight="1">
      <c r="B289" s="469"/>
      <c r="C289" s="450"/>
      <c r="D289" s="449"/>
      <c r="E289" s="618"/>
    </row>
    <row r="290" spans="2:5" ht="15.75" customHeight="1">
      <c r="B290" s="469"/>
      <c r="C290" s="450"/>
      <c r="D290" s="449"/>
      <c r="E290" s="618"/>
    </row>
    <row r="291" spans="2:5" ht="15.75" customHeight="1">
      <c r="B291" s="469"/>
      <c r="C291" s="450"/>
      <c r="D291" s="449"/>
      <c r="E291" s="618"/>
    </row>
    <row r="292" spans="2:5" ht="15.75" customHeight="1">
      <c r="B292" s="469"/>
      <c r="C292" s="450"/>
      <c r="D292" s="449"/>
      <c r="E292" s="618"/>
    </row>
    <row r="293" spans="2:5" ht="15.75" customHeight="1">
      <c r="B293" s="469"/>
      <c r="C293" s="450"/>
      <c r="D293" s="449"/>
      <c r="E293" s="618"/>
    </row>
    <row r="294" spans="2:5" ht="15.75" customHeight="1">
      <c r="B294" s="469"/>
      <c r="C294" s="450"/>
      <c r="D294" s="449"/>
      <c r="E294" s="618"/>
    </row>
    <row r="295" spans="2:5" ht="15.75" customHeight="1">
      <c r="B295" s="469"/>
      <c r="C295" s="450"/>
      <c r="D295" s="449"/>
      <c r="E295" s="618"/>
    </row>
    <row r="296" spans="2:5" ht="15.75" customHeight="1">
      <c r="B296" s="469"/>
      <c r="C296" s="450"/>
      <c r="D296" s="449"/>
      <c r="E296" s="618"/>
    </row>
    <row r="297" spans="2:5" ht="15.75" customHeight="1">
      <c r="B297" s="469"/>
      <c r="C297" s="450"/>
      <c r="D297" s="449"/>
      <c r="E297" s="618"/>
    </row>
    <row r="298" spans="2:5" ht="15.75" customHeight="1">
      <c r="B298" s="469"/>
      <c r="C298" s="450"/>
      <c r="D298" s="449"/>
      <c r="E298" s="618"/>
    </row>
    <row r="299" spans="2:5" ht="15.75" customHeight="1">
      <c r="B299" s="469"/>
      <c r="C299" s="450"/>
      <c r="D299" s="449"/>
      <c r="E299" s="618"/>
    </row>
    <row r="300" spans="2:5" ht="15.75" customHeight="1">
      <c r="B300" s="469"/>
      <c r="C300" s="450"/>
      <c r="D300" s="449"/>
      <c r="E300" s="618"/>
    </row>
    <row r="301" spans="2:5" ht="15.75" customHeight="1">
      <c r="B301" s="469"/>
      <c r="C301" s="450"/>
      <c r="D301" s="449"/>
      <c r="E301" s="618"/>
    </row>
    <row r="302" spans="2:5" ht="15.75" customHeight="1">
      <c r="B302" s="469"/>
      <c r="C302" s="450"/>
      <c r="D302" s="449"/>
      <c r="E302" s="618"/>
    </row>
    <row r="303" spans="2:5" ht="15.75" customHeight="1">
      <c r="B303" s="469"/>
      <c r="C303" s="450"/>
      <c r="D303" s="449"/>
      <c r="E303" s="618"/>
    </row>
    <row r="304" spans="2:5" ht="15.75" customHeight="1">
      <c r="B304" s="469"/>
      <c r="C304" s="450"/>
      <c r="D304" s="449"/>
      <c r="E304" s="618"/>
    </row>
    <row r="305" spans="2:5" ht="15.75" customHeight="1">
      <c r="B305" s="469"/>
      <c r="C305" s="450"/>
      <c r="D305" s="449"/>
      <c r="E305" s="618"/>
    </row>
    <row r="306" spans="2:5" ht="15.75" customHeight="1">
      <c r="B306" s="469"/>
      <c r="C306" s="450"/>
      <c r="D306" s="449"/>
      <c r="E306" s="618"/>
    </row>
    <row r="307" spans="2:5" ht="15.75" customHeight="1">
      <c r="B307" s="469"/>
      <c r="C307" s="450"/>
      <c r="D307" s="449"/>
      <c r="E307" s="618"/>
    </row>
    <row r="308" spans="2:5" ht="15.75" customHeight="1">
      <c r="B308" s="469"/>
      <c r="C308" s="450"/>
      <c r="D308" s="449"/>
      <c r="E308" s="618"/>
    </row>
    <row r="309" spans="2:5" ht="15.75" customHeight="1">
      <c r="B309" s="469"/>
      <c r="C309" s="450"/>
      <c r="D309" s="449"/>
      <c r="E309" s="618"/>
    </row>
    <row r="310" spans="2:5" ht="15.75" customHeight="1">
      <c r="B310" s="469"/>
      <c r="C310" s="450"/>
      <c r="D310" s="449"/>
      <c r="E310" s="618"/>
    </row>
    <row r="311" spans="2:5" ht="15.75" customHeight="1">
      <c r="B311" s="469"/>
      <c r="C311" s="450"/>
      <c r="D311" s="449"/>
      <c r="E311" s="618"/>
    </row>
    <row r="312" spans="2:5" ht="15.75" customHeight="1">
      <c r="B312" s="469"/>
      <c r="C312" s="450"/>
      <c r="D312" s="449"/>
      <c r="E312" s="618"/>
    </row>
    <row r="313" spans="2:5" ht="15.75" customHeight="1">
      <c r="B313" s="469"/>
      <c r="C313" s="450"/>
      <c r="D313" s="449"/>
      <c r="E313" s="618"/>
    </row>
    <row r="314" spans="2:5" ht="15.75" customHeight="1">
      <c r="B314" s="469"/>
      <c r="C314" s="450"/>
      <c r="D314" s="449"/>
      <c r="E314" s="618"/>
    </row>
    <row r="315" spans="2:5" ht="15.75" customHeight="1">
      <c r="B315" s="469"/>
      <c r="C315" s="450"/>
      <c r="D315" s="449"/>
      <c r="E315" s="618"/>
    </row>
    <row r="316" spans="2:5" ht="15.75" customHeight="1">
      <c r="B316" s="469"/>
      <c r="C316" s="450"/>
      <c r="D316" s="449"/>
      <c r="E316" s="618"/>
    </row>
    <row r="317" spans="2:5" ht="15.75" customHeight="1">
      <c r="B317" s="469"/>
      <c r="C317" s="450"/>
      <c r="D317" s="449"/>
      <c r="E317" s="618"/>
    </row>
    <row r="318" spans="2:5" ht="15.75" customHeight="1">
      <c r="B318" s="469"/>
      <c r="C318" s="450"/>
      <c r="D318" s="449"/>
      <c r="E318" s="618"/>
    </row>
    <row r="319" spans="2:5" ht="15.75" customHeight="1">
      <c r="B319" s="469"/>
      <c r="C319" s="450"/>
      <c r="D319" s="449"/>
      <c r="E319" s="618"/>
    </row>
    <row r="320" spans="2:5" ht="15.75" customHeight="1">
      <c r="B320" s="469"/>
      <c r="C320" s="450"/>
      <c r="D320" s="449"/>
      <c r="E320" s="618"/>
    </row>
    <row r="321" spans="2:5" ht="15.75" customHeight="1">
      <c r="B321" s="469"/>
      <c r="C321" s="450"/>
      <c r="D321" s="449"/>
      <c r="E321" s="618"/>
    </row>
    <row r="322" spans="2:5" ht="15.75" customHeight="1">
      <c r="B322" s="469"/>
      <c r="C322" s="450"/>
      <c r="D322" s="449"/>
      <c r="E322" s="618"/>
    </row>
    <row r="323" spans="2:5" ht="15.75" customHeight="1">
      <c r="B323" s="469"/>
      <c r="C323" s="450"/>
      <c r="D323" s="449"/>
      <c r="E323" s="618"/>
    </row>
    <row r="324" spans="2:5" ht="15.75" customHeight="1">
      <c r="B324" s="469"/>
      <c r="C324" s="450"/>
      <c r="D324" s="449"/>
      <c r="E324" s="618"/>
    </row>
    <row r="325" spans="2:5" ht="15.75" customHeight="1">
      <c r="B325" s="469"/>
      <c r="C325" s="450"/>
      <c r="D325" s="449"/>
      <c r="E325" s="618"/>
    </row>
    <row r="326" spans="2:5" ht="15.75" customHeight="1">
      <c r="B326" s="469"/>
      <c r="C326" s="450"/>
      <c r="D326" s="449"/>
      <c r="E326" s="618"/>
    </row>
    <row r="327" spans="2:5" ht="15.75" customHeight="1">
      <c r="B327" s="469"/>
      <c r="C327" s="450"/>
      <c r="D327" s="449"/>
      <c r="E327" s="618"/>
    </row>
    <row r="328" spans="2:5" ht="15.75" customHeight="1">
      <c r="B328" s="469"/>
      <c r="C328" s="450"/>
      <c r="D328" s="449"/>
      <c r="E328" s="618"/>
    </row>
    <row r="329" spans="2:5" ht="15.75" customHeight="1">
      <c r="B329" s="469"/>
      <c r="C329" s="450"/>
      <c r="D329" s="449"/>
      <c r="E329" s="618"/>
    </row>
    <row r="330" spans="2:5" ht="15.75" customHeight="1">
      <c r="B330" s="469"/>
      <c r="C330" s="450"/>
      <c r="D330" s="449"/>
      <c r="E330" s="618"/>
    </row>
    <row r="331" spans="2:5" ht="15.75" customHeight="1">
      <c r="B331" s="469"/>
      <c r="C331" s="450"/>
      <c r="D331" s="449"/>
      <c r="E331" s="618"/>
    </row>
    <row r="332" spans="2:5" ht="15.75" customHeight="1">
      <c r="B332" s="469"/>
      <c r="C332" s="450"/>
      <c r="D332" s="449"/>
      <c r="E332" s="618"/>
    </row>
    <row r="333" spans="2:5" ht="15.75" customHeight="1">
      <c r="B333" s="469"/>
      <c r="C333" s="450"/>
      <c r="D333" s="449"/>
      <c r="E333" s="618"/>
    </row>
    <row r="334" spans="2:5" ht="15.75" customHeight="1">
      <c r="B334" s="469"/>
      <c r="C334" s="450"/>
      <c r="D334" s="449"/>
      <c r="E334" s="618"/>
    </row>
    <row r="335" spans="2:5" ht="15.75" customHeight="1">
      <c r="B335" s="469"/>
      <c r="C335" s="450"/>
      <c r="D335" s="449"/>
      <c r="E335" s="618"/>
    </row>
    <row r="336" spans="2:5" ht="15.75" customHeight="1">
      <c r="B336" s="469"/>
      <c r="C336" s="450"/>
      <c r="D336" s="449"/>
      <c r="E336" s="618"/>
    </row>
    <row r="337" spans="2:5" ht="15.75" customHeight="1">
      <c r="B337" s="469"/>
      <c r="C337" s="450"/>
      <c r="D337" s="449"/>
      <c r="E337" s="618"/>
    </row>
    <row r="338" spans="2:5" ht="15.75" customHeight="1">
      <c r="B338" s="469"/>
      <c r="C338" s="450"/>
      <c r="D338" s="449"/>
      <c r="E338" s="618"/>
    </row>
    <row r="339" spans="2:5" ht="15.75" customHeight="1">
      <c r="B339" s="469"/>
      <c r="C339" s="450"/>
      <c r="D339" s="449"/>
      <c r="E339" s="618"/>
    </row>
    <row r="340" spans="2:5" ht="15.75" customHeight="1">
      <c r="B340" s="469"/>
      <c r="C340" s="450"/>
      <c r="D340" s="449"/>
      <c r="E340" s="618"/>
    </row>
    <row r="341" spans="2:5" ht="15.75" customHeight="1">
      <c r="B341" s="469"/>
      <c r="C341" s="450"/>
      <c r="D341" s="449"/>
      <c r="E341" s="618"/>
    </row>
    <row r="342" spans="2:5" ht="15.75" customHeight="1">
      <c r="B342" s="469"/>
      <c r="C342" s="450"/>
      <c r="D342" s="449"/>
      <c r="E342" s="618"/>
    </row>
    <row r="343" spans="2:5" ht="15.75" customHeight="1">
      <c r="B343" s="469"/>
      <c r="C343" s="450"/>
      <c r="D343" s="449"/>
      <c r="E343" s="618"/>
    </row>
    <row r="344" spans="2:5" ht="15.75" customHeight="1">
      <c r="B344" s="469"/>
      <c r="C344" s="450"/>
      <c r="D344" s="449"/>
      <c r="E344" s="618"/>
    </row>
    <row r="345" spans="2:5" ht="15.75" customHeight="1">
      <c r="B345" s="469"/>
      <c r="C345" s="450"/>
      <c r="D345" s="449"/>
      <c r="E345" s="618"/>
    </row>
    <row r="346" spans="2:5" ht="15.75" customHeight="1">
      <c r="B346" s="469"/>
      <c r="C346" s="450"/>
      <c r="D346" s="449"/>
      <c r="E346" s="618"/>
    </row>
    <row r="347" spans="2:5" ht="15.75" customHeight="1">
      <c r="B347" s="469"/>
      <c r="C347" s="450"/>
      <c r="D347" s="449"/>
      <c r="E347" s="618"/>
    </row>
    <row r="348" spans="2:5" ht="15.75" customHeight="1">
      <c r="B348" s="469"/>
      <c r="C348" s="450"/>
      <c r="D348" s="449"/>
      <c r="E348" s="618"/>
    </row>
    <row r="349" spans="2:5" ht="15.75" customHeight="1">
      <c r="B349" s="469"/>
      <c r="C349" s="450"/>
      <c r="D349" s="449"/>
      <c r="E349" s="618"/>
    </row>
    <row r="350" spans="2:5" ht="15.75" customHeight="1">
      <c r="B350" s="469"/>
      <c r="C350" s="450"/>
      <c r="D350" s="449"/>
      <c r="E350" s="618"/>
    </row>
    <row r="351" spans="2:5" ht="15.75" customHeight="1">
      <c r="B351" s="469"/>
      <c r="C351" s="450"/>
      <c r="D351" s="449"/>
      <c r="E351" s="618"/>
    </row>
    <row r="352" spans="2:5" ht="15.75" customHeight="1">
      <c r="B352" s="469"/>
      <c r="C352" s="450"/>
      <c r="D352" s="449"/>
      <c r="E352" s="618"/>
    </row>
    <row r="353" spans="2:5" ht="15.75" customHeight="1">
      <c r="B353" s="469"/>
      <c r="C353" s="450"/>
      <c r="D353" s="449"/>
      <c r="E353" s="618"/>
    </row>
    <row r="354" spans="2:5" ht="15.75" customHeight="1">
      <c r="B354" s="469"/>
      <c r="C354" s="450"/>
      <c r="D354" s="449"/>
      <c r="E354" s="618"/>
    </row>
    <row r="355" spans="2:5" ht="15.75" customHeight="1">
      <c r="B355" s="469"/>
      <c r="C355" s="450"/>
      <c r="D355" s="449"/>
      <c r="E355" s="618"/>
    </row>
    <row r="356" spans="2:5" ht="15.75" customHeight="1">
      <c r="B356" s="469"/>
      <c r="C356" s="450"/>
      <c r="D356" s="449"/>
      <c r="E356" s="618"/>
    </row>
    <row r="357" spans="2:5" ht="15.75" customHeight="1">
      <c r="B357" s="469"/>
      <c r="C357" s="450"/>
      <c r="D357" s="449"/>
      <c r="E357" s="618"/>
    </row>
    <row r="358" spans="2:5" ht="15.75" customHeight="1">
      <c r="B358" s="469"/>
      <c r="C358" s="450"/>
      <c r="D358" s="449"/>
      <c r="E358" s="618"/>
    </row>
    <row r="359" spans="2:5" ht="15.75" customHeight="1">
      <c r="B359" s="469"/>
      <c r="C359" s="450"/>
      <c r="D359" s="449"/>
      <c r="E359" s="618"/>
    </row>
    <row r="360" spans="2:5" ht="15.75" customHeight="1">
      <c r="B360" s="469"/>
      <c r="C360" s="450"/>
      <c r="D360" s="449"/>
      <c r="E360" s="618"/>
    </row>
    <row r="361" spans="2:5" ht="15.75" customHeight="1">
      <c r="B361" s="469"/>
      <c r="C361" s="450"/>
      <c r="D361" s="449"/>
      <c r="E361" s="618"/>
    </row>
    <row r="362" spans="2:5" ht="15.75" customHeight="1">
      <c r="B362" s="469"/>
      <c r="C362" s="450"/>
      <c r="D362" s="449"/>
      <c r="E362" s="618"/>
    </row>
    <row r="363" spans="2:5" ht="15.75" customHeight="1">
      <c r="B363" s="469"/>
      <c r="C363" s="450"/>
      <c r="D363" s="449"/>
      <c r="E363" s="618"/>
    </row>
    <row r="364" spans="2:5" ht="15.75" customHeight="1">
      <c r="B364" s="469"/>
      <c r="C364" s="450"/>
      <c r="D364" s="449"/>
      <c r="E364" s="618"/>
    </row>
    <row r="365" spans="2:5" ht="15.75" customHeight="1">
      <c r="B365" s="469"/>
      <c r="C365" s="450"/>
      <c r="D365" s="449"/>
      <c r="E365" s="618"/>
    </row>
    <row r="366" spans="2:5" ht="15.75" customHeight="1">
      <c r="B366" s="469"/>
      <c r="C366" s="450"/>
      <c r="D366" s="449"/>
      <c r="E366" s="618"/>
    </row>
    <row r="367" spans="2:5" ht="15.75" customHeight="1">
      <c r="B367" s="469"/>
      <c r="C367" s="450"/>
      <c r="D367" s="449"/>
      <c r="E367" s="618"/>
    </row>
    <row r="368" spans="2:5" ht="15.75" customHeight="1">
      <c r="B368" s="469"/>
      <c r="C368" s="450"/>
      <c r="D368" s="449"/>
      <c r="E368" s="618"/>
    </row>
    <row r="369" spans="2:5" ht="15.75" customHeight="1">
      <c r="B369" s="469"/>
      <c r="C369" s="450"/>
      <c r="D369" s="449"/>
      <c r="E369" s="618"/>
    </row>
    <row r="370" spans="2:5" ht="15.75" customHeight="1">
      <c r="B370" s="469"/>
      <c r="C370" s="450"/>
      <c r="D370" s="449"/>
      <c r="E370" s="618"/>
    </row>
    <row r="371" spans="2:5" ht="15.75" customHeight="1">
      <c r="B371" s="469"/>
      <c r="C371" s="450"/>
      <c r="D371" s="449"/>
      <c r="E371" s="618"/>
    </row>
    <row r="372" spans="2:5" ht="15.75" customHeight="1">
      <c r="B372" s="469"/>
      <c r="C372" s="450"/>
      <c r="D372" s="449"/>
      <c r="E372" s="618"/>
    </row>
    <row r="373" spans="2:5" ht="15.75" customHeight="1">
      <c r="B373" s="469"/>
      <c r="C373" s="450"/>
      <c r="D373" s="449"/>
      <c r="E373" s="618"/>
    </row>
    <row r="374" spans="2:5" ht="15.75" customHeight="1">
      <c r="B374" s="469"/>
      <c r="C374" s="450"/>
      <c r="D374" s="449"/>
      <c r="E374" s="618"/>
    </row>
    <row r="375" spans="2:5" ht="15.75" customHeight="1">
      <c r="B375" s="469"/>
      <c r="C375" s="450"/>
      <c r="D375" s="449"/>
      <c r="E375" s="618"/>
    </row>
    <row r="376" spans="2:5" ht="15.75" customHeight="1">
      <c r="B376" s="469"/>
      <c r="C376" s="450"/>
      <c r="D376" s="449"/>
      <c r="E376" s="618"/>
    </row>
    <row r="377" spans="2:5" ht="15.75" customHeight="1">
      <c r="B377" s="469"/>
      <c r="C377" s="450"/>
      <c r="D377" s="449"/>
      <c r="E377" s="618"/>
    </row>
    <row r="378" spans="2:5" ht="15.75" customHeight="1">
      <c r="B378" s="469"/>
      <c r="C378" s="450"/>
      <c r="D378" s="449"/>
      <c r="E378" s="618"/>
    </row>
    <row r="379" spans="2:5" ht="15.75" customHeight="1">
      <c r="B379" s="469"/>
      <c r="C379" s="450"/>
      <c r="D379" s="449"/>
      <c r="E379" s="618"/>
    </row>
    <row r="380" spans="2:5" ht="15.75" customHeight="1">
      <c r="B380" s="469"/>
      <c r="C380" s="450"/>
      <c r="D380" s="449"/>
      <c r="E380" s="618"/>
    </row>
    <row r="381" spans="2:5" ht="15.75" customHeight="1">
      <c r="B381" s="469"/>
      <c r="C381" s="450"/>
      <c r="D381" s="449"/>
      <c r="E381" s="618"/>
    </row>
    <row r="382" spans="2:5" ht="15.75" customHeight="1">
      <c r="B382" s="469"/>
      <c r="C382" s="450"/>
      <c r="D382" s="449"/>
      <c r="E382" s="618"/>
    </row>
    <row r="383" spans="2:5" ht="15.75" customHeight="1">
      <c r="B383" s="469"/>
      <c r="C383" s="450"/>
      <c r="D383" s="449"/>
      <c r="E383" s="618"/>
    </row>
    <row r="384" spans="2:5" ht="15.75" customHeight="1">
      <c r="B384" s="469"/>
      <c r="C384" s="450"/>
      <c r="D384" s="449"/>
      <c r="E384" s="618"/>
    </row>
    <row r="385" spans="2:5" ht="15.75" customHeight="1">
      <c r="B385" s="469"/>
      <c r="C385" s="450"/>
      <c r="D385" s="449"/>
      <c r="E385" s="618"/>
    </row>
    <row r="386" spans="2:5" ht="15.75" customHeight="1">
      <c r="B386" s="469"/>
      <c r="C386" s="450"/>
      <c r="D386" s="449"/>
      <c r="E386" s="618"/>
    </row>
    <row r="387" spans="2:5" ht="15.75" customHeight="1">
      <c r="B387" s="469"/>
      <c r="C387" s="450"/>
      <c r="D387" s="449"/>
      <c r="E387" s="618"/>
    </row>
    <row r="388" spans="2:5" ht="15.75" customHeight="1">
      <c r="B388" s="469"/>
      <c r="C388" s="450"/>
      <c r="D388" s="449"/>
      <c r="E388" s="618"/>
    </row>
    <row r="389" spans="2:5" ht="15.75" customHeight="1">
      <c r="B389" s="469"/>
      <c r="C389" s="450"/>
      <c r="D389" s="449"/>
      <c r="E389" s="618"/>
    </row>
    <row r="390" spans="2:5" ht="15.75" customHeight="1">
      <c r="B390" s="469"/>
      <c r="C390" s="450"/>
      <c r="D390" s="449"/>
      <c r="E390" s="618"/>
    </row>
    <row r="391" spans="2:5" ht="15.75" customHeight="1">
      <c r="B391" s="469"/>
      <c r="C391" s="450"/>
      <c r="D391" s="449"/>
      <c r="E391" s="618"/>
    </row>
    <row r="392" spans="2:5" ht="15.75" customHeight="1">
      <c r="B392" s="469"/>
      <c r="C392" s="450"/>
      <c r="D392" s="449"/>
      <c r="E392" s="618"/>
    </row>
    <row r="393" spans="2:5" ht="15.75" customHeight="1">
      <c r="B393" s="469"/>
      <c r="C393" s="450"/>
      <c r="D393" s="449"/>
      <c r="E393" s="618"/>
    </row>
    <row r="394" spans="2:5" ht="15.75" customHeight="1">
      <c r="B394" s="469"/>
      <c r="C394" s="450"/>
      <c r="D394" s="449"/>
      <c r="E394" s="618"/>
    </row>
    <row r="395" spans="2:5" ht="15.75" customHeight="1">
      <c r="B395" s="469"/>
      <c r="C395" s="450"/>
      <c r="D395" s="449"/>
      <c r="E395" s="618"/>
    </row>
    <row r="396" spans="2:5" ht="15.75" customHeight="1">
      <c r="B396" s="469"/>
      <c r="C396" s="450"/>
      <c r="D396" s="449"/>
      <c r="E396" s="618"/>
    </row>
    <row r="397" spans="2:5" ht="15.75" customHeight="1">
      <c r="B397" s="469"/>
      <c r="C397" s="450"/>
      <c r="D397" s="449"/>
      <c r="E397" s="618"/>
    </row>
    <row r="398" spans="2:5" ht="15.75" customHeight="1">
      <c r="B398" s="469"/>
      <c r="C398" s="450"/>
      <c r="D398" s="449"/>
      <c r="E398" s="618"/>
    </row>
    <row r="399" spans="2:5" ht="15.75" customHeight="1">
      <c r="B399" s="469"/>
      <c r="C399" s="450"/>
      <c r="D399" s="449"/>
      <c r="E399" s="618"/>
    </row>
    <row r="400" spans="2:5" ht="15.75" customHeight="1">
      <c r="B400" s="469"/>
      <c r="C400" s="450"/>
      <c r="D400" s="449"/>
      <c r="E400" s="618"/>
    </row>
    <row r="401" spans="2:5" ht="15.75" customHeight="1">
      <c r="B401" s="469"/>
      <c r="C401" s="450"/>
      <c r="D401" s="449"/>
      <c r="E401" s="618"/>
    </row>
    <row r="402" spans="2:5" ht="15.75" customHeight="1">
      <c r="B402" s="469"/>
      <c r="C402" s="450"/>
      <c r="D402" s="449"/>
      <c r="E402" s="618"/>
    </row>
    <row r="403" spans="2:5" ht="15.75" customHeight="1">
      <c r="B403" s="469"/>
      <c r="C403" s="450"/>
      <c r="D403" s="449"/>
      <c r="E403" s="618"/>
    </row>
    <row r="404" spans="2:5" ht="15.75" customHeight="1">
      <c r="B404" s="469"/>
      <c r="C404" s="450"/>
      <c r="D404" s="449"/>
      <c r="E404" s="618"/>
    </row>
    <row r="405" spans="2:5" ht="15.75" customHeight="1">
      <c r="B405" s="469"/>
      <c r="C405" s="450"/>
      <c r="D405" s="449"/>
      <c r="E405" s="618"/>
    </row>
    <row r="406" spans="2:5" ht="15.75" customHeight="1">
      <c r="B406" s="469"/>
      <c r="C406" s="450"/>
      <c r="D406" s="449"/>
      <c r="E406" s="618"/>
    </row>
    <row r="407" spans="2:5" ht="15.75" customHeight="1">
      <c r="B407" s="469"/>
      <c r="C407" s="450"/>
      <c r="D407" s="449"/>
      <c r="E407" s="618"/>
    </row>
    <row r="408" spans="2:5" ht="15.75" customHeight="1">
      <c r="B408" s="469"/>
      <c r="C408" s="450"/>
      <c r="D408" s="449"/>
      <c r="E408" s="618"/>
    </row>
    <row r="409" spans="2:5" ht="15.75" customHeight="1">
      <c r="B409" s="469"/>
      <c r="C409" s="450"/>
      <c r="D409" s="449"/>
      <c r="E409" s="618"/>
    </row>
    <row r="410" spans="2:5" ht="15.75" customHeight="1">
      <c r="B410" s="469"/>
      <c r="C410" s="450"/>
      <c r="D410" s="449"/>
      <c r="E410" s="618"/>
    </row>
    <row r="411" spans="2:5" ht="15.75" customHeight="1">
      <c r="B411" s="469"/>
      <c r="C411" s="450"/>
      <c r="D411" s="449"/>
      <c r="E411" s="618"/>
    </row>
    <row r="412" spans="2:5" ht="15.75" customHeight="1">
      <c r="B412" s="469"/>
      <c r="C412" s="450"/>
      <c r="D412" s="449"/>
      <c r="E412" s="618"/>
    </row>
    <row r="413" spans="2:5" ht="15.75" customHeight="1">
      <c r="B413" s="469"/>
      <c r="C413" s="450"/>
      <c r="D413" s="449"/>
      <c r="E413" s="618"/>
    </row>
    <row r="414" spans="2:5" ht="15.75" customHeight="1">
      <c r="B414" s="469"/>
      <c r="C414" s="450"/>
      <c r="D414" s="449"/>
      <c r="E414" s="618"/>
    </row>
    <row r="415" spans="2:5" ht="15.75" customHeight="1">
      <c r="B415" s="469"/>
      <c r="C415" s="450"/>
      <c r="D415" s="449"/>
      <c r="E415" s="618"/>
    </row>
    <row r="416" spans="2:5" ht="15.75" customHeight="1">
      <c r="B416" s="469"/>
      <c r="C416" s="450"/>
      <c r="D416" s="449"/>
      <c r="E416" s="618"/>
    </row>
    <row r="417" spans="2:5" ht="15.75" customHeight="1">
      <c r="B417" s="469"/>
      <c r="C417" s="450"/>
      <c r="D417" s="449"/>
      <c r="E417" s="618"/>
    </row>
    <row r="418" spans="2:5" ht="15.75" customHeight="1">
      <c r="B418" s="469"/>
      <c r="C418" s="450"/>
      <c r="D418" s="449"/>
      <c r="E418" s="618"/>
    </row>
    <row r="419" spans="2:5" ht="15.75" customHeight="1">
      <c r="B419" s="469"/>
      <c r="C419" s="450"/>
      <c r="D419" s="449"/>
      <c r="E419" s="618"/>
    </row>
    <row r="420" spans="2:5" ht="15.75" customHeight="1">
      <c r="B420" s="469"/>
      <c r="C420" s="450"/>
      <c r="D420" s="449"/>
      <c r="E420" s="618"/>
    </row>
    <row r="421" spans="2:5" ht="15.75" customHeight="1">
      <c r="B421" s="469"/>
      <c r="C421" s="450"/>
      <c r="D421" s="449"/>
      <c r="E421" s="618"/>
    </row>
    <row r="422" spans="2:5" ht="15.75" customHeight="1">
      <c r="B422" s="469"/>
      <c r="C422" s="450"/>
      <c r="D422" s="449"/>
      <c r="E422" s="618"/>
    </row>
    <row r="423" spans="2:5" ht="15.75" customHeight="1">
      <c r="B423" s="469"/>
      <c r="C423" s="450"/>
      <c r="D423" s="449"/>
      <c r="E423" s="618"/>
    </row>
    <row r="424" spans="2:5" ht="15.75" customHeight="1">
      <c r="B424" s="469"/>
      <c r="C424" s="450"/>
      <c r="D424" s="449"/>
      <c r="E424" s="618"/>
    </row>
    <row r="425" spans="2:5" ht="15.75" customHeight="1">
      <c r="B425" s="469"/>
      <c r="C425" s="450"/>
      <c r="D425" s="449"/>
      <c r="E425" s="618"/>
    </row>
    <row r="426" spans="2:5" ht="15.75" customHeight="1">
      <c r="B426" s="469"/>
      <c r="C426" s="450"/>
      <c r="D426" s="449"/>
      <c r="E426" s="618"/>
    </row>
    <row r="427" spans="2:5" ht="15.75" customHeight="1">
      <c r="B427" s="469"/>
      <c r="C427" s="450"/>
      <c r="D427" s="449"/>
      <c r="E427" s="618"/>
    </row>
    <row r="428" spans="2:5" ht="15.75" customHeight="1">
      <c r="B428" s="469"/>
      <c r="C428" s="450"/>
      <c r="D428" s="449"/>
      <c r="E428" s="618"/>
    </row>
    <row r="429" spans="2:5" ht="15.75" customHeight="1">
      <c r="B429" s="469"/>
      <c r="C429" s="450"/>
      <c r="D429" s="449"/>
      <c r="E429" s="618"/>
    </row>
    <row r="430" spans="2:5" ht="15.75" customHeight="1">
      <c r="B430" s="469"/>
      <c r="C430" s="450"/>
      <c r="D430" s="449"/>
      <c r="E430" s="618"/>
    </row>
    <row r="431" spans="2:5" ht="15.75" customHeight="1">
      <c r="B431" s="469"/>
      <c r="C431" s="450"/>
      <c r="D431" s="449"/>
      <c r="E431" s="618"/>
    </row>
    <row r="432" spans="2:5" ht="15.75" customHeight="1">
      <c r="B432" s="469"/>
      <c r="C432" s="450"/>
      <c r="D432" s="449"/>
      <c r="E432" s="618"/>
    </row>
    <row r="433" spans="2:5" ht="15.75" customHeight="1">
      <c r="B433" s="469"/>
      <c r="C433" s="450"/>
      <c r="D433" s="449"/>
      <c r="E433" s="618"/>
    </row>
    <row r="434" spans="2:5" ht="15.75" customHeight="1">
      <c r="B434" s="469"/>
      <c r="C434" s="450"/>
      <c r="D434" s="449"/>
      <c r="E434" s="618"/>
    </row>
    <row r="435" spans="2:5" ht="15.75" customHeight="1">
      <c r="B435" s="469"/>
      <c r="C435" s="450"/>
      <c r="D435" s="449"/>
      <c r="E435" s="618"/>
    </row>
    <row r="436" spans="2:5" ht="15.75" customHeight="1">
      <c r="B436" s="469"/>
      <c r="C436" s="450"/>
      <c r="D436" s="449"/>
      <c r="E436" s="618"/>
    </row>
    <row r="437" spans="2:5" ht="15.75" customHeight="1">
      <c r="B437" s="469"/>
      <c r="C437" s="450"/>
      <c r="D437" s="449"/>
      <c r="E437" s="618"/>
    </row>
    <row r="438" spans="2:5" ht="15.75" customHeight="1">
      <c r="B438" s="469"/>
      <c r="C438" s="450"/>
      <c r="D438" s="449"/>
      <c r="E438" s="618"/>
    </row>
    <row r="439" spans="2:5" ht="15.75" customHeight="1">
      <c r="B439" s="469"/>
      <c r="C439" s="450"/>
      <c r="D439" s="449"/>
      <c r="E439" s="618"/>
    </row>
    <row r="440" spans="2:5" ht="15.75" customHeight="1">
      <c r="B440" s="469"/>
      <c r="C440" s="450"/>
      <c r="D440" s="449"/>
      <c r="E440" s="618"/>
    </row>
    <row r="441" spans="2:5" ht="15.75" customHeight="1">
      <c r="B441" s="469"/>
      <c r="C441" s="450"/>
      <c r="D441" s="449"/>
      <c r="E441" s="618"/>
    </row>
    <row r="442" spans="2:5" ht="15.75" customHeight="1">
      <c r="B442" s="469"/>
      <c r="C442" s="450"/>
      <c r="D442" s="449"/>
      <c r="E442" s="618"/>
    </row>
    <row r="443" spans="2:5" ht="15.75" customHeight="1">
      <c r="B443" s="469"/>
      <c r="C443" s="450"/>
      <c r="D443" s="449"/>
      <c r="E443" s="618"/>
    </row>
    <row r="444" spans="2:5" ht="15.75" customHeight="1">
      <c r="B444" s="469"/>
      <c r="C444" s="450"/>
      <c r="D444" s="449"/>
      <c r="E444" s="618"/>
    </row>
    <row r="445" spans="2:5" ht="15.75" customHeight="1">
      <c r="B445" s="469"/>
      <c r="C445" s="450"/>
      <c r="D445" s="449"/>
      <c r="E445" s="618"/>
    </row>
    <row r="446" spans="2:5" ht="15.75" customHeight="1">
      <c r="B446" s="469"/>
      <c r="C446" s="450"/>
      <c r="D446" s="449"/>
      <c r="E446" s="618"/>
    </row>
    <row r="447" spans="2:5" ht="15.75" customHeight="1">
      <c r="B447" s="469"/>
      <c r="C447" s="450"/>
      <c r="D447" s="449"/>
      <c r="E447" s="618"/>
    </row>
    <row r="448" spans="2:5" ht="15.75" customHeight="1">
      <c r="B448" s="469"/>
      <c r="C448" s="450"/>
      <c r="D448" s="449"/>
      <c r="E448" s="618"/>
    </row>
    <row r="449" spans="2:5" ht="15.75" customHeight="1">
      <c r="B449" s="469"/>
      <c r="C449" s="450"/>
      <c r="D449" s="449"/>
      <c r="E449" s="618"/>
    </row>
    <row r="450" spans="2:5" ht="15.75" customHeight="1">
      <c r="B450" s="469"/>
      <c r="C450" s="450"/>
      <c r="D450" s="449"/>
      <c r="E450" s="618"/>
    </row>
    <row r="451" spans="2:5" ht="15.75" customHeight="1">
      <c r="B451" s="469"/>
      <c r="C451" s="450"/>
      <c r="D451" s="449"/>
      <c r="E451" s="618"/>
    </row>
    <row r="452" spans="2:5" ht="15.75" customHeight="1">
      <c r="B452" s="469"/>
      <c r="C452" s="450"/>
      <c r="D452" s="449"/>
      <c r="E452" s="618"/>
    </row>
    <row r="453" spans="2:5" ht="15.75" customHeight="1">
      <c r="B453" s="469"/>
      <c r="C453" s="450"/>
      <c r="D453" s="449"/>
      <c r="E453" s="618"/>
    </row>
    <row r="454" spans="2:5" ht="15.75" customHeight="1">
      <c r="B454" s="469"/>
      <c r="C454" s="450"/>
      <c r="D454" s="449"/>
      <c r="E454" s="618"/>
    </row>
    <row r="455" spans="2:5" ht="15.75" customHeight="1">
      <c r="B455" s="469"/>
      <c r="C455" s="450"/>
      <c r="D455" s="449"/>
      <c r="E455" s="618"/>
    </row>
    <row r="456" spans="2:5" ht="15.75" customHeight="1">
      <c r="B456" s="469"/>
      <c r="C456" s="450"/>
      <c r="D456" s="449"/>
      <c r="E456" s="618"/>
    </row>
    <row r="457" spans="2:5" ht="15.75" customHeight="1">
      <c r="B457" s="469"/>
      <c r="C457" s="450"/>
      <c r="D457" s="449"/>
      <c r="E457" s="618"/>
    </row>
    <row r="458" spans="2:5" ht="15.75" customHeight="1">
      <c r="B458" s="469"/>
      <c r="C458" s="450"/>
      <c r="D458" s="449"/>
      <c r="E458" s="618"/>
    </row>
    <row r="459" spans="2:5" ht="15.75" customHeight="1">
      <c r="B459" s="469"/>
      <c r="C459" s="450"/>
      <c r="D459" s="449"/>
      <c r="E459" s="618"/>
    </row>
    <row r="460" spans="2:5" ht="15.75" customHeight="1">
      <c r="B460" s="469"/>
      <c r="C460" s="450"/>
      <c r="D460" s="449"/>
      <c r="E460" s="618"/>
    </row>
    <row r="461" spans="2:5" ht="15.75" customHeight="1">
      <c r="B461" s="469"/>
      <c r="C461" s="450"/>
      <c r="D461" s="449"/>
      <c r="E461" s="618"/>
    </row>
    <row r="462" spans="2:5" ht="15.75" customHeight="1">
      <c r="B462" s="469"/>
      <c r="C462" s="450"/>
      <c r="D462" s="449"/>
      <c r="E462" s="618"/>
    </row>
    <row r="463" spans="2:5" ht="15.75" customHeight="1">
      <c r="B463" s="469"/>
      <c r="C463" s="450"/>
      <c r="D463" s="449"/>
      <c r="E463" s="618"/>
    </row>
    <row r="464" spans="2:5" ht="15.75" customHeight="1">
      <c r="B464" s="469"/>
      <c r="C464" s="450"/>
      <c r="D464" s="449"/>
      <c r="E464" s="618"/>
    </row>
    <row r="465" spans="2:5" ht="15.75" customHeight="1">
      <c r="B465" s="469"/>
      <c r="C465" s="450"/>
      <c r="D465" s="449"/>
      <c r="E465" s="618"/>
    </row>
    <row r="466" spans="2:5" ht="15.75" customHeight="1">
      <c r="B466" s="469"/>
      <c r="C466" s="450"/>
      <c r="D466" s="449"/>
      <c r="E466" s="618"/>
    </row>
    <row r="467" spans="2:5" ht="15.75" customHeight="1">
      <c r="B467" s="469"/>
      <c r="C467" s="450"/>
      <c r="D467" s="449"/>
      <c r="E467" s="618"/>
    </row>
    <row r="468" spans="2:5" ht="15.75" customHeight="1">
      <c r="B468" s="469"/>
      <c r="C468" s="450"/>
      <c r="D468" s="449"/>
      <c r="E468" s="618"/>
    </row>
    <row r="469" spans="2:5" ht="15.75" customHeight="1">
      <c r="B469" s="469"/>
      <c r="C469" s="450"/>
      <c r="D469" s="449"/>
      <c r="E469" s="618"/>
    </row>
    <row r="470" spans="2:5" ht="15.75" customHeight="1">
      <c r="B470" s="469"/>
      <c r="C470" s="450"/>
      <c r="D470" s="449"/>
      <c r="E470" s="618"/>
    </row>
    <row r="471" spans="2:5" ht="15.75" customHeight="1">
      <c r="B471" s="469"/>
      <c r="C471" s="450"/>
      <c r="D471" s="449"/>
      <c r="E471" s="618"/>
    </row>
    <row r="472" spans="2:5" ht="15.75" customHeight="1">
      <c r="B472" s="469"/>
      <c r="C472" s="450"/>
      <c r="D472" s="449"/>
      <c r="E472" s="618"/>
    </row>
    <row r="473" spans="2:5" ht="15.75" customHeight="1">
      <c r="B473" s="469"/>
      <c r="C473" s="450"/>
      <c r="D473" s="449"/>
      <c r="E473" s="618"/>
    </row>
    <row r="474" spans="2:5" ht="15.75" customHeight="1">
      <c r="B474" s="469"/>
      <c r="C474" s="450"/>
      <c r="D474" s="449"/>
      <c r="E474" s="618"/>
    </row>
    <row r="475" spans="2:5" ht="15.75" customHeight="1">
      <c r="B475" s="469"/>
      <c r="C475" s="450"/>
      <c r="D475" s="449"/>
      <c r="E475" s="618"/>
    </row>
    <row r="476" spans="2:5" ht="15.75" customHeight="1">
      <c r="B476" s="469"/>
      <c r="C476" s="450"/>
      <c r="D476" s="449"/>
      <c r="E476" s="618"/>
    </row>
    <row r="477" spans="2:5" ht="15.75" customHeight="1">
      <c r="B477" s="469"/>
      <c r="C477" s="450"/>
      <c r="D477" s="449"/>
      <c r="E477" s="618"/>
    </row>
    <row r="478" spans="2:5" ht="15.75" customHeight="1">
      <c r="B478" s="469"/>
      <c r="C478" s="450"/>
      <c r="D478" s="449"/>
      <c r="E478" s="618"/>
    </row>
    <row r="479" spans="2:5" ht="15.75" customHeight="1">
      <c r="B479" s="469"/>
      <c r="C479" s="450"/>
      <c r="D479" s="449"/>
      <c r="E479" s="618"/>
    </row>
    <row r="480" spans="2:5" ht="15.75" customHeight="1">
      <c r="B480" s="469"/>
      <c r="C480" s="450"/>
      <c r="D480" s="449"/>
      <c r="E480" s="618"/>
    </row>
    <row r="481" spans="2:5" ht="15.75" customHeight="1">
      <c r="B481" s="469"/>
      <c r="C481" s="450"/>
      <c r="D481" s="449"/>
      <c r="E481" s="618"/>
    </row>
    <row r="482" spans="2:5" ht="15.75" customHeight="1">
      <c r="B482" s="469"/>
      <c r="C482" s="450"/>
      <c r="D482" s="449"/>
      <c r="E482" s="618"/>
    </row>
    <row r="483" spans="2:5" ht="15.75" customHeight="1">
      <c r="B483" s="469"/>
      <c r="C483" s="450"/>
      <c r="D483" s="449"/>
      <c r="E483" s="618"/>
    </row>
    <row r="484" spans="2:5" ht="15.75" customHeight="1">
      <c r="B484" s="469"/>
      <c r="C484" s="450"/>
      <c r="D484" s="449"/>
      <c r="E484" s="618"/>
    </row>
    <row r="485" spans="2:5" ht="15.75" customHeight="1">
      <c r="B485" s="469"/>
      <c r="C485" s="450"/>
      <c r="D485" s="449"/>
      <c r="E485" s="618"/>
    </row>
    <row r="486" spans="2:5" ht="15.75" customHeight="1">
      <c r="B486" s="469"/>
      <c r="C486" s="450"/>
      <c r="D486" s="449"/>
      <c r="E486" s="618"/>
    </row>
    <row r="487" spans="2:5" ht="15.75" customHeight="1">
      <c r="B487" s="469"/>
      <c r="C487" s="450"/>
      <c r="D487" s="449"/>
      <c r="E487" s="618"/>
    </row>
    <row r="488" spans="2:5" ht="15.75" customHeight="1">
      <c r="B488" s="469"/>
      <c r="C488" s="450"/>
      <c r="D488" s="449"/>
      <c r="E488" s="618"/>
    </row>
    <row r="489" spans="2:5" ht="15.75" customHeight="1">
      <c r="B489" s="469"/>
      <c r="C489" s="450"/>
      <c r="D489" s="449"/>
      <c r="E489" s="618"/>
    </row>
    <row r="490" spans="2:5" ht="15.75" customHeight="1">
      <c r="B490" s="469"/>
      <c r="C490" s="450"/>
      <c r="D490" s="449"/>
      <c r="E490" s="618"/>
    </row>
    <row r="491" spans="2:5" ht="15.75" customHeight="1">
      <c r="B491" s="469"/>
      <c r="C491" s="450"/>
      <c r="D491" s="449"/>
      <c r="E491" s="618"/>
    </row>
    <row r="492" spans="2:5" ht="15.75" customHeight="1">
      <c r="B492" s="469"/>
      <c r="C492" s="450"/>
      <c r="D492" s="449"/>
      <c r="E492" s="618"/>
    </row>
    <row r="493" spans="2:5" ht="15.75" customHeight="1">
      <c r="B493" s="469"/>
      <c r="C493" s="450"/>
      <c r="D493" s="449"/>
      <c r="E493" s="618"/>
    </row>
    <row r="494" spans="2:5" ht="15.75" customHeight="1">
      <c r="B494" s="469"/>
      <c r="C494" s="450"/>
      <c r="D494" s="449"/>
      <c r="E494" s="618"/>
    </row>
    <row r="495" spans="2:5" ht="15.75" customHeight="1">
      <c r="B495" s="469"/>
      <c r="C495" s="450"/>
      <c r="D495" s="449"/>
      <c r="E495" s="618"/>
    </row>
    <row r="496" spans="2:5" ht="15.75" customHeight="1">
      <c r="B496" s="469"/>
      <c r="C496" s="450"/>
      <c r="D496" s="449"/>
      <c r="E496" s="618"/>
    </row>
    <row r="497" spans="2:5" ht="15.75" customHeight="1">
      <c r="B497" s="469"/>
      <c r="C497" s="450"/>
      <c r="D497" s="449"/>
      <c r="E497" s="618"/>
    </row>
    <row r="498" spans="2:5" ht="15.75" customHeight="1">
      <c r="B498" s="469"/>
      <c r="C498" s="450"/>
      <c r="D498" s="449"/>
      <c r="E498" s="618"/>
    </row>
    <row r="499" spans="2:5" ht="15.75" customHeight="1">
      <c r="B499" s="469"/>
      <c r="C499" s="450"/>
      <c r="D499" s="449"/>
      <c r="E499" s="618"/>
    </row>
    <row r="500" spans="2:5" ht="15.75" customHeight="1">
      <c r="B500" s="469"/>
      <c r="C500" s="450"/>
      <c r="D500" s="449"/>
      <c r="E500" s="618"/>
    </row>
    <row r="501" spans="2:5" ht="15.75" customHeight="1">
      <c r="B501" s="469"/>
      <c r="C501" s="450"/>
      <c r="D501" s="449"/>
      <c r="E501" s="618"/>
    </row>
    <row r="502" spans="2:5" ht="15.75" customHeight="1">
      <c r="B502" s="469"/>
      <c r="C502" s="450"/>
      <c r="D502" s="449"/>
      <c r="E502" s="618"/>
    </row>
    <row r="503" spans="2:5" ht="15.75" customHeight="1">
      <c r="B503" s="469"/>
      <c r="C503" s="450"/>
      <c r="D503" s="449"/>
      <c r="E503" s="618"/>
    </row>
    <row r="504" spans="2:5" ht="15.75" customHeight="1">
      <c r="B504" s="469"/>
      <c r="C504" s="450"/>
      <c r="D504" s="449"/>
      <c r="E504" s="618"/>
    </row>
    <row r="505" spans="2:5" ht="15.75" customHeight="1">
      <c r="B505" s="469"/>
      <c r="C505" s="450"/>
      <c r="D505" s="449"/>
      <c r="E505" s="618"/>
    </row>
    <row r="506" spans="2:5" ht="15.75" customHeight="1">
      <c r="B506" s="469"/>
      <c r="C506" s="450"/>
      <c r="D506" s="449"/>
      <c r="E506" s="618"/>
    </row>
    <row r="507" spans="2:5" ht="15.75" customHeight="1">
      <c r="B507" s="469"/>
      <c r="C507" s="450"/>
      <c r="D507" s="449"/>
      <c r="E507" s="618"/>
    </row>
    <row r="508" spans="2:5" ht="15.75" customHeight="1">
      <c r="B508" s="469"/>
      <c r="C508" s="450"/>
      <c r="D508" s="449"/>
      <c r="E508" s="618"/>
    </row>
    <row r="509" spans="2:5" ht="15.75" customHeight="1">
      <c r="B509" s="469"/>
      <c r="C509" s="450"/>
      <c r="D509" s="449"/>
      <c r="E509" s="618"/>
    </row>
    <row r="510" spans="2:5" ht="15.75" customHeight="1">
      <c r="B510" s="469"/>
      <c r="C510" s="450"/>
      <c r="D510" s="449"/>
      <c r="E510" s="618"/>
    </row>
    <row r="511" spans="2:5" ht="15.75" customHeight="1">
      <c r="B511" s="469"/>
      <c r="C511" s="450"/>
      <c r="D511" s="449"/>
      <c r="E511" s="618"/>
    </row>
    <row r="512" spans="2:5" ht="15.75" customHeight="1">
      <c r="B512" s="469"/>
      <c r="C512" s="450"/>
      <c r="D512" s="449"/>
      <c r="E512" s="618"/>
    </row>
    <row r="513" spans="2:5" ht="15.75" customHeight="1">
      <c r="B513" s="469"/>
      <c r="C513" s="450"/>
      <c r="D513" s="449"/>
      <c r="E513" s="618"/>
    </row>
    <row r="514" spans="2:5" ht="15.75" customHeight="1">
      <c r="B514" s="469"/>
      <c r="C514" s="450"/>
      <c r="D514" s="449"/>
      <c r="E514" s="618"/>
    </row>
    <row r="515" spans="2:5" ht="15.75" customHeight="1">
      <c r="B515" s="469"/>
      <c r="C515" s="450"/>
      <c r="D515" s="449"/>
      <c r="E515" s="618"/>
    </row>
    <row r="516" spans="2:5" ht="15.75" customHeight="1">
      <c r="B516" s="469"/>
      <c r="C516" s="450"/>
      <c r="D516" s="449"/>
      <c r="E516" s="618"/>
    </row>
    <row r="517" spans="2:5" ht="15.75" customHeight="1">
      <c r="B517" s="469"/>
      <c r="C517" s="450"/>
      <c r="D517" s="449"/>
      <c r="E517" s="618"/>
    </row>
    <row r="518" spans="2:5" ht="15.75" customHeight="1">
      <c r="B518" s="469"/>
      <c r="C518" s="450"/>
      <c r="D518" s="449"/>
      <c r="E518" s="618"/>
    </row>
    <row r="519" spans="2:5" ht="15.75" customHeight="1">
      <c r="B519" s="469"/>
      <c r="C519" s="450"/>
      <c r="D519" s="449"/>
      <c r="E519" s="618"/>
    </row>
    <row r="520" spans="2:5" ht="15.75" customHeight="1">
      <c r="B520" s="469"/>
      <c r="C520" s="450"/>
      <c r="D520" s="449"/>
      <c r="E520" s="618"/>
    </row>
    <row r="521" spans="2:5" ht="15.75" customHeight="1">
      <c r="B521" s="469"/>
      <c r="C521" s="450"/>
      <c r="D521" s="449"/>
      <c r="E521" s="618"/>
    </row>
    <row r="522" spans="2:5" ht="15.75" customHeight="1">
      <c r="B522" s="469"/>
      <c r="C522" s="450"/>
      <c r="D522" s="449"/>
      <c r="E522" s="618"/>
    </row>
    <row r="523" spans="2:5" ht="15.75" customHeight="1">
      <c r="B523" s="469"/>
      <c r="C523" s="450"/>
      <c r="D523" s="449"/>
      <c r="E523" s="618"/>
    </row>
    <row r="524" spans="2:5" ht="15.75" customHeight="1">
      <c r="B524" s="469"/>
      <c r="C524" s="450"/>
      <c r="D524" s="449"/>
      <c r="E524" s="618"/>
    </row>
    <row r="525" spans="2:5" ht="15.75" customHeight="1">
      <c r="B525" s="469"/>
      <c r="C525" s="450"/>
      <c r="D525" s="449"/>
      <c r="E525" s="618"/>
    </row>
    <row r="526" spans="2:5" ht="15.75" customHeight="1">
      <c r="B526" s="469"/>
      <c r="C526" s="450"/>
      <c r="D526" s="449"/>
      <c r="E526" s="618"/>
    </row>
    <row r="527" spans="2:5" ht="15.75" customHeight="1">
      <c r="B527" s="469"/>
      <c r="C527" s="450"/>
      <c r="D527" s="449"/>
      <c r="E527" s="618"/>
    </row>
    <row r="528" spans="2:5" ht="15.75" customHeight="1">
      <c r="B528" s="469"/>
      <c r="C528" s="450"/>
      <c r="D528" s="449"/>
      <c r="E528" s="618"/>
    </row>
    <row r="529" spans="2:5" ht="15.75" customHeight="1">
      <c r="B529" s="469"/>
      <c r="C529" s="450"/>
      <c r="D529" s="449"/>
      <c r="E529" s="618"/>
    </row>
    <row r="530" spans="2:5" ht="15.75" customHeight="1">
      <c r="B530" s="469"/>
      <c r="C530" s="450"/>
      <c r="D530" s="449"/>
      <c r="E530" s="618"/>
    </row>
    <row r="531" spans="2:5" ht="15.75" customHeight="1">
      <c r="B531" s="469"/>
      <c r="C531" s="450"/>
      <c r="D531" s="449"/>
      <c r="E531" s="618"/>
    </row>
    <row r="532" spans="2:5" ht="15.75" customHeight="1">
      <c r="B532" s="469"/>
      <c r="C532" s="450"/>
      <c r="D532" s="449"/>
      <c r="E532" s="618"/>
    </row>
    <row r="533" spans="2:5" ht="15.75" customHeight="1">
      <c r="B533" s="469"/>
      <c r="C533" s="450"/>
      <c r="D533" s="449"/>
      <c r="E533" s="618"/>
    </row>
    <row r="534" spans="2:5" ht="15.75" customHeight="1">
      <c r="B534" s="469"/>
      <c r="C534" s="450"/>
      <c r="D534" s="449"/>
      <c r="E534" s="618"/>
    </row>
    <row r="535" spans="2:5" ht="15.75" customHeight="1">
      <c r="B535" s="469"/>
      <c r="C535" s="450"/>
      <c r="D535" s="449"/>
      <c r="E535" s="618"/>
    </row>
    <row r="536" spans="2:5" ht="15.75" customHeight="1">
      <c r="B536" s="469"/>
      <c r="C536" s="450"/>
      <c r="D536" s="449"/>
      <c r="E536" s="618"/>
    </row>
    <row r="537" spans="2:5" ht="15.75" customHeight="1">
      <c r="B537" s="469"/>
      <c r="C537" s="450"/>
      <c r="D537" s="449"/>
      <c r="E537" s="618"/>
    </row>
    <row r="538" spans="2:5" ht="15.75" customHeight="1">
      <c r="B538" s="469"/>
      <c r="C538" s="450"/>
      <c r="D538" s="449"/>
      <c r="E538" s="618"/>
    </row>
    <row r="539" spans="2:5" ht="15.75" customHeight="1">
      <c r="B539" s="469"/>
      <c r="C539" s="450"/>
      <c r="D539" s="449"/>
      <c r="E539" s="618"/>
    </row>
    <row r="540" spans="2:5" ht="15.75" customHeight="1">
      <c r="B540" s="469"/>
      <c r="C540" s="450"/>
      <c r="D540" s="449"/>
      <c r="E540" s="618"/>
    </row>
    <row r="541" spans="2:5" ht="15.75" customHeight="1">
      <c r="B541" s="469"/>
      <c r="C541" s="450"/>
      <c r="D541" s="449"/>
      <c r="E541" s="618"/>
    </row>
    <row r="542" spans="2:5" ht="15.75" customHeight="1">
      <c r="B542" s="469"/>
      <c r="C542" s="450"/>
      <c r="D542" s="449"/>
      <c r="E542" s="618"/>
    </row>
    <row r="543" spans="2:5" ht="15.75" customHeight="1">
      <c r="B543" s="469"/>
      <c r="C543" s="450"/>
      <c r="D543" s="449"/>
      <c r="E543" s="618"/>
    </row>
    <row r="544" spans="2:5" ht="15.75" customHeight="1">
      <c r="B544" s="469"/>
      <c r="C544" s="450"/>
      <c r="D544" s="449"/>
      <c r="E544" s="618"/>
    </row>
    <row r="545" spans="2:5" ht="15.75" customHeight="1">
      <c r="B545" s="469"/>
      <c r="C545" s="450"/>
      <c r="D545" s="449"/>
      <c r="E545" s="618"/>
    </row>
    <row r="546" spans="2:5" ht="15.75" customHeight="1">
      <c r="B546" s="469"/>
      <c r="C546" s="450"/>
      <c r="D546" s="449"/>
      <c r="E546" s="618"/>
    </row>
    <row r="547" spans="2:5" ht="15.75" customHeight="1">
      <c r="B547" s="469"/>
      <c r="C547" s="450"/>
      <c r="D547" s="449"/>
      <c r="E547" s="618"/>
    </row>
    <row r="548" spans="2:5" ht="15.75" customHeight="1">
      <c r="B548" s="469"/>
      <c r="C548" s="450"/>
      <c r="D548" s="449"/>
      <c r="E548" s="618"/>
    </row>
    <row r="549" spans="2:5" ht="15.75" customHeight="1">
      <c r="B549" s="469"/>
      <c r="C549" s="450"/>
      <c r="D549" s="449"/>
      <c r="E549" s="618"/>
    </row>
    <row r="550" spans="2:5" ht="15.75" customHeight="1">
      <c r="B550" s="469"/>
      <c r="C550" s="450"/>
      <c r="D550" s="449"/>
      <c r="E550" s="618"/>
    </row>
    <row r="551" spans="2:5" ht="15.75" customHeight="1">
      <c r="B551" s="469"/>
      <c r="C551" s="450"/>
      <c r="D551" s="449"/>
      <c r="E551" s="618"/>
    </row>
    <row r="552" spans="2:5" ht="15.75" customHeight="1">
      <c r="B552" s="469"/>
      <c r="C552" s="450"/>
      <c r="D552" s="449"/>
      <c r="E552" s="618"/>
    </row>
    <row r="553" spans="2:5" ht="15.75" customHeight="1">
      <c r="B553" s="469"/>
      <c r="C553" s="450"/>
      <c r="D553" s="449"/>
      <c r="E553" s="618"/>
    </row>
    <row r="554" spans="2:5" ht="15.75" customHeight="1">
      <c r="B554" s="469"/>
      <c r="C554" s="450"/>
      <c r="D554" s="449"/>
      <c r="E554" s="618"/>
    </row>
    <row r="555" spans="2:5" ht="15.75" customHeight="1">
      <c r="B555" s="469"/>
      <c r="C555" s="450"/>
      <c r="D555" s="449"/>
      <c r="E555" s="618"/>
    </row>
    <row r="556" spans="2:5" ht="15.75" customHeight="1">
      <c r="B556" s="469"/>
      <c r="C556" s="450"/>
      <c r="D556" s="449"/>
      <c r="E556" s="618"/>
    </row>
    <row r="557" spans="2:5" ht="15.75" customHeight="1">
      <c r="B557" s="469"/>
      <c r="C557" s="450"/>
      <c r="D557" s="449"/>
      <c r="E557" s="618"/>
    </row>
    <row r="558" spans="2:5" ht="15.75" customHeight="1">
      <c r="B558" s="469"/>
      <c r="C558" s="450"/>
      <c r="D558" s="449"/>
      <c r="E558" s="618"/>
    </row>
    <row r="559" spans="2:5" ht="15.75" customHeight="1">
      <c r="B559" s="469"/>
      <c r="C559" s="450"/>
      <c r="D559" s="449"/>
      <c r="E559" s="618"/>
    </row>
    <row r="560" spans="2:5" ht="15.75" customHeight="1">
      <c r="B560" s="469"/>
      <c r="C560" s="450"/>
      <c r="D560" s="449"/>
      <c r="E560" s="618"/>
    </row>
    <row r="561" spans="2:5" ht="15.75" customHeight="1">
      <c r="B561" s="469"/>
      <c r="C561" s="450"/>
      <c r="D561" s="449"/>
      <c r="E561" s="618"/>
    </row>
    <row r="562" spans="2:5" ht="15.75" customHeight="1">
      <c r="B562" s="469"/>
      <c r="C562" s="450"/>
      <c r="D562" s="449"/>
      <c r="E562" s="618"/>
    </row>
    <row r="563" spans="2:5" ht="15.75" customHeight="1">
      <c r="B563" s="469"/>
      <c r="C563" s="450"/>
      <c r="D563" s="449"/>
      <c r="E563" s="618"/>
    </row>
    <row r="564" spans="2:5" ht="15.75" customHeight="1">
      <c r="B564" s="469"/>
      <c r="C564" s="450"/>
      <c r="D564" s="449"/>
      <c r="E564" s="618"/>
    </row>
    <row r="565" spans="2:5" ht="15.75" customHeight="1">
      <c r="B565" s="469"/>
      <c r="C565" s="450"/>
      <c r="D565" s="449"/>
      <c r="E565" s="618"/>
    </row>
    <row r="566" spans="2:5" ht="15.75" customHeight="1">
      <c r="B566" s="469"/>
      <c r="C566" s="450"/>
      <c r="D566" s="449"/>
      <c r="E566" s="618"/>
    </row>
    <row r="567" spans="2:5" ht="15.75" customHeight="1">
      <c r="B567" s="469"/>
      <c r="C567" s="450"/>
      <c r="D567" s="449"/>
      <c r="E567" s="618"/>
    </row>
    <row r="568" spans="2:5" ht="15.75" customHeight="1">
      <c r="B568" s="469"/>
      <c r="C568" s="450"/>
      <c r="D568" s="449"/>
      <c r="E568" s="618"/>
    </row>
    <row r="569" spans="2:5" ht="15.75" customHeight="1">
      <c r="B569" s="469"/>
      <c r="C569" s="450"/>
      <c r="D569" s="449"/>
      <c r="E569" s="618"/>
    </row>
    <row r="570" spans="2:5" ht="15.75" customHeight="1">
      <c r="B570" s="469"/>
      <c r="C570" s="450"/>
      <c r="D570" s="449"/>
      <c r="E570" s="618"/>
    </row>
    <row r="571" spans="2:5" ht="15.75" customHeight="1">
      <c r="B571" s="469"/>
      <c r="C571" s="450"/>
      <c r="D571" s="449"/>
      <c r="E571" s="618"/>
    </row>
    <row r="572" spans="2:5" ht="15.75" customHeight="1">
      <c r="B572" s="469"/>
      <c r="C572" s="450"/>
      <c r="D572" s="449"/>
      <c r="E572" s="618"/>
    </row>
    <row r="573" spans="2:5" ht="15.75" customHeight="1">
      <c r="B573" s="469"/>
      <c r="C573" s="450"/>
      <c r="D573" s="449"/>
      <c r="E573" s="618"/>
    </row>
    <row r="574" spans="2:5" ht="15.75" customHeight="1">
      <c r="B574" s="469"/>
      <c r="C574" s="450"/>
      <c r="D574" s="449"/>
      <c r="E574" s="618"/>
    </row>
    <row r="575" spans="2:5" ht="15.75" customHeight="1">
      <c r="B575" s="469"/>
      <c r="C575" s="450"/>
      <c r="D575" s="449"/>
      <c r="E575" s="618"/>
    </row>
    <row r="576" spans="2:5" ht="15.75" customHeight="1">
      <c r="B576" s="469"/>
      <c r="C576" s="450"/>
      <c r="D576" s="449"/>
      <c r="E576" s="618"/>
    </row>
    <row r="577" spans="2:5" ht="15.75" customHeight="1">
      <c r="B577" s="469"/>
      <c r="C577" s="450"/>
      <c r="D577" s="449"/>
      <c r="E577" s="618"/>
    </row>
    <row r="578" spans="2:5" ht="15.75" customHeight="1">
      <c r="B578" s="469"/>
      <c r="C578" s="450"/>
      <c r="D578" s="449"/>
      <c r="E578" s="618"/>
    </row>
    <row r="579" spans="2:5" ht="15.75" customHeight="1">
      <c r="B579" s="469"/>
      <c r="C579" s="450"/>
      <c r="D579" s="449"/>
      <c r="E579" s="618"/>
    </row>
    <row r="580" spans="2:5" ht="15.75" customHeight="1">
      <c r="B580" s="469"/>
      <c r="C580" s="450"/>
      <c r="D580" s="449"/>
      <c r="E580" s="618"/>
    </row>
    <row r="581" spans="2:5" ht="15.75" customHeight="1">
      <c r="B581" s="469"/>
      <c r="C581" s="450"/>
      <c r="D581" s="449"/>
      <c r="E581" s="618"/>
    </row>
    <row r="582" spans="2:5" ht="15.75" customHeight="1">
      <c r="B582" s="469"/>
      <c r="C582" s="450"/>
      <c r="D582" s="449"/>
      <c r="E582" s="618"/>
    </row>
    <row r="583" spans="2:5" ht="15.75" customHeight="1">
      <c r="B583" s="469"/>
      <c r="C583" s="450"/>
      <c r="D583" s="449"/>
      <c r="E583" s="618"/>
    </row>
    <row r="584" spans="2:5" ht="15.75" customHeight="1">
      <c r="B584" s="469"/>
      <c r="C584" s="450"/>
      <c r="D584" s="449"/>
      <c r="E584" s="618"/>
    </row>
    <row r="585" spans="2:5" ht="15.75" customHeight="1">
      <c r="B585" s="469"/>
      <c r="C585" s="450"/>
      <c r="D585" s="449"/>
      <c r="E585" s="618"/>
    </row>
    <row r="586" spans="2:5" ht="15.75" customHeight="1">
      <c r="B586" s="469"/>
      <c r="C586" s="450"/>
      <c r="D586" s="449"/>
      <c r="E586" s="618"/>
    </row>
    <row r="587" spans="2:5" ht="15.75" customHeight="1">
      <c r="B587" s="469"/>
      <c r="C587" s="450"/>
      <c r="D587" s="449"/>
      <c r="E587" s="618"/>
    </row>
    <row r="588" spans="2:5" ht="15.75" customHeight="1">
      <c r="B588" s="469"/>
      <c r="C588" s="450"/>
      <c r="D588" s="449"/>
      <c r="E588" s="618"/>
    </row>
    <row r="589" spans="2:5" ht="15.75" customHeight="1">
      <c r="B589" s="469"/>
      <c r="C589" s="450"/>
      <c r="D589" s="449"/>
      <c r="E589" s="618"/>
    </row>
    <row r="590" spans="2:5" ht="15.75" customHeight="1">
      <c r="B590" s="469"/>
      <c r="C590" s="450"/>
      <c r="D590" s="449"/>
      <c r="E590" s="618"/>
    </row>
    <row r="591" spans="2:5" ht="15.75" customHeight="1">
      <c r="B591" s="469"/>
      <c r="C591" s="450"/>
      <c r="D591" s="449"/>
      <c r="E591" s="618"/>
    </row>
    <row r="592" spans="2:5" ht="15.75" customHeight="1">
      <c r="B592" s="469"/>
      <c r="C592" s="450"/>
      <c r="D592" s="449"/>
      <c r="E592" s="618"/>
    </row>
    <row r="593" spans="2:5" ht="15.75" customHeight="1">
      <c r="B593" s="469"/>
      <c r="C593" s="450"/>
      <c r="D593" s="449"/>
      <c r="E593" s="618"/>
    </row>
    <row r="594" spans="2:5" ht="15.75" customHeight="1">
      <c r="B594" s="469"/>
      <c r="C594" s="450"/>
      <c r="D594" s="449"/>
      <c r="E594" s="618"/>
    </row>
    <row r="595" spans="2:5" ht="15.75" customHeight="1">
      <c r="B595" s="469"/>
      <c r="C595" s="450"/>
      <c r="D595" s="449"/>
      <c r="E595" s="618"/>
    </row>
    <row r="596" spans="2:5" ht="15.75" customHeight="1">
      <c r="B596" s="469"/>
      <c r="C596" s="450"/>
      <c r="D596" s="449"/>
      <c r="E596" s="618"/>
    </row>
    <row r="597" spans="2:5" ht="15.75" customHeight="1">
      <c r="B597" s="469"/>
      <c r="C597" s="450"/>
      <c r="D597" s="449"/>
      <c r="E597" s="618"/>
    </row>
    <row r="598" spans="2:5" ht="15.75" customHeight="1">
      <c r="B598" s="469"/>
      <c r="C598" s="450"/>
      <c r="D598" s="449"/>
      <c r="E598" s="618"/>
    </row>
    <row r="599" spans="2:5" ht="15.75" customHeight="1">
      <c r="B599" s="469"/>
      <c r="C599" s="450"/>
      <c r="D599" s="449"/>
      <c r="E599" s="618"/>
    </row>
    <row r="600" spans="2:5" ht="15.75" customHeight="1">
      <c r="B600" s="469"/>
      <c r="C600" s="450"/>
      <c r="D600" s="449"/>
      <c r="E600" s="618"/>
    </row>
    <row r="601" spans="2:5" ht="15.75" customHeight="1">
      <c r="B601" s="469"/>
      <c r="C601" s="450"/>
      <c r="D601" s="449"/>
      <c r="E601" s="618"/>
    </row>
    <row r="602" spans="2:5" ht="15.75" customHeight="1">
      <c r="B602" s="469"/>
      <c r="C602" s="450"/>
      <c r="D602" s="449"/>
      <c r="E602" s="618"/>
    </row>
    <row r="603" spans="2:5" ht="15.75" customHeight="1">
      <c r="B603" s="469"/>
      <c r="C603" s="450"/>
      <c r="D603" s="449"/>
      <c r="E603" s="618"/>
    </row>
    <row r="604" spans="2:5" ht="15.75" customHeight="1">
      <c r="B604" s="469"/>
      <c r="C604" s="450"/>
      <c r="D604" s="449"/>
      <c r="E604" s="618"/>
    </row>
    <row r="605" spans="2:5" ht="15.75" customHeight="1">
      <c r="B605" s="469"/>
      <c r="C605" s="450"/>
      <c r="D605" s="449"/>
      <c r="E605" s="618"/>
    </row>
    <row r="606" spans="2:5" ht="15.75" customHeight="1">
      <c r="B606" s="469"/>
      <c r="C606" s="450"/>
      <c r="D606" s="449"/>
      <c r="E606" s="618"/>
    </row>
    <row r="607" spans="2:5" ht="15.75" customHeight="1">
      <c r="B607" s="469"/>
      <c r="C607" s="450"/>
      <c r="D607" s="449"/>
      <c r="E607" s="618"/>
    </row>
    <row r="608" spans="2:5" ht="15.75" customHeight="1">
      <c r="B608" s="469"/>
      <c r="C608" s="450"/>
      <c r="D608" s="449"/>
      <c r="E608" s="618"/>
    </row>
    <row r="609" spans="2:5" ht="15.75" customHeight="1">
      <c r="B609" s="469"/>
      <c r="C609" s="450"/>
      <c r="D609" s="449"/>
      <c r="E609" s="618"/>
    </row>
    <row r="610" spans="2:5" ht="15.75" customHeight="1">
      <c r="B610" s="469"/>
      <c r="C610" s="450"/>
      <c r="D610" s="449"/>
      <c r="E610" s="618"/>
    </row>
    <row r="611" spans="2:5" ht="15.75" customHeight="1">
      <c r="B611" s="469"/>
      <c r="C611" s="450"/>
      <c r="D611" s="449"/>
      <c r="E611" s="618"/>
    </row>
    <row r="612" spans="2:5" ht="15.75" customHeight="1">
      <c r="B612" s="469"/>
      <c r="C612" s="450"/>
      <c r="D612" s="449"/>
      <c r="E612" s="618"/>
    </row>
    <row r="613" spans="2:5" ht="15.75" customHeight="1">
      <c r="B613" s="469"/>
      <c r="C613" s="450"/>
      <c r="D613" s="449"/>
      <c r="E613" s="618"/>
    </row>
    <row r="614" spans="2:5" ht="15.75" customHeight="1">
      <c r="B614" s="469"/>
      <c r="C614" s="450"/>
      <c r="D614" s="449"/>
      <c r="E614" s="618"/>
    </row>
    <row r="615" spans="2:5" ht="15.75" customHeight="1">
      <c r="B615" s="469"/>
      <c r="C615" s="450"/>
      <c r="D615" s="449"/>
      <c r="E615" s="618"/>
    </row>
    <row r="616" spans="2:5" ht="15.75" customHeight="1">
      <c r="B616" s="469"/>
      <c r="C616" s="450"/>
      <c r="D616" s="449"/>
      <c r="E616" s="618"/>
    </row>
    <row r="617" spans="2:5" ht="15.75" customHeight="1">
      <c r="B617" s="469"/>
      <c r="C617" s="450"/>
      <c r="D617" s="449"/>
      <c r="E617" s="618"/>
    </row>
    <row r="618" spans="2:5" ht="15.75" customHeight="1">
      <c r="B618" s="469"/>
      <c r="C618" s="450"/>
      <c r="D618" s="449"/>
      <c r="E618" s="618"/>
    </row>
    <row r="619" spans="2:5" ht="15.75" customHeight="1">
      <c r="B619" s="469"/>
      <c r="C619" s="450"/>
      <c r="D619" s="449"/>
      <c r="E619" s="618"/>
    </row>
    <row r="620" spans="2:5" ht="15.75" customHeight="1">
      <c r="B620" s="469"/>
      <c r="C620" s="450"/>
      <c r="D620" s="449"/>
      <c r="E620" s="618"/>
    </row>
    <row r="621" spans="2:5" ht="15.75" customHeight="1">
      <c r="B621" s="469"/>
      <c r="C621" s="450"/>
      <c r="D621" s="449"/>
      <c r="E621" s="618"/>
    </row>
    <row r="622" spans="2:5" ht="15.75" customHeight="1">
      <c r="B622" s="469"/>
      <c r="C622" s="450"/>
      <c r="D622" s="449"/>
      <c r="E622" s="618"/>
    </row>
    <row r="623" spans="2:5" ht="15.75" customHeight="1">
      <c r="B623" s="469"/>
      <c r="C623" s="450"/>
      <c r="D623" s="449"/>
      <c r="E623" s="618"/>
    </row>
    <row r="624" spans="2:5" ht="15.75" customHeight="1">
      <c r="B624" s="469"/>
      <c r="C624" s="450"/>
      <c r="D624" s="449"/>
      <c r="E624" s="618"/>
    </row>
    <row r="625" spans="2:5" ht="15.75" customHeight="1">
      <c r="B625" s="469"/>
      <c r="C625" s="450"/>
      <c r="D625" s="449"/>
      <c r="E625" s="618"/>
    </row>
    <row r="626" spans="2:5" ht="15.75" customHeight="1">
      <c r="B626" s="469"/>
      <c r="C626" s="450"/>
      <c r="D626" s="449"/>
      <c r="E626" s="618"/>
    </row>
    <row r="627" spans="2:5" ht="15.75" customHeight="1">
      <c r="B627" s="469"/>
      <c r="C627" s="450"/>
      <c r="D627" s="449"/>
      <c r="E627" s="618"/>
    </row>
    <row r="628" spans="2:5" ht="15.75" customHeight="1">
      <c r="B628" s="469"/>
      <c r="C628" s="450"/>
      <c r="D628" s="449"/>
      <c r="E628" s="618"/>
    </row>
    <row r="629" spans="2:5" ht="15.75" customHeight="1">
      <c r="B629" s="469"/>
      <c r="C629" s="450"/>
      <c r="D629" s="449"/>
      <c r="E629" s="618"/>
    </row>
    <row r="630" spans="2:5" ht="15.75" customHeight="1">
      <c r="B630" s="469"/>
      <c r="C630" s="450"/>
      <c r="D630" s="449"/>
      <c r="E630" s="618"/>
    </row>
    <row r="631" spans="2:5" ht="15.75" customHeight="1">
      <c r="B631" s="469"/>
      <c r="C631" s="450"/>
      <c r="D631" s="449"/>
      <c r="E631" s="618"/>
    </row>
    <row r="632" spans="2:5" ht="15.75" customHeight="1">
      <c r="B632" s="469"/>
      <c r="C632" s="450"/>
      <c r="D632" s="449"/>
      <c r="E632" s="618"/>
    </row>
    <row r="633" spans="2:5" ht="15.75" customHeight="1">
      <c r="B633" s="469"/>
      <c r="C633" s="450"/>
      <c r="D633" s="449"/>
      <c r="E633" s="618"/>
    </row>
    <row r="634" spans="2:5" ht="15.75" customHeight="1">
      <c r="B634" s="469"/>
      <c r="C634" s="450"/>
      <c r="D634" s="449"/>
      <c r="E634" s="618"/>
    </row>
    <row r="635" spans="2:5" ht="15.75" customHeight="1">
      <c r="B635" s="469"/>
      <c r="C635" s="450"/>
      <c r="D635" s="449"/>
      <c r="E635" s="618"/>
    </row>
    <row r="636" spans="2:5" ht="15.75" customHeight="1">
      <c r="B636" s="469"/>
      <c r="C636" s="450"/>
      <c r="D636" s="449"/>
      <c r="E636" s="618"/>
    </row>
    <row r="637" spans="2:5" ht="15.75" customHeight="1">
      <c r="B637" s="469"/>
      <c r="C637" s="450"/>
      <c r="D637" s="449"/>
      <c r="E637" s="618"/>
    </row>
    <row r="638" spans="2:5" ht="15.75" customHeight="1">
      <c r="B638" s="469"/>
      <c r="C638" s="450"/>
      <c r="D638" s="449"/>
      <c r="E638" s="618"/>
    </row>
    <row r="639" spans="2:5" ht="15.75" customHeight="1">
      <c r="B639" s="469"/>
      <c r="C639" s="450"/>
      <c r="D639" s="449"/>
      <c r="E639" s="618"/>
    </row>
    <row r="640" spans="2:5" ht="15.75" customHeight="1">
      <c r="B640" s="469"/>
      <c r="C640" s="450"/>
      <c r="D640" s="449"/>
      <c r="E640" s="618"/>
    </row>
    <row r="641" spans="2:5" ht="15.75" customHeight="1">
      <c r="B641" s="469"/>
      <c r="C641" s="450"/>
      <c r="D641" s="449"/>
      <c r="E641" s="618"/>
    </row>
    <row r="642" spans="2:5" ht="15.75" customHeight="1">
      <c r="B642" s="469"/>
      <c r="C642" s="450"/>
      <c r="D642" s="449"/>
      <c r="E642" s="618"/>
    </row>
    <row r="643" spans="2:5" ht="15.75" customHeight="1">
      <c r="B643" s="469"/>
      <c r="C643" s="450"/>
      <c r="D643" s="449"/>
      <c r="E643" s="618"/>
    </row>
    <row r="644" spans="2:5" ht="15.75" customHeight="1">
      <c r="B644" s="469"/>
      <c r="C644" s="450"/>
      <c r="D644" s="449"/>
      <c r="E644" s="618"/>
    </row>
    <row r="645" spans="2:5" ht="15.75" customHeight="1">
      <c r="B645" s="469"/>
      <c r="C645" s="450"/>
      <c r="D645" s="449"/>
      <c r="E645" s="618"/>
    </row>
    <row r="646" spans="2:5" ht="15.75" customHeight="1">
      <c r="B646" s="469"/>
      <c r="C646" s="450"/>
      <c r="D646" s="449"/>
      <c r="E646" s="618"/>
    </row>
    <row r="647" spans="2:5" ht="15.75" customHeight="1">
      <c r="B647" s="469"/>
      <c r="C647" s="450"/>
      <c r="D647" s="449"/>
      <c r="E647" s="618"/>
    </row>
    <row r="648" spans="2:5" ht="15.75" customHeight="1">
      <c r="B648" s="469"/>
      <c r="C648" s="450"/>
      <c r="D648" s="449"/>
      <c r="E648" s="618"/>
    </row>
    <row r="649" spans="2:5" ht="15.75" customHeight="1">
      <c r="B649" s="469"/>
      <c r="C649" s="450"/>
      <c r="D649" s="449"/>
      <c r="E649" s="618"/>
    </row>
    <row r="650" spans="2:5" ht="15.75" customHeight="1">
      <c r="B650" s="469"/>
      <c r="C650" s="450"/>
      <c r="D650" s="449"/>
      <c r="E650" s="618"/>
    </row>
    <row r="651" spans="2:5" ht="15.75" customHeight="1">
      <c r="B651" s="469"/>
      <c r="C651" s="450"/>
      <c r="D651" s="449"/>
      <c r="E651" s="618"/>
    </row>
    <row r="652" spans="2:5" ht="15.75" customHeight="1">
      <c r="B652" s="469"/>
      <c r="C652" s="450"/>
      <c r="D652" s="449"/>
      <c r="E652" s="618"/>
    </row>
    <row r="653" spans="2:5" ht="15.75" customHeight="1">
      <c r="B653" s="469"/>
      <c r="C653" s="450"/>
      <c r="D653" s="449"/>
      <c r="E653" s="618"/>
    </row>
    <row r="654" spans="2:5" ht="15.75" customHeight="1">
      <c r="B654" s="469"/>
      <c r="C654" s="450"/>
      <c r="D654" s="449"/>
      <c r="E654" s="618"/>
    </row>
    <row r="655" spans="2:5" ht="15.75" customHeight="1">
      <c r="B655" s="469"/>
      <c r="C655" s="450"/>
      <c r="D655" s="449"/>
      <c r="E655" s="618"/>
    </row>
    <row r="656" spans="2:5" ht="15.75" customHeight="1">
      <c r="B656" s="469"/>
      <c r="C656" s="450"/>
      <c r="D656" s="449"/>
      <c r="E656" s="618"/>
    </row>
    <row r="657" spans="2:5" ht="15.75" customHeight="1">
      <c r="B657" s="469"/>
      <c r="C657" s="450"/>
      <c r="D657" s="449"/>
      <c r="E657" s="618"/>
    </row>
    <row r="658" spans="2:5" ht="15.75" customHeight="1">
      <c r="B658" s="469"/>
      <c r="C658" s="450"/>
      <c r="D658" s="449"/>
      <c r="E658" s="618"/>
    </row>
    <row r="659" spans="2:5" ht="15.75" customHeight="1">
      <c r="B659" s="469"/>
      <c r="C659" s="450"/>
      <c r="D659" s="449"/>
      <c r="E659" s="618"/>
    </row>
    <row r="660" spans="2:5" ht="15.75" customHeight="1">
      <c r="B660" s="469"/>
      <c r="C660" s="450"/>
      <c r="D660" s="449"/>
      <c r="E660" s="618"/>
    </row>
    <row r="661" spans="2:5" ht="15.75" customHeight="1">
      <c r="B661" s="469"/>
      <c r="C661" s="450"/>
      <c r="D661" s="449"/>
      <c r="E661" s="618"/>
    </row>
    <row r="662" spans="2:5" ht="15.75" customHeight="1">
      <c r="B662" s="469"/>
      <c r="C662" s="450"/>
      <c r="D662" s="449"/>
      <c r="E662" s="618"/>
    </row>
    <row r="663" spans="2:5" ht="15.75" customHeight="1">
      <c r="B663" s="469"/>
      <c r="C663" s="450"/>
      <c r="D663" s="449"/>
      <c r="E663" s="618"/>
    </row>
    <row r="664" spans="2:5" ht="15.75" customHeight="1">
      <c r="B664" s="469"/>
      <c r="C664" s="450"/>
      <c r="D664" s="449"/>
      <c r="E664" s="618"/>
    </row>
    <row r="665" spans="2:5" ht="15.75" customHeight="1">
      <c r="B665" s="469"/>
      <c r="C665" s="450"/>
      <c r="D665" s="449"/>
      <c r="E665" s="618"/>
    </row>
    <row r="666" spans="2:5" ht="15.75" customHeight="1">
      <c r="B666" s="469"/>
      <c r="C666" s="450"/>
      <c r="D666" s="449"/>
      <c r="E666" s="618"/>
    </row>
    <row r="667" spans="2:5" ht="15.75" customHeight="1">
      <c r="B667" s="469"/>
      <c r="C667" s="450"/>
      <c r="D667" s="449"/>
      <c r="E667" s="618"/>
    </row>
    <row r="668" spans="2:5" ht="15.75" customHeight="1">
      <c r="B668" s="469"/>
      <c r="C668" s="450"/>
      <c r="D668" s="449"/>
      <c r="E668" s="618"/>
    </row>
    <row r="669" spans="2:5" ht="15.75" customHeight="1">
      <c r="B669" s="469"/>
      <c r="C669" s="450"/>
      <c r="D669" s="449"/>
      <c r="E669" s="618"/>
    </row>
    <row r="670" spans="2:5" ht="15.75" customHeight="1">
      <c r="B670" s="469"/>
      <c r="C670" s="450"/>
      <c r="D670" s="449"/>
      <c r="E670" s="618"/>
    </row>
    <row r="671" spans="2:5" ht="15.75" customHeight="1">
      <c r="B671" s="469"/>
      <c r="C671" s="450"/>
      <c r="D671" s="449"/>
      <c r="E671" s="618"/>
    </row>
    <row r="672" spans="2:5" ht="15.75" customHeight="1">
      <c r="B672" s="469"/>
      <c r="C672" s="450"/>
      <c r="D672" s="449"/>
      <c r="E672" s="618"/>
    </row>
    <row r="673" spans="2:5" ht="15.75" customHeight="1">
      <c r="B673" s="469"/>
      <c r="C673" s="450"/>
      <c r="D673" s="449"/>
      <c r="E673" s="618"/>
    </row>
    <row r="674" spans="2:5" ht="15.75" customHeight="1">
      <c r="B674" s="469"/>
      <c r="C674" s="450"/>
      <c r="D674" s="449"/>
      <c r="E674" s="618"/>
    </row>
    <row r="675" spans="2:5" ht="15.75" customHeight="1">
      <c r="B675" s="469"/>
      <c r="C675" s="450"/>
      <c r="D675" s="449"/>
      <c r="E675" s="618"/>
    </row>
    <row r="676" spans="2:5" ht="15.75" customHeight="1">
      <c r="B676" s="469"/>
      <c r="C676" s="450"/>
      <c r="D676" s="449"/>
      <c r="E676" s="618"/>
    </row>
    <row r="677" spans="2:5" ht="15.75" customHeight="1">
      <c r="B677" s="469"/>
      <c r="C677" s="450"/>
      <c r="D677" s="449"/>
      <c r="E677" s="618"/>
    </row>
    <row r="678" spans="2:5" ht="15.75" customHeight="1">
      <c r="B678" s="469"/>
      <c r="C678" s="450"/>
      <c r="D678" s="449"/>
      <c r="E678" s="618"/>
    </row>
    <row r="679" spans="2:5" ht="15.75" customHeight="1">
      <c r="B679" s="469"/>
      <c r="C679" s="450"/>
      <c r="D679" s="449"/>
      <c r="E679" s="618"/>
    </row>
    <row r="680" spans="2:5" ht="15.75" customHeight="1">
      <c r="B680" s="469"/>
      <c r="C680" s="450"/>
      <c r="D680" s="449"/>
      <c r="E680" s="618"/>
    </row>
    <row r="681" spans="2:5" ht="15.75" customHeight="1">
      <c r="B681" s="469"/>
      <c r="C681" s="450"/>
      <c r="D681" s="449"/>
      <c r="E681" s="618"/>
    </row>
    <row r="682" spans="2:5" ht="15.75" customHeight="1">
      <c r="B682" s="469"/>
      <c r="C682" s="450"/>
      <c r="D682" s="449"/>
      <c r="E682" s="618"/>
    </row>
    <row r="683" spans="2:5" ht="15.75" customHeight="1">
      <c r="B683" s="469"/>
      <c r="C683" s="450"/>
      <c r="D683" s="449"/>
      <c r="E683" s="618"/>
    </row>
    <row r="684" spans="2:5" ht="15.75" customHeight="1">
      <c r="B684" s="469"/>
      <c r="C684" s="450"/>
      <c r="D684" s="449"/>
      <c r="E684" s="618"/>
    </row>
    <row r="685" spans="2:5" ht="15.75" customHeight="1">
      <c r="B685" s="469"/>
      <c r="C685" s="450"/>
      <c r="D685" s="449"/>
      <c r="E685" s="618"/>
    </row>
    <row r="686" spans="2:5" ht="15.75" customHeight="1">
      <c r="B686" s="469"/>
      <c r="C686" s="450"/>
      <c r="D686" s="449"/>
      <c r="E686" s="618"/>
    </row>
    <row r="687" spans="2:5" ht="15.75" customHeight="1">
      <c r="B687" s="469"/>
      <c r="C687" s="450"/>
      <c r="D687" s="449"/>
      <c r="E687" s="618"/>
    </row>
    <row r="688" spans="2:5" ht="15.75" customHeight="1">
      <c r="B688" s="469"/>
      <c r="C688" s="450"/>
      <c r="D688" s="449"/>
      <c r="E688" s="618"/>
    </row>
    <row r="689" spans="2:5" ht="15.75" customHeight="1">
      <c r="B689" s="469"/>
      <c r="C689" s="450"/>
      <c r="D689" s="449"/>
      <c r="E689" s="618"/>
    </row>
    <row r="690" spans="2:5" ht="15.75" customHeight="1">
      <c r="B690" s="469"/>
      <c r="C690" s="450"/>
      <c r="D690" s="449"/>
      <c r="E690" s="618"/>
    </row>
    <row r="691" spans="2:5" ht="15.75" customHeight="1">
      <c r="B691" s="469"/>
      <c r="C691" s="450"/>
      <c r="D691" s="449"/>
      <c r="E691" s="618"/>
    </row>
    <row r="692" spans="2:5" ht="15.75" customHeight="1">
      <c r="B692" s="469"/>
      <c r="C692" s="450"/>
      <c r="D692" s="449"/>
      <c r="E692" s="618"/>
    </row>
    <row r="693" spans="2:5" ht="15.75" customHeight="1">
      <c r="B693" s="469"/>
      <c r="C693" s="450"/>
      <c r="D693" s="449"/>
      <c r="E693" s="618"/>
    </row>
    <row r="694" spans="2:5" ht="15.75" customHeight="1">
      <c r="B694" s="469"/>
      <c r="C694" s="450"/>
      <c r="D694" s="449"/>
      <c r="E694" s="618"/>
    </row>
    <row r="695" spans="2:5" ht="15.75" customHeight="1">
      <c r="B695" s="469"/>
      <c r="C695" s="450"/>
      <c r="D695" s="449"/>
      <c r="E695" s="618"/>
    </row>
    <row r="696" spans="2:5" ht="15.75" customHeight="1">
      <c r="B696" s="469"/>
      <c r="C696" s="450"/>
      <c r="D696" s="449"/>
      <c r="E696" s="618"/>
    </row>
    <row r="697" spans="2:5" ht="15.75" customHeight="1">
      <c r="B697" s="469"/>
      <c r="C697" s="450"/>
      <c r="D697" s="449"/>
      <c r="E697" s="618"/>
    </row>
    <row r="698" spans="2:5" ht="15.75" customHeight="1">
      <c r="B698" s="469"/>
      <c r="C698" s="450"/>
      <c r="D698" s="449"/>
      <c r="E698" s="618"/>
    </row>
    <row r="699" spans="2:5" ht="15.75" customHeight="1">
      <c r="B699" s="469"/>
      <c r="C699" s="450"/>
      <c r="D699" s="449"/>
      <c r="E699" s="618"/>
    </row>
    <row r="700" spans="2:5" ht="15.75" customHeight="1">
      <c r="B700" s="469"/>
      <c r="C700" s="450"/>
      <c r="D700" s="449"/>
      <c r="E700" s="618"/>
    </row>
    <row r="701" spans="2:5" ht="15.75" customHeight="1">
      <c r="B701" s="469"/>
      <c r="C701" s="450"/>
      <c r="D701" s="449"/>
      <c r="E701" s="618"/>
    </row>
    <row r="702" spans="2:5" ht="15.75" customHeight="1">
      <c r="B702" s="469"/>
      <c r="C702" s="450"/>
      <c r="D702" s="449"/>
      <c r="E702" s="618"/>
    </row>
    <row r="703" spans="2:5" ht="15.75" customHeight="1">
      <c r="B703" s="469"/>
      <c r="C703" s="450"/>
      <c r="D703" s="449"/>
      <c r="E703" s="618"/>
    </row>
    <row r="704" spans="2:5" ht="15.75" customHeight="1">
      <c r="B704" s="469"/>
      <c r="C704" s="450"/>
      <c r="D704" s="449"/>
      <c r="E704" s="618"/>
    </row>
    <row r="705" spans="2:5" ht="15.75" customHeight="1">
      <c r="B705" s="469"/>
      <c r="C705" s="450"/>
      <c r="D705" s="449"/>
      <c r="E705" s="618"/>
    </row>
    <row r="706" spans="2:5" ht="15.75" customHeight="1">
      <c r="B706" s="469"/>
      <c r="C706" s="450"/>
      <c r="D706" s="449"/>
      <c r="E706" s="618"/>
    </row>
    <row r="707" spans="2:5" ht="15.75" customHeight="1">
      <c r="B707" s="469"/>
      <c r="C707" s="450"/>
      <c r="D707" s="449"/>
      <c r="E707" s="618"/>
    </row>
    <row r="708" spans="2:5" ht="15.75" customHeight="1">
      <c r="B708" s="469"/>
      <c r="C708" s="450"/>
      <c r="D708" s="449"/>
      <c r="E708" s="618"/>
    </row>
    <row r="709" spans="2:5" ht="15.75" customHeight="1">
      <c r="B709" s="469"/>
      <c r="C709" s="450"/>
      <c r="D709" s="449"/>
      <c r="E709" s="618"/>
    </row>
    <row r="710" spans="2:5" ht="15.75" customHeight="1">
      <c r="B710" s="469"/>
      <c r="C710" s="450"/>
      <c r="D710" s="449"/>
      <c r="E710" s="618"/>
    </row>
    <row r="711" spans="2:5" ht="15.75" customHeight="1">
      <c r="B711" s="469"/>
      <c r="C711" s="450"/>
      <c r="D711" s="449"/>
      <c r="E711" s="618"/>
    </row>
    <row r="712" spans="2:5" ht="15.75" customHeight="1">
      <c r="B712" s="469"/>
      <c r="C712" s="450"/>
      <c r="D712" s="449"/>
      <c r="E712" s="618"/>
    </row>
    <row r="713" spans="2:5" ht="15.75" customHeight="1">
      <c r="B713" s="469"/>
      <c r="C713" s="450"/>
      <c r="D713" s="449"/>
      <c r="E713" s="618"/>
    </row>
    <row r="714" spans="2:5" ht="15.75" customHeight="1">
      <c r="B714" s="469"/>
      <c r="C714" s="450"/>
      <c r="D714" s="449"/>
      <c r="E714" s="618"/>
    </row>
    <row r="715" spans="2:5" ht="15.75" customHeight="1">
      <c r="B715" s="469"/>
      <c r="C715" s="450"/>
      <c r="D715" s="449"/>
      <c r="E715" s="618"/>
    </row>
    <row r="716" spans="2:5" ht="15.75" customHeight="1">
      <c r="B716" s="469"/>
      <c r="C716" s="450"/>
      <c r="D716" s="449"/>
      <c r="E716" s="618"/>
    </row>
    <row r="717" spans="2:5" ht="15.75" customHeight="1">
      <c r="B717" s="469"/>
      <c r="C717" s="450"/>
      <c r="D717" s="449"/>
      <c r="E717" s="618"/>
    </row>
    <row r="718" spans="2:5" ht="15.75" customHeight="1">
      <c r="B718" s="469"/>
      <c r="C718" s="450"/>
      <c r="D718" s="449"/>
      <c r="E718" s="618"/>
    </row>
    <row r="719" spans="2:5" ht="15.75" customHeight="1">
      <c r="B719" s="469"/>
      <c r="C719" s="450"/>
      <c r="D719" s="449"/>
      <c r="E719" s="618"/>
    </row>
    <row r="720" spans="2:5" ht="15.75" customHeight="1">
      <c r="B720" s="469"/>
      <c r="C720" s="450"/>
      <c r="D720" s="449"/>
      <c r="E720" s="618"/>
    </row>
    <row r="721" spans="2:5" ht="15.75" customHeight="1">
      <c r="B721" s="469"/>
      <c r="C721" s="450"/>
      <c r="D721" s="449"/>
      <c r="E721" s="618"/>
    </row>
    <row r="722" spans="2:5" ht="15.75" customHeight="1">
      <c r="B722" s="469"/>
      <c r="C722" s="450"/>
      <c r="D722" s="449"/>
      <c r="E722" s="618"/>
    </row>
    <row r="723" spans="2:5" ht="15.75" customHeight="1">
      <c r="B723" s="469"/>
      <c r="C723" s="450"/>
      <c r="D723" s="449"/>
      <c r="E723" s="618"/>
    </row>
    <row r="724" spans="2:5" ht="15.75" customHeight="1">
      <c r="B724" s="469"/>
      <c r="C724" s="450"/>
      <c r="D724" s="449"/>
      <c r="E724" s="618"/>
    </row>
    <row r="725" spans="2:5" ht="15.75" customHeight="1">
      <c r="B725" s="469"/>
      <c r="C725" s="450"/>
      <c r="D725" s="449"/>
      <c r="E725" s="618"/>
    </row>
    <row r="726" spans="2:5" ht="15.75" customHeight="1">
      <c r="B726" s="469"/>
      <c r="C726" s="450"/>
      <c r="D726" s="449"/>
      <c r="E726" s="618"/>
    </row>
    <row r="727" spans="2:5" ht="15.75" customHeight="1">
      <c r="B727" s="469"/>
      <c r="C727" s="450"/>
      <c r="D727" s="449"/>
      <c r="E727" s="618"/>
    </row>
    <row r="728" spans="2:5" ht="15.75" customHeight="1">
      <c r="B728" s="469"/>
      <c r="C728" s="450"/>
      <c r="D728" s="449"/>
      <c r="E728" s="618"/>
    </row>
    <row r="729" spans="2:5" ht="15.75" customHeight="1">
      <c r="B729" s="469"/>
      <c r="C729" s="450"/>
      <c r="D729" s="449"/>
      <c r="E729" s="618"/>
    </row>
    <row r="730" spans="2:5" ht="15.75" customHeight="1">
      <c r="B730" s="469"/>
      <c r="C730" s="450"/>
      <c r="D730" s="449"/>
      <c r="E730" s="618"/>
    </row>
    <row r="731" spans="2:5" ht="15.75" customHeight="1">
      <c r="B731" s="469"/>
      <c r="C731" s="450"/>
      <c r="D731" s="449"/>
      <c r="E731" s="618"/>
    </row>
    <row r="732" spans="2:5" ht="15.75" customHeight="1">
      <c r="B732" s="469"/>
      <c r="C732" s="450"/>
      <c r="D732" s="449"/>
      <c r="E732" s="618"/>
    </row>
    <row r="733" spans="2:5" ht="15.75" customHeight="1">
      <c r="B733" s="469"/>
      <c r="C733" s="450"/>
      <c r="D733" s="449"/>
      <c r="E733" s="618"/>
    </row>
    <row r="734" spans="2:5" ht="15.75" customHeight="1">
      <c r="B734" s="469"/>
      <c r="C734" s="450"/>
      <c r="D734" s="449"/>
      <c r="E734" s="618"/>
    </row>
    <row r="735" spans="2:5" ht="15.75" customHeight="1">
      <c r="B735" s="469"/>
      <c r="C735" s="450"/>
      <c r="D735" s="449"/>
      <c r="E735" s="618"/>
    </row>
    <row r="736" spans="2:5" ht="15.75" customHeight="1">
      <c r="B736" s="469"/>
      <c r="C736" s="450"/>
      <c r="D736" s="449"/>
      <c r="E736" s="618"/>
    </row>
    <row r="737" spans="2:5" ht="15.75" customHeight="1">
      <c r="B737" s="469"/>
      <c r="C737" s="450"/>
      <c r="D737" s="449"/>
      <c r="E737" s="618"/>
    </row>
    <row r="738" spans="2:5" ht="15.75" customHeight="1">
      <c r="B738" s="469"/>
      <c r="C738" s="450"/>
      <c r="D738" s="449"/>
      <c r="E738" s="618"/>
    </row>
    <row r="739" spans="2:5" ht="15.75" customHeight="1">
      <c r="B739" s="469"/>
      <c r="C739" s="450"/>
      <c r="D739" s="449"/>
      <c r="E739" s="618"/>
    </row>
    <row r="740" spans="2:5" ht="15.75" customHeight="1">
      <c r="B740" s="469"/>
      <c r="C740" s="450"/>
      <c r="D740" s="449"/>
      <c r="E740" s="618"/>
    </row>
    <row r="741" spans="2:5" ht="15.75" customHeight="1">
      <c r="B741" s="469"/>
      <c r="C741" s="450"/>
      <c r="D741" s="449"/>
      <c r="E741" s="618"/>
    </row>
    <row r="742" spans="2:5" ht="15.75" customHeight="1">
      <c r="B742" s="469"/>
      <c r="C742" s="450"/>
      <c r="D742" s="449"/>
      <c r="E742" s="618"/>
    </row>
    <row r="743" spans="2:5" ht="15.75" customHeight="1">
      <c r="B743" s="469"/>
      <c r="C743" s="450"/>
      <c r="D743" s="449"/>
      <c r="E743" s="618"/>
    </row>
    <row r="744" spans="2:5" ht="15.75" customHeight="1">
      <c r="B744" s="469"/>
      <c r="C744" s="450"/>
      <c r="D744" s="449"/>
      <c r="E744" s="618"/>
    </row>
    <row r="745" spans="2:5" ht="15.75" customHeight="1">
      <c r="B745" s="469"/>
      <c r="C745" s="450"/>
      <c r="D745" s="449"/>
      <c r="E745" s="618"/>
    </row>
    <row r="746" spans="2:5" ht="15.75" customHeight="1">
      <c r="B746" s="469"/>
      <c r="C746" s="450"/>
      <c r="D746" s="449"/>
      <c r="E746" s="618"/>
    </row>
    <row r="747" spans="2:5" ht="15.75" customHeight="1">
      <c r="B747" s="469"/>
      <c r="C747" s="450"/>
      <c r="D747" s="449"/>
      <c r="E747" s="618"/>
    </row>
    <row r="748" spans="2:5" ht="15.75" customHeight="1">
      <c r="B748" s="469"/>
      <c r="C748" s="450"/>
      <c r="D748" s="449"/>
      <c r="E748" s="618"/>
    </row>
    <row r="749" spans="2:5" ht="15.75" customHeight="1">
      <c r="B749" s="469"/>
      <c r="C749" s="450"/>
      <c r="D749" s="449"/>
      <c r="E749" s="618"/>
    </row>
    <row r="750" spans="2:5" ht="15.75" customHeight="1">
      <c r="B750" s="469"/>
      <c r="C750" s="450"/>
      <c r="D750" s="449"/>
      <c r="E750" s="618"/>
    </row>
    <row r="751" spans="2:5" ht="15.75" customHeight="1">
      <c r="B751" s="469"/>
      <c r="C751" s="450"/>
      <c r="D751" s="449"/>
      <c r="E751" s="618"/>
    </row>
    <row r="752" spans="2:5" ht="15.75" customHeight="1">
      <c r="B752" s="469"/>
      <c r="C752" s="450"/>
      <c r="D752" s="449"/>
      <c r="E752" s="618"/>
    </row>
    <row r="753" spans="2:5" ht="15.75" customHeight="1">
      <c r="B753" s="469"/>
      <c r="C753" s="450"/>
      <c r="D753" s="449"/>
      <c r="E753" s="618"/>
    </row>
    <row r="754" spans="2:5" ht="15.75" customHeight="1">
      <c r="B754" s="469"/>
      <c r="C754" s="450"/>
      <c r="D754" s="449"/>
      <c r="E754" s="618"/>
    </row>
    <row r="755" spans="2:5" ht="15.75" customHeight="1">
      <c r="B755" s="469"/>
      <c r="C755" s="450"/>
      <c r="D755" s="449"/>
      <c r="E755" s="618"/>
    </row>
    <row r="756" spans="2:5" ht="15.75" customHeight="1">
      <c r="B756" s="469"/>
      <c r="C756" s="450"/>
      <c r="D756" s="449"/>
      <c r="E756" s="618"/>
    </row>
    <row r="757" spans="2:5" ht="15.75" customHeight="1">
      <c r="B757" s="469"/>
      <c r="C757" s="450"/>
      <c r="D757" s="449"/>
      <c r="E757" s="618"/>
    </row>
    <row r="758" spans="2:5" ht="15.75" customHeight="1">
      <c r="B758" s="469"/>
      <c r="C758" s="450"/>
      <c r="D758" s="449"/>
      <c r="E758" s="618"/>
    </row>
    <row r="759" spans="2:5" ht="15.75" customHeight="1">
      <c r="B759" s="469"/>
      <c r="C759" s="450"/>
      <c r="D759" s="449"/>
      <c r="E759" s="618"/>
    </row>
    <row r="760" spans="2:5" ht="15.75" customHeight="1">
      <c r="B760" s="469"/>
      <c r="C760" s="450"/>
      <c r="D760" s="449"/>
      <c r="E760" s="618"/>
    </row>
    <row r="761" spans="2:5" ht="15.75" customHeight="1">
      <c r="B761" s="469"/>
      <c r="C761" s="450"/>
      <c r="D761" s="449"/>
      <c r="E761" s="618"/>
    </row>
    <row r="762" spans="2:5" ht="15.75" customHeight="1">
      <c r="B762" s="469"/>
      <c r="C762" s="450"/>
      <c r="D762" s="449"/>
      <c r="E762" s="618"/>
    </row>
    <row r="763" spans="2:5" ht="15.75" customHeight="1">
      <c r="B763" s="469"/>
      <c r="C763" s="450"/>
      <c r="D763" s="449"/>
      <c r="E763" s="618"/>
    </row>
    <row r="764" spans="2:5" ht="15.75" customHeight="1">
      <c r="B764" s="469"/>
      <c r="C764" s="450"/>
      <c r="D764" s="449"/>
      <c r="E764" s="618"/>
    </row>
    <row r="765" spans="2:5" ht="15.75" customHeight="1">
      <c r="B765" s="469"/>
      <c r="C765" s="450"/>
      <c r="D765" s="449"/>
      <c r="E765" s="618"/>
    </row>
    <row r="766" spans="2:5" ht="15.75" customHeight="1">
      <c r="B766" s="469"/>
      <c r="C766" s="450"/>
      <c r="D766" s="449"/>
      <c r="E766" s="618"/>
    </row>
    <row r="767" spans="2:5" ht="15.75" customHeight="1">
      <c r="B767" s="469"/>
      <c r="C767" s="450"/>
      <c r="D767" s="449"/>
      <c r="E767" s="618"/>
    </row>
    <row r="768" spans="2:5" ht="15.75" customHeight="1">
      <c r="B768" s="469"/>
      <c r="C768" s="450"/>
      <c r="D768" s="449"/>
      <c r="E768" s="618"/>
    </row>
    <row r="769" spans="2:5" ht="15.75" customHeight="1">
      <c r="B769" s="469"/>
      <c r="C769" s="450"/>
      <c r="D769" s="449"/>
      <c r="E769" s="618"/>
    </row>
    <row r="770" spans="2:5" ht="15.75" customHeight="1">
      <c r="B770" s="469"/>
      <c r="C770" s="450"/>
      <c r="D770" s="449"/>
      <c r="E770" s="618"/>
    </row>
    <row r="771" spans="2:5" ht="15.75" customHeight="1">
      <c r="B771" s="469"/>
      <c r="C771" s="450"/>
      <c r="D771" s="449"/>
      <c r="E771" s="618"/>
    </row>
    <row r="772" spans="2:5" ht="15.75" customHeight="1">
      <c r="B772" s="469"/>
      <c r="C772" s="450"/>
      <c r="D772" s="449"/>
      <c r="E772" s="618"/>
    </row>
    <row r="773" spans="2:5" ht="15.75" customHeight="1">
      <c r="B773" s="469"/>
      <c r="C773" s="450"/>
      <c r="D773" s="449"/>
      <c r="E773" s="618"/>
    </row>
    <row r="774" spans="2:5" ht="15.75" customHeight="1">
      <c r="B774" s="469"/>
      <c r="C774" s="450"/>
      <c r="D774" s="449"/>
      <c r="E774" s="618"/>
    </row>
    <row r="775" spans="2:5" ht="15.75" customHeight="1">
      <c r="B775" s="469"/>
      <c r="C775" s="450"/>
      <c r="D775" s="449"/>
      <c r="E775" s="618"/>
    </row>
    <row r="776" spans="2:5" ht="15.75" customHeight="1">
      <c r="B776" s="469"/>
      <c r="C776" s="450"/>
      <c r="D776" s="449"/>
      <c r="E776" s="618"/>
    </row>
    <row r="777" spans="2:5" ht="15.75" customHeight="1">
      <c r="B777" s="469"/>
      <c r="C777" s="450"/>
      <c r="D777" s="449"/>
      <c r="E777" s="618"/>
    </row>
    <row r="778" spans="2:5" ht="15.75" customHeight="1">
      <c r="B778" s="469"/>
      <c r="C778" s="450"/>
      <c r="D778" s="449"/>
      <c r="E778" s="618"/>
    </row>
    <row r="779" spans="2:5" ht="15.75" customHeight="1">
      <c r="B779" s="469"/>
      <c r="C779" s="450"/>
      <c r="D779" s="449"/>
      <c r="E779" s="618"/>
    </row>
    <row r="780" spans="2:5" ht="15.75" customHeight="1">
      <c r="B780" s="469"/>
      <c r="C780" s="450"/>
      <c r="D780" s="449"/>
      <c r="E780" s="618"/>
    </row>
    <row r="781" spans="2:5" ht="15.75" customHeight="1">
      <c r="B781" s="469"/>
      <c r="C781" s="450"/>
      <c r="D781" s="449"/>
      <c r="E781" s="618"/>
    </row>
    <row r="782" spans="2:5" ht="15.75" customHeight="1">
      <c r="B782" s="469"/>
      <c r="C782" s="450"/>
      <c r="D782" s="449"/>
      <c r="E782" s="618"/>
    </row>
    <row r="783" spans="2:5" ht="15.75" customHeight="1">
      <c r="B783" s="469"/>
      <c r="C783" s="450"/>
      <c r="D783" s="449"/>
      <c r="E783" s="618"/>
    </row>
    <row r="784" spans="2:5" ht="15.75" customHeight="1">
      <c r="B784" s="469"/>
      <c r="C784" s="450"/>
      <c r="D784" s="449"/>
      <c r="E784" s="618"/>
    </row>
    <row r="785" spans="2:5" ht="15.75" customHeight="1">
      <c r="B785" s="469"/>
      <c r="C785" s="450"/>
      <c r="D785" s="449"/>
      <c r="E785" s="618"/>
    </row>
    <row r="786" spans="2:5" ht="15.75" customHeight="1">
      <c r="B786" s="469"/>
      <c r="C786" s="450"/>
      <c r="D786" s="449"/>
      <c r="E786" s="618"/>
    </row>
    <row r="787" spans="2:5" ht="15.75" customHeight="1">
      <c r="B787" s="469"/>
      <c r="C787" s="450"/>
      <c r="D787" s="449"/>
      <c r="E787" s="618"/>
    </row>
    <row r="788" spans="2:5" ht="15.75" customHeight="1">
      <c r="B788" s="469"/>
      <c r="C788" s="450"/>
      <c r="D788" s="449"/>
      <c r="E788" s="618"/>
    </row>
    <row r="789" spans="2:5" ht="15.75" customHeight="1">
      <c r="B789" s="469"/>
      <c r="C789" s="450"/>
      <c r="D789" s="449"/>
      <c r="E789" s="618"/>
    </row>
    <row r="790" spans="2:5" ht="15.75" customHeight="1">
      <c r="B790" s="469"/>
      <c r="C790" s="450"/>
      <c r="D790" s="449"/>
      <c r="E790" s="618"/>
    </row>
    <row r="791" spans="2:5" ht="15.75" customHeight="1">
      <c r="B791" s="469"/>
      <c r="C791" s="450"/>
      <c r="D791" s="449"/>
      <c r="E791" s="618"/>
    </row>
    <row r="792" spans="2:5" ht="15.75" customHeight="1">
      <c r="B792" s="469"/>
      <c r="C792" s="450"/>
      <c r="D792" s="449"/>
      <c r="E792" s="618"/>
    </row>
    <row r="793" spans="2:5" ht="15.75" customHeight="1">
      <c r="B793" s="469"/>
      <c r="C793" s="450"/>
      <c r="D793" s="449"/>
      <c r="E793" s="618"/>
    </row>
    <row r="794" spans="2:5" ht="15.75" customHeight="1">
      <c r="B794" s="469"/>
      <c r="C794" s="450"/>
      <c r="D794" s="449"/>
      <c r="E794" s="618"/>
    </row>
    <row r="795" spans="2:5" ht="15.75" customHeight="1">
      <c r="B795" s="469"/>
      <c r="C795" s="450"/>
      <c r="D795" s="449"/>
      <c r="E795" s="618"/>
    </row>
    <row r="796" spans="2:5" ht="15.75" customHeight="1">
      <c r="B796" s="469"/>
      <c r="C796" s="450"/>
      <c r="D796" s="449"/>
      <c r="E796" s="618"/>
    </row>
    <row r="797" spans="2:5" ht="15.75" customHeight="1">
      <c r="B797" s="469"/>
      <c r="C797" s="450"/>
      <c r="D797" s="449"/>
      <c r="E797" s="618"/>
    </row>
    <row r="798" spans="2:5" ht="15.75" customHeight="1">
      <c r="B798" s="469"/>
      <c r="C798" s="450"/>
      <c r="D798" s="449"/>
      <c r="E798" s="618"/>
    </row>
    <row r="799" spans="2:5" ht="15.75" customHeight="1">
      <c r="B799" s="469"/>
      <c r="C799" s="450"/>
      <c r="D799" s="449"/>
      <c r="E799" s="618"/>
    </row>
    <row r="800" spans="2:5" ht="15.75" customHeight="1">
      <c r="B800" s="469"/>
      <c r="C800" s="450"/>
      <c r="D800" s="449"/>
      <c r="E800" s="618"/>
    </row>
    <row r="801" spans="2:5" ht="15.75" customHeight="1">
      <c r="B801" s="469"/>
      <c r="C801" s="450"/>
      <c r="D801" s="449"/>
      <c r="E801" s="618"/>
    </row>
    <row r="802" spans="2:5" ht="15.75" customHeight="1">
      <c r="B802" s="469"/>
      <c r="C802" s="450"/>
      <c r="D802" s="449"/>
      <c r="E802" s="618"/>
    </row>
    <row r="803" spans="2:5" ht="15.75" customHeight="1">
      <c r="B803" s="469"/>
      <c r="C803" s="450"/>
      <c r="D803" s="449"/>
      <c r="E803" s="618"/>
    </row>
    <row r="804" spans="2:5" ht="15.75" customHeight="1">
      <c r="B804" s="469"/>
      <c r="C804" s="450"/>
      <c r="D804" s="449"/>
      <c r="E804" s="618"/>
    </row>
    <row r="805" spans="2:5" ht="15.75" customHeight="1">
      <c r="B805" s="469"/>
      <c r="C805" s="450"/>
      <c r="D805" s="449"/>
      <c r="E805" s="618"/>
    </row>
    <row r="806" spans="2:5" ht="15.75" customHeight="1">
      <c r="B806" s="469"/>
      <c r="C806" s="450"/>
      <c r="D806" s="449"/>
      <c r="E806" s="618"/>
    </row>
    <row r="807" spans="2:5" ht="15.75" customHeight="1">
      <c r="B807" s="469"/>
      <c r="C807" s="450"/>
      <c r="D807" s="449"/>
      <c r="E807" s="618"/>
    </row>
    <row r="808" spans="2:5" ht="15.75" customHeight="1">
      <c r="B808" s="469"/>
      <c r="C808" s="450"/>
      <c r="D808" s="449"/>
      <c r="E808" s="618"/>
    </row>
    <row r="809" spans="2:5" ht="15.75" customHeight="1">
      <c r="B809" s="469"/>
      <c r="C809" s="450"/>
      <c r="D809" s="449"/>
      <c r="E809" s="618"/>
    </row>
    <row r="810" spans="2:5" ht="15.75" customHeight="1">
      <c r="B810" s="469"/>
      <c r="C810" s="450"/>
      <c r="D810" s="449"/>
      <c r="E810" s="618"/>
    </row>
    <row r="811" spans="2:5" ht="15.75" customHeight="1">
      <c r="B811" s="469"/>
      <c r="C811" s="450"/>
      <c r="D811" s="449"/>
      <c r="E811" s="618"/>
    </row>
    <row r="812" spans="2:5" ht="15.75" customHeight="1">
      <c r="B812" s="469"/>
      <c r="C812" s="450"/>
      <c r="D812" s="449"/>
      <c r="E812" s="618"/>
    </row>
    <row r="813" spans="2:5" ht="15.75" customHeight="1">
      <c r="B813" s="469"/>
      <c r="C813" s="450"/>
      <c r="D813" s="449"/>
      <c r="E813" s="618"/>
    </row>
    <row r="814" spans="2:5" ht="15.75" customHeight="1">
      <c r="B814" s="469"/>
      <c r="C814" s="450"/>
      <c r="D814" s="449"/>
      <c r="E814" s="618"/>
    </row>
    <row r="815" spans="2:5" ht="15.75" customHeight="1">
      <c r="B815" s="469"/>
      <c r="C815" s="450"/>
      <c r="D815" s="449"/>
      <c r="E815" s="618"/>
    </row>
    <row r="816" spans="2:5" ht="15.75" customHeight="1">
      <c r="B816" s="469"/>
      <c r="C816" s="450"/>
      <c r="D816" s="449"/>
      <c r="E816" s="618"/>
    </row>
    <row r="817" spans="2:5" ht="15.75" customHeight="1">
      <c r="B817" s="469"/>
      <c r="C817" s="450"/>
      <c r="D817" s="449"/>
      <c r="E817" s="618"/>
    </row>
    <row r="818" spans="2:5" ht="15.75" customHeight="1">
      <c r="B818" s="469"/>
      <c r="C818" s="450"/>
      <c r="D818" s="449"/>
      <c r="E818" s="618"/>
    </row>
    <row r="819" spans="2:5" ht="15.75" customHeight="1">
      <c r="B819" s="469"/>
      <c r="C819" s="450"/>
      <c r="D819" s="449"/>
      <c r="E819" s="618"/>
    </row>
    <row r="820" spans="2:5" ht="15.75" customHeight="1">
      <c r="B820" s="469"/>
      <c r="C820" s="450"/>
      <c r="D820" s="449"/>
      <c r="E820" s="618"/>
    </row>
    <row r="821" spans="2:5" ht="15.75" customHeight="1">
      <c r="B821" s="469"/>
      <c r="C821" s="450"/>
      <c r="D821" s="449"/>
      <c r="E821" s="618"/>
    </row>
    <row r="822" spans="2:5" ht="15.75" customHeight="1">
      <c r="B822" s="469"/>
      <c r="C822" s="450"/>
      <c r="D822" s="449"/>
      <c r="E822" s="618"/>
    </row>
    <row r="823" spans="2:5" ht="15.75" customHeight="1">
      <c r="B823" s="469"/>
      <c r="C823" s="450"/>
      <c r="D823" s="449"/>
      <c r="E823" s="618"/>
    </row>
    <row r="824" spans="2:5" ht="15.75" customHeight="1">
      <c r="B824" s="469"/>
      <c r="C824" s="450"/>
      <c r="D824" s="449"/>
      <c r="E824" s="618"/>
    </row>
    <row r="825" spans="2:5" ht="15.75" customHeight="1">
      <c r="B825" s="469"/>
      <c r="C825" s="450"/>
      <c r="D825" s="449"/>
      <c r="E825" s="618"/>
    </row>
    <row r="826" spans="2:5" ht="15.75" customHeight="1">
      <c r="B826" s="469"/>
      <c r="C826" s="450"/>
      <c r="D826" s="449"/>
      <c r="E826" s="618"/>
    </row>
    <row r="827" spans="2:5" ht="15.75" customHeight="1">
      <c r="B827" s="469"/>
      <c r="C827" s="450"/>
      <c r="D827" s="449"/>
      <c r="E827" s="618"/>
    </row>
    <row r="828" spans="2:5" ht="15.75" customHeight="1">
      <c r="B828" s="469"/>
      <c r="C828" s="450"/>
      <c r="D828" s="449"/>
      <c r="E828" s="618"/>
    </row>
    <row r="829" spans="2:5" ht="15.75" customHeight="1">
      <c r="B829" s="469"/>
      <c r="C829" s="450"/>
      <c r="D829" s="449"/>
      <c r="E829" s="618"/>
    </row>
    <row r="830" spans="2:5" ht="15.75" customHeight="1">
      <c r="B830" s="469"/>
      <c r="C830" s="450"/>
      <c r="D830" s="449"/>
      <c r="E830" s="618"/>
    </row>
    <row r="831" spans="2:5" ht="15.75" customHeight="1">
      <c r="B831" s="469"/>
      <c r="C831" s="450"/>
      <c r="D831" s="449"/>
      <c r="E831" s="618"/>
    </row>
    <row r="832" spans="2:5" ht="15.75" customHeight="1">
      <c r="B832" s="469"/>
      <c r="C832" s="450"/>
      <c r="D832" s="449"/>
      <c r="E832" s="618"/>
    </row>
    <row r="833" spans="2:5" ht="15.75" customHeight="1">
      <c r="B833" s="469"/>
      <c r="C833" s="450"/>
      <c r="D833" s="449"/>
      <c r="E833" s="618"/>
    </row>
    <row r="834" spans="2:5" ht="15.75" customHeight="1">
      <c r="B834" s="469"/>
      <c r="C834" s="450"/>
      <c r="D834" s="449"/>
      <c r="E834" s="618"/>
    </row>
    <row r="835" spans="2:5" ht="15.75" customHeight="1">
      <c r="B835" s="469"/>
      <c r="C835" s="450"/>
      <c r="D835" s="449"/>
      <c r="E835" s="618"/>
    </row>
    <row r="836" spans="2:5" ht="15.75" customHeight="1">
      <c r="B836" s="469"/>
      <c r="C836" s="450"/>
      <c r="D836" s="449"/>
      <c r="E836" s="618"/>
    </row>
    <row r="837" spans="2:5" ht="15.75" customHeight="1">
      <c r="B837" s="469"/>
      <c r="C837" s="450"/>
      <c r="D837" s="449"/>
      <c r="E837" s="618"/>
    </row>
    <row r="838" spans="2:5" ht="15.75" customHeight="1">
      <c r="B838" s="469"/>
      <c r="C838" s="450"/>
      <c r="D838" s="449"/>
      <c r="E838" s="618"/>
    </row>
    <row r="839" spans="2:5" ht="15.75" customHeight="1">
      <c r="B839" s="469"/>
      <c r="C839" s="450"/>
      <c r="D839" s="449"/>
      <c r="E839" s="618"/>
    </row>
    <row r="840" spans="2:5" ht="15.75" customHeight="1">
      <c r="B840" s="469"/>
      <c r="C840" s="450"/>
      <c r="D840" s="449"/>
      <c r="E840" s="618"/>
    </row>
    <row r="841" spans="2:5" ht="15.75" customHeight="1">
      <c r="B841" s="469"/>
      <c r="C841" s="450"/>
      <c r="D841" s="449"/>
      <c r="E841" s="618"/>
    </row>
    <row r="842" spans="2:5" ht="15.75" customHeight="1">
      <c r="B842" s="469"/>
      <c r="C842" s="450"/>
      <c r="D842" s="449"/>
      <c r="E842" s="618"/>
    </row>
    <row r="843" spans="2:5" ht="15.75" customHeight="1">
      <c r="B843" s="469"/>
      <c r="C843" s="450"/>
      <c r="D843" s="449"/>
      <c r="E843" s="618"/>
    </row>
    <row r="844" spans="2:5" ht="15.75" customHeight="1">
      <c r="B844" s="469"/>
      <c r="C844" s="450"/>
      <c r="D844" s="449"/>
      <c r="E844" s="618"/>
    </row>
    <row r="845" spans="2:5" ht="15.75" customHeight="1">
      <c r="B845" s="469"/>
      <c r="C845" s="450"/>
      <c r="D845" s="449"/>
      <c r="E845" s="618"/>
    </row>
    <row r="846" spans="2:5" ht="15.75" customHeight="1">
      <c r="B846" s="469"/>
      <c r="C846" s="450"/>
      <c r="D846" s="449"/>
      <c r="E846" s="618"/>
    </row>
    <row r="847" spans="2:5" ht="15.75" customHeight="1">
      <c r="B847" s="469"/>
      <c r="C847" s="450"/>
      <c r="D847" s="449"/>
      <c r="E847" s="618"/>
    </row>
    <row r="848" spans="2:5" ht="15.75" customHeight="1">
      <c r="B848" s="469"/>
      <c r="C848" s="450"/>
      <c r="D848" s="449"/>
      <c r="E848" s="618"/>
    </row>
    <row r="849" spans="2:5" ht="15.75" customHeight="1">
      <c r="B849" s="469"/>
      <c r="C849" s="450"/>
      <c r="D849" s="449"/>
      <c r="E849" s="618"/>
    </row>
    <row r="850" spans="2:5" ht="15.75" customHeight="1">
      <c r="B850" s="469"/>
      <c r="C850" s="450"/>
      <c r="D850" s="449"/>
      <c r="E850" s="618"/>
    </row>
    <row r="851" spans="2:5" ht="15.75" customHeight="1">
      <c r="B851" s="469"/>
      <c r="C851" s="450"/>
      <c r="D851" s="449"/>
      <c r="E851" s="618"/>
    </row>
    <row r="852" spans="2:5" ht="15.75" customHeight="1">
      <c r="B852" s="469"/>
      <c r="C852" s="450"/>
      <c r="D852" s="449"/>
      <c r="E852" s="618"/>
    </row>
    <row r="853" spans="2:5" ht="15.75" customHeight="1">
      <c r="B853" s="469"/>
      <c r="C853" s="450"/>
      <c r="D853" s="449"/>
      <c r="E853" s="618"/>
    </row>
    <row r="854" spans="2:5" ht="15.75" customHeight="1">
      <c r="B854" s="469"/>
      <c r="C854" s="450"/>
      <c r="D854" s="449"/>
      <c r="E854" s="618"/>
    </row>
    <row r="855" spans="2:5" ht="15.75" customHeight="1">
      <c r="B855" s="469"/>
      <c r="C855" s="450"/>
      <c r="D855" s="449"/>
      <c r="E855" s="618"/>
    </row>
    <row r="856" spans="2:5" ht="15.75" customHeight="1">
      <c r="B856" s="469"/>
      <c r="C856" s="450"/>
      <c r="D856" s="449"/>
      <c r="E856" s="618"/>
    </row>
    <row r="857" spans="2:5" ht="15.75" customHeight="1">
      <c r="B857" s="469"/>
      <c r="C857" s="450"/>
      <c r="D857" s="449"/>
      <c r="E857" s="618"/>
    </row>
    <row r="858" spans="2:5" ht="15.75" customHeight="1">
      <c r="B858" s="469"/>
      <c r="C858" s="450"/>
      <c r="D858" s="449"/>
      <c r="E858" s="618"/>
    </row>
    <row r="859" spans="2:5" ht="15.75" customHeight="1">
      <c r="B859" s="469"/>
      <c r="C859" s="450"/>
      <c r="D859" s="449"/>
      <c r="E859" s="618"/>
    </row>
    <row r="860" spans="2:5" ht="15.75" customHeight="1">
      <c r="B860" s="469"/>
      <c r="C860" s="450"/>
      <c r="D860" s="449"/>
      <c r="E860" s="618"/>
    </row>
    <row r="861" spans="2:5" ht="15.75" customHeight="1">
      <c r="B861" s="469"/>
      <c r="C861" s="450"/>
      <c r="D861" s="449"/>
      <c r="E861" s="618"/>
    </row>
    <row r="862" spans="2:5" ht="15.75" customHeight="1">
      <c r="B862" s="469"/>
      <c r="C862" s="450"/>
      <c r="D862" s="449"/>
      <c r="E862" s="618"/>
    </row>
    <row r="863" spans="2:5" ht="15.75" customHeight="1">
      <c r="B863" s="469"/>
      <c r="C863" s="450"/>
      <c r="D863" s="449"/>
      <c r="E863" s="618"/>
    </row>
    <row r="864" spans="2:5" ht="15.75" customHeight="1">
      <c r="B864" s="469"/>
      <c r="C864" s="450"/>
      <c r="D864" s="449"/>
      <c r="E864" s="618"/>
    </row>
    <row r="865" spans="2:5" ht="15.75" customHeight="1">
      <c r="B865" s="469"/>
      <c r="C865" s="450"/>
      <c r="D865" s="449"/>
      <c r="E865" s="618"/>
    </row>
    <row r="866" spans="2:5" ht="15.75" customHeight="1">
      <c r="B866" s="469"/>
      <c r="C866" s="450"/>
      <c r="D866" s="449"/>
      <c r="E866" s="618"/>
    </row>
    <row r="867" spans="2:5" ht="15.75" customHeight="1">
      <c r="B867" s="469"/>
      <c r="C867" s="450"/>
      <c r="D867" s="449"/>
      <c r="E867" s="618"/>
    </row>
    <row r="868" spans="2:5" ht="15.75" customHeight="1">
      <c r="B868" s="469"/>
      <c r="C868" s="450"/>
      <c r="D868" s="449"/>
      <c r="E868" s="618"/>
    </row>
    <row r="869" spans="2:5" ht="15.75" customHeight="1">
      <c r="B869" s="469"/>
      <c r="C869" s="450"/>
      <c r="D869" s="449"/>
      <c r="E869" s="618"/>
    </row>
    <row r="870" spans="2:5" ht="15.75" customHeight="1">
      <c r="B870" s="469"/>
      <c r="C870" s="450"/>
      <c r="D870" s="449"/>
      <c r="E870" s="618"/>
    </row>
    <row r="871" spans="2:5" ht="15.75" customHeight="1">
      <c r="B871" s="469"/>
      <c r="C871" s="450"/>
      <c r="D871" s="449"/>
      <c r="E871" s="618"/>
    </row>
    <row r="872" spans="2:5" ht="15.75" customHeight="1">
      <c r="B872" s="469"/>
      <c r="C872" s="450"/>
      <c r="D872" s="449"/>
      <c r="E872" s="618"/>
    </row>
    <row r="873" spans="2:5" ht="15.75" customHeight="1">
      <c r="B873" s="469"/>
      <c r="C873" s="450"/>
      <c r="D873" s="449"/>
      <c r="E873" s="618"/>
    </row>
    <row r="874" spans="2:5" ht="15.75" customHeight="1">
      <c r="B874" s="469"/>
      <c r="C874" s="450"/>
      <c r="D874" s="449"/>
      <c r="E874" s="618"/>
    </row>
    <row r="875" spans="2:5" ht="15.75" customHeight="1">
      <c r="B875" s="469"/>
      <c r="C875" s="450"/>
      <c r="D875" s="449"/>
      <c r="E875" s="618"/>
    </row>
    <row r="876" spans="2:5" ht="15.75" customHeight="1">
      <c r="B876" s="469"/>
      <c r="C876" s="450"/>
      <c r="D876" s="449"/>
      <c r="E876" s="618"/>
    </row>
    <row r="877" spans="2:5" ht="15.75" customHeight="1">
      <c r="B877" s="469"/>
      <c r="C877" s="450"/>
      <c r="D877" s="449"/>
      <c r="E877" s="618"/>
    </row>
    <row r="878" spans="2:5" ht="15.75" customHeight="1">
      <c r="B878" s="469"/>
      <c r="C878" s="450"/>
      <c r="D878" s="449"/>
      <c r="E878" s="618"/>
    </row>
    <row r="879" spans="2:5" ht="15.75" customHeight="1">
      <c r="B879" s="469"/>
      <c r="C879" s="450"/>
      <c r="D879" s="449"/>
      <c r="E879" s="618"/>
    </row>
    <row r="880" spans="2:5" ht="15.75" customHeight="1">
      <c r="B880" s="469"/>
      <c r="C880" s="450"/>
      <c r="D880" s="449"/>
      <c r="E880" s="618"/>
    </row>
    <row r="881" spans="2:5" ht="15.75" customHeight="1">
      <c r="B881" s="469"/>
      <c r="C881" s="450"/>
      <c r="D881" s="449"/>
      <c r="E881" s="618"/>
    </row>
    <row r="882" spans="2:5" ht="15.75" customHeight="1">
      <c r="B882" s="469"/>
      <c r="C882" s="450"/>
      <c r="D882" s="449"/>
      <c r="E882" s="618"/>
    </row>
    <row r="883" spans="2:5" ht="15.75" customHeight="1">
      <c r="B883" s="469"/>
      <c r="C883" s="450"/>
      <c r="D883" s="449"/>
      <c r="E883" s="618"/>
    </row>
    <row r="884" spans="2:5" ht="15.75" customHeight="1">
      <c r="B884" s="469"/>
      <c r="C884" s="450"/>
      <c r="D884" s="449"/>
      <c r="E884" s="618"/>
    </row>
    <row r="885" spans="2:5" ht="15.75" customHeight="1">
      <c r="B885" s="469"/>
      <c r="C885" s="450"/>
      <c r="D885" s="449"/>
      <c r="E885" s="618"/>
    </row>
    <row r="886" spans="2:5" ht="15.75" customHeight="1">
      <c r="B886" s="469"/>
      <c r="C886" s="450"/>
      <c r="D886" s="449"/>
      <c r="E886" s="618"/>
    </row>
    <row r="887" spans="2:5" ht="15.75" customHeight="1">
      <c r="B887" s="469"/>
      <c r="C887" s="450"/>
      <c r="D887" s="449"/>
      <c r="E887" s="618"/>
    </row>
    <row r="888" spans="2:5" ht="15.75" customHeight="1">
      <c r="B888" s="469"/>
      <c r="C888" s="450"/>
      <c r="D888" s="449"/>
      <c r="E888" s="618"/>
    </row>
    <row r="889" spans="2:5" ht="15.75" customHeight="1">
      <c r="B889" s="469"/>
      <c r="C889" s="450"/>
      <c r="D889" s="449"/>
      <c r="E889" s="618"/>
    </row>
    <row r="890" spans="2:5" ht="15.75" customHeight="1">
      <c r="B890" s="469"/>
      <c r="C890" s="450"/>
      <c r="D890" s="449"/>
      <c r="E890" s="618"/>
    </row>
    <row r="891" spans="2:5" ht="15.75" customHeight="1">
      <c r="B891" s="469"/>
      <c r="C891" s="450"/>
      <c r="D891" s="449"/>
      <c r="E891" s="618"/>
    </row>
    <row r="892" spans="2:5" ht="15.75" customHeight="1">
      <c r="B892" s="469"/>
      <c r="C892" s="450"/>
      <c r="D892" s="449"/>
      <c r="E892" s="618"/>
    </row>
    <row r="893" spans="2:5" ht="15.75" customHeight="1">
      <c r="B893" s="469"/>
      <c r="C893" s="450"/>
      <c r="D893" s="449"/>
      <c r="E893" s="618"/>
    </row>
    <row r="894" spans="2:5" ht="15.75" customHeight="1">
      <c r="B894" s="469"/>
      <c r="C894" s="450"/>
      <c r="D894" s="449"/>
      <c r="E894" s="618"/>
    </row>
    <row r="895" spans="2:5" ht="15.75" customHeight="1">
      <c r="B895" s="469"/>
      <c r="C895" s="450"/>
      <c r="D895" s="449"/>
      <c r="E895" s="618"/>
    </row>
    <row r="896" spans="2:5" ht="15.75" customHeight="1">
      <c r="B896" s="469"/>
      <c r="C896" s="450"/>
      <c r="D896" s="449"/>
      <c r="E896" s="618"/>
    </row>
    <row r="897" spans="2:5" ht="15.75" customHeight="1">
      <c r="B897" s="469"/>
      <c r="C897" s="450"/>
      <c r="D897" s="449"/>
      <c r="E897" s="618"/>
    </row>
    <row r="898" spans="2:5" ht="15.75" customHeight="1">
      <c r="B898" s="469"/>
      <c r="C898" s="450"/>
      <c r="D898" s="449"/>
      <c r="E898" s="618"/>
    </row>
    <row r="899" spans="2:5" ht="15.75" customHeight="1">
      <c r="B899" s="469"/>
      <c r="C899" s="450"/>
      <c r="D899" s="449"/>
      <c r="E899" s="618"/>
    </row>
    <row r="900" spans="2:5" ht="15.75" customHeight="1">
      <c r="B900" s="469"/>
      <c r="C900" s="450"/>
      <c r="D900" s="449"/>
      <c r="E900" s="618"/>
    </row>
    <row r="901" spans="2:5" ht="15.75" customHeight="1">
      <c r="B901" s="469"/>
      <c r="C901" s="450"/>
      <c r="D901" s="449"/>
      <c r="E901" s="618"/>
    </row>
    <row r="902" spans="2:5" ht="15.75" customHeight="1">
      <c r="B902" s="469"/>
      <c r="C902" s="450"/>
      <c r="D902" s="449"/>
      <c r="E902" s="618"/>
    </row>
    <row r="903" spans="2:5" ht="15.75" customHeight="1">
      <c r="B903" s="469"/>
      <c r="C903" s="450"/>
      <c r="D903" s="449"/>
      <c r="E903" s="618"/>
    </row>
    <row r="904" spans="2:5" ht="15.75" customHeight="1">
      <c r="B904" s="469"/>
      <c r="C904" s="450"/>
      <c r="D904" s="449"/>
      <c r="E904" s="618"/>
    </row>
    <row r="905" spans="2:5" ht="15.75" customHeight="1">
      <c r="B905" s="469"/>
      <c r="C905" s="450"/>
      <c r="D905" s="449"/>
      <c r="E905" s="618"/>
    </row>
    <row r="906" spans="2:5" ht="15.75" customHeight="1">
      <c r="B906" s="469"/>
      <c r="C906" s="450"/>
      <c r="D906" s="449"/>
      <c r="E906" s="618"/>
    </row>
    <row r="907" spans="2:5" ht="15.75" customHeight="1">
      <c r="B907" s="469"/>
      <c r="C907" s="450"/>
      <c r="D907" s="449"/>
      <c r="E907" s="618"/>
    </row>
    <row r="908" spans="2:5" ht="15.75" customHeight="1">
      <c r="B908" s="469"/>
      <c r="C908" s="450"/>
      <c r="D908" s="449"/>
      <c r="E908" s="618"/>
    </row>
    <row r="909" spans="2:5" ht="15.75" customHeight="1">
      <c r="B909" s="469"/>
      <c r="C909" s="450"/>
      <c r="D909" s="449"/>
      <c r="E909" s="618"/>
    </row>
    <row r="910" spans="2:5" ht="15.75" customHeight="1">
      <c r="B910" s="469"/>
      <c r="C910" s="450"/>
      <c r="D910" s="449"/>
      <c r="E910" s="618"/>
    </row>
    <row r="911" spans="2:5" ht="15.75" customHeight="1">
      <c r="B911" s="469"/>
      <c r="C911" s="450"/>
      <c r="D911" s="449"/>
      <c r="E911" s="618"/>
    </row>
    <row r="912" spans="2:5" ht="15.75" customHeight="1">
      <c r="B912" s="469"/>
      <c r="C912" s="450"/>
      <c r="D912" s="449"/>
      <c r="E912" s="618"/>
    </row>
    <row r="913" spans="2:5" ht="15.75" customHeight="1">
      <c r="B913" s="469"/>
      <c r="C913" s="450"/>
      <c r="D913" s="449"/>
      <c r="E913" s="618"/>
    </row>
    <row r="914" spans="2:5" ht="15.75" customHeight="1">
      <c r="B914" s="469"/>
      <c r="C914" s="450"/>
      <c r="D914" s="449"/>
      <c r="E914" s="618"/>
    </row>
    <row r="915" spans="2:5" ht="15.75" customHeight="1">
      <c r="B915" s="469"/>
      <c r="C915" s="450"/>
      <c r="D915" s="449"/>
      <c r="E915" s="618"/>
    </row>
    <row r="916" spans="2:5" ht="15.75" customHeight="1">
      <c r="B916" s="469"/>
      <c r="C916" s="450"/>
      <c r="D916" s="449"/>
      <c r="E916" s="618"/>
    </row>
    <row r="917" spans="2:5" ht="15.75" customHeight="1">
      <c r="B917" s="469"/>
      <c r="C917" s="450"/>
      <c r="D917" s="449"/>
      <c r="E917" s="618"/>
    </row>
    <row r="918" spans="2:5" ht="15.75" customHeight="1">
      <c r="B918" s="469"/>
      <c r="C918" s="450"/>
      <c r="D918" s="449"/>
      <c r="E918" s="618"/>
    </row>
    <row r="919" spans="2:5" ht="15.75" customHeight="1">
      <c r="B919" s="469"/>
      <c r="C919" s="450"/>
      <c r="D919" s="449"/>
      <c r="E919" s="618"/>
    </row>
    <row r="920" spans="2:5" ht="15.75" customHeight="1">
      <c r="B920" s="469"/>
      <c r="C920" s="450"/>
      <c r="D920" s="449"/>
      <c r="E920" s="618"/>
    </row>
    <row r="921" spans="2:5" ht="15.75" customHeight="1">
      <c r="B921" s="469"/>
      <c r="C921" s="450"/>
      <c r="D921" s="449"/>
      <c r="E921" s="618"/>
    </row>
    <row r="922" spans="2:5" ht="15.75" customHeight="1">
      <c r="B922" s="469"/>
      <c r="C922" s="450"/>
      <c r="D922" s="449"/>
      <c r="E922" s="618"/>
    </row>
    <row r="923" spans="2:5" ht="15.75" customHeight="1">
      <c r="B923" s="469"/>
      <c r="C923" s="450"/>
      <c r="D923" s="449"/>
      <c r="E923" s="618"/>
    </row>
    <row r="924" spans="2:5" ht="15.75" customHeight="1">
      <c r="B924" s="469"/>
      <c r="C924" s="450"/>
      <c r="D924" s="449"/>
      <c r="E924" s="618"/>
    </row>
    <row r="925" spans="2:5" ht="15.75" customHeight="1">
      <c r="B925" s="469"/>
      <c r="C925" s="450"/>
      <c r="D925" s="449"/>
      <c r="E925" s="618"/>
    </row>
    <row r="926" spans="2:5" ht="15.75" customHeight="1">
      <c r="B926" s="469"/>
      <c r="C926" s="450"/>
      <c r="D926" s="449"/>
      <c r="E926" s="618"/>
    </row>
    <row r="927" spans="2:5" ht="15.75" customHeight="1">
      <c r="B927" s="469"/>
      <c r="C927" s="450"/>
      <c r="D927" s="449"/>
      <c r="E927" s="618"/>
    </row>
    <row r="928" spans="2:5" ht="15.75" customHeight="1">
      <c r="B928" s="469"/>
      <c r="C928" s="450"/>
      <c r="D928" s="449"/>
      <c r="E928" s="618"/>
    </row>
    <row r="929" spans="2:5" ht="15.75" customHeight="1">
      <c r="B929" s="469"/>
      <c r="C929" s="450"/>
      <c r="D929" s="449"/>
      <c r="E929" s="618"/>
    </row>
    <row r="930" spans="2:5" ht="15.75" customHeight="1">
      <c r="B930" s="469"/>
      <c r="C930" s="450"/>
      <c r="D930" s="449"/>
      <c r="E930" s="618"/>
    </row>
    <row r="931" spans="2:5" ht="15.75" customHeight="1">
      <c r="B931" s="469"/>
      <c r="C931" s="450"/>
      <c r="D931" s="449"/>
      <c r="E931" s="618"/>
    </row>
    <row r="932" spans="2:5" ht="15.75" customHeight="1">
      <c r="B932" s="469"/>
      <c r="C932" s="450"/>
      <c r="D932" s="449"/>
      <c r="E932" s="618"/>
    </row>
    <row r="933" spans="2:5" ht="15.75" customHeight="1">
      <c r="B933" s="469"/>
      <c r="C933" s="450"/>
      <c r="D933" s="449"/>
      <c r="E933" s="618"/>
    </row>
    <row r="934" spans="2:5" ht="15.75" customHeight="1">
      <c r="B934" s="469"/>
      <c r="C934" s="450"/>
      <c r="D934" s="449"/>
      <c r="E934" s="618"/>
    </row>
    <row r="935" spans="2:5" ht="15.75" customHeight="1">
      <c r="B935" s="469"/>
      <c r="C935" s="450"/>
      <c r="D935" s="449"/>
      <c r="E935" s="618"/>
    </row>
    <row r="936" spans="2:5" ht="15.75" customHeight="1">
      <c r="B936" s="469"/>
      <c r="C936" s="450"/>
      <c r="D936" s="449"/>
      <c r="E936" s="618"/>
    </row>
    <row r="937" spans="2:5" ht="15.75" customHeight="1">
      <c r="B937" s="469"/>
      <c r="C937" s="450"/>
      <c r="D937" s="449"/>
      <c r="E937" s="618"/>
    </row>
    <row r="938" spans="2:5" ht="15.75" customHeight="1">
      <c r="B938" s="469"/>
      <c r="C938" s="450"/>
      <c r="D938" s="449"/>
      <c r="E938" s="618"/>
    </row>
    <row r="939" spans="2:5" ht="15.75" customHeight="1">
      <c r="B939" s="469"/>
      <c r="C939" s="450"/>
      <c r="D939" s="449"/>
      <c r="E939" s="618"/>
    </row>
    <row r="940" spans="2:5" ht="15.75" customHeight="1">
      <c r="B940" s="469"/>
      <c r="C940" s="450"/>
      <c r="D940" s="449"/>
      <c r="E940" s="618"/>
    </row>
    <row r="941" spans="2:5" ht="15.75" customHeight="1">
      <c r="B941" s="469"/>
      <c r="C941" s="450"/>
      <c r="D941" s="449"/>
      <c r="E941" s="618"/>
    </row>
    <row r="942" spans="2:5" ht="15.75" customHeight="1">
      <c r="B942" s="469"/>
      <c r="C942" s="450"/>
      <c r="D942" s="449"/>
      <c r="E942" s="618"/>
    </row>
    <row r="943" spans="2:5" ht="15.75" customHeight="1">
      <c r="B943" s="469"/>
      <c r="C943" s="450"/>
      <c r="D943" s="449"/>
      <c r="E943" s="618"/>
    </row>
    <row r="944" spans="2:5" ht="15.75" customHeight="1">
      <c r="B944" s="469"/>
      <c r="C944" s="450"/>
      <c r="D944" s="449"/>
      <c r="E944" s="618"/>
    </row>
    <row r="945" spans="2:5" ht="15.75" customHeight="1">
      <c r="B945" s="469"/>
      <c r="C945" s="450"/>
      <c r="D945" s="449"/>
      <c r="E945" s="618"/>
    </row>
    <row r="946" spans="2:5" ht="15.75" customHeight="1">
      <c r="B946" s="469"/>
      <c r="C946" s="450"/>
      <c r="D946" s="449"/>
      <c r="E946" s="618"/>
    </row>
    <row r="947" spans="2:5" ht="15.75" customHeight="1">
      <c r="B947" s="469"/>
      <c r="C947" s="450"/>
      <c r="D947" s="449"/>
      <c r="E947" s="618"/>
    </row>
    <row r="948" spans="2:5" ht="15.75" customHeight="1">
      <c r="B948" s="469"/>
      <c r="C948" s="450"/>
      <c r="D948" s="449"/>
      <c r="E948" s="618"/>
    </row>
    <row r="949" spans="2:5" ht="15.75" customHeight="1">
      <c r="B949" s="469"/>
      <c r="C949" s="450"/>
      <c r="D949" s="449"/>
      <c r="E949" s="618"/>
    </row>
    <row r="950" spans="2:5" ht="15.75" customHeight="1">
      <c r="B950" s="469"/>
      <c r="C950" s="450"/>
      <c r="D950" s="449"/>
      <c r="E950" s="618"/>
    </row>
    <row r="951" spans="2:5" ht="15.75" customHeight="1">
      <c r="B951" s="469"/>
      <c r="C951" s="450"/>
      <c r="D951" s="449"/>
      <c r="E951" s="618"/>
    </row>
    <row r="952" spans="2:5" ht="15.75" customHeight="1">
      <c r="B952" s="469"/>
      <c r="C952" s="450"/>
      <c r="D952" s="449"/>
      <c r="E952" s="618"/>
    </row>
    <row r="953" spans="2:5" ht="15.75" customHeight="1">
      <c r="B953" s="469"/>
      <c r="C953" s="450"/>
      <c r="D953" s="449"/>
      <c r="E953" s="618"/>
    </row>
    <row r="954" spans="2:5" ht="15.75" customHeight="1">
      <c r="B954" s="469"/>
      <c r="C954" s="450"/>
      <c r="D954" s="449"/>
      <c r="E954" s="618"/>
    </row>
    <row r="955" spans="2:5" ht="15.75" customHeight="1">
      <c r="B955" s="469"/>
      <c r="C955" s="450"/>
      <c r="D955" s="449"/>
      <c r="E955" s="618"/>
    </row>
    <row r="956" spans="2:5" ht="15.75" customHeight="1">
      <c r="B956" s="469"/>
      <c r="C956" s="450"/>
      <c r="D956" s="449"/>
      <c r="E956" s="618"/>
    </row>
    <row r="957" spans="2:5" ht="15.75" customHeight="1">
      <c r="B957" s="469"/>
      <c r="C957" s="450"/>
      <c r="D957" s="449"/>
      <c r="E957" s="618"/>
    </row>
    <row r="958" spans="2:5" ht="15.75" customHeight="1">
      <c r="B958" s="469"/>
      <c r="C958" s="450"/>
      <c r="D958" s="449"/>
      <c r="E958" s="618"/>
    </row>
    <row r="959" spans="2:5" ht="15.75" customHeight="1">
      <c r="B959" s="469"/>
      <c r="C959" s="450"/>
      <c r="D959" s="449"/>
      <c r="E959" s="618"/>
    </row>
    <row r="960" spans="2:5" ht="15.75" customHeight="1">
      <c r="B960" s="469"/>
      <c r="C960" s="450"/>
      <c r="D960" s="449"/>
      <c r="E960" s="618"/>
    </row>
    <row r="961" spans="2:5" ht="15.75" customHeight="1">
      <c r="B961" s="469"/>
      <c r="C961" s="450"/>
      <c r="D961" s="449"/>
      <c r="E961" s="618"/>
    </row>
    <row r="962" spans="2:5" ht="15.75" customHeight="1">
      <c r="B962" s="469"/>
      <c r="C962" s="450"/>
      <c r="D962" s="449"/>
      <c r="E962" s="618"/>
    </row>
    <row r="963" spans="2:5" ht="15.75" customHeight="1">
      <c r="B963" s="469"/>
      <c r="C963" s="450"/>
      <c r="D963" s="449"/>
      <c r="E963" s="618"/>
    </row>
    <row r="964" spans="2:5" ht="15.75" customHeight="1">
      <c r="B964" s="469"/>
      <c r="C964" s="450"/>
      <c r="D964" s="449"/>
      <c r="E964" s="618"/>
    </row>
    <row r="965" spans="2:5" ht="15.75" customHeight="1">
      <c r="B965" s="469"/>
      <c r="C965" s="450"/>
      <c r="D965" s="449"/>
      <c r="E965" s="618"/>
    </row>
    <row r="966" spans="2:5" ht="15.75" customHeight="1">
      <c r="B966" s="469"/>
      <c r="C966" s="450"/>
      <c r="D966" s="449"/>
      <c r="E966" s="618"/>
    </row>
    <row r="967" spans="2:5" ht="15.75" customHeight="1">
      <c r="B967" s="469"/>
      <c r="C967" s="450"/>
      <c r="D967" s="449"/>
      <c r="E967" s="618"/>
    </row>
  </sheetData>
  <autoFilter ref="A20:D49" xr:uid="{A54BCBBA-3B0F-D143-94D7-0E9B7FA8035D}"/>
  <mergeCells count="1">
    <mergeCell ref="A2:C4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A333-E445-E84E-B736-B083CD097BE6}">
  <sheetPr codeName="Sheet23">
    <tabColor rgb="FF00B0F0"/>
  </sheetPr>
  <dimension ref="A1:J54"/>
  <sheetViews>
    <sheetView workbookViewId="0">
      <selection activeCell="I35" sqref="I35"/>
    </sheetView>
  </sheetViews>
  <sheetFormatPr defaultColWidth="10.85546875" defaultRowHeight="12.75"/>
  <cols>
    <col min="1" max="7" width="10.85546875" customWidth="1"/>
    <col min="8" max="8" width="11.42578125" style="289" bestFit="1" customWidth="1"/>
    <col min="9" max="9" width="30.42578125" style="289" bestFit="1" customWidth="1"/>
    <col min="10" max="10" width="28.5703125" style="289" bestFit="1" customWidth="1"/>
    <col min="11" max="16384" width="10.85546875" style="289"/>
  </cols>
  <sheetData>
    <row r="1" spans="1:10">
      <c r="A1" t="s">
        <v>44</v>
      </c>
      <c r="B1" t="s">
        <v>45</v>
      </c>
      <c r="C1" t="s">
        <v>46</v>
      </c>
      <c r="D1" t="s">
        <v>47</v>
      </c>
      <c r="E1" t="s">
        <v>275</v>
      </c>
      <c r="F1" t="s">
        <v>1623</v>
      </c>
      <c r="G1" t="s">
        <v>1624</v>
      </c>
      <c r="H1" s="289" t="s">
        <v>278</v>
      </c>
      <c r="I1" s="289" t="s">
        <v>279</v>
      </c>
      <c r="J1" s="289" t="s">
        <v>280</v>
      </c>
    </row>
    <row r="2" spans="1:10">
      <c r="A2" t="s">
        <v>1308</v>
      </c>
      <c r="B2" t="s">
        <v>1309</v>
      </c>
      <c r="C2" t="s">
        <v>1310</v>
      </c>
      <c r="D2" s="516">
        <v>10004</v>
      </c>
      <c r="E2" t="s">
        <v>1539</v>
      </c>
      <c r="F2" s="517">
        <v>3826807.97</v>
      </c>
      <c r="G2" s="517">
        <v>3826807.97</v>
      </c>
      <c r="H2" s="289" t="s">
        <v>49</v>
      </c>
      <c r="I2" s="289" t="s">
        <v>50</v>
      </c>
    </row>
    <row r="3" spans="1:10">
      <c r="A3" t="s">
        <v>1308</v>
      </c>
      <c r="B3" t="s">
        <v>1309</v>
      </c>
      <c r="C3" t="s">
        <v>1310</v>
      </c>
      <c r="D3" s="516">
        <v>10005</v>
      </c>
      <c r="E3" t="s">
        <v>1511</v>
      </c>
      <c r="F3" s="517">
        <v>17773791.84</v>
      </c>
      <c r="G3" s="517">
        <v>17773791.84</v>
      </c>
      <c r="H3" s="289" t="s">
        <v>49</v>
      </c>
      <c r="I3" s="289" t="s">
        <v>50</v>
      </c>
    </row>
    <row r="4" spans="1:10" ht="15">
      <c r="A4" t="s">
        <v>1308</v>
      </c>
      <c r="B4" t="s">
        <v>1309</v>
      </c>
      <c r="C4" t="s">
        <v>1310</v>
      </c>
      <c r="D4" s="516">
        <v>10006</v>
      </c>
      <c r="E4" t="s">
        <v>1526</v>
      </c>
      <c r="F4" s="517">
        <v>1000000</v>
      </c>
      <c r="G4" s="517">
        <v>1000000</v>
      </c>
      <c r="H4" s="289" t="s">
        <v>49</v>
      </c>
      <c r="I4" s="40" t="s">
        <v>1668</v>
      </c>
    </row>
    <row r="5" spans="1:10" ht="15">
      <c r="A5" t="s">
        <v>1308</v>
      </c>
      <c r="B5" t="s">
        <v>1309</v>
      </c>
      <c r="C5" t="s">
        <v>1316</v>
      </c>
      <c r="D5" s="516">
        <v>10101</v>
      </c>
      <c r="E5" t="s">
        <v>1453</v>
      </c>
      <c r="F5" s="517">
        <v>199999</v>
      </c>
      <c r="G5" s="517">
        <v>199999</v>
      </c>
      <c r="H5" s="289" t="s">
        <v>49</v>
      </c>
      <c r="I5" s="40" t="s">
        <v>1668</v>
      </c>
    </row>
    <row r="6" spans="1:10">
      <c r="A6" t="s">
        <v>1308</v>
      </c>
      <c r="B6" t="s">
        <v>1309</v>
      </c>
      <c r="C6" t="s">
        <v>1317</v>
      </c>
      <c r="D6" s="516">
        <v>10200</v>
      </c>
      <c r="E6" t="s">
        <v>1454</v>
      </c>
      <c r="F6" s="517">
        <v>3093319.24</v>
      </c>
      <c r="G6" s="517">
        <v>3093319.24</v>
      </c>
      <c r="H6" s="289" t="s">
        <v>49</v>
      </c>
      <c r="I6" s="289" t="s">
        <v>50</v>
      </c>
    </row>
    <row r="7" spans="1:10">
      <c r="A7" t="s">
        <v>1308</v>
      </c>
      <c r="B7" t="s">
        <v>1318</v>
      </c>
      <c r="C7" t="s">
        <v>1319</v>
      </c>
      <c r="D7" s="516">
        <v>11100</v>
      </c>
      <c r="E7" t="s">
        <v>316</v>
      </c>
      <c r="F7" s="517">
        <v>-0.08</v>
      </c>
      <c r="G7" s="517">
        <v>-0.08</v>
      </c>
      <c r="H7" s="289" t="s">
        <v>49</v>
      </c>
      <c r="I7" s="289" t="s">
        <v>316</v>
      </c>
    </row>
    <row r="8" spans="1:10">
      <c r="A8" t="s">
        <v>1308</v>
      </c>
      <c r="B8" t="s">
        <v>1320</v>
      </c>
      <c r="C8" t="s">
        <v>1321</v>
      </c>
      <c r="D8" s="516">
        <v>12001</v>
      </c>
      <c r="E8" t="s">
        <v>371</v>
      </c>
      <c r="F8" s="517">
        <v>74237451.200000003</v>
      </c>
      <c r="G8" s="517">
        <v>74237451.200000003</v>
      </c>
      <c r="H8" s="289" t="s">
        <v>49</v>
      </c>
      <c r="I8" s="289" t="s">
        <v>110</v>
      </c>
    </row>
    <row r="9" spans="1:10">
      <c r="A9" t="s">
        <v>1308</v>
      </c>
      <c r="B9" t="s">
        <v>1320</v>
      </c>
      <c r="C9" t="s">
        <v>1321</v>
      </c>
      <c r="D9" s="516">
        <v>35002</v>
      </c>
      <c r="E9" t="s">
        <v>1455</v>
      </c>
      <c r="F9" s="517">
        <v>428087089.43000001</v>
      </c>
      <c r="G9" s="517">
        <v>428087089.43000001</v>
      </c>
      <c r="H9" s="289" t="s">
        <v>49</v>
      </c>
      <c r="I9" s="289" t="s">
        <v>110</v>
      </c>
    </row>
    <row r="10" spans="1:10">
      <c r="A10" t="s">
        <v>1334</v>
      </c>
      <c r="B10" t="s">
        <v>1335</v>
      </c>
      <c r="C10" t="s">
        <v>1336</v>
      </c>
      <c r="D10" s="516">
        <v>30000</v>
      </c>
      <c r="E10" t="s">
        <v>1456</v>
      </c>
      <c r="F10" s="517">
        <v>-97699.4</v>
      </c>
      <c r="G10" s="517">
        <v>-97699.4</v>
      </c>
      <c r="H10" s="289" t="s">
        <v>49</v>
      </c>
      <c r="I10" s="289" t="s">
        <v>55</v>
      </c>
    </row>
    <row r="11" spans="1:10">
      <c r="A11" t="s">
        <v>1334</v>
      </c>
      <c r="B11" t="s">
        <v>1337</v>
      </c>
      <c r="C11" t="s">
        <v>1338</v>
      </c>
      <c r="D11" s="516">
        <v>31006</v>
      </c>
      <c r="E11" t="s">
        <v>1457</v>
      </c>
      <c r="F11" s="517">
        <v>1085652.52</v>
      </c>
      <c r="G11" s="517">
        <v>1085652.52</v>
      </c>
      <c r="H11" s="289" t="s">
        <v>49</v>
      </c>
      <c r="I11" s="288" t="s">
        <v>316</v>
      </c>
    </row>
    <row r="12" spans="1:10">
      <c r="A12" t="s">
        <v>1334</v>
      </c>
      <c r="B12" t="s">
        <v>1344</v>
      </c>
      <c r="C12" t="s">
        <v>1345</v>
      </c>
      <c r="D12" s="516">
        <v>342002</v>
      </c>
      <c r="E12" t="s">
        <v>1459</v>
      </c>
      <c r="F12" s="517">
        <v>-847437.74</v>
      </c>
      <c r="G12" s="517">
        <v>-847437.74</v>
      </c>
      <c r="H12" s="289" t="s">
        <v>49</v>
      </c>
      <c r="I12" s="289" t="s">
        <v>59</v>
      </c>
    </row>
    <row r="13" spans="1:10">
      <c r="A13" t="s">
        <v>1334</v>
      </c>
      <c r="B13" t="s">
        <v>1344</v>
      </c>
      <c r="C13" t="s">
        <v>1345</v>
      </c>
      <c r="D13" s="516">
        <v>342003</v>
      </c>
      <c r="E13" t="s">
        <v>1460</v>
      </c>
      <c r="F13" s="517">
        <v>-99421.88</v>
      </c>
      <c r="G13" s="517">
        <v>-99421.88</v>
      </c>
      <c r="H13" s="289" t="s">
        <v>49</v>
      </c>
      <c r="I13" s="289" t="s">
        <v>59</v>
      </c>
    </row>
    <row r="14" spans="1:10">
      <c r="A14" t="s">
        <v>1334</v>
      </c>
      <c r="B14" t="s">
        <v>1352</v>
      </c>
      <c r="C14" t="s">
        <v>1353</v>
      </c>
      <c r="D14" s="516">
        <v>35001</v>
      </c>
      <c r="E14" t="s">
        <v>371</v>
      </c>
      <c r="F14" s="517">
        <v>-526830144.64999998</v>
      </c>
      <c r="G14" s="517">
        <v>-526830144.64999998</v>
      </c>
      <c r="H14" s="289" t="s">
        <v>49</v>
      </c>
      <c r="I14" s="289" t="s">
        <v>110</v>
      </c>
    </row>
    <row r="15" spans="1:10">
      <c r="A15" t="s">
        <v>1334</v>
      </c>
      <c r="B15" t="s">
        <v>1354</v>
      </c>
      <c r="C15" t="s">
        <v>1355</v>
      </c>
      <c r="D15" s="516">
        <v>36006</v>
      </c>
      <c r="E15" t="s">
        <v>1463</v>
      </c>
      <c r="F15" s="517">
        <v>-5441.47</v>
      </c>
      <c r="G15" s="517">
        <v>-5441.47</v>
      </c>
      <c r="H15" s="289" t="s">
        <v>49</v>
      </c>
      <c r="I15" s="289" t="s">
        <v>59</v>
      </c>
    </row>
    <row r="16" spans="1:10">
      <c r="A16" t="s">
        <v>1334</v>
      </c>
      <c r="B16" t="s">
        <v>1357</v>
      </c>
      <c r="C16" t="s">
        <v>1358</v>
      </c>
      <c r="D16" s="516">
        <v>37101</v>
      </c>
      <c r="E16" t="s">
        <v>1464</v>
      </c>
      <c r="F16" s="517">
        <v>-1113656</v>
      </c>
      <c r="G16" s="517">
        <v>-1113656</v>
      </c>
      <c r="H16" s="289" t="s">
        <v>49</v>
      </c>
      <c r="I16" s="289" t="s">
        <v>55</v>
      </c>
    </row>
    <row r="17" spans="1:10">
      <c r="A17" t="s">
        <v>1369</v>
      </c>
      <c r="B17" t="s">
        <v>1378</v>
      </c>
      <c r="C17" t="s">
        <v>1379</v>
      </c>
      <c r="D17" s="516">
        <v>54000</v>
      </c>
      <c r="E17" t="s">
        <v>318</v>
      </c>
      <c r="F17" s="517">
        <v>-297517.45</v>
      </c>
      <c r="G17" s="517">
        <v>-297517.45</v>
      </c>
      <c r="H17" s="289" t="s">
        <v>49</v>
      </c>
      <c r="I17" s="289" t="s">
        <v>142</v>
      </c>
    </row>
    <row r="18" spans="1:10">
      <c r="A18" t="s">
        <v>1540</v>
      </c>
      <c r="B18" t="s">
        <v>1541</v>
      </c>
      <c r="C18" t="s">
        <v>1382</v>
      </c>
      <c r="D18" s="516">
        <v>60202096</v>
      </c>
      <c r="E18" t="s">
        <v>1465</v>
      </c>
      <c r="F18" s="517">
        <v>-45183881.950000003</v>
      </c>
      <c r="G18" s="517">
        <v>-45183881.950000003</v>
      </c>
      <c r="H18" s="289" t="s">
        <v>144</v>
      </c>
      <c r="I18" s="289" t="s">
        <v>145</v>
      </c>
      <c r="J18" s="289" t="s">
        <v>1465</v>
      </c>
    </row>
    <row r="19" spans="1:10">
      <c r="A19" t="s">
        <v>1540</v>
      </c>
      <c r="B19" t="s">
        <v>1541</v>
      </c>
      <c r="C19" t="s">
        <v>1383</v>
      </c>
      <c r="D19" s="516">
        <v>60202000</v>
      </c>
      <c r="E19" t="s">
        <v>1466</v>
      </c>
      <c r="F19" s="517">
        <v>-79914237.700000003</v>
      </c>
      <c r="G19" s="517">
        <v>-79914237.700000003</v>
      </c>
      <c r="H19" s="289" t="s">
        <v>144</v>
      </c>
      <c r="I19" s="289" t="s">
        <v>145</v>
      </c>
      <c r="J19" s="289" t="s">
        <v>1466</v>
      </c>
    </row>
    <row r="20" spans="1:10">
      <c r="A20" t="s">
        <v>1540</v>
      </c>
      <c r="B20" t="s">
        <v>1541</v>
      </c>
      <c r="C20" t="s">
        <v>1383</v>
      </c>
      <c r="D20" s="516">
        <v>60202007</v>
      </c>
      <c r="E20" t="s">
        <v>1467</v>
      </c>
      <c r="F20" s="517">
        <v>-32041473.140000001</v>
      </c>
      <c r="G20" s="517">
        <v>-32041473.140000001</v>
      </c>
      <c r="H20" s="289" t="s">
        <v>144</v>
      </c>
      <c r="I20" s="289" t="s">
        <v>145</v>
      </c>
      <c r="J20" s="289" t="s">
        <v>1467</v>
      </c>
    </row>
    <row r="21" spans="1:10">
      <c r="A21" t="s">
        <v>1540</v>
      </c>
      <c r="B21" t="s">
        <v>1541</v>
      </c>
      <c r="C21" t="s">
        <v>1383</v>
      </c>
      <c r="D21" s="516">
        <v>60202009</v>
      </c>
      <c r="E21" t="s">
        <v>1468</v>
      </c>
      <c r="F21" s="517">
        <v>-78439126.260000005</v>
      </c>
      <c r="G21" s="517">
        <v>-78439126.260000005</v>
      </c>
      <c r="H21" s="289" t="s">
        <v>144</v>
      </c>
      <c r="I21" s="289" t="s">
        <v>145</v>
      </c>
      <c r="J21" s="289" t="s">
        <v>1468</v>
      </c>
    </row>
    <row r="22" spans="1:10">
      <c r="A22" t="s">
        <v>1540</v>
      </c>
      <c r="B22" t="s">
        <v>1541</v>
      </c>
      <c r="C22" t="s">
        <v>1383</v>
      </c>
      <c r="D22" s="516">
        <v>60202016</v>
      </c>
      <c r="E22" t="s">
        <v>1469</v>
      </c>
      <c r="F22" s="517">
        <v>-136037469.36000001</v>
      </c>
      <c r="G22" s="517">
        <v>-136037469.36000001</v>
      </c>
      <c r="H22" s="289" t="s">
        <v>144</v>
      </c>
      <c r="I22" s="289" t="s">
        <v>145</v>
      </c>
      <c r="J22" s="289" t="s">
        <v>1469</v>
      </c>
    </row>
    <row r="23" spans="1:10">
      <c r="A23" t="s">
        <v>1540</v>
      </c>
      <c r="B23" t="s">
        <v>1541</v>
      </c>
      <c r="C23" t="s">
        <v>1383</v>
      </c>
      <c r="D23" s="516">
        <v>60202023</v>
      </c>
      <c r="E23" t="s">
        <v>1502</v>
      </c>
      <c r="F23" s="517">
        <v>-24386970.890000001</v>
      </c>
      <c r="G23" s="517">
        <v>-24386970.890000001</v>
      </c>
      <c r="H23" s="289" t="s">
        <v>144</v>
      </c>
      <c r="I23" s="289" t="s">
        <v>145</v>
      </c>
      <c r="J23" s="289" t="s">
        <v>1503</v>
      </c>
    </row>
    <row r="24" spans="1:10">
      <c r="A24" t="s">
        <v>1540</v>
      </c>
      <c r="B24" t="s">
        <v>1542</v>
      </c>
      <c r="C24" t="s">
        <v>1543</v>
      </c>
      <c r="D24" s="516">
        <v>61202000</v>
      </c>
      <c r="E24" t="s">
        <v>1522</v>
      </c>
      <c r="F24" s="517">
        <v>11413446</v>
      </c>
      <c r="G24" s="517">
        <v>11413446</v>
      </c>
      <c r="H24" s="289" t="s">
        <v>144</v>
      </c>
      <c r="I24" s="289" t="s">
        <v>145</v>
      </c>
      <c r="J24" s="289" t="s">
        <v>1523</v>
      </c>
    </row>
    <row r="25" spans="1:10">
      <c r="A25" t="s">
        <v>1544</v>
      </c>
      <c r="B25" t="s">
        <v>1545</v>
      </c>
      <c r="C25" t="s">
        <v>1390</v>
      </c>
      <c r="D25" s="516">
        <v>70201200</v>
      </c>
      <c r="E25" t="s">
        <v>1470</v>
      </c>
      <c r="F25" s="517">
        <v>88915.55</v>
      </c>
      <c r="G25" s="517">
        <v>88915.55</v>
      </c>
      <c r="H25" s="289" t="s">
        <v>144</v>
      </c>
      <c r="I25" s="289" t="s">
        <v>182</v>
      </c>
      <c r="J25" s="289" t="s">
        <v>182</v>
      </c>
    </row>
    <row r="26" spans="1:10">
      <c r="A26" t="s">
        <v>1544</v>
      </c>
      <c r="B26" t="s">
        <v>1545</v>
      </c>
      <c r="C26" t="s">
        <v>1390</v>
      </c>
      <c r="D26" s="516">
        <v>70201201</v>
      </c>
      <c r="E26" t="s">
        <v>1530</v>
      </c>
      <c r="F26" s="517">
        <v>422</v>
      </c>
      <c r="G26" s="517">
        <v>422</v>
      </c>
      <c r="H26" s="289" t="s">
        <v>144</v>
      </c>
      <c r="I26" s="289" t="s">
        <v>182</v>
      </c>
      <c r="J26" s="289" t="s">
        <v>182</v>
      </c>
    </row>
    <row r="27" spans="1:10">
      <c r="A27" t="s">
        <v>1391</v>
      </c>
      <c r="B27" t="s">
        <v>1392</v>
      </c>
      <c r="C27" t="s">
        <v>1546</v>
      </c>
      <c r="D27" s="516">
        <v>80201300</v>
      </c>
      <c r="E27" t="s">
        <v>1471</v>
      </c>
      <c r="F27" s="517">
        <v>4897335.0199999996</v>
      </c>
      <c r="G27" s="517">
        <v>4897335.0199999996</v>
      </c>
      <c r="H27" s="289" t="s">
        <v>144</v>
      </c>
      <c r="I27" s="289" t="s">
        <v>618</v>
      </c>
      <c r="J27" s="289" t="s">
        <v>1472</v>
      </c>
    </row>
    <row r="28" spans="1:10">
      <c r="A28" t="s">
        <v>1391</v>
      </c>
      <c r="B28" t="s">
        <v>1392</v>
      </c>
      <c r="C28" t="s">
        <v>1546</v>
      </c>
      <c r="D28" s="516">
        <v>80201304</v>
      </c>
      <c r="E28" t="s">
        <v>1547</v>
      </c>
      <c r="F28" s="517">
        <v>976550.04</v>
      </c>
      <c r="G28" s="517">
        <v>976550.04</v>
      </c>
      <c r="H28" s="289" t="s">
        <v>144</v>
      </c>
      <c r="I28" s="289" t="s">
        <v>618</v>
      </c>
      <c r="J28" s="289" t="s">
        <v>1478</v>
      </c>
    </row>
    <row r="29" spans="1:10">
      <c r="A29" t="s">
        <v>1391</v>
      </c>
      <c r="B29" t="s">
        <v>1392</v>
      </c>
      <c r="C29" t="s">
        <v>1546</v>
      </c>
      <c r="D29" s="516">
        <v>80201307</v>
      </c>
      <c r="E29" t="s">
        <v>1473</v>
      </c>
      <c r="F29" s="517">
        <v>2076066.46</v>
      </c>
      <c r="G29" s="517">
        <v>2076066.46</v>
      </c>
      <c r="H29" s="289" t="s">
        <v>144</v>
      </c>
      <c r="I29" s="289" t="s">
        <v>618</v>
      </c>
      <c r="J29" s="289" t="s">
        <v>1474</v>
      </c>
    </row>
    <row r="30" spans="1:10">
      <c r="A30" t="s">
        <v>1391</v>
      </c>
      <c r="B30" t="s">
        <v>1392</v>
      </c>
      <c r="C30" t="s">
        <v>1546</v>
      </c>
      <c r="D30" s="516">
        <v>80201309</v>
      </c>
      <c r="E30" t="s">
        <v>1475</v>
      </c>
      <c r="F30" s="517">
        <v>3479229.94</v>
      </c>
      <c r="G30" s="517">
        <v>3479229.94</v>
      </c>
      <c r="H30" s="289" t="s">
        <v>144</v>
      </c>
      <c r="I30" s="289" t="s">
        <v>618</v>
      </c>
      <c r="J30" s="289" t="s">
        <v>1476</v>
      </c>
    </row>
    <row r="31" spans="1:10">
      <c r="A31" t="s">
        <v>1391</v>
      </c>
      <c r="B31" t="s">
        <v>1392</v>
      </c>
      <c r="C31" t="s">
        <v>1546</v>
      </c>
      <c r="D31" s="516">
        <v>80201316</v>
      </c>
      <c r="E31" t="s">
        <v>1477</v>
      </c>
      <c r="F31" s="517">
        <v>7192703.9100000001</v>
      </c>
      <c r="G31" s="517">
        <v>7192703.9100000001</v>
      </c>
      <c r="H31" s="289" t="s">
        <v>144</v>
      </c>
      <c r="I31" s="289" t="s">
        <v>618</v>
      </c>
      <c r="J31" s="289" t="s">
        <v>1478</v>
      </c>
    </row>
    <row r="32" spans="1:10">
      <c r="A32" t="s">
        <v>1391</v>
      </c>
      <c r="B32" t="s">
        <v>1392</v>
      </c>
      <c r="C32" t="s">
        <v>1546</v>
      </c>
      <c r="D32" s="516">
        <v>80201323</v>
      </c>
      <c r="E32" t="s">
        <v>1506</v>
      </c>
      <c r="F32" s="517">
        <v>1139986.42</v>
      </c>
      <c r="G32" s="517">
        <v>1139986.42</v>
      </c>
      <c r="H32" s="289" t="s">
        <v>144</v>
      </c>
      <c r="I32" s="289" t="s">
        <v>618</v>
      </c>
      <c r="J32" s="289" t="s">
        <v>1507</v>
      </c>
    </row>
    <row r="33" spans="1:10">
      <c r="A33" t="s">
        <v>1391</v>
      </c>
      <c r="B33" t="s">
        <v>1392</v>
      </c>
      <c r="C33" t="s">
        <v>1548</v>
      </c>
      <c r="D33" s="516">
        <v>80201400</v>
      </c>
      <c r="E33" t="s">
        <v>1479</v>
      </c>
      <c r="F33" s="517">
        <v>43181.59</v>
      </c>
      <c r="G33" s="517">
        <v>43181.59</v>
      </c>
      <c r="H33" s="289" t="s">
        <v>144</v>
      </c>
      <c r="I33" s="289" t="s">
        <v>152</v>
      </c>
      <c r="J33" s="289" t="s">
        <v>1480</v>
      </c>
    </row>
    <row r="34" spans="1:10">
      <c r="A34" t="s">
        <v>1391</v>
      </c>
      <c r="B34" t="s">
        <v>1392</v>
      </c>
      <c r="C34" t="s">
        <v>1549</v>
      </c>
      <c r="D34" s="516">
        <v>80201500</v>
      </c>
      <c r="E34" t="s">
        <v>1481</v>
      </c>
      <c r="F34" s="517">
        <v>-0.39</v>
      </c>
      <c r="G34" s="517">
        <v>-0.39</v>
      </c>
      <c r="H34" s="289" t="s">
        <v>144</v>
      </c>
      <c r="I34" s="289" t="s">
        <v>618</v>
      </c>
      <c r="J34" s="289" t="s">
        <v>1482</v>
      </c>
    </row>
    <row r="35" spans="1:10">
      <c r="A35" t="s">
        <v>1391</v>
      </c>
      <c r="B35" t="s">
        <v>1392</v>
      </c>
      <c r="C35" t="s">
        <v>1549</v>
      </c>
      <c r="D35" s="516">
        <v>80201507</v>
      </c>
      <c r="E35" t="s">
        <v>1483</v>
      </c>
      <c r="F35" s="517">
        <v>0.52</v>
      </c>
      <c r="G35" s="517">
        <v>0.52</v>
      </c>
      <c r="H35" s="289" t="s">
        <v>144</v>
      </c>
      <c r="I35" s="289" t="s">
        <v>618</v>
      </c>
      <c r="J35" s="289" t="s">
        <v>1484</v>
      </c>
    </row>
    <row r="36" spans="1:10">
      <c r="A36" t="s">
        <v>1391</v>
      </c>
      <c r="B36" t="s">
        <v>1392</v>
      </c>
      <c r="C36" t="s">
        <v>1549</v>
      </c>
      <c r="D36" s="516">
        <v>80201509</v>
      </c>
      <c r="E36" t="s">
        <v>1508</v>
      </c>
      <c r="F36" s="517">
        <v>0.56999999999999995</v>
      </c>
      <c r="G36" s="517">
        <v>0.56999999999999995</v>
      </c>
      <c r="H36" s="289" t="s">
        <v>144</v>
      </c>
      <c r="I36" s="289" t="s">
        <v>618</v>
      </c>
      <c r="J36" s="289" t="s">
        <v>1509</v>
      </c>
    </row>
    <row r="37" spans="1:10">
      <c r="A37" t="s">
        <v>1391</v>
      </c>
      <c r="B37" t="s">
        <v>1392</v>
      </c>
      <c r="C37" t="s">
        <v>1549</v>
      </c>
      <c r="D37" s="516">
        <v>80201516</v>
      </c>
      <c r="E37" t="s">
        <v>1485</v>
      </c>
      <c r="F37" s="517">
        <v>0.11</v>
      </c>
      <c r="G37" s="517">
        <v>0.11</v>
      </c>
      <c r="H37" s="289" t="s">
        <v>144</v>
      </c>
      <c r="I37" s="289" t="s">
        <v>618</v>
      </c>
      <c r="J37" s="289" t="s">
        <v>1486</v>
      </c>
    </row>
    <row r="38" spans="1:10">
      <c r="A38" t="s">
        <v>1391</v>
      </c>
      <c r="B38" t="s">
        <v>1392</v>
      </c>
      <c r="C38" t="s">
        <v>1401</v>
      </c>
      <c r="D38" s="516">
        <v>80200209</v>
      </c>
      <c r="E38" t="s">
        <v>1487</v>
      </c>
      <c r="F38" s="517">
        <v>339151817.88</v>
      </c>
      <c r="G38" s="517">
        <v>339151817.88</v>
      </c>
      <c r="H38" s="289" t="s">
        <v>144</v>
      </c>
      <c r="I38" s="289" t="s">
        <v>300</v>
      </c>
      <c r="J38" s="289" t="s">
        <v>300</v>
      </c>
    </row>
    <row r="39" spans="1:10">
      <c r="A39" t="s">
        <v>1391</v>
      </c>
      <c r="B39" t="s">
        <v>1392</v>
      </c>
      <c r="C39" t="s">
        <v>1401</v>
      </c>
      <c r="D39" s="516">
        <v>80200210</v>
      </c>
      <c r="E39" t="s">
        <v>1488</v>
      </c>
      <c r="F39" s="517">
        <v>254013.47</v>
      </c>
      <c r="G39" s="517">
        <v>254013.47</v>
      </c>
      <c r="H39" s="289" t="s">
        <v>144</v>
      </c>
      <c r="I39" s="289" t="s">
        <v>300</v>
      </c>
      <c r="J39" s="289" t="s">
        <v>300</v>
      </c>
    </row>
    <row r="40" spans="1:10">
      <c r="A40" t="s">
        <v>1391</v>
      </c>
      <c r="B40" t="s">
        <v>1413</v>
      </c>
      <c r="C40" t="s">
        <v>1416</v>
      </c>
      <c r="D40" s="516">
        <v>82110300</v>
      </c>
      <c r="E40" t="s">
        <v>782</v>
      </c>
      <c r="F40" s="517">
        <v>581361.07999999996</v>
      </c>
      <c r="G40" s="517">
        <v>581361.07999999996</v>
      </c>
      <c r="H40" s="289" t="s">
        <v>144</v>
      </c>
      <c r="I40" s="289" t="s">
        <v>149</v>
      </c>
      <c r="J40" s="289" t="s">
        <v>153</v>
      </c>
    </row>
    <row r="41" spans="1:10">
      <c r="A41" t="s">
        <v>1391</v>
      </c>
      <c r="B41" t="s">
        <v>1413</v>
      </c>
      <c r="C41" t="s">
        <v>1421</v>
      </c>
      <c r="D41" s="516">
        <v>82110900</v>
      </c>
      <c r="E41" t="s">
        <v>1489</v>
      </c>
      <c r="F41" s="517">
        <v>24308066.149999999</v>
      </c>
      <c r="G41" s="517">
        <v>24308066.149999999</v>
      </c>
      <c r="H41" s="289" t="s">
        <v>144</v>
      </c>
      <c r="I41" s="289" t="s">
        <v>149</v>
      </c>
      <c r="J41" s="289" t="s">
        <v>312</v>
      </c>
    </row>
    <row r="42" spans="1:10">
      <c r="A42" t="s">
        <v>1391</v>
      </c>
      <c r="B42" t="s">
        <v>1413</v>
      </c>
      <c r="C42" t="s">
        <v>1421</v>
      </c>
      <c r="D42" s="516">
        <v>82110904</v>
      </c>
      <c r="E42" t="s">
        <v>1531</v>
      </c>
      <c r="F42" s="517">
        <v>6000</v>
      </c>
      <c r="G42" s="517">
        <v>6000</v>
      </c>
      <c r="H42" s="289" t="s">
        <v>144</v>
      </c>
      <c r="I42" s="289" t="s">
        <v>149</v>
      </c>
      <c r="J42" s="289" t="s">
        <v>181</v>
      </c>
    </row>
    <row r="43" spans="1:10">
      <c r="A43" t="s">
        <v>1391</v>
      </c>
      <c r="B43" t="s">
        <v>1413</v>
      </c>
      <c r="C43" t="s">
        <v>1421</v>
      </c>
      <c r="D43" s="516">
        <v>82110909</v>
      </c>
      <c r="E43" t="s">
        <v>1491</v>
      </c>
      <c r="F43" s="517">
        <v>61900.39</v>
      </c>
      <c r="G43" s="517">
        <v>61900.39</v>
      </c>
      <c r="H43" s="289" t="s">
        <v>144</v>
      </c>
      <c r="I43" s="289" t="s">
        <v>149</v>
      </c>
      <c r="J43" s="289" t="s">
        <v>1492</v>
      </c>
    </row>
    <row r="44" spans="1:10">
      <c r="A44" t="s">
        <v>1391</v>
      </c>
      <c r="B44" t="s">
        <v>1425</v>
      </c>
      <c r="C44" t="s">
        <v>1428</v>
      </c>
      <c r="D44" s="516">
        <v>83120203</v>
      </c>
      <c r="E44" t="s">
        <v>1510</v>
      </c>
      <c r="F44" s="517">
        <v>8000</v>
      </c>
      <c r="G44" s="517">
        <v>8000</v>
      </c>
      <c r="H44" s="289" t="s">
        <v>144</v>
      </c>
      <c r="I44" s="289" t="s">
        <v>152</v>
      </c>
      <c r="J44" s="289" t="s">
        <v>635</v>
      </c>
    </row>
    <row r="45" spans="1:10">
      <c r="A45" t="s">
        <v>1391</v>
      </c>
      <c r="B45" t="s">
        <v>1425</v>
      </c>
      <c r="C45" t="s">
        <v>1428</v>
      </c>
      <c r="D45" s="516">
        <v>83120214</v>
      </c>
      <c r="E45" t="s">
        <v>1062</v>
      </c>
      <c r="F45" s="517">
        <v>34000</v>
      </c>
      <c r="G45" s="517">
        <v>34000</v>
      </c>
      <c r="H45" s="289" t="s">
        <v>144</v>
      </c>
      <c r="I45" s="289" t="s">
        <v>152</v>
      </c>
      <c r="J45" s="289" t="s">
        <v>635</v>
      </c>
    </row>
    <row r="46" spans="1:10">
      <c r="A46" t="s">
        <v>1391</v>
      </c>
      <c r="B46" t="s">
        <v>1425</v>
      </c>
      <c r="C46" t="s">
        <v>1428</v>
      </c>
      <c r="D46" s="516">
        <v>83140200</v>
      </c>
      <c r="E46" t="s">
        <v>841</v>
      </c>
      <c r="F46" s="517">
        <v>22357.53</v>
      </c>
      <c r="G46" s="517">
        <v>22357.53</v>
      </c>
      <c r="H46" s="289" t="s">
        <v>144</v>
      </c>
      <c r="I46" s="289" t="s">
        <v>152</v>
      </c>
      <c r="J46" s="289" t="s">
        <v>635</v>
      </c>
    </row>
    <row r="47" spans="1:10">
      <c r="A47" t="s">
        <v>1391</v>
      </c>
      <c r="B47" t="s">
        <v>1425</v>
      </c>
      <c r="C47" t="s">
        <v>1428</v>
      </c>
      <c r="D47" s="516">
        <v>83150205</v>
      </c>
      <c r="E47" t="s">
        <v>1525</v>
      </c>
      <c r="F47" s="517">
        <v>15081.5</v>
      </c>
      <c r="G47" s="517">
        <v>15081.5</v>
      </c>
      <c r="H47" s="289" t="s">
        <v>144</v>
      </c>
      <c r="I47" s="289" t="s">
        <v>152</v>
      </c>
      <c r="J47" s="289" t="s">
        <v>843</v>
      </c>
    </row>
    <row r="48" spans="1:10">
      <c r="A48" t="s">
        <v>1391</v>
      </c>
      <c r="B48" t="s">
        <v>1425</v>
      </c>
      <c r="C48" t="s">
        <v>1428</v>
      </c>
      <c r="D48" s="516">
        <v>83150206</v>
      </c>
      <c r="E48" t="s">
        <v>1494</v>
      </c>
      <c r="F48" s="517">
        <v>54591.33</v>
      </c>
      <c r="G48" s="517">
        <v>54591.33</v>
      </c>
      <c r="H48" s="289" t="s">
        <v>144</v>
      </c>
      <c r="I48" s="289" t="s">
        <v>152</v>
      </c>
      <c r="J48" s="289" t="s">
        <v>843</v>
      </c>
    </row>
    <row r="49" spans="1:10">
      <c r="A49" t="s">
        <v>1391</v>
      </c>
      <c r="B49" t="s">
        <v>1425</v>
      </c>
      <c r="C49" t="s">
        <v>1428</v>
      </c>
      <c r="D49" s="516">
        <v>83150207</v>
      </c>
      <c r="E49" t="s">
        <v>1521</v>
      </c>
      <c r="F49" s="517">
        <v>5000</v>
      </c>
      <c r="G49" s="517">
        <v>5000</v>
      </c>
      <c r="H49" s="289" t="s">
        <v>144</v>
      </c>
      <c r="I49" s="289" t="s">
        <v>152</v>
      </c>
      <c r="J49" s="289" t="s">
        <v>843</v>
      </c>
    </row>
    <row r="50" spans="1:10">
      <c r="A50" t="s">
        <v>1391</v>
      </c>
      <c r="B50" t="s">
        <v>1436</v>
      </c>
      <c r="C50" t="s">
        <v>1437</v>
      </c>
      <c r="D50" s="516">
        <v>84200401</v>
      </c>
      <c r="E50" t="s">
        <v>1504</v>
      </c>
      <c r="F50" s="517">
        <v>550</v>
      </c>
      <c r="G50" s="517">
        <v>550</v>
      </c>
      <c r="H50" s="289" t="s">
        <v>144</v>
      </c>
      <c r="I50" s="289" t="s">
        <v>152</v>
      </c>
      <c r="J50" s="289" t="s">
        <v>158</v>
      </c>
    </row>
    <row r="51" spans="1:10">
      <c r="A51" t="s">
        <v>1550</v>
      </c>
      <c r="B51" t="s">
        <v>1551</v>
      </c>
      <c r="C51" t="s">
        <v>1448</v>
      </c>
      <c r="D51" s="516">
        <v>90201100</v>
      </c>
      <c r="E51" t="s">
        <v>1495</v>
      </c>
      <c r="F51" s="517">
        <v>-19246.86</v>
      </c>
      <c r="G51" s="517">
        <v>-19246.86</v>
      </c>
      <c r="H51" s="289" t="s">
        <v>144</v>
      </c>
      <c r="I51" s="289" t="s">
        <v>163</v>
      </c>
      <c r="J51" s="289" t="s">
        <v>876</v>
      </c>
    </row>
    <row r="52" spans="1:10">
      <c r="A52" t="s">
        <v>1550</v>
      </c>
      <c r="B52" t="s">
        <v>1551</v>
      </c>
      <c r="C52" t="s">
        <v>1448</v>
      </c>
      <c r="D52" s="516">
        <v>90201102</v>
      </c>
      <c r="E52" t="s">
        <v>1505</v>
      </c>
      <c r="F52" s="517">
        <v>249859.81</v>
      </c>
      <c r="G52" s="517">
        <v>249859.81</v>
      </c>
      <c r="H52" s="289" t="s">
        <v>144</v>
      </c>
      <c r="I52" s="289" t="s">
        <v>163</v>
      </c>
      <c r="J52" s="289" t="s">
        <v>166</v>
      </c>
    </row>
    <row r="53" spans="1:10">
      <c r="A53" t="s">
        <v>1550</v>
      </c>
      <c r="B53" t="s">
        <v>1551</v>
      </c>
      <c r="C53" t="s">
        <v>1448</v>
      </c>
      <c r="D53" s="516">
        <v>90201103</v>
      </c>
      <c r="E53" t="s">
        <v>1517</v>
      </c>
      <c r="F53" s="517">
        <v>-442911.25</v>
      </c>
      <c r="G53" s="517">
        <v>-442911.25</v>
      </c>
      <c r="H53" s="289" t="s">
        <v>144</v>
      </c>
      <c r="I53" s="646" t="s">
        <v>163</v>
      </c>
      <c r="J53" s="646" t="s">
        <v>1191</v>
      </c>
    </row>
    <row r="54" spans="1:10">
      <c r="A54" t="s">
        <v>1550</v>
      </c>
      <c r="B54" t="s">
        <v>1551</v>
      </c>
      <c r="C54" t="s">
        <v>1448</v>
      </c>
      <c r="D54" s="516">
        <v>90201104</v>
      </c>
      <c r="E54" t="s">
        <v>1496</v>
      </c>
      <c r="F54" s="517">
        <v>392088</v>
      </c>
      <c r="G54" s="517">
        <v>392088</v>
      </c>
      <c r="H54" s="289" t="s">
        <v>144</v>
      </c>
      <c r="I54" s="289" t="s">
        <v>163</v>
      </c>
      <c r="J54" s="289" t="s">
        <v>166</v>
      </c>
    </row>
  </sheetData>
  <autoFilter ref="A1:J70" xr:uid="{ADB0A333-E445-E84E-B736-B083CD097BE6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00B0F0"/>
  </sheetPr>
  <dimension ref="A1:Z1000"/>
  <sheetViews>
    <sheetView topLeftCell="A12" workbookViewId="0"/>
  </sheetViews>
  <sheetFormatPr defaultColWidth="12.5703125" defaultRowHeight="15" customHeight="1"/>
  <cols>
    <col min="1" max="1" width="10.5703125" customWidth="1"/>
    <col min="2" max="2" width="74.85546875" customWidth="1"/>
    <col min="3" max="3" width="16.85546875" customWidth="1"/>
    <col min="4" max="4" width="16.42578125" customWidth="1"/>
    <col min="5" max="6" width="17.5703125" customWidth="1"/>
    <col min="7" max="7" width="17.42578125" customWidth="1"/>
    <col min="8" max="9" width="33.42578125" customWidth="1"/>
    <col min="10" max="10" width="16.42578125" hidden="1" customWidth="1"/>
    <col min="11" max="11" width="17.42578125" hidden="1" customWidth="1"/>
    <col min="12" max="12" width="49.85546875" hidden="1" customWidth="1"/>
    <col min="13" max="26" width="10.5703125" customWidth="1"/>
  </cols>
  <sheetData>
    <row r="1" spans="1:26" ht="12.75" hidden="1" customHeight="1">
      <c r="B1" s="121"/>
      <c r="C1" s="122">
        <v>2018</v>
      </c>
      <c r="D1" s="122">
        <v>2019</v>
      </c>
      <c r="E1" s="122">
        <v>2020</v>
      </c>
      <c r="F1" s="122"/>
      <c r="G1" s="122">
        <v>2021</v>
      </c>
      <c r="H1" s="122"/>
      <c r="I1" s="122"/>
      <c r="J1" s="121"/>
      <c r="K1" s="121"/>
      <c r="L1" s="121"/>
    </row>
    <row r="2" spans="1:26" ht="12.75" hidden="1" customHeight="1">
      <c r="B2" s="121" t="s">
        <v>322</v>
      </c>
      <c r="C2" s="121"/>
      <c r="D2" s="123">
        <f t="shared" ref="D2:E2" si="0">+C5</f>
        <v>299492.05819355196</v>
      </c>
      <c r="E2" s="123">
        <f t="shared" si="0"/>
        <v>1188415.0487953194</v>
      </c>
      <c r="F2" s="123"/>
      <c r="G2" s="123">
        <f>+E5</f>
        <v>2792019.9707177794</v>
      </c>
      <c r="H2" s="123"/>
      <c r="I2" s="123"/>
      <c r="J2" s="121"/>
      <c r="K2" s="121"/>
      <c r="L2" s="121"/>
    </row>
    <row r="3" spans="1:26" ht="12.75" hidden="1" customHeight="1">
      <c r="B3" s="121" t="s">
        <v>323</v>
      </c>
      <c r="C3" s="121"/>
      <c r="D3" s="121"/>
      <c r="E3" s="123">
        <f>2173604.92192246-570000</f>
        <v>1603604.9219224602</v>
      </c>
      <c r="F3" s="123"/>
      <c r="G3" s="123">
        <f>-4850953*4</f>
        <v>-19403812</v>
      </c>
      <c r="H3" s="123"/>
      <c r="I3" s="123"/>
      <c r="J3" s="121"/>
      <c r="K3" s="121"/>
      <c r="L3" s="121"/>
    </row>
    <row r="4" spans="1:26" ht="12.75" hidden="1" customHeight="1">
      <c r="B4" s="121" t="s">
        <v>324</v>
      </c>
      <c r="C4" s="123">
        <f>1076644/3.5949</f>
        <v>299492.05819355196</v>
      </c>
      <c r="D4" s="123">
        <f>3168566/3.5645</f>
        <v>888922.99060176744</v>
      </c>
      <c r="E4" s="121"/>
      <c r="F4" s="121"/>
      <c r="G4" s="121"/>
      <c r="H4" s="121"/>
      <c r="I4" s="121"/>
      <c r="J4" s="121"/>
      <c r="K4" s="121"/>
      <c r="L4" s="121"/>
    </row>
    <row r="5" spans="1:26" ht="12.75" hidden="1" customHeight="1">
      <c r="B5" s="124" t="s">
        <v>325</v>
      </c>
      <c r="C5" s="125">
        <f t="shared" ref="C5:E5" si="1">+SUM(C2:C4)</f>
        <v>299492.05819355196</v>
      </c>
      <c r="D5" s="125">
        <f t="shared" si="1"/>
        <v>1188415.0487953194</v>
      </c>
      <c r="E5" s="125">
        <f t="shared" si="1"/>
        <v>2792019.9707177794</v>
      </c>
      <c r="F5" s="125"/>
      <c r="G5" s="125">
        <f>+SUM(G2:G4)</f>
        <v>-16611792.02928222</v>
      </c>
      <c r="H5" s="123"/>
      <c r="I5" s="123"/>
      <c r="J5" s="121"/>
      <c r="K5" s="121"/>
      <c r="L5" s="121"/>
    </row>
    <row r="6" spans="1:26" ht="12.75" hidden="1" customHeigh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26" ht="12.75" hidden="1" customHeight="1">
      <c r="B7" s="121"/>
      <c r="C7" s="121"/>
      <c r="D7" s="121"/>
      <c r="E7" s="121" t="s">
        <v>326</v>
      </c>
      <c r="F7" s="121"/>
      <c r="G7" s="121"/>
      <c r="H7" s="121"/>
      <c r="I7" s="121"/>
      <c r="J7" s="121"/>
      <c r="K7" s="121"/>
      <c r="L7" s="121"/>
    </row>
    <row r="8" spans="1:26" ht="12.75" hidden="1" customHeight="1"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</row>
    <row r="9" spans="1:26" ht="12.75" hidden="1" customHeight="1"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</row>
    <row r="10" spans="1:26" ht="12.75" hidden="1" customHeight="1">
      <c r="B10" s="126" t="s">
        <v>327</v>
      </c>
      <c r="C10" s="126"/>
      <c r="D10" s="121"/>
      <c r="E10" s="121"/>
      <c r="F10" s="121"/>
      <c r="G10" s="121"/>
      <c r="H10" s="121"/>
      <c r="I10" s="121"/>
      <c r="J10" s="121"/>
      <c r="K10" s="121"/>
      <c r="L10" s="121"/>
    </row>
    <row r="11" spans="1:26" ht="12.75" hidden="1" customHeight="1">
      <c r="B11" s="126"/>
      <c r="C11" s="126"/>
      <c r="D11" s="121"/>
      <c r="E11" s="121"/>
      <c r="F11" s="121"/>
      <c r="G11" s="121"/>
      <c r="H11" s="121"/>
      <c r="I11" s="121"/>
      <c r="J11" s="121"/>
      <c r="K11" s="121"/>
      <c r="L11" s="121"/>
    </row>
    <row r="12" spans="1:26" ht="12.75" customHeight="1">
      <c r="B12" s="126" t="s">
        <v>328</v>
      </c>
      <c r="C12" s="122">
        <v>2018</v>
      </c>
      <c r="D12" s="122">
        <v>2019</v>
      </c>
      <c r="E12" s="122">
        <v>2020</v>
      </c>
      <c r="F12" s="122">
        <v>2021</v>
      </c>
      <c r="G12" s="127"/>
      <c r="I12" s="128"/>
      <c r="J12" s="121"/>
      <c r="K12" s="121"/>
      <c r="L12" s="121"/>
    </row>
    <row r="13" spans="1:26" ht="12.75" customHeight="1">
      <c r="B13" s="121" t="s">
        <v>145</v>
      </c>
      <c r="C13" s="123">
        <v>0</v>
      </c>
      <c r="D13" s="123">
        <v>866635</v>
      </c>
      <c r="E13" s="123">
        <v>15116394</v>
      </c>
      <c r="F13" s="123">
        <f>-'P&amp;L USD CONS'!L7*1000</f>
        <v>334239531539.99988</v>
      </c>
      <c r="G13" s="123"/>
      <c r="H13" s="128"/>
      <c r="I13" s="123"/>
      <c r="J13" s="123"/>
      <c r="K13" s="129" t="s">
        <v>329</v>
      </c>
      <c r="L13" s="121"/>
    </row>
    <row r="14" spans="1:26" ht="12.75" customHeight="1">
      <c r="A14" s="121"/>
      <c r="B14" s="121" t="s">
        <v>330</v>
      </c>
      <c r="C14" s="123">
        <v>201051</v>
      </c>
      <c r="D14" s="123">
        <v>692900</v>
      </c>
      <c r="E14" s="123">
        <v>2297223</v>
      </c>
      <c r="F14" s="123">
        <f>'P&amp;L USD CONS'!L13*1000</f>
        <v>20781725320</v>
      </c>
      <c r="G14" s="123"/>
      <c r="H14" s="123"/>
      <c r="I14" s="123"/>
      <c r="J14" s="123">
        <f>I13*0.07</f>
        <v>0</v>
      </c>
      <c r="K14" s="130">
        <f>J14-I14</f>
        <v>0</v>
      </c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21"/>
      <c r="B15" s="121" t="s">
        <v>331</v>
      </c>
      <c r="C15" s="131"/>
      <c r="D15" s="131">
        <f t="shared" ref="D15:F15" si="2">+D14/D13</f>
        <v>0.79952921356741879</v>
      </c>
      <c r="E15" s="131">
        <f t="shared" si="2"/>
        <v>0.15196898149122073</v>
      </c>
      <c r="F15" s="132">
        <f t="shared" si="2"/>
        <v>6.2176144228807247E-2</v>
      </c>
      <c r="G15" s="133"/>
      <c r="H15" s="133"/>
      <c r="I15" s="133"/>
      <c r="J15" s="134"/>
      <c r="K15" s="130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21"/>
      <c r="B16" s="121" t="s">
        <v>332</v>
      </c>
      <c r="C16" s="131"/>
      <c r="D16" s="131"/>
      <c r="E16" s="131">
        <f t="shared" ref="E16:F16" si="3">+AVERAGE(C14:E14)/AVERAGE(C13:E13)</f>
        <v>0.1996601520275037</v>
      </c>
      <c r="F16" s="132">
        <f t="shared" si="3"/>
        <v>6.2182116785120208E-2</v>
      </c>
      <c r="G16" s="135"/>
      <c r="H16" s="131"/>
      <c r="I16" s="135"/>
      <c r="J16" s="121"/>
      <c r="K16" s="136" t="e">
        <f>J14/I13</f>
        <v>#DIV/0!</v>
      </c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21"/>
      <c r="B17" s="121" t="s">
        <v>333</v>
      </c>
      <c r="C17" s="121"/>
      <c r="D17" s="131"/>
      <c r="E17" s="137"/>
      <c r="F17" s="138">
        <f>AVERAGE(D13:F13)*0.07</f>
        <v>7799295339.9433317</v>
      </c>
      <c r="G17" s="121"/>
      <c r="H17" s="135"/>
      <c r="I17" s="135"/>
      <c r="J17" s="121"/>
      <c r="K17" s="123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21"/>
      <c r="B18" s="121" t="s">
        <v>334</v>
      </c>
      <c r="C18" s="121"/>
      <c r="D18" s="131"/>
      <c r="E18" s="137"/>
      <c r="F18" s="138">
        <f>AVERAGE(D14:F14)</f>
        <v>6928238481</v>
      </c>
      <c r="G18" s="131"/>
      <c r="H18" s="131"/>
      <c r="I18" s="131"/>
      <c r="J18" s="135">
        <f>+G18/0.04</f>
        <v>0</v>
      </c>
      <c r="K18" s="121" t="s">
        <v>335</v>
      </c>
      <c r="L18" s="121" t="s">
        <v>336</v>
      </c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21"/>
      <c r="B19" s="121"/>
      <c r="C19" s="121"/>
      <c r="D19" s="121"/>
      <c r="E19" s="121"/>
      <c r="F19" s="138">
        <f>F17-F18</f>
        <v>871056858.94333172</v>
      </c>
      <c r="G19" s="139">
        <f>F19*3</f>
        <v>2613170576.8299952</v>
      </c>
      <c r="H19" s="140" t="s">
        <v>337</v>
      </c>
      <c r="I19" s="121"/>
      <c r="J19" s="121"/>
      <c r="K19" s="121" t="s">
        <v>338</v>
      </c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21"/>
      <c r="B20" s="121"/>
      <c r="C20" s="121"/>
      <c r="D20" s="121"/>
      <c r="E20" s="121"/>
      <c r="F20" s="138"/>
      <c r="G20" s="14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21"/>
      <c r="B21" s="121" t="s">
        <v>339</v>
      </c>
      <c r="C21" s="123">
        <v>500000</v>
      </c>
      <c r="D21" s="121"/>
      <c r="E21" s="123">
        <v>5748600</v>
      </c>
      <c r="F21" s="123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21"/>
      <c r="B22" s="121" t="s">
        <v>340</v>
      </c>
      <c r="C22" s="121">
        <v>3.5949</v>
      </c>
      <c r="D22" s="121">
        <v>3.5644999999999998</v>
      </c>
      <c r="E22" s="121">
        <v>3.4424000000000001</v>
      </c>
      <c r="F22" s="121"/>
      <c r="G22" s="121">
        <v>3.2549000000000001</v>
      </c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21"/>
      <c r="B23" s="142" t="s">
        <v>341</v>
      </c>
      <c r="C23" s="143">
        <f>+C21*C22</f>
        <v>1797450</v>
      </c>
      <c r="D23" s="121"/>
      <c r="E23" s="143">
        <f>+E21*E22</f>
        <v>19788980.640000001</v>
      </c>
      <c r="F23" s="143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44">
        <v>993</v>
      </c>
      <c r="L24" s="145" t="s">
        <v>342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21"/>
      <c r="B25" s="121" t="s">
        <v>343</v>
      </c>
      <c r="C25" s="121">
        <v>0</v>
      </c>
      <c r="D25" s="121">
        <v>0</v>
      </c>
      <c r="E25" s="131">
        <f>+E13/D13-1</f>
        <v>16.442630403803214</v>
      </c>
      <c r="F25" s="131"/>
      <c r="G25" s="131"/>
      <c r="H25" s="131"/>
      <c r="I25" s="131"/>
      <c r="J25" s="121"/>
      <c r="K25" s="146">
        <v>-181</v>
      </c>
      <c r="L25" s="147" t="s">
        <v>344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48">
        <f>-(150+86)/3.25</f>
        <v>-72.615384615384613</v>
      </c>
      <c r="L26" s="147" t="s">
        <v>345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21"/>
      <c r="B27" s="142" t="s">
        <v>346</v>
      </c>
      <c r="C27" s="121"/>
      <c r="D27" s="121"/>
      <c r="E27" s="121"/>
      <c r="F27" s="121"/>
      <c r="G27" s="121"/>
      <c r="H27" s="121"/>
      <c r="I27" s="121"/>
      <c r="J27" s="121"/>
      <c r="K27" s="146"/>
      <c r="L27" s="147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21"/>
      <c r="B28" s="121" t="s">
        <v>347</v>
      </c>
      <c r="C28" s="121">
        <v>3</v>
      </c>
      <c r="D28" s="121">
        <v>13</v>
      </c>
      <c r="E28" s="121">
        <v>33</v>
      </c>
      <c r="F28" s="121"/>
      <c r="G28" s="121">
        <v>67</v>
      </c>
      <c r="H28" s="121">
        <v>13</v>
      </c>
      <c r="I28" s="121">
        <f t="shared" ref="I28:I37" si="4">G28+H28</f>
        <v>80</v>
      </c>
      <c r="J28" s="121"/>
      <c r="K28" s="149">
        <f>K24+K25+K26</f>
        <v>739.38461538461536</v>
      </c>
      <c r="L28" s="150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21"/>
      <c r="B29" s="121" t="s">
        <v>348</v>
      </c>
      <c r="C29" s="121">
        <v>0</v>
      </c>
      <c r="D29" s="131">
        <f t="shared" ref="D29:E29" si="5">+D28/C28-1</f>
        <v>3.333333333333333</v>
      </c>
      <c r="E29" s="131">
        <f t="shared" si="5"/>
        <v>1.5384615384615383</v>
      </c>
      <c r="F29" s="131"/>
      <c r="G29" s="131">
        <f>+G28/E28-1</f>
        <v>1.0303030303030303</v>
      </c>
      <c r="H29" s="131"/>
      <c r="I29" s="131">
        <f t="shared" si="4"/>
        <v>1.0303030303030303</v>
      </c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21"/>
      <c r="B30" s="121"/>
      <c r="C30" s="121"/>
      <c r="D30" s="121"/>
      <c r="E30" s="121"/>
      <c r="F30" s="121"/>
      <c r="G30" s="121"/>
      <c r="H30" s="121"/>
      <c r="I30" s="121">
        <f t="shared" si="4"/>
        <v>0</v>
      </c>
      <c r="J30" s="121"/>
      <c r="K30" s="144"/>
      <c r="L30" s="145" t="s">
        <v>349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2.75" customHeight="1">
      <c r="A31" s="121"/>
      <c r="B31" s="142" t="s">
        <v>350</v>
      </c>
      <c r="C31" s="121"/>
      <c r="D31" s="121"/>
      <c r="E31" s="121"/>
      <c r="F31" s="121"/>
      <c r="G31" s="121"/>
      <c r="H31" s="121"/>
      <c r="I31" s="121">
        <f t="shared" si="4"/>
        <v>0</v>
      </c>
      <c r="J31" s="121"/>
      <c r="K31" s="151">
        <v>3461</v>
      </c>
      <c r="L31" s="147" t="s">
        <v>351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hidden="1" customHeight="1">
      <c r="A32" s="121"/>
      <c r="B32" s="121" t="s">
        <v>352</v>
      </c>
      <c r="C32" s="123">
        <f>(330825+326191)/C22</f>
        <v>182763.35920331581</v>
      </c>
      <c r="D32" s="123">
        <f>449059+791642/$D$22</f>
        <v>671149.61579464166</v>
      </c>
      <c r="E32" s="123">
        <v>1527152</v>
      </c>
      <c r="F32" s="123"/>
      <c r="G32" s="123">
        <v>5994309</v>
      </c>
      <c r="H32" s="123"/>
      <c r="I32" s="123">
        <f t="shared" si="4"/>
        <v>5994309</v>
      </c>
      <c r="J32" s="121"/>
      <c r="K32" s="146"/>
      <c r="L32" s="147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1"/>
      <c r="B33" s="121" t="s">
        <v>353</v>
      </c>
      <c r="C33" s="152">
        <v>2</v>
      </c>
      <c r="D33" s="152">
        <v>9</v>
      </c>
      <c r="E33" s="152">
        <v>23</v>
      </c>
      <c r="F33" s="152"/>
      <c r="G33" s="152">
        <v>40</v>
      </c>
      <c r="H33" s="152">
        <v>6</v>
      </c>
      <c r="I33" s="152">
        <f t="shared" si="4"/>
        <v>46</v>
      </c>
      <c r="J33" s="152"/>
      <c r="K33" s="151">
        <f>651*5</f>
        <v>3255</v>
      </c>
      <c r="L33" s="147" t="s">
        <v>354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hidden="1" customHeight="1">
      <c r="A34" s="121"/>
      <c r="B34" s="121" t="s">
        <v>355</v>
      </c>
      <c r="C34" s="123">
        <f>+(142534+73203)+C32</f>
        <v>398500.35920331581</v>
      </c>
      <c r="D34" s="123">
        <f>958816+791642/$D$22+358000/$D$22</f>
        <v>1281341.4593912191</v>
      </c>
      <c r="E34" s="123">
        <v>2005609</v>
      </c>
      <c r="F34" s="123"/>
      <c r="G34" s="123">
        <v>9020946.9696969725</v>
      </c>
      <c r="H34" s="123"/>
      <c r="I34" s="123">
        <f t="shared" si="4"/>
        <v>9020946.9696969725</v>
      </c>
      <c r="J34" s="121"/>
      <c r="K34" s="146"/>
      <c r="L34" s="147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21"/>
      <c r="B35" s="121" t="s">
        <v>356</v>
      </c>
      <c r="C35" s="152">
        <f t="shared" ref="C35:E35" si="6">+C28</f>
        <v>3</v>
      </c>
      <c r="D35" s="152">
        <f t="shared" si="6"/>
        <v>13</v>
      </c>
      <c r="E35" s="152">
        <f t="shared" si="6"/>
        <v>33</v>
      </c>
      <c r="F35" s="152"/>
      <c r="G35" s="152">
        <f>+G28</f>
        <v>67</v>
      </c>
      <c r="H35" s="152">
        <v>13</v>
      </c>
      <c r="I35" s="152">
        <f t="shared" si="4"/>
        <v>80</v>
      </c>
      <c r="J35" s="121"/>
      <c r="K35" s="146"/>
      <c r="L35" s="147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hidden="1" customHeight="1">
      <c r="A36" s="121"/>
      <c r="B36" s="121" t="s">
        <v>357</v>
      </c>
      <c r="C36" s="131">
        <f t="shared" ref="C36:E36" si="7">+C32/C34</f>
        <v>0.45862784055878231</v>
      </c>
      <c r="D36" s="131">
        <f t="shared" si="7"/>
        <v>0.5237867009419277</v>
      </c>
      <c r="E36" s="131">
        <f t="shared" si="7"/>
        <v>0.76144054000555439</v>
      </c>
      <c r="F36" s="131"/>
      <c r="G36" s="131">
        <f t="shared" ref="G36:G37" si="8">+G32/G34</f>
        <v>0.66448777718525465</v>
      </c>
      <c r="H36" s="131"/>
      <c r="I36" s="131">
        <f t="shared" si="4"/>
        <v>0.66448777718525465</v>
      </c>
      <c r="J36" s="121"/>
      <c r="K36" s="146"/>
      <c r="L36" s="147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21"/>
      <c r="B37" s="121" t="s">
        <v>358</v>
      </c>
      <c r="C37" s="131">
        <f t="shared" ref="C37:E37" si="9">+C33/C35</f>
        <v>0.66666666666666663</v>
      </c>
      <c r="D37" s="131">
        <f t="shared" si="9"/>
        <v>0.69230769230769229</v>
      </c>
      <c r="E37" s="131">
        <f t="shared" si="9"/>
        <v>0.69696969696969702</v>
      </c>
      <c r="F37" s="131"/>
      <c r="G37" s="131">
        <f t="shared" si="8"/>
        <v>0.59701492537313428</v>
      </c>
      <c r="H37" s="131">
        <f>+H33/H35</f>
        <v>0.46153846153846156</v>
      </c>
      <c r="I37" s="131">
        <f t="shared" si="4"/>
        <v>1.058553386911596</v>
      </c>
      <c r="J37" s="121"/>
      <c r="K37" s="153">
        <f>K31+K33</f>
        <v>6716</v>
      </c>
      <c r="L37" s="150" t="s">
        <v>359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21"/>
      <c r="B39" s="121" t="s">
        <v>360</v>
      </c>
      <c r="C39" s="154">
        <v>0.16</v>
      </c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1" t="s">
        <v>361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1" t="s">
        <v>362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/>
    <row r="43" spans="1:26" ht="12.75" customHeight="1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spans="1:26" ht="12.75" hidden="1" customHeight="1">
      <c r="A44" s="121"/>
      <c r="B44" s="121"/>
      <c r="C44" s="121">
        <v>3.597</v>
      </c>
      <c r="D44" s="121">
        <v>3.5642999999999998</v>
      </c>
      <c r="E44" s="121">
        <v>3.4367000000000001</v>
      </c>
      <c r="F44" s="121"/>
      <c r="G44" s="121">
        <v>3.5882000000000001</v>
      </c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hidden="1" customHeight="1">
      <c r="A45" s="121"/>
      <c r="B45" s="126" t="s">
        <v>328</v>
      </c>
      <c r="C45" s="122">
        <v>2018</v>
      </c>
      <c r="D45" s="122">
        <v>2019</v>
      </c>
      <c r="E45" s="122">
        <v>2020</v>
      </c>
      <c r="F45" s="122"/>
      <c r="G45" s="122" t="s">
        <v>363</v>
      </c>
      <c r="H45" s="156" t="s">
        <v>364</v>
      </c>
      <c r="I45" s="156" t="s">
        <v>365</v>
      </c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hidden="1" customHeight="1">
      <c r="A46" s="121"/>
      <c r="B46" s="121" t="s">
        <v>145</v>
      </c>
      <c r="C46" s="123"/>
      <c r="D46" s="86">
        <f>D13*D44</f>
        <v>3088947.1305</v>
      </c>
      <c r="E46" s="86">
        <f>E13*3.4367</f>
        <v>51950511.259800002</v>
      </c>
      <c r="F46" s="86"/>
      <c r="G46" s="86">
        <f>G13*3.4367</f>
        <v>0</v>
      </c>
      <c r="H46" s="157">
        <f>17500000*3*G44</f>
        <v>188380500</v>
      </c>
      <c r="I46" s="158">
        <f t="shared" ref="I46:I47" si="10">G46+H46</f>
        <v>188380500</v>
      </c>
      <c r="J46" s="123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hidden="1" customHeight="1">
      <c r="A47" s="121"/>
      <c r="B47" s="121" t="s">
        <v>330</v>
      </c>
      <c r="C47" s="86">
        <f t="shared" ref="C47:E47" si="11">C14*C44</f>
        <v>723180.44700000004</v>
      </c>
      <c r="D47" s="86">
        <f t="shared" si="11"/>
        <v>2469703.4699999997</v>
      </c>
      <c r="E47" s="86">
        <f t="shared" si="11"/>
        <v>7894866.2840999998</v>
      </c>
      <c r="F47" s="86"/>
      <c r="G47" s="86">
        <f>G14*G44</f>
        <v>0</v>
      </c>
      <c r="H47" s="157">
        <f>(993000-200000)*3*G44</f>
        <v>8536327.8000000007</v>
      </c>
      <c r="I47" s="158">
        <f t="shared" si="10"/>
        <v>8536327.8000000007</v>
      </c>
      <c r="J47" s="123"/>
      <c r="K47" s="134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hidden="1" customHeight="1">
      <c r="A48" s="121"/>
      <c r="B48" s="121" t="s">
        <v>331</v>
      </c>
      <c r="C48" s="131"/>
      <c r="D48" s="131">
        <f t="shared" ref="D48:E48" si="12">+D47/D46</f>
        <v>0.79952921356741868</v>
      </c>
      <c r="E48" s="131">
        <f t="shared" si="12"/>
        <v>0.15196898149122071</v>
      </c>
      <c r="F48" s="131"/>
      <c r="G48" s="131" t="e">
        <f t="shared" ref="G48:I48" si="13">+G47/G46</f>
        <v>#DIV/0!</v>
      </c>
      <c r="H48" s="131">
        <f t="shared" si="13"/>
        <v>4.5314285714285717E-2</v>
      </c>
      <c r="I48" s="131">
        <f t="shared" si="13"/>
        <v>4.5314285714285717E-2</v>
      </c>
      <c r="J48" s="134"/>
      <c r="K48" s="134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hidden="1" customHeight="1">
      <c r="A49" s="121"/>
      <c r="B49" s="121" t="s">
        <v>332</v>
      </c>
      <c r="C49" s="131"/>
      <c r="D49" s="131"/>
      <c r="E49" s="131">
        <f>+AVERAGE(C47:E47)/AVERAGE(C46:E46)</f>
        <v>0.13430062147382457</v>
      </c>
      <c r="F49" s="131"/>
      <c r="G49" s="131">
        <f t="shared" ref="G49:H49" si="14">+AVERAGE(D47:G47)/AVERAGE(D46:G46)</f>
        <v>0.18831162328309942</v>
      </c>
      <c r="H49" s="131">
        <f t="shared" si="14"/>
        <v>6.8369013212105742E-2</v>
      </c>
      <c r="I49" s="131">
        <f>+AVERAGE(G47:I47)/AVERAGE(G46:I46)</f>
        <v>4.5314285714285717E-2</v>
      </c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hidden="1" customHeight="1">
      <c r="A50" s="121"/>
      <c r="B50" s="121" t="s">
        <v>333</v>
      </c>
      <c r="C50" s="121"/>
      <c r="D50" s="131"/>
      <c r="E50" s="137"/>
      <c r="F50" s="137"/>
      <c r="G50" s="135">
        <f t="shared" ref="G50:H50" si="15">0.07*SUM(D46:G46)-SUM(D47:G47)</f>
        <v>-6511807.6667789984</v>
      </c>
      <c r="H50" s="135">
        <f t="shared" si="15"/>
        <v>391976.70408600196</v>
      </c>
      <c r="I50" s="135"/>
      <c r="J50" s="121"/>
      <c r="K50" s="123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hidden="1" customHeight="1">
      <c r="A51" s="121"/>
      <c r="B51" s="121"/>
      <c r="C51" s="121"/>
      <c r="D51" s="131"/>
      <c r="E51" s="137"/>
      <c r="F51" s="137"/>
      <c r="G51" s="135"/>
      <c r="H51" s="135"/>
      <c r="I51" s="135"/>
      <c r="J51" s="135">
        <f>+G50/0.04</f>
        <v>-162795191.66947496</v>
      </c>
      <c r="K51" s="121" t="s">
        <v>335</v>
      </c>
      <c r="L51" s="121" t="s">
        <v>336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hidden="1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 t="s">
        <v>338</v>
      </c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hidden="1" customHeight="1">
      <c r="A53" s="121"/>
      <c r="B53" s="121" t="s">
        <v>339</v>
      </c>
      <c r="C53" s="123">
        <v>500000</v>
      </c>
      <c r="D53" s="121"/>
      <c r="E53" s="123">
        <v>5748600</v>
      </c>
      <c r="F53" s="123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hidden="1" customHeight="1">
      <c r="A54" s="121"/>
      <c r="B54" s="121" t="s">
        <v>340</v>
      </c>
      <c r="C54" s="121">
        <v>3.5949</v>
      </c>
      <c r="D54" s="121">
        <v>3.5644999999999998</v>
      </c>
      <c r="E54" s="121">
        <v>3.4424000000000001</v>
      </c>
      <c r="F54" s="121"/>
      <c r="G54" s="121">
        <v>3.2549000000000001</v>
      </c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hidden="1" customHeight="1">
      <c r="A55" s="121"/>
      <c r="B55" s="142" t="s">
        <v>341</v>
      </c>
      <c r="C55" s="143">
        <f>+C53*C54</f>
        <v>1797450</v>
      </c>
      <c r="D55" s="121"/>
      <c r="E55" s="143">
        <f>+E53*E54</f>
        <v>19788980.640000001</v>
      </c>
      <c r="F55" s="143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hidden="1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hidden="1" customHeight="1">
      <c r="A57" s="121"/>
      <c r="B57" s="121" t="s">
        <v>343</v>
      </c>
      <c r="C57" s="121">
        <v>0</v>
      </c>
      <c r="D57" s="121">
        <v>0</v>
      </c>
      <c r="E57" s="131">
        <f>+E46/D46-1</f>
        <v>15.818193729133494</v>
      </c>
      <c r="F57" s="131"/>
      <c r="G57" s="131">
        <f>+G46/E46-1</f>
        <v>-1</v>
      </c>
      <c r="H57" s="131"/>
      <c r="I57" s="13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hidden="1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hidden="1" customHeight="1">
      <c r="A59" s="121"/>
      <c r="B59" s="142" t="s">
        <v>346</v>
      </c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hidden="1" customHeight="1">
      <c r="A60" s="121"/>
      <c r="B60" s="121" t="s">
        <v>347</v>
      </c>
      <c r="C60" s="121">
        <v>3</v>
      </c>
      <c r="D60" s="121">
        <v>13</v>
      </c>
      <c r="E60" s="121">
        <v>33</v>
      </c>
      <c r="F60" s="121"/>
      <c r="G60" s="121">
        <v>67</v>
      </c>
      <c r="H60" s="121">
        <v>13</v>
      </c>
      <c r="I60" s="121">
        <f t="shared" ref="I60:I69" si="16">G60+H60</f>
        <v>80</v>
      </c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hidden="1" customHeight="1">
      <c r="A61" s="121"/>
      <c r="B61" s="121" t="s">
        <v>348</v>
      </c>
      <c r="C61" s="121">
        <v>0</v>
      </c>
      <c r="D61" s="131">
        <f t="shared" ref="D61:E61" si="17">+D60/C60-1</f>
        <v>3.333333333333333</v>
      </c>
      <c r="E61" s="131">
        <f t="shared" si="17"/>
        <v>1.5384615384615383</v>
      </c>
      <c r="F61" s="131"/>
      <c r="G61" s="131">
        <f>+G60/E60-1</f>
        <v>1.0303030303030303</v>
      </c>
      <c r="H61" s="131"/>
      <c r="I61" s="131">
        <f t="shared" si="16"/>
        <v>1.0303030303030303</v>
      </c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hidden="1" customHeight="1">
      <c r="A62" s="121"/>
      <c r="B62" s="121"/>
      <c r="C62" s="121"/>
      <c r="D62" s="121"/>
      <c r="E62" s="121"/>
      <c r="F62" s="121"/>
      <c r="G62" s="121"/>
      <c r="H62" s="121"/>
      <c r="I62" s="121">
        <f t="shared" si="16"/>
        <v>0</v>
      </c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hidden="1" customHeight="1">
      <c r="A63" s="121"/>
      <c r="B63" s="142" t="s">
        <v>350</v>
      </c>
      <c r="C63" s="121"/>
      <c r="D63" s="121"/>
      <c r="E63" s="121"/>
      <c r="F63" s="121"/>
      <c r="G63" s="121"/>
      <c r="H63" s="121"/>
      <c r="I63" s="121">
        <f t="shared" si="16"/>
        <v>0</v>
      </c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hidden="1" customHeight="1">
      <c r="A64" s="121"/>
      <c r="B64" s="121" t="s">
        <v>352</v>
      </c>
      <c r="C64" s="123">
        <f>(330825+326191)/C54</f>
        <v>182763.35920331581</v>
      </c>
      <c r="D64" s="123">
        <f>449059+791642/$D$22</f>
        <v>671149.61579464166</v>
      </c>
      <c r="E64" s="123">
        <v>1527152</v>
      </c>
      <c r="F64" s="123"/>
      <c r="G64" s="123">
        <v>5994309</v>
      </c>
      <c r="H64" s="123"/>
      <c r="I64" s="123">
        <f t="shared" si="16"/>
        <v>5994309</v>
      </c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hidden="1" customHeight="1">
      <c r="A65" s="121"/>
      <c r="B65" s="121" t="s">
        <v>353</v>
      </c>
      <c r="C65" s="152">
        <v>2</v>
      </c>
      <c r="D65" s="152">
        <v>9</v>
      </c>
      <c r="E65" s="152">
        <v>23</v>
      </c>
      <c r="F65" s="152"/>
      <c r="G65" s="152">
        <v>40</v>
      </c>
      <c r="H65" s="152">
        <v>6</v>
      </c>
      <c r="I65" s="152">
        <f t="shared" si="16"/>
        <v>46</v>
      </c>
      <c r="J65" s="152"/>
      <c r="K65" s="13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hidden="1" customHeight="1">
      <c r="A66" s="121"/>
      <c r="B66" s="121" t="s">
        <v>355</v>
      </c>
      <c r="C66" s="123">
        <f>+(142534+73203)+C64</f>
        <v>398500.35920331581</v>
      </c>
      <c r="D66" s="123">
        <f>958816+791642/$D$22+358000/$D$22</f>
        <v>1281341.4593912191</v>
      </c>
      <c r="E66" s="123">
        <v>2005609</v>
      </c>
      <c r="F66" s="123"/>
      <c r="G66" s="123">
        <v>9020946.9696969725</v>
      </c>
      <c r="H66" s="123"/>
      <c r="I66" s="123">
        <f t="shared" si="16"/>
        <v>9020946.9696969725</v>
      </c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hidden="1" customHeight="1">
      <c r="A67" s="121"/>
      <c r="B67" s="121" t="s">
        <v>356</v>
      </c>
      <c r="C67" s="152">
        <f t="shared" ref="C67:E67" si="18">+C60</f>
        <v>3</v>
      </c>
      <c r="D67" s="152">
        <f t="shared" si="18"/>
        <v>13</v>
      </c>
      <c r="E67" s="152">
        <f t="shared" si="18"/>
        <v>33</v>
      </c>
      <c r="F67" s="152"/>
      <c r="G67" s="152">
        <f>+G60</f>
        <v>67</v>
      </c>
      <c r="H67" s="152">
        <v>13</v>
      </c>
      <c r="I67" s="152">
        <f t="shared" si="16"/>
        <v>80</v>
      </c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hidden="1" customHeight="1">
      <c r="A68" s="121"/>
      <c r="B68" s="121" t="s">
        <v>357</v>
      </c>
      <c r="C68" s="131">
        <f t="shared" ref="C68:E68" si="19">+C64/C66</f>
        <v>0.45862784055878231</v>
      </c>
      <c r="D68" s="131">
        <f t="shared" si="19"/>
        <v>0.5237867009419277</v>
      </c>
      <c r="E68" s="131">
        <f t="shared" si="19"/>
        <v>0.76144054000555439</v>
      </c>
      <c r="F68" s="131"/>
      <c r="G68" s="131">
        <f t="shared" ref="G68:G69" si="20">+G64/G66</f>
        <v>0.66448777718525465</v>
      </c>
      <c r="H68" s="131"/>
      <c r="I68" s="131">
        <f t="shared" si="16"/>
        <v>0.66448777718525465</v>
      </c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hidden="1" customHeight="1">
      <c r="A69" s="121"/>
      <c r="B69" s="121" t="s">
        <v>358</v>
      </c>
      <c r="C69" s="131">
        <f t="shared" ref="C69:E69" si="21">+C65/C67</f>
        <v>0.66666666666666663</v>
      </c>
      <c r="D69" s="131">
        <f t="shared" si="21"/>
        <v>0.69230769230769229</v>
      </c>
      <c r="E69" s="131">
        <f t="shared" si="21"/>
        <v>0.69696969696969702</v>
      </c>
      <c r="F69" s="131"/>
      <c r="G69" s="131">
        <f t="shared" si="20"/>
        <v>0.59701492537313428</v>
      </c>
      <c r="H69" s="131">
        <f>+H65/H67</f>
        <v>0.46153846153846156</v>
      </c>
      <c r="I69" s="131">
        <f t="shared" si="16"/>
        <v>1.058553386911596</v>
      </c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hidden="1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hidden="1" customHeight="1">
      <c r="A71" s="121"/>
      <c r="B71" s="121" t="s">
        <v>360</v>
      </c>
      <c r="C71" s="154">
        <v>0.16</v>
      </c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hidden="1" customHeight="1">
      <c r="A72" s="121"/>
      <c r="B72" s="121" t="s">
        <v>361</v>
      </c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hidden="1" customHeight="1">
      <c r="A73" s="121"/>
      <c r="B73" s="121" t="s">
        <v>362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hidden="1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hidden="1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/>
    <row r="78" spans="1:26" ht="12.75" customHeight="1">
      <c r="I78" s="2"/>
      <c r="J78" s="2"/>
      <c r="K78" s="2"/>
      <c r="L78" s="2"/>
    </row>
    <row r="79" spans="1:26" ht="12.75" customHeight="1">
      <c r="I79" s="2"/>
      <c r="J79" s="2"/>
      <c r="K79" s="2"/>
      <c r="L79" s="2"/>
    </row>
    <row r="80" spans="1:26" ht="12.75" customHeight="1">
      <c r="I80" s="2"/>
      <c r="J80" s="54"/>
      <c r="K80" s="2"/>
      <c r="L80" s="2"/>
    </row>
    <row r="81" spans="9:12" ht="12.75" customHeight="1">
      <c r="I81" s="2"/>
      <c r="J81" s="54"/>
      <c r="K81" s="2"/>
      <c r="L81" s="2"/>
    </row>
    <row r="82" spans="9:12" ht="12.75" customHeight="1">
      <c r="I82" s="2"/>
      <c r="J82" s="54"/>
      <c r="K82" s="2"/>
      <c r="L82" s="2"/>
    </row>
    <row r="83" spans="9:12" ht="12.75" customHeight="1">
      <c r="I83" s="2"/>
      <c r="J83" s="54"/>
      <c r="K83" s="2"/>
      <c r="L83" s="2"/>
    </row>
    <row r="84" spans="9:12" ht="12.75" customHeight="1">
      <c r="I84" s="2"/>
      <c r="J84" s="54"/>
      <c r="K84" s="2"/>
      <c r="L84" s="2"/>
    </row>
    <row r="85" spans="9:12" ht="12.75" customHeight="1">
      <c r="I85" s="2"/>
      <c r="J85" s="54"/>
      <c r="K85" s="2"/>
      <c r="L85" s="2"/>
    </row>
    <row r="86" spans="9:12" ht="12.75" customHeight="1">
      <c r="I86" s="2"/>
      <c r="J86" s="54"/>
      <c r="K86" s="2"/>
      <c r="L86" s="2"/>
    </row>
    <row r="87" spans="9:12" ht="12.75" customHeight="1">
      <c r="I87" s="2"/>
      <c r="J87" s="54"/>
      <c r="K87" s="2"/>
      <c r="L87" s="2"/>
    </row>
    <row r="88" spans="9:12" ht="12.75" customHeight="1">
      <c r="I88" s="2"/>
      <c r="J88" s="2"/>
      <c r="K88" s="2"/>
      <c r="L88" s="2"/>
    </row>
    <row r="89" spans="9:12" ht="12.75" customHeight="1">
      <c r="I89" s="2"/>
      <c r="J89" s="54"/>
      <c r="K89" s="2"/>
      <c r="L89" s="2"/>
    </row>
    <row r="90" spans="9:12" ht="12.75" customHeight="1">
      <c r="I90" s="2"/>
      <c r="J90" s="2"/>
      <c r="K90" s="2"/>
      <c r="L90" s="2"/>
    </row>
    <row r="91" spans="9:12" ht="12.75" customHeight="1">
      <c r="I91" s="2"/>
      <c r="J91" s="2"/>
      <c r="K91" s="2"/>
      <c r="L91" s="2"/>
    </row>
    <row r="92" spans="9:12" ht="12.75" customHeight="1">
      <c r="I92" s="2"/>
      <c r="J92" s="2"/>
      <c r="K92" s="2"/>
      <c r="L92" s="2"/>
    </row>
    <row r="93" spans="9:12" ht="12.75" customHeight="1">
      <c r="I93" s="2"/>
      <c r="J93" s="2"/>
      <c r="K93" s="2"/>
      <c r="L93" s="2"/>
    </row>
    <row r="94" spans="9:12" ht="12.75" customHeight="1"/>
    <row r="95" spans="9:12" ht="12.75" customHeight="1"/>
    <row r="96" spans="9:1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D15:E15 E16:F16">
    <cfRule type="cellIs" dxfId="61" priority="1" operator="lessThan">
      <formula>0.07</formula>
    </cfRule>
  </conditionalFormatting>
  <conditionalFormatting sqref="D15:E15 E16:F16">
    <cfRule type="cellIs" dxfId="60" priority="2" operator="lessThan">
      <formula>0.0001</formula>
    </cfRule>
  </conditionalFormatting>
  <conditionalFormatting sqref="C25:I25">
    <cfRule type="cellIs" dxfId="59" priority="3" operator="greaterThan">
      <formula>0.25</formula>
    </cfRule>
  </conditionalFormatting>
  <conditionalFormatting sqref="C25:I25">
    <cfRule type="cellIs" dxfId="58" priority="4" operator="greaterThan">
      <formula>0.25</formula>
    </cfRule>
  </conditionalFormatting>
  <conditionalFormatting sqref="C23 E23:F23">
    <cfRule type="cellIs" dxfId="57" priority="5" operator="lessThan">
      <formula>8000000</formula>
    </cfRule>
  </conditionalFormatting>
  <conditionalFormatting sqref="C23 E23:F23">
    <cfRule type="cellIs" dxfId="56" priority="6" operator="greaterThan">
      <formula>8000000</formula>
    </cfRule>
  </conditionalFormatting>
  <conditionalFormatting sqref="G28:H28 J28">
    <cfRule type="cellIs" dxfId="55" priority="7" operator="greaterThan">
      <formula>49</formula>
    </cfRule>
  </conditionalFormatting>
  <conditionalFormatting sqref="C29:H29">
    <cfRule type="cellIs" dxfId="54" priority="8" operator="greaterThan">
      <formula>0.25</formula>
    </cfRule>
  </conditionalFormatting>
  <conditionalFormatting sqref="C36:H37">
    <cfRule type="cellIs" dxfId="53" priority="9" operator="greaterThan">
      <formula>0.2</formula>
    </cfRule>
  </conditionalFormatting>
  <conditionalFormatting sqref="K16">
    <cfRule type="cellIs" dxfId="52" priority="10" operator="lessThan">
      <formula>0.07</formula>
    </cfRule>
  </conditionalFormatting>
  <conditionalFormatting sqref="K16">
    <cfRule type="cellIs" dxfId="51" priority="11" operator="lessThan">
      <formula>0.0001</formula>
    </cfRule>
  </conditionalFormatting>
  <conditionalFormatting sqref="I28">
    <cfRule type="cellIs" dxfId="50" priority="12" operator="greaterThan">
      <formula>49</formula>
    </cfRule>
  </conditionalFormatting>
  <conditionalFormatting sqref="I29">
    <cfRule type="cellIs" dxfId="49" priority="13" operator="greaterThan">
      <formula>0.25</formula>
    </cfRule>
  </conditionalFormatting>
  <conditionalFormatting sqref="I36:I37">
    <cfRule type="cellIs" dxfId="48" priority="14" operator="greaterThan">
      <formula>0.2</formula>
    </cfRule>
  </conditionalFormatting>
  <conditionalFormatting sqref="D48:G48 E49:G49">
    <cfRule type="cellIs" dxfId="47" priority="15" operator="lessThan">
      <formula>0.07</formula>
    </cfRule>
  </conditionalFormatting>
  <conditionalFormatting sqref="D48:G48 E49:G49">
    <cfRule type="cellIs" dxfId="46" priority="16" operator="lessThan">
      <formula>0.0001</formula>
    </cfRule>
  </conditionalFormatting>
  <conditionalFormatting sqref="C57:I57">
    <cfRule type="cellIs" dxfId="45" priority="17" operator="greaterThan">
      <formula>0.25</formula>
    </cfRule>
  </conditionalFormatting>
  <conditionalFormatting sqref="C57:I57">
    <cfRule type="cellIs" dxfId="44" priority="18" operator="greaterThan">
      <formula>0.25</formula>
    </cfRule>
  </conditionalFormatting>
  <conditionalFormatting sqref="C55 E55:F55">
    <cfRule type="cellIs" dxfId="43" priority="19" operator="lessThan">
      <formula>8000000</formula>
    </cfRule>
  </conditionalFormatting>
  <conditionalFormatting sqref="C55 E55:F55">
    <cfRule type="cellIs" dxfId="42" priority="20" operator="greaterThan">
      <formula>8000000</formula>
    </cfRule>
  </conditionalFormatting>
  <conditionalFormatting sqref="G60:H60 J60">
    <cfRule type="cellIs" dxfId="41" priority="21" operator="greaterThan">
      <formula>49</formula>
    </cfRule>
  </conditionalFormatting>
  <conditionalFormatting sqref="C61:H61">
    <cfRule type="cellIs" dxfId="40" priority="22" operator="greaterThan">
      <formula>0.25</formula>
    </cfRule>
  </conditionalFormatting>
  <conditionalFormatting sqref="C68:H69">
    <cfRule type="cellIs" dxfId="39" priority="23" operator="greaterThan">
      <formula>0.2</formula>
    </cfRule>
  </conditionalFormatting>
  <conditionalFormatting sqref="H48:I49">
    <cfRule type="cellIs" dxfId="38" priority="24" operator="lessThan">
      <formula>0.07</formula>
    </cfRule>
  </conditionalFormatting>
  <conditionalFormatting sqref="H48:I49">
    <cfRule type="cellIs" dxfId="37" priority="25" operator="lessThan">
      <formula>0.0001</formula>
    </cfRule>
  </conditionalFormatting>
  <conditionalFormatting sqref="I60">
    <cfRule type="cellIs" dxfId="36" priority="26" operator="greaterThan">
      <formula>49</formula>
    </cfRule>
  </conditionalFormatting>
  <conditionalFormatting sqref="I61">
    <cfRule type="cellIs" dxfId="35" priority="27" operator="greaterThan">
      <formula>0.25</formula>
    </cfRule>
  </conditionalFormatting>
  <conditionalFormatting sqref="I68:I69">
    <cfRule type="cellIs" dxfId="34" priority="28" operator="greaterThan">
      <formula>0.2</formula>
    </cfRule>
  </conditionalFormatting>
  <conditionalFormatting sqref="F15">
    <cfRule type="cellIs" dxfId="33" priority="29" operator="lessThan">
      <formula>0.07</formula>
    </cfRule>
  </conditionalFormatting>
  <conditionalFormatting sqref="F15">
    <cfRule type="cellIs" dxfId="32" priority="30" operator="lessThan">
      <formula>0.0001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C1000"/>
  <sheetViews>
    <sheetView workbookViewId="0"/>
  </sheetViews>
  <sheetFormatPr defaultColWidth="12.5703125" defaultRowHeight="15" customHeight="1"/>
  <cols>
    <col min="1" max="1" width="34.5703125" customWidth="1"/>
    <col min="2" max="2" width="19.85546875" customWidth="1"/>
    <col min="3" max="3" width="11.140625" customWidth="1"/>
    <col min="7" max="7" width="12.85546875" customWidth="1"/>
    <col min="9" max="9" width="16.42578125" customWidth="1"/>
    <col min="10" max="10" width="10.85546875" customWidth="1"/>
    <col min="11" max="11" width="13.42578125" customWidth="1"/>
    <col min="12" max="13" width="10.85546875" customWidth="1"/>
    <col min="14" max="15" width="11.140625" customWidth="1"/>
    <col min="16" max="29" width="10.85546875" customWidth="1"/>
  </cols>
  <sheetData>
    <row r="1" spans="1:29" ht="12.75" customHeight="1">
      <c r="A1" s="2"/>
      <c r="B1" s="2"/>
      <c r="C1" s="2">
        <v>3</v>
      </c>
      <c r="D1" s="2">
        <f t="shared" ref="D1:I1" si="0">+C1+1</f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>
      <c r="A2" s="2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2.75" customHeight="1">
      <c r="A3" s="2" t="s">
        <v>151</v>
      </c>
      <c r="B3" s="1"/>
      <c r="C3" s="1"/>
      <c r="D3" s="159" t="s">
        <v>366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.75" customHeight="1">
      <c r="A4" s="2"/>
      <c r="B4" s="160">
        <v>2017</v>
      </c>
      <c r="C4" s="161">
        <v>2018</v>
      </c>
      <c r="D4" s="160">
        <v>2019</v>
      </c>
      <c r="E4" s="160">
        <v>2020</v>
      </c>
      <c r="F4" s="160">
        <v>2021</v>
      </c>
      <c r="G4" s="160">
        <v>2022</v>
      </c>
      <c r="H4" s="160">
        <v>2023</v>
      </c>
      <c r="I4" s="7" t="s">
        <v>367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.75" customHeight="1">
      <c r="A5" s="7">
        <v>2017</v>
      </c>
      <c r="B5" s="6">
        <f>I5/3</f>
        <v>53630.333333333336</v>
      </c>
      <c r="C5" s="6">
        <f t="shared" ref="C5:D5" si="1">B5</f>
        <v>53630.333333333336</v>
      </c>
      <c r="D5" s="6">
        <f t="shared" si="1"/>
        <v>53630.333333333336</v>
      </c>
      <c r="E5" s="6"/>
      <c r="F5" s="6"/>
      <c r="G5" s="6"/>
      <c r="H5" s="2"/>
      <c r="I5" s="162">
        <v>160891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2.75" customHeight="1">
      <c r="A6" s="7">
        <v>2018</v>
      </c>
      <c r="B6" s="6"/>
      <c r="C6" s="6">
        <f>I6/3</f>
        <v>241060.76666666663</v>
      </c>
      <c r="D6" s="6">
        <f t="shared" ref="D6:E6" si="2">C6</f>
        <v>241060.76666666663</v>
      </c>
      <c r="E6" s="6">
        <f t="shared" si="2"/>
        <v>241060.76666666663</v>
      </c>
      <c r="F6" s="6"/>
      <c r="G6" s="6"/>
      <c r="H6" s="2"/>
      <c r="I6" s="162">
        <v>723182.29999999993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>
      <c r="A7" s="7">
        <v>2019</v>
      </c>
      <c r="B7" s="6"/>
      <c r="C7" s="6"/>
      <c r="D7" s="6">
        <f t="shared" ref="D7:F7" si="3">+$I$7/3</f>
        <v>813428.31</v>
      </c>
      <c r="E7" s="6">
        <f t="shared" si="3"/>
        <v>813428.31</v>
      </c>
      <c r="F7" s="163">
        <f t="shared" si="3"/>
        <v>813428.31</v>
      </c>
      <c r="G7" s="6"/>
      <c r="H7" s="2"/>
      <c r="I7" s="162">
        <v>2440284.9300000002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>
      <c r="A8" s="7">
        <v>2020</v>
      </c>
      <c r="B8" s="1"/>
      <c r="C8" s="1"/>
      <c r="D8" s="1"/>
      <c r="E8" s="6">
        <f t="shared" ref="E8:G8" si="4">+$I$8/3</f>
        <v>2085326.3333333333</v>
      </c>
      <c r="F8" s="163">
        <f t="shared" si="4"/>
        <v>2085326.3333333333</v>
      </c>
      <c r="G8" s="6">
        <f t="shared" si="4"/>
        <v>2085326.3333333333</v>
      </c>
      <c r="H8" s="2"/>
      <c r="I8" s="162">
        <v>6255979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>
      <c r="A9" s="7">
        <v>2021</v>
      </c>
      <c r="B9" s="2"/>
      <c r="C9" s="2"/>
      <c r="D9" s="2"/>
      <c r="E9" s="2"/>
      <c r="F9" s="54" t="e">
        <f t="shared" ref="F9:H9" si="5">+$I$9/3</f>
        <v>#N/A</v>
      </c>
      <c r="G9" s="54" t="e">
        <f t="shared" si="5"/>
        <v>#N/A</v>
      </c>
      <c r="H9" s="54" t="e">
        <f t="shared" si="5"/>
        <v>#N/A</v>
      </c>
      <c r="I9" s="54" t="e">
        <f>C21</f>
        <v>#N/A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customHeight="1">
      <c r="A10" s="16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75" customHeight="1">
      <c r="A11" s="164"/>
      <c r="B11" s="2"/>
      <c r="C11" s="2"/>
      <c r="D11" s="2"/>
      <c r="E11" s="2"/>
      <c r="F11" s="2"/>
      <c r="G11" s="2"/>
      <c r="H11" s="2"/>
      <c r="I11" s="1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75" customHeight="1">
      <c r="A12" s="16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75" customHeight="1">
      <c r="A13" s="16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75" customHeight="1">
      <c r="A14" s="16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75" customHeight="1">
      <c r="A15" s="164"/>
      <c r="B15" s="2"/>
      <c r="C15" s="2"/>
      <c r="D15" s="2"/>
      <c r="E15" s="2"/>
      <c r="F15" s="2"/>
      <c r="G15" s="2"/>
      <c r="H15" s="2"/>
      <c r="I15" s="2"/>
      <c r="J15" s="2"/>
      <c r="K15" s="1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75" customHeight="1">
      <c r="A16" s="164"/>
      <c r="B16" s="2"/>
      <c r="C16" s="165">
        <v>44531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75" customHeight="1">
      <c r="A17" s="164" t="s">
        <v>368</v>
      </c>
      <c r="B17" s="2"/>
      <c r="C17" s="166">
        <f>'P&amp;L LTD  USD'!J35</f>
        <v>70597716.310000017</v>
      </c>
      <c r="D17" s="16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75" customHeight="1">
      <c r="A18" s="2">
        <v>23012</v>
      </c>
      <c r="B18" s="2" t="s">
        <v>41</v>
      </c>
      <c r="C18" s="167" t="e">
        <f>-VLOOKUP(A18,'TB LTD 12.22'!D:F,3,0)</f>
        <v>#N/A</v>
      </c>
      <c r="D18" s="5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75" customHeight="1">
      <c r="A19" s="2">
        <v>23011</v>
      </c>
      <c r="B19" s="2" t="s">
        <v>42</v>
      </c>
      <c r="C19" s="167" t="e">
        <f>-VLOOKUP(A19,'TB LTD 12.22'!D:F,3,0)</f>
        <v>#N/A</v>
      </c>
      <c r="D19" s="5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75" customHeight="1">
      <c r="A20" s="2">
        <v>23031</v>
      </c>
      <c r="B20" s="168" t="s">
        <v>173</v>
      </c>
      <c r="C20" s="167" t="e">
        <f>-VLOOKUP(A20,'TB LTD 12.22'!D:F,3,0)</f>
        <v>#N/A</v>
      </c>
      <c r="D20" s="5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75" customHeight="1">
      <c r="A21" s="164"/>
      <c r="B21" s="2"/>
      <c r="C21" s="169" t="e">
        <f>+SUM(C17:C20)</f>
        <v>#N/A</v>
      </c>
      <c r="D21" s="16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75" customHeight="1">
      <c r="A22" s="16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75" customHeight="1">
      <c r="A23" s="16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75" customHeight="1">
      <c r="A24" s="16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75" customHeight="1">
      <c r="A25" s="16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75" customHeight="1">
      <c r="A26" s="16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2.75" customHeight="1">
      <c r="A27" s="16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75" customHeight="1">
      <c r="A28" s="16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75" customHeight="1">
      <c r="A29" s="16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75" customHeight="1">
      <c r="A30" s="16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75" customHeight="1">
      <c r="A31" s="16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75" customHeight="1">
      <c r="A32" s="16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86EB-C7BA-0647-908B-A6FA56D4F0B9}">
  <sheetPr codeName="Sheet24">
    <tabColor theme="5" tint="0.39997558519241921"/>
  </sheetPr>
  <dimension ref="A1:G16"/>
  <sheetViews>
    <sheetView workbookViewId="0"/>
  </sheetViews>
  <sheetFormatPr defaultColWidth="10.85546875" defaultRowHeight="18"/>
  <cols>
    <col min="1" max="1" width="10.85546875" style="502"/>
    <col min="2" max="2" width="11.85546875" style="502" bestFit="1" customWidth="1"/>
    <col min="3" max="3" width="42.42578125" style="502" bestFit="1" customWidth="1"/>
    <col min="4" max="4" width="4.140625" style="502" bestFit="1" customWidth="1"/>
    <col min="5" max="5" width="41.42578125" style="502" bestFit="1" customWidth="1"/>
    <col min="6" max="6" width="24.85546875" style="502" bestFit="1" customWidth="1"/>
    <col min="7" max="16384" width="10.85546875" style="502"/>
  </cols>
  <sheetData>
    <row r="1" spans="1:7">
      <c r="A1" s="501"/>
      <c r="B1" s="501"/>
      <c r="C1" s="501"/>
      <c r="D1" s="501"/>
      <c r="E1" s="501"/>
    </row>
    <row r="2" spans="1:7">
      <c r="A2" s="503"/>
      <c r="B2" s="504">
        <v>340000</v>
      </c>
      <c r="C2" s="505" t="s">
        <v>1557</v>
      </c>
      <c r="D2" s="506" t="s">
        <v>49</v>
      </c>
      <c r="E2" s="507" t="s">
        <v>59</v>
      </c>
      <c r="F2" s="505"/>
      <c r="G2" s="505"/>
    </row>
    <row r="3" spans="1:7">
      <c r="A3" s="503"/>
      <c r="B3" s="504">
        <v>340001</v>
      </c>
      <c r="C3" s="505" t="s">
        <v>888</v>
      </c>
      <c r="D3" s="506" t="s">
        <v>49</v>
      </c>
      <c r="E3" s="507" t="s">
        <v>59</v>
      </c>
      <c r="F3" s="505"/>
      <c r="G3" s="505"/>
    </row>
    <row r="4" spans="1:7">
      <c r="A4" s="503"/>
      <c r="B4" s="504">
        <v>35001</v>
      </c>
      <c r="C4" s="505" t="s">
        <v>1558</v>
      </c>
      <c r="D4" s="506" t="s">
        <v>49</v>
      </c>
      <c r="E4" s="507" t="s">
        <v>992</v>
      </c>
      <c r="F4" s="505"/>
      <c r="G4" s="505"/>
    </row>
    <row r="5" spans="1:7">
      <c r="A5" s="503"/>
      <c r="B5" s="504">
        <v>36102</v>
      </c>
      <c r="C5" s="505" t="s">
        <v>579</v>
      </c>
      <c r="D5" s="506" t="s">
        <v>49</v>
      </c>
      <c r="E5" s="507" t="s">
        <v>55</v>
      </c>
      <c r="F5" s="505"/>
      <c r="G5" s="505"/>
    </row>
    <row r="6" spans="1:7">
      <c r="A6" s="503"/>
      <c r="B6" s="504">
        <v>83140200</v>
      </c>
      <c r="C6" s="505" t="s">
        <v>841</v>
      </c>
      <c r="D6" s="506" t="s">
        <v>144</v>
      </c>
      <c r="E6" s="507" t="s">
        <v>152</v>
      </c>
      <c r="F6" s="505" t="s">
        <v>635</v>
      </c>
      <c r="G6" s="505"/>
    </row>
    <row r="7" spans="1:7">
      <c r="B7" s="504">
        <v>83200401</v>
      </c>
      <c r="C7" s="505" t="s">
        <v>846</v>
      </c>
      <c r="D7" s="506" t="s">
        <v>144</v>
      </c>
      <c r="E7" s="507" t="s">
        <v>152</v>
      </c>
      <c r="F7" s="505" t="s">
        <v>850</v>
      </c>
      <c r="G7" s="505"/>
    </row>
    <row r="8" spans="1:7">
      <c r="B8" s="504">
        <v>343000</v>
      </c>
      <c r="C8" s="505" t="s">
        <v>1557</v>
      </c>
      <c r="D8" s="506" t="s">
        <v>49</v>
      </c>
      <c r="E8" s="507" t="s">
        <v>59</v>
      </c>
      <c r="F8" s="505"/>
      <c r="G8" s="505"/>
    </row>
    <row r="9" spans="1:7">
      <c r="B9" s="504">
        <v>343001</v>
      </c>
      <c r="C9" s="505" t="s">
        <v>888</v>
      </c>
      <c r="D9" s="506" t="s">
        <v>49</v>
      </c>
      <c r="E9" s="507" t="s">
        <v>59</v>
      </c>
      <c r="F9" s="505"/>
      <c r="G9" s="505"/>
    </row>
    <row r="10" spans="1:7">
      <c r="B10" s="504">
        <v>35001</v>
      </c>
      <c r="C10" s="505" t="s">
        <v>1558</v>
      </c>
      <c r="D10" s="506" t="s">
        <v>49</v>
      </c>
      <c r="E10" s="507" t="s">
        <v>992</v>
      </c>
      <c r="F10" s="505"/>
      <c r="G10" s="505"/>
    </row>
    <row r="11" spans="1:7">
      <c r="B11" s="504">
        <v>14000</v>
      </c>
      <c r="C11" s="505" t="s">
        <v>532</v>
      </c>
      <c r="D11" s="506" t="s">
        <v>49</v>
      </c>
      <c r="E11" s="507" t="s">
        <v>53</v>
      </c>
      <c r="F11" s="505"/>
      <c r="G11" s="505"/>
    </row>
    <row r="12" spans="1:7">
      <c r="B12" s="504">
        <v>90201104</v>
      </c>
      <c r="C12" s="505" t="s">
        <v>880</v>
      </c>
      <c r="D12" s="506" t="s">
        <v>144</v>
      </c>
      <c r="E12" s="507" t="s">
        <v>163</v>
      </c>
      <c r="F12" s="505" t="s">
        <v>313</v>
      </c>
    </row>
    <row r="13" spans="1:7">
      <c r="B13" s="504">
        <v>82110200</v>
      </c>
      <c r="C13" s="505" t="s">
        <v>780</v>
      </c>
      <c r="D13" s="506" t="s">
        <v>144</v>
      </c>
      <c r="E13" s="507" t="s">
        <v>149</v>
      </c>
      <c r="F13" s="505" t="s">
        <v>635</v>
      </c>
    </row>
    <row r="14" spans="1:7">
      <c r="B14" s="504">
        <v>35002</v>
      </c>
      <c r="C14" s="505" t="s">
        <v>1556</v>
      </c>
      <c r="D14" s="506" t="s">
        <v>49</v>
      </c>
      <c r="E14" s="507" t="s">
        <v>992</v>
      </c>
      <c r="F14" s="505"/>
    </row>
    <row r="15" spans="1:7">
      <c r="B15" s="504">
        <v>37101</v>
      </c>
      <c r="C15" s="505" t="s">
        <v>491</v>
      </c>
      <c r="D15" s="506" t="s">
        <v>49</v>
      </c>
      <c r="E15" s="507" t="s">
        <v>55</v>
      </c>
      <c r="F15" s="505"/>
    </row>
    <row r="16" spans="1:7">
      <c r="B16" s="504">
        <v>83120201</v>
      </c>
      <c r="C16" s="505" t="s">
        <v>909</v>
      </c>
      <c r="D16" s="506" t="s">
        <v>144</v>
      </c>
      <c r="E16" s="507" t="s">
        <v>152</v>
      </c>
      <c r="F16" s="505" t="s">
        <v>635</v>
      </c>
    </row>
  </sheetData>
  <conditionalFormatting sqref="B8:B10">
    <cfRule type="duplicateValues" dxfId="31" priority="2"/>
  </conditionalFormatting>
  <conditionalFormatting sqref="B8:B10">
    <cfRule type="duplicateValues" dxfId="30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A7BA-A4CC-9846-86C1-369E41EBA227}">
  <sheetPr codeName="Sheet25">
    <tabColor theme="5" tint="0.39997558519241921"/>
  </sheetPr>
  <dimension ref="A2:I919"/>
  <sheetViews>
    <sheetView topLeftCell="A40" zoomScale="70" zoomScaleNormal="70" workbookViewId="0">
      <selection sqref="A1:C1048576"/>
    </sheetView>
  </sheetViews>
  <sheetFormatPr defaultColWidth="14.42578125" defaultRowHeight="15" customHeight="1"/>
  <cols>
    <col min="1" max="1" width="3.42578125" style="354" customWidth="1"/>
    <col min="2" max="2" width="37.42578125" style="354" customWidth="1"/>
    <col min="3" max="3" width="14.42578125" style="354" customWidth="1"/>
    <col min="4" max="4" width="14.42578125" style="448" customWidth="1"/>
    <col min="5" max="5" width="16.85546875" style="354" customWidth="1"/>
    <col min="6" max="16384" width="14.42578125" style="354"/>
  </cols>
  <sheetData>
    <row r="2" spans="1:9" ht="15" customHeight="1">
      <c r="A2" s="790" t="s">
        <v>1567</v>
      </c>
      <c r="B2" s="790"/>
      <c r="C2" s="790"/>
    </row>
    <row r="3" spans="1:9" ht="15" customHeight="1">
      <c r="A3" s="790"/>
      <c r="B3" s="790"/>
      <c r="C3" s="790"/>
    </row>
    <row r="4" spans="1:9" ht="15" customHeight="1">
      <c r="A4" s="790"/>
      <c r="B4" s="790"/>
      <c r="C4" s="790"/>
    </row>
    <row r="6" spans="1:9" ht="15" customHeight="1">
      <c r="A6" s="450"/>
      <c r="B6" s="450"/>
      <c r="C6" s="538"/>
    </row>
    <row r="7" spans="1:9">
      <c r="A7" s="450"/>
      <c r="B7" s="450"/>
      <c r="C7" s="449"/>
      <c r="E7" s="449"/>
    </row>
    <row r="8" spans="1:9">
      <c r="A8" s="450"/>
      <c r="B8" s="450"/>
      <c r="C8" s="541">
        <v>2022</v>
      </c>
      <c r="D8" s="539" t="s">
        <v>305</v>
      </c>
      <c r="E8" s="541">
        <v>2022</v>
      </c>
    </row>
    <row r="9" spans="1:9">
      <c r="A9" s="450"/>
      <c r="B9" s="450"/>
      <c r="C9" s="466" t="s">
        <v>1553</v>
      </c>
      <c r="E9" s="466" t="s">
        <v>1553</v>
      </c>
    </row>
    <row r="10" spans="1:9">
      <c r="A10" s="450"/>
      <c r="B10" s="450"/>
      <c r="C10" s="465" t="s">
        <v>32</v>
      </c>
      <c r="E10" s="465" t="s">
        <v>32</v>
      </c>
    </row>
    <row r="11" spans="1:9">
      <c r="A11" s="450"/>
      <c r="B11" s="458" t="s">
        <v>286</v>
      </c>
      <c r="C11" s="449"/>
      <c r="E11" s="449"/>
    </row>
    <row r="12" spans="1:9" ht="8.1" customHeight="1">
      <c r="A12" s="450"/>
      <c r="B12" s="457"/>
      <c r="C12" s="450"/>
      <c r="E12" s="450"/>
    </row>
    <row r="13" spans="1:9">
      <c r="A13" s="450"/>
      <c r="B13" s="427" t="s">
        <v>53</v>
      </c>
      <c r="C13" s="453">
        <f>SUMIF('TB India 12.22'!I:I,B13,'TB India 12.22'!G:G)</f>
        <v>142.43</v>
      </c>
      <c r="D13" s="456"/>
      <c r="E13" s="453">
        <f>C13+D13</f>
        <v>142.43</v>
      </c>
      <c r="F13" s="463"/>
      <c r="G13" s="463"/>
      <c r="H13" s="463"/>
      <c r="I13" s="463"/>
    </row>
    <row r="14" spans="1:9">
      <c r="A14" s="450"/>
      <c r="B14" s="427"/>
      <c r="C14" s="464">
        <f>SUM(C13:C13)</f>
        <v>142.43</v>
      </c>
      <c r="E14" s="464">
        <f>SUM(E13:E13)</f>
        <v>142.43</v>
      </c>
      <c r="F14" s="463"/>
      <c r="G14" s="463"/>
      <c r="H14" s="463"/>
      <c r="I14" s="463"/>
    </row>
    <row r="15" spans="1:9">
      <c r="A15" s="450"/>
      <c r="B15" s="427"/>
      <c r="C15" s="453"/>
      <c r="E15" s="453"/>
      <c r="F15" s="463"/>
      <c r="G15" s="463"/>
      <c r="H15" s="463"/>
      <c r="I15" s="463"/>
    </row>
    <row r="16" spans="1:9">
      <c r="A16" s="450"/>
      <c r="B16" s="460" t="s">
        <v>291</v>
      </c>
      <c r="C16" s="459">
        <f>+C14</f>
        <v>142.43</v>
      </c>
      <c r="E16" s="459">
        <f>+E14</f>
        <v>142.43</v>
      </c>
    </row>
    <row r="17" spans="1:6" ht="15.75" customHeight="1">
      <c r="A17" s="450"/>
      <c r="B17" s="427"/>
      <c r="C17" s="453"/>
      <c r="D17" s="448" t="s">
        <v>1554</v>
      </c>
      <c r="E17" s="453"/>
      <c r="F17" s="463"/>
    </row>
    <row r="18" spans="1:6" ht="15.75" customHeight="1">
      <c r="A18" s="450"/>
      <c r="B18" s="458" t="s">
        <v>292</v>
      </c>
      <c r="C18" s="453"/>
      <c r="E18" s="453"/>
      <c r="F18" s="463"/>
    </row>
    <row r="19" spans="1:6" ht="15.75" customHeight="1">
      <c r="A19" s="450"/>
      <c r="B19" s="427"/>
      <c r="C19" s="453"/>
      <c r="E19" s="453"/>
      <c r="F19" s="463"/>
    </row>
    <row r="20" spans="1:6" ht="15.75" customHeight="1">
      <c r="A20" s="450"/>
      <c r="B20" s="427" t="s">
        <v>992</v>
      </c>
      <c r="C20" s="453">
        <f>SUMIF('TB India 12.22'!I:I,B20,'TB India 12.22'!G:G)</f>
        <v>-29383.119999999999</v>
      </c>
      <c r="E20" s="453">
        <f>C20+D20</f>
        <v>-29383.119999999999</v>
      </c>
      <c r="F20" s="463"/>
    </row>
    <row r="21" spans="1:6" ht="15.75" customHeight="1">
      <c r="A21" s="450"/>
      <c r="B21" s="427" t="s">
        <v>55</v>
      </c>
      <c r="C21" s="453">
        <f>SUMIF('TB India 12.22'!I:I,B21,'TB India 12.22'!G:G)</f>
        <v>-22095.35</v>
      </c>
      <c r="D21" s="456"/>
      <c r="E21" s="453">
        <f>C21+D21</f>
        <v>-22095.35</v>
      </c>
    </row>
    <row r="22" spans="1:6" ht="15.75" customHeight="1">
      <c r="A22" s="450"/>
      <c r="B22" s="427"/>
      <c r="C22" s="462">
        <f>SUM(C20:C21)</f>
        <v>-51478.47</v>
      </c>
      <c r="E22" s="462">
        <f>SUM(E20:E21)</f>
        <v>-51478.47</v>
      </c>
    </row>
    <row r="23" spans="1:6" ht="15.75" customHeight="1">
      <c r="A23" s="450"/>
      <c r="B23" s="461"/>
    </row>
    <row r="24" spans="1:6" ht="15.75" customHeight="1">
      <c r="A24" s="450"/>
      <c r="B24" s="460" t="s">
        <v>307</v>
      </c>
      <c r="C24" s="459">
        <f>+C22</f>
        <v>-51478.47</v>
      </c>
      <c r="E24" s="459">
        <f>+E22</f>
        <v>-51478.47</v>
      </c>
    </row>
    <row r="25" spans="1:6" ht="15.75" customHeight="1">
      <c r="A25" s="450"/>
      <c r="B25" s="427"/>
      <c r="C25" s="453"/>
      <c r="E25" s="453"/>
    </row>
    <row r="26" spans="1:6" ht="15.75" customHeight="1">
      <c r="A26" s="450"/>
      <c r="B26" s="458" t="s">
        <v>295</v>
      </c>
      <c r="C26" s="453"/>
      <c r="E26" s="453"/>
    </row>
    <row r="27" spans="1:6" ht="15.75" customHeight="1">
      <c r="A27" s="450"/>
      <c r="B27" s="457"/>
      <c r="C27" s="453"/>
      <c r="E27" s="453"/>
    </row>
    <row r="28" spans="1:6" ht="15.75" customHeight="1">
      <c r="A28" s="450"/>
      <c r="B28" s="427" t="s">
        <v>144</v>
      </c>
      <c r="C28" s="455">
        <f>'P&amp;L India'!D28</f>
        <v>51336.04</v>
      </c>
      <c r="D28" s="456"/>
      <c r="E28" s="453">
        <f>C28+D28</f>
        <v>51336.04</v>
      </c>
    </row>
    <row r="29" spans="1:6" ht="15.75" customHeight="1">
      <c r="A29" s="450"/>
      <c r="B29" s="450"/>
      <c r="C29" s="453">
        <f>SUM(C28:C28)</f>
        <v>51336.04</v>
      </c>
      <c r="E29" s="453">
        <f>SUM(E28:E28)</f>
        <v>51336.04</v>
      </c>
    </row>
    <row r="30" spans="1:6" ht="15.75" customHeight="1">
      <c r="A30" s="450"/>
      <c r="B30" s="450"/>
      <c r="C30" s="455"/>
      <c r="E30" s="455"/>
    </row>
    <row r="31" spans="1:6" ht="15.75" customHeight="1" thickBot="1">
      <c r="A31" s="450"/>
      <c r="B31" s="450"/>
      <c r="C31" s="454">
        <f>C29+C24</f>
        <v>-142.43000000000029</v>
      </c>
      <c r="E31" s="454">
        <f>E29+E24</f>
        <v>-142.43000000000029</v>
      </c>
    </row>
    <row r="32" spans="1:6" ht="15.75" customHeight="1" thickTop="1">
      <c r="A32" s="450"/>
      <c r="B32" s="450"/>
      <c r="C32" s="453" t="b">
        <f>+C31=-C16</f>
        <v>1</v>
      </c>
      <c r="E32" s="453" t="b">
        <f>+E31=-E16</f>
        <v>1</v>
      </c>
    </row>
    <row r="33" spans="1:5" ht="15.75" customHeight="1">
      <c r="A33" s="450"/>
      <c r="B33" s="450"/>
      <c r="C33" s="453">
        <f>+C31+C16</f>
        <v>-2.8421709430404007E-13</v>
      </c>
      <c r="E33" s="453">
        <f>+E31+E16</f>
        <v>-2.8421709430404007E-13</v>
      </c>
    </row>
    <row r="34" spans="1:5" ht="15.75" customHeight="1">
      <c r="A34" s="450"/>
      <c r="B34" s="450"/>
      <c r="C34" s="450"/>
    </row>
    <row r="35" spans="1:5" ht="15.75" customHeight="1">
      <c r="A35" s="450"/>
      <c r="B35" s="450"/>
      <c r="C35" s="452"/>
    </row>
    <row r="36" spans="1:5" ht="15.75" customHeight="1">
      <c r="A36" s="450"/>
      <c r="B36" s="450"/>
      <c r="C36" s="449"/>
    </row>
    <row r="37" spans="1:5" ht="15.75" customHeight="1">
      <c r="A37" s="450"/>
      <c r="B37" s="450"/>
      <c r="C37" s="449"/>
    </row>
    <row r="38" spans="1:5" ht="15.75" customHeight="1">
      <c r="A38" s="450"/>
      <c r="B38" s="450"/>
      <c r="C38" s="449"/>
    </row>
    <row r="39" spans="1:5" ht="15.75" customHeight="1">
      <c r="A39" s="450"/>
      <c r="B39" s="450"/>
      <c r="C39" s="449"/>
    </row>
    <row r="40" spans="1:5" ht="15.75" customHeight="1">
      <c r="A40" s="450"/>
      <c r="B40" s="450"/>
      <c r="C40" s="451"/>
    </row>
    <row r="41" spans="1:5" ht="15.75" customHeight="1">
      <c r="A41" s="450"/>
      <c r="B41" s="450"/>
      <c r="C41" s="451"/>
    </row>
    <row r="42" spans="1:5" ht="15.75" customHeight="1">
      <c r="A42" s="450"/>
      <c r="B42" s="450"/>
      <c r="C42" s="451"/>
    </row>
    <row r="43" spans="1:5" s="448" customFormat="1" ht="15.75" customHeight="1">
      <c r="A43" s="450"/>
      <c r="B43" s="450"/>
      <c r="C43" s="449"/>
      <c r="E43" s="354"/>
    </row>
    <row r="44" spans="1:5" s="448" customFormat="1" ht="15.75" customHeight="1">
      <c r="A44" s="450"/>
      <c r="B44" s="450"/>
      <c r="C44" s="449"/>
      <c r="E44" s="354"/>
    </row>
    <row r="45" spans="1:5" s="448" customFormat="1" ht="15.75" customHeight="1">
      <c r="A45" s="450"/>
      <c r="B45" s="450"/>
      <c r="C45" s="449"/>
      <c r="E45" s="354"/>
    </row>
    <row r="46" spans="1:5" s="448" customFormat="1" ht="15.75" customHeight="1">
      <c r="A46" s="450"/>
      <c r="B46" s="450"/>
      <c r="C46" s="449"/>
      <c r="E46" s="354"/>
    </row>
    <row r="47" spans="1:5" s="448" customFormat="1" ht="15.75" customHeight="1">
      <c r="A47" s="450"/>
      <c r="B47" s="450"/>
      <c r="C47" s="449"/>
      <c r="E47" s="354"/>
    </row>
    <row r="48" spans="1:5" s="448" customFormat="1" ht="15.75" customHeight="1">
      <c r="A48" s="450"/>
      <c r="B48" s="450"/>
      <c r="C48" s="449"/>
      <c r="E48" s="354"/>
    </row>
    <row r="49" spans="1:5" s="448" customFormat="1" ht="15.75" customHeight="1">
      <c r="A49" s="450"/>
      <c r="B49" s="450"/>
      <c r="C49" s="449"/>
      <c r="E49" s="354"/>
    </row>
    <row r="50" spans="1:5" s="448" customFormat="1" ht="15.75" customHeight="1">
      <c r="A50" s="450"/>
      <c r="B50" s="450"/>
      <c r="C50" s="449"/>
      <c r="E50" s="354"/>
    </row>
    <row r="51" spans="1:5" s="448" customFormat="1" ht="15.75" customHeight="1">
      <c r="A51" s="450"/>
      <c r="B51" s="450"/>
      <c r="C51" s="449"/>
      <c r="E51" s="354"/>
    </row>
    <row r="52" spans="1:5" s="448" customFormat="1" ht="15.75" customHeight="1">
      <c r="A52" s="450"/>
      <c r="B52" s="450"/>
      <c r="C52" s="449"/>
      <c r="E52" s="354"/>
    </row>
    <row r="53" spans="1:5" s="448" customFormat="1" ht="15.75" customHeight="1">
      <c r="A53" s="450"/>
      <c r="B53" s="450"/>
      <c r="C53" s="449"/>
      <c r="E53" s="354"/>
    </row>
    <row r="54" spans="1:5" s="448" customFormat="1" ht="15.75" customHeight="1">
      <c r="A54" s="450"/>
      <c r="B54" s="450"/>
      <c r="C54" s="449"/>
      <c r="E54" s="354"/>
    </row>
    <row r="55" spans="1:5" s="448" customFormat="1" ht="15.75" customHeight="1">
      <c r="A55" s="450"/>
      <c r="B55" s="450"/>
      <c r="C55" s="449"/>
      <c r="E55" s="354"/>
    </row>
    <row r="56" spans="1:5" s="448" customFormat="1" ht="15.75" customHeight="1">
      <c r="A56" s="450"/>
      <c r="B56" s="450"/>
      <c r="C56" s="449"/>
      <c r="E56" s="354"/>
    </row>
    <row r="57" spans="1:5" s="448" customFormat="1" ht="15.75" customHeight="1">
      <c r="A57" s="450"/>
      <c r="B57" s="450"/>
      <c r="C57" s="449"/>
      <c r="E57" s="354"/>
    </row>
    <row r="58" spans="1:5" s="448" customFormat="1" ht="15.75" customHeight="1">
      <c r="A58" s="450"/>
      <c r="B58" s="450"/>
      <c r="C58" s="449"/>
      <c r="E58" s="354"/>
    </row>
    <row r="59" spans="1:5" s="448" customFormat="1" ht="15.75" customHeight="1">
      <c r="A59" s="450"/>
      <c r="B59" s="450"/>
      <c r="C59" s="449"/>
      <c r="E59" s="354"/>
    </row>
    <row r="60" spans="1:5" s="448" customFormat="1" ht="15.75" customHeight="1">
      <c r="A60" s="450"/>
      <c r="B60" s="450"/>
      <c r="C60" s="449"/>
      <c r="E60" s="354"/>
    </row>
    <row r="61" spans="1:5" s="448" customFormat="1" ht="15.75" customHeight="1">
      <c r="A61" s="450"/>
      <c r="B61" s="450"/>
      <c r="C61" s="449"/>
      <c r="E61" s="354"/>
    </row>
    <row r="62" spans="1:5" s="448" customFormat="1" ht="15.75" customHeight="1">
      <c r="A62" s="450"/>
      <c r="B62" s="450"/>
      <c r="C62" s="449"/>
      <c r="E62" s="354"/>
    </row>
    <row r="63" spans="1:5" s="448" customFormat="1" ht="15.75" customHeight="1">
      <c r="A63" s="450"/>
      <c r="B63" s="450"/>
      <c r="C63" s="449"/>
      <c r="E63" s="354"/>
    </row>
    <row r="64" spans="1:5" s="448" customFormat="1" ht="15.75" customHeight="1">
      <c r="A64" s="450"/>
      <c r="B64" s="450"/>
      <c r="C64" s="449"/>
      <c r="E64" s="354"/>
    </row>
    <row r="65" spans="1:5" s="448" customFormat="1" ht="15.75" customHeight="1">
      <c r="A65" s="450"/>
      <c r="B65" s="450"/>
      <c r="C65" s="449"/>
      <c r="E65" s="354"/>
    </row>
    <row r="66" spans="1:5" s="448" customFormat="1" ht="15.75" customHeight="1">
      <c r="A66" s="450"/>
      <c r="B66" s="450"/>
      <c r="C66" s="449"/>
      <c r="E66" s="354"/>
    </row>
    <row r="67" spans="1:5" s="448" customFormat="1" ht="15.75" customHeight="1">
      <c r="A67" s="450"/>
      <c r="B67" s="450"/>
      <c r="C67" s="449"/>
      <c r="E67" s="354"/>
    </row>
    <row r="68" spans="1:5" s="448" customFormat="1" ht="15.75" customHeight="1">
      <c r="A68" s="450"/>
      <c r="B68" s="450"/>
      <c r="C68" s="449"/>
      <c r="E68" s="354"/>
    </row>
    <row r="69" spans="1:5" s="448" customFormat="1" ht="15.75" customHeight="1">
      <c r="A69" s="450"/>
      <c r="B69" s="450"/>
      <c r="C69" s="449"/>
      <c r="E69" s="354"/>
    </row>
    <row r="70" spans="1:5" s="448" customFormat="1" ht="15.75" customHeight="1">
      <c r="A70" s="450"/>
      <c r="B70" s="450"/>
      <c r="C70" s="449"/>
      <c r="E70" s="354"/>
    </row>
    <row r="71" spans="1:5" s="448" customFormat="1" ht="15.75" customHeight="1">
      <c r="A71" s="450"/>
      <c r="B71" s="450"/>
      <c r="C71" s="449"/>
      <c r="E71" s="354"/>
    </row>
    <row r="72" spans="1:5" s="448" customFormat="1" ht="15.75" customHeight="1">
      <c r="A72" s="450"/>
      <c r="B72" s="450"/>
      <c r="C72" s="449"/>
      <c r="E72" s="354"/>
    </row>
    <row r="73" spans="1:5" s="448" customFormat="1" ht="15.75" customHeight="1">
      <c r="A73" s="450"/>
      <c r="B73" s="450"/>
      <c r="C73" s="449"/>
      <c r="E73" s="354"/>
    </row>
    <row r="74" spans="1:5" s="448" customFormat="1" ht="15.75" customHeight="1">
      <c r="A74" s="450"/>
      <c r="B74" s="450"/>
      <c r="C74" s="449"/>
      <c r="E74" s="354"/>
    </row>
    <row r="75" spans="1:5" s="448" customFormat="1" ht="15.75" customHeight="1">
      <c r="A75" s="450"/>
      <c r="B75" s="450"/>
      <c r="C75" s="449"/>
      <c r="E75" s="354"/>
    </row>
    <row r="76" spans="1:5" s="448" customFormat="1" ht="15.75" customHeight="1">
      <c r="A76" s="450"/>
      <c r="B76" s="450"/>
      <c r="C76" s="449"/>
      <c r="E76" s="354"/>
    </row>
    <row r="77" spans="1:5" s="448" customFormat="1" ht="15.75" customHeight="1">
      <c r="A77" s="450"/>
      <c r="B77" s="450"/>
      <c r="C77" s="449"/>
      <c r="E77" s="354"/>
    </row>
    <row r="78" spans="1:5" s="448" customFormat="1" ht="15.75" customHeight="1">
      <c r="A78" s="450"/>
      <c r="B78" s="450"/>
      <c r="C78" s="449"/>
      <c r="E78" s="354"/>
    </row>
    <row r="79" spans="1:5" s="448" customFormat="1" ht="15.75" customHeight="1">
      <c r="A79" s="450"/>
      <c r="B79" s="450"/>
      <c r="C79" s="449"/>
      <c r="E79" s="354"/>
    </row>
    <row r="80" spans="1:5" s="448" customFormat="1" ht="15.75" customHeight="1">
      <c r="A80" s="450"/>
      <c r="B80" s="450"/>
      <c r="C80" s="449"/>
      <c r="E80" s="354"/>
    </row>
    <row r="81" spans="1:5" s="448" customFormat="1" ht="15.75" customHeight="1">
      <c r="A81" s="450"/>
      <c r="B81" s="450"/>
      <c r="C81" s="449"/>
      <c r="E81" s="354"/>
    </row>
    <row r="82" spans="1:5" s="448" customFormat="1" ht="15.75" customHeight="1">
      <c r="A82" s="450"/>
      <c r="B82" s="450"/>
      <c r="C82" s="449"/>
      <c r="E82" s="354"/>
    </row>
    <row r="83" spans="1:5" s="448" customFormat="1" ht="15.75" customHeight="1">
      <c r="A83" s="450"/>
      <c r="B83" s="450"/>
      <c r="C83" s="449"/>
      <c r="E83" s="354"/>
    </row>
    <row r="84" spans="1:5" s="448" customFormat="1" ht="15.75" customHeight="1">
      <c r="A84" s="450"/>
      <c r="B84" s="450"/>
      <c r="C84" s="449"/>
      <c r="E84" s="354"/>
    </row>
    <row r="85" spans="1:5" s="448" customFormat="1" ht="15.75" customHeight="1">
      <c r="A85" s="450"/>
      <c r="B85" s="450"/>
      <c r="C85" s="449"/>
      <c r="E85" s="354"/>
    </row>
    <row r="86" spans="1:5" s="448" customFormat="1" ht="15.75" customHeight="1">
      <c r="A86" s="450"/>
      <c r="B86" s="450"/>
      <c r="C86" s="449"/>
      <c r="E86" s="354"/>
    </row>
    <row r="87" spans="1:5" s="448" customFormat="1" ht="15.75" customHeight="1">
      <c r="A87" s="450"/>
      <c r="B87" s="450"/>
      <c r="C87" s="449"/>
      <c r="E87" s="354"/>
    </row>
    <row r="88" spans="1:5" s="448" customFormat="1" ht="15.75" customHeight="1">
      <c r="A88" s="450"/>
      <c r="B88" s="450"/>
      <c r="C88" s="449"/>
      <c r="E88" s="354"/>
    </row>
    <row r="89" spans="1:5" s="448" customFormat="1" ht="15.75" customHeight="1">
      <c r="A89" s="450"/>
      <c r="B89" s="450"/>
      <c r="C89" s="449"/>
      <c r="E89" s="354"/>
    </row>
    <row r="90" spans="1:5" s="448" customFormat="1" ht="15.75" customHeight="1">
      <c r="A90" s="450"/>
      <c r="B90" s="450"/>
      <c r="C90" s="449"/>
      <c r="E90" s="354"/>
    </row>
    <row r="91" spans="1:5" s="448" customFormat="1" ht="15.75" customHeight="1">
      <c r="A91" s="450"/>
      <c r="B91" s="450"/>
      <c r="C91" s="449"/>
      <c r="E91" s="354"/>
    </row>
    <row r="92" spans="1:5" s="448" customFormat="1" ht="15.75" customHeight="1">
      <c r="A92" s="450"/>
      <c r="B92" s="450"/>
      <c r="C92" s="449"/>
      <c r="E92" s="354"/>
    </row>
    <row r="93" spans="1:5" s="448" customFormat="1" ht="15.75" customHeight="1">
      <c r="A93" s="450"/>
      <c r="B93" s="450"/>
      <c r="C93" s="449"/>
      <c r="E93" s="354"/>
    </row>
    <row r="94" spans="1:5" s="448" customFormat="1" ht="15.75" customHeight="1">
      <c r="A94" s="450"/>
      <c r="B94" s="450"/>
      <c r="C94" s="449"/>
      <c r="E94" s="354"/>
    </row>
    <row r="95" spans="1:5" s="448" customFormat="1" ht="15.75" customHeight="1">
      <c r="A95" s="450"/>
      <c r="B95" s="450"/>
      <c r="C95" s="449"/>
      <c r="E95" s="354"/>
    </row>
    <row r="96" spans="1:5" s="448" customFormat="1" ht="15.75" customHeight="1">
      <c r="A96" s="450"/>
      <c r="B96" s="450"/>
      <c r="C96" s="449"/>
      <c r="E96" s="354"/>
    </row>
    <row r="97" spans="1:5" s="448" customFormat="1" ht="15.75" customHeight="1">
      <c r="A97" s="450"/>
      <c r="B97" s="450"/>
      <c r="C97" s="449"/>
      <c r="E97" s="354"/>
    </row>
    <row r="98" spans="1:5" s="448" customFormat="1" ht="15.75" customHeight="1">
      <c r="A98" s="450"/>
      <c r="B98" s="450"/>
      <c r="C98" s="449"/>
      <c r="E98" s="354"/>
    </row>
    <row r="99" spans="1:5" s="448" customFormat="1" ht="15.75" customHeight="1">
      <c r="A99" s="450"/>
      <c r="B99" s="450"/>
      <c r="C99" s="449"/>
      <c r="E99" s="354"/>
    </row>
    <row r="100" spans="1:5" s="448" customFormat="1" ht="15.75" customHeight="1">
      <c r="A100" s="450"/>
      <c r="B100" s="450"/>
      <c r="C100" s="449"/>
      <c r="E100" s="354"/>
    </row>
    <row r="101" spans="1:5" s="448" customFormat="1" ht="15.75" customHeight="1">
      <c r="A101" s="450"/>
      <c r="B101" s="450"/>
      <c r="C101" s="449"/>
      <c r="E101" s="354"/>
    </row>
    <row r="102" spans="1:5" s="448" customFormat="1" ht="15.75" customHeight="1">
      <c r="A102" s="450"/>
      <c r="B102" s="450"/>
      <c r="C102" s="449"/>
      <c r="E102" s="354"/>
    </row>
    <row r="103" spans="1:5" s="448" customFormat="1" ht="15.75" customHeight="1">
      <c r="A103" s="450"/>
      <c r="B103" s="450"/>
      <c r="C103" s="449"/>
      <c r="E103" s="354"/>
    </row>
    <row r="104" spans="1:5" s="448" customFormat="1" ht="15.75" customHeight="1">
      <c r="A104" s="450"/>
      <c r="B104" s="450"/>
      <c r="C104" s="449"/>
      <c r="E104" s="354"/>
    </row>
    <row r="105" spans="1:5" s="448" customFormat="1" ht="15.75" customHeight="1">
      <c r="A105" s="450"/>
      <c r="B105" s="450"/>
      <c r="C105" s="449"/>
      <c r="E105" s="354"/>
    </row>
    <row r="106" spans="1:5" s="448" customFormat="1" ht="15.75" customHeight="1">
      <c r="A106" s="450"/>
      <c r="B106" s="450"/>
      <c r="C106" s="449"/>
      <c r="E106" s="354"/>
    </row>
    <row r="107" spans="1:5" s="448" customFormat="1" ht="15.75" customHeight="1">
      <c r="A107" s="450"/>
      <c r="B107" s="450"/>
      <c r="C107" s="449"/>
      <c r="E107" s="354"/>
    </row>
    <row r="108" spans="1:5" s="448" customFormat="1" ht="15.75" customHeight="1">
      <c r="A108" s="450"/>
      <c r="B108" s="450"/>
      <c r="C108" s="449"/>
      <c r="E108" s="354"/>
    </row>
    <row r="109" spans="1:5" s="448" customFormat="1" ht="15.75" customHeight="1">
      <c r="A109" s="450"/>
      <c r="B109" s="450"/>
      <c r="C109" s="449"/>
      <c r="E109" s="354"/>
    </row>
    <row r="110" spans="1:5" s="448" customFormat="1" ht="15.75" customHeight="1">
      <c r="A110" s="450"/>
      <c r="B110" s="450"/>
      <c r="C110" s="449"/>
      <c r="E110" s="354"/>
    </row>
    <row r="111" spans="1:5" s="448" customFormat="1" ht="15.75" customHeight="1">
      <c r="A111" s="450"/>
      <c r="B111" s="450"/>
      <c r="C111" s="449"/>
      <c r="E111" s="354"/>
    </row>
    <row r="112" spans="1:5" s="448" customFormat="1" ht="15.75" customHeight="1">
      <c r="A112" s="450"/>
      <c r="B112" s="450"/>
      <c r="C112" s="449"/>
      <c r="E112" s="354"/>
    </row>
    <row r="113" spans="1:5" s="448" customFormat="1" ht="15.75" customHeight="1">
      <c r="A113" s="450"/>
      <c r="B113" s="450"/>
      <c r="C113" s="449"/>
      <c r="E113" s="354"/>
    </row>
    <row r="114" spans="1:5" s="448" customFormat="1" ht="15.75" customHeight="1">
      <c r="A114" s="450"/>
      <c r="B114" s="450"/>
      <c r="C114" s="449"/>
      <c r="E114" s="354"/>
    </row>
    <row r="115" spans="1:5" s="448" customFormat="1" ht="15.75" customHeight="1">
      <c r="A115" s="450"/>
      <c r="B115" s="450"/>
      <c r="C115" s="449"/>
      <c r="E115" s="354"/>
    </row>
    <row r="116" spans="1:5" s="448" customFormat="1" ht="15.75" customHeight="1">
      <c r="A116" s="450"/>
      <c r="B116" s="450"/>
      <c r="C116" s="449"/>
      <c r="E116" s="354"/>
    </row>
    <row r="117" spans="1:5" s="448" customFormat="1" ht="15.75" customHeight="1">
      <c r="A117" s="450"/>
      <c r="B117" s="450"/>
      <c r="C117" s="449"/>
      <c r="E117" s="354"/>
    </row>
    <row r="118" spans="1:5" s="448" customFormat="1" ht="15.75" customHeight="1">
      <c r="A118" s="450"/>
      <c r="B118" s="450"/>
      <c r="C118" s="449"/>
      <c r="E118" s="354"/>
    </row>
    <row r="119" spans="1:5" s="448" customFormat="1" ht="15.75" customHeight="1">
      <c r="A119" s="450"/>
      <c r="B119" s="450"/>
      <c r="C119" s="449"/>
      <c r="E119" s="354"/>
    </row>
    <row r="120" spans="1:5" s="448" customFormat="1" ht="15.75" customHeight="1">
      <c r="A120" s="450"/>
      <c r="B120" s="450"/>
      <c r="C120" s="449"/>
      <c r="E120" s="354"/>
    </row>
    <row r="121" spans="1:5" s="448" customFormat="1" ht="15.75" customHeight="1">
      <c r="A121" s="450"/>
      <c r="B121" s="450"/>
      <c r="C121" s="449"/>
      <c r="E121" s="354"/>
    </row>
    <row r="122" spans="1:5" s="448" customFormat="1" ht="15.75" customHeight="1">
      <c r="A122" s="450"/>
      <c r="B122" s="450"/>
      <c r="C122" s="449"/>
      <c r="E122" s="354"/>
    </row>
    <row r="123" spans="1:5" s="448" customFormat="1" ht="15.75" customHeight="1">
      <c r="A123" s="450"/>
      <c r="B123" s="450"/>
      <c r="C123" s="449"/>
      <c r="E123" s="354"/>
    </row>
    <row r="124" spans="1:5" s="448" customFormat="1" ht="15.75" customHeight="1">
      <c r="A124" s="450"/>
      <c r="B124" s="450"/>
      <c r="C124" s="449"/>
      <c r="E124" s="354"/>
    </row>
    <row r="125" spans="1:5" s="448" customFormat="1" ht="15.75" customHeight="1">
      <c r="A125" s="450"/>
      <c r="B125" s="450"/>
      <c r="C125" s="449"/>
      <c r="E125" s="354"/>
    </row>
    <row r="126" spans="1:5" s="448" customFormat="1" ht="15.75" customHeight="1">
      <c r="A126" s="450"/>
      <c r="B126" s="450"/>
      <c r="C126" s="449"/>
      <c r="E126" s="354"/>
    </row>
    <row r="127" spans="1:5" s="448" customFormat="1" ht="15.75" customHeight="1">
      <c r="A127" s="450"/>
      <c r="B127" s="450"/>
      <c r="C127" s="449"/>
      <c r="E127" s="354"/>
    </row>
    <row r="128" spans="1:5" s="448" customFormat="1" ht="15.75" customHeight="1">
      <c r="A128" s="450"/>
      <c r="B128" s="450"/>
      <c r="C128" s="449"/>
      <c r="E128" s="354"/>
    </row>
    <row r="129" spans="1:5" s="448" customFormat="1" ht="15.75" customHeight="1">
      <c r="A129" s="450"/>
      <c r="B129" s="450"/>
      <c r="C129" s="449"/>
      <c r="E129" s="354"/>
    </row>
    <row r="130" spans="1:5" s="448" customFormat="1" ht="15.75" customHeight="1">
      <c r="A130" s="450"/>
      <c r="B130" s="450"/>
      <c r="C130" s="449"/>
      <c r="E130" s="354"/>
    </row>
    <row r="131" spans="1:5" s="448" customFormat="1" ht="15.75" customHeight="1">
      <c r="A131" s="450"/>
      <c r="B131" s="450"/>
      <c r="C131" s="449"/>
      <c r="E131" s="354"/>
    </row>
    <row r="132" spans="1:5" s="448" customFormat="1" ht="15.75" customHeight="1">
      <c r="A132" s="450"/>
      <c r="B132" s="450"/>
      <c r="C132" s="449"/>
      <c r="E132" s="354"/>
    </row>
    <row r="133" spans="1:5" s="448" customFormat="1" ht="15.75" customHeight="1">
      <c r="A133" s="450"/>
      <c r="B133" s="450"/>
      <c r="C133" s="449"/>
      <c r="E133" s="354"/>
    </row>
    <row r="134" spans="1:5" s="448" customFormat="1" ht="15.75" customHeight="1">
      <c r="A134" s="450"/>
      <c r="B134" s="450"/>
      <c r="C134" s="449"/>
      <c r="E134" s="354"/>
    </row>
    <row r="135" spans="1:5" s="448" customFormat="1" ht="15.75" customHeight="1">
      <c r="A135" s="450"/>
      <c r="B135" s="450"/>
      <c r="C135" s="449"/>
      <c r="E135" s="354"/>
    </row>
    <row r="136" spans="1:5" s="448" customFormat="1" ht="15.75" customHeight="1">
      <c r="A136" s="450"/>
      <c r="B136" s="450"/>
      <c r="C136" s="449"/>
      <c r="E136" s="354"/>
    </row>
    <row r="137" spans="1:5" s="448" customFormat="1" ht="15.75" customHeight="1">
      <c r="A137" s="450"/>
      <c r="B137" s="450"/>
      <c r="C137" s="449"/>
      <c r="E137" s="354"/>
    </row>
    <row r="138" spans="1:5" s="448" customFormat="1" ht="15.75" customHeight="1">
      <c r="A138" s="450"/>
      <c r="B138" s="450"/>
      <c r="C138" s="449"/>
      <c r="E138" s="354"/>
    </row>
    <row r="139" spans="1:5" s="448" customFormat="1" ht="15.75" customHeight="1">
      <c r="A139" s="450"/>
      <c r="B139" s="450"/>
      <c r="C139" s="449"/>
      <c r="E139" s="354"/>
    </row>
    <row r="140" spans="1:5" s="448" customFormat="1" ht="15.75" customHeight="1">
      <c r="A140" s="450"/>
      <c r="B140" s="450"/>
      <c r="C140" s="449"/>
      <c r="E140" s="354"/>
    </row>
    <row r="141" spans="1:5" s="448" customFormat="1" ht="15.75" customHeight="1">
      <c r="A141" s="450"/>
      <c r="B141" s="450"/>
      <c r="C141" s="449"/>
      <c r="E141" s="354"/>
    </row>
    <row r="142" spans="1:5" s="448" customFormat="1" ht="15.75" customHeight="1">
      <c r="A142" s="450"/>
      <c r="B142" s="450"/>
      <c r="C142" s="449"/>
      <c r="E142" s="354"/>
    </row>
    <row r="143" spans="1:5" s="448" customFormat="1" ht="15.75" customHeight="1">
      <c r="A143" s="450"/>
      <c r="B143" s="450"/>
      <c r="C143" s="449"/>
      <c r="E143" s="354"/>
    </row>
    <row r="144" spans="1:5" s="448" customFormat="1" ht="15.75" customHeight="1">
      <c r="A144" s="450"/>
      <c r="B144" s="450"/>
      <c r="C144" s="449"/>
      <c r="E144" s="354"/>
    </row>
    <row r="145" spans="1:5" s="448" customFormat="1" ht="15.75" customHeight="1">
      <c r="A145" s="450"/>
      <c r="B145" s="450"/>
      <c r="C145" s="449"/>
      <c r="E145" s="354"/>
    </row>
    <row r="146" spans="1:5" s="448" customFormat="1" ht="15.75" customHeight="1">
      <c r="A146" s="450"/>
      <c r="B146" s="450"/>
      <c r="C146" s="449"/>
      <c r="E146" s="354"/>
    </row>
    <row r="147" spans="1:5" s="448" customFormat="1" ht="15.75" customHeight="1">
      <c r="A147" s="450"/>
      <c r="B147" s="450"/>
      <c r="C147" s="449"/>
      <c r="E147" s="354"/>
    </row>
    <row r="148" spans="1:5" s="448" customFormat="1" ht="15.75" customHeight="1">
      <c r="A148" s="450"/>
      <c r="B148" s="450"/>
      <c r="C148" s="449"/>
      <c r="E148" s="354"/>
    </row>
    <row r="149" spans="1:5" s="448" customFormat="1" ht="15.75" customHeight="1">
      <c r="A149" s="450"/>
      <c r="B149" s="450"/>
      <c r="C149" s="449"/>
      <c r="E149" s="354"/>
    </row>
    <row r="150" spans="1:5" s="448" customFormat="1" ht="15.75" customHeight="1">
      <c r="A150" s="450"/>
      <c r="B150" s="450"/>
      <c r="C150" s="449"/>
      <c r="E150" s="354"/>
    </row>
    <row r="151" spans="1:5" s="448" customFormat="1" ht="15.75" customHeight="1">
      <c r="A151" s="450"/>
      <c r="B151" s="450"/>
      <c r="C151" s="449"/>
      <c r="E151" s="354"/>
    </row>
    <row r="152" spans="1:5" s="448" customFormat="1" ht="15.75" customHeight="1">
      <c r="A152" s="450"/>
      <c r="B152" s="450"/>
      <c r="C152" s="449"/>
      <c r="E152" s="354"/>
    </row>
    <row r="153" spans="1:5" s="448" customFormat="1" ht="15.75" customHeight="1">
      <c r="A153" s="450"/>
      <c r="B153" s="450"/>
      <c r="C153" s="449"/>
      <c r="E153" s="354"/>
    </row>
    <row r="154" spans="1:5" s="448" customFormat="1" ht="15.75" customHeight="1">
      <c r="A154" s="450"/>
      <c r="B154" s="450"/>
      <c r="C154" s="449"/>
      <c r="E154" s="354"/>
    </row>
    <row r="155" spans="1:5" s="448" customFormat="1" ht="15.75" customHeight="1">
      <c r="A155" s="450"/>
      <c r="B155" s="450"/>
      <c r="C155" s="449"/>
      <c r="E155" s="354"/>
    </row>
    <row r="156" spans="1:5" s="448" customFormat="1" ht="15.75" customHeight="1">
      <c r="A156" s="450"/>
      <c r="B156" s="450"/>
      <c r="C156" s="449"/>
      <c r="E156" s="354"/>
    </row>
    <row r="157" spans="1:5" s="448" customFormat="1" ht="15.75" customHeight="1">
      <c r="A157" s="450"/>
      <c r="B157" s="450"/>
      <c r="C157" s="449"/>
      <c r="E157" s="354"/>
    </row>
    <row r="158" spans="1:5" s="448" customFormat="1" ht="15.75" customHeight="1">
      <c r="A158" s="450"/>
      <c r="B158" s="450"/>
      <c r="C158" s="449"/>
      <c r="E158" s="354"/>
    </row>
    <row r="159" spans="1:5" s="448" customFormat="1" ht="15.75" customHeight="1">
      <c r="A159" s="450"/>
      <c r="B159" s="450"/>
      <c r="C159" s="449"/>
      <c r="E159" s="354"/>
    </row>
    <row r="160" spans="1:5" s="448" customFormat="1" ht="15.75" customHeight="1">
      <c r="A160" s="450"/>
      <c r="B160" s="450"/>
      <c r="C160" s="449"/>
      <c r="E160" s="354"/>
    </row>
    <row r="161" spans="1:5" s="448" customFormat="1" ht="15.75" customHeight="1">
      <c r="A161" s="450"/>
      <c r="B161" s="450"/>
      <c r="C161" s="449"/>
      <c r="E161" s="354"/>
    </row>
    <row r="162" spans="1:5" s="448" customFormat="1" ht="15.75" customHeight="1">
      <c r="A162" s="450"/>
      <c r="B162" s="450"/>
      <c r="C162" s="449"/>
      <c r="E162" s="354"/>
    </row>
    <row r="163" spans="1:5" s="448" customFormat="1" ht="15.75" customHeight="1">
      <c r="A163" s="450"/>
      <c r="B163" s="450"/>
      <c r="C163" s="449"/>
      <c r="E163" s="354"/>
    </row>
    <row r="164" spans="1:5" s="448" customFormat="1" ht="15.75" customHeight="1">
      <c r="A164" s="450"/>
      <c r="B164" s="450"/>
      <c r="C164" s="449"/>
      <c r="E164" s="354"/>
    </row>
    <row r="165" spans="1:5" s="448" customFormat="1" ht="15.75" customHeight="1">
      <c r="A165" s="450"/>
      <c r="B165" s="450"/>
      <c r="C165" s="449"/>
      <c r="E165" s="354"/>
    </row>
    <row r="166" spans="1:5" s="448" customFormat="1" ht="15.75" customHeight="1">
      <c r="A166" s="450"/>
      <c r="B166" s="450"/>
      <c r="C166" s="449"/>
      <c r="E166" s="354"/>
    </row>
    <row r="167" spans="1:5" s="448" customFormat="1" ht="15.75" customHeight="1">
      <c r="A167" s="450"/>
      <c r="B167" s="450"/>
      <c r="C167" s="449"/>
      <c r="E167" s="354"/>
    </row>
    <row r="168" spans="1:5" s="448" customFormat="1" ht="15.75" customHeight="1">
      <c r="A168" s="450"/>
      <c r="B168" s="450"/>
      <c r="C168" s="449"/>
      <c r="E168" s="354"/>
    </row>
    <row r="169" spans="1:5" s="448" customFormat="1" ht="15.75" customHeight="1">
      <c r="A169" s="450"/>
      <c r="B169" s="450"/>
      <c r="C169" s="449"/>
      <c r="E169" s="354"/>
    </row>
    <row r="170" spans="1:5" s="448" customFormat="1" ht="15.75" customHeight="1">
      <c r="A170" s="450"/>
      <c r="B170" s="450"/>
      <c r="C170" s="449"/>
      <c r="E170" s="354"/>
    </row>
    <row r="171" spans="1:5" s="448" customFormat="1" ht="15.75" customHeight="1">
      <c r="A171" s="450"/>
      <c r="B171" s="450"/>
      <c r="C171" s="449"/>
      <c r="E171" s="354"/>
    </row>
    <row r="172" spans="1:5" s="448" customFormat="1" ht="15.75" customHeight="1">
      <c r="A172" s="450"/>
      <c r="B172" s="450"/>
      <c r="C172" s="449"/>
      <c r="E172" s="354"/>
    </row>
    <row r="173" spans="1:5" s="448" customFormat="1" ht="15.75" customHeight="1">
      <c r="A173" s="450"/>
      <c r="B173" s="450"/>
      <c r="C173" s="449"/>
      <c r="E173" s="354"/>
    </row>
    <row r="174" spans="1:5" s="448" customFormat="1" ht="15.75" customHeight="1">
      <c r="A174" s="450"/>
      <c r="B174" s="450"/>
      <c r="C174" s="449"/>
      <c r="E174" s="354"/>
    </row>
    <row r="175" spans="1:5" s="448" customFormat="1" ht="15.75" customHeight="1">
      <c r="A175" s="450"/>
      <c r="B175" s="450"/>
      <c r="C175" s="449"/>
      <c r="E175" s="354"/>
    </row>
    <row r="176" spans="1:5" s="448" customFormat="1" ht="15.75" customHeight="1">
      <c r="A176" s="450"/>
      <c r="B176" s="450"/>
      <c r="C176" s="449"/>
      <c r="E176" s="354"/>
    </row>
    <row r="177" spans="1:5" s="448" customFormat="1" ht="15.75" customHeight="1">
      <c r="A177" s="450"/>
      <c r="B177" s="450"/>
      <c r="C177" s="449"/>
      <c r="E177" s="354"/>
    </row>
    <row r="178" spans="1:5" s="448" customFormat="1" ht="15.75" customHeight="1">
      <c r="A178" s="450"/>
      <c r="B178" s="450"/>
      <c r="C178" s="449"/>
      <c r="E178" s="354"/>
    </row>
    <row r="179" spans="1:5" s="448" customFormat="1" ht="15.75" customHeight="1">
      <c r="A179" s="450"/>
      <c r="B179" s="450"/>
      <c r="C179" s="449"/>
      <c r="E179" s="354"/>
    </row>
    <row r="180" spans="1:5" s="448" customFormat="1" ht="15.75" customHeight="1">
      <c r="A180" s="450"/>
      <c r="B180" s="450"/>
      <c r="C180" s="449"/>
      <c r="E180" s="354"/>
    </row>
    <row r="181" spans="1:5" s="448" customFormat="1" ht="15.75" customHeight="1">
      <c r="A181" s="450"/>
      <c r="B181" s="450"/>
      <c r="C181" s="449"/>
      <c r="E181" s="354"/>
    </row>
    <row r="182" spans="1:5" s="448" customFormat="1" ht="15.75" customHeight="1">
      <c r="A182" s="450"/>
      <c r="B182" s="450"/>
      <c r="C182" s="449"/>
      <c r="E182" s="354"/>
    </row>
    <row r="183" spans="1:5" s="448" customFormat="1" ht="15.75" customHeight="1">
      <c r="A183" s="450"/>
      <c r="B183" s="450"/>
      <c r="C183" s="449"/>
      <c r="E183" s="354"/>
    </row>
    <row r="184" spans="1:5" s="448" customFormat="1" ht="15.75" customHeight="1">
      <c r="A184" s="450"/>
      <c r="B184" s="450"/>
      <c r="C184" s="449"/>
      <c r="E184" s="354"/>
    </row>
    <row r="185" spans="1:5" s="448" customFormat="1" ht="15.75" customHeight="1">
      <c r="A185" s="450"/>
      <c r="B185" s="450"/>
      <c r="C185" s="449"/>
      <c r="E185" s="354"/>
    </row>
    <row r="186" spans="1:5" s="448" customFormat="1" ht="15.75" customHeight="1">
      <c r="A186" s="450"/>
      <c r="B186" s="450"/>
      <c r="C186" s="449"/>
      <c r="E186" s="354"/>
    </row>
    <row r="187" spans="1:5" s="448" customFormat="1" ht="15.75" customHeight="1">
      <c r="A187" s="450"/>
      <c r="B187" s="450"/>
      <c r="C187" s="449"/>
      <c r="E187" s="354"/>
    </row>
    <row r="188" spans="1:5" s="448" customFormat="1" ht="15.75" customHeight="1">
      <c r="A188" s="450"/>
      <c r="B188" s="450"/>
      <c r="C188" s="449"/>
      <c r="E188" s="354"/>
    </row>
    <row r="189" spans="1:5" s="448" customFormat="1" ht="15.75" customHeight="1">
      <c r="A189" s="450"/>
      <c r="B189" s="450"/>
      <c r="C189" s="449"/>
      <c r="E189" s="354"/>
    </row>
    <row r="190" spans="1:5" s="448" customFormat="1" ht="15.75" customHeight="1">
      <c r="A190" s="450"/>
      <c r="B190" s="450"/>
      <c r="C190" s="449"/>
      <c r="E190" s="354"/>
    </row>
    <row r="191" spans="1:5" s="448" customFormat="1" ht="15.75" customHeight="1">
      <c r="A191" s="450"/>
      <c r="B191" s="450"/>
      <c r="C191" s="449"/>
      <c r="E191" s="354"/>
    </row>
    <row r="192" spans="1:5" s="448" customFormat="1" ht="15.75" customHeight="1">
      <c r="A192" s="450"/>
      <c r="B192" s="450"/>
      <c r="C192" s="449"/>
      <c r="E192" s="354"/>
    </row>
    <row r="193" spans="1:5" s="448" customFormat="1" ht="15.75" customHeight="1">
      <c r="A193" s="450"/>
      <c r="B193" s="450"/>
      <c r="C193" s="449"/>
      <c r="E193" s="354"/>
    </row>
    <row r="194" spans="1:5" s="448" customFormat="1" ht="15.75" customHeight="1">
      <c r="A194" s="450"/>
      <c r="B194" s="450"/>
      <c r="C194" s="449"/>
      <c r="E194" s="354"/>
    </row>
    <row r="195" spans="1:5" s="448" customFormat="1" ht="15.75" customHeight="1">
      <c r="A195" s="450"/>
      <c r="B195" s="450"/>
      <c r="C195" s="449"/>
      <c r="E195" s="354"/>
    </row>
    <row r="196" spans="1:5" s="448" customFormat="1" ht="15.75" customHeight="1">
      <c r="A196" s="450"/>
      <c r="B196" s="450"/>
      <c r="C196" s="449"/>
      <c r="E196" s="354"/>
    </row>
    <row r="197" spans="1:5" s="448" customFormat="1" ht="15.75" customHeight="1">
      <c r="A197" s="450"/>
      <c r="B197" s="450"/>
      <c r="C197" s="449"/>
      <c r="E197" s="354"/>
    </row>
    <row r="198" spans="1:5" s="448" customFormat="1" ht="15.75" customHeight="1">
      <c r="A198" s="450"/>
      <c r="B198" s="450"/>
      <c r="C198" s="449"/>
      <c r="E198" s="354"/>
    </row>
    <row r="199" spans="1:5" s="448" customFormat="1" ht="15.75" customHeight="1">
      <c r="A199" s="450"/>
      <c r="B199" s="450"/>
      <c r="C199" s="449"/>
      <c r="E199" s="354"/>
    </row>
    <row r="200" spans="1:5" s="448" customFormat="1" ht="15.75" customHeight="1">
      <c r="A200" s="450"/>
      <c r="B200" s="450"/>
      <c r="C200" s="449"/>
      <c r="E200" s="354"/>
    </row>
    <row r="201" spans="1:5" s="448" customFormat="1" ht="15.75" customHeight="1">
      <c r="A201" s="450"/>
      <c r="B201" s="450"/>
      <c r="C201" s="449"/>
      <c r="E201" s="354"/>
    </row>
    <row r="202" spans="1:5" s="448" customFormat="1" ht="15.75" customHeight="1">
      <c r="A202" s="450"/>
      <c r="B202" s="450"/>
      <c r="C202" s="449"/>
      <c r="E202" s="354"/>
    </row>
    <row r="203" spans="1:5" s="448" customFormat="1" ht="15.75" customHeight="1">
      <c r="A203" s="450"/>
      <c r="B203" s="450"/>
      <c r="C203" s="449"/>
      <c r="E203" s="354"/>
    </row>
    <row r="204" spans="1:5" s="448" customFormat="1" ht="15.75" customHeight="1">
      <c r="A204" s="450"/>
      <c r="B204" s="450"/>
      <c r="C204" s="449"/>
      <c r="E204" s="354"/>
    </row>
    <row r="205" spans="1:5" s="448" customFormat="1" ht="15.75" customHeight="1">
      <c r="A205" s="450"/>
      <c r="B205" s="450"/>
      <c r="C205" s="449"/>
      <c r="E205" s="354"/>
    </row>
    <row r="206" spans="1:5" s="448" customFormat="1" ht="15.75" customHeight="1">
      <c r="A206" s="450"/>
      <c r="B206" s="450"/>
      <c r="C206" s="449"/>
      <c r="E206" s="354"/>
    </row>
    <row r="207" spans="1:5" s="448" customFormat="1" ht="15.75" customHeight="1">
      <c r="A207" s="450"/>
      <c r="B207" s="450"/>
      <c r="C207" s="449"/>
      <c r="E207" s="354"/>
    </row>
    <row r="208" spans="1:5" s="448" customFormat="1" ht="15.75" customHeight="1">
      <c r="A208" s="450"/>
      <c r="B208" s="450"/>
      <c r="C208" s="449"/>
      <c r="E208" s="354"/>
    </row>
    <row r="209" spans="1:5" s="448" customFormat="1" ht="15.75" customHeight="1">
      <c r="A209" s="450"/>
      <c r="B209" s="450"/>
      <c r="C209" s="449"/>
      <c r="E209" s="354"/>
    </row>
    <row r="210" spans="1:5" s="448" customFormat="1" ht="15.75" customHeight="1">
      <c r="A210" s="450"/>
      <c r="B210" s="450"/>
      <c r="C210" s="449"/>
      <c r="E210" s="354"/>
    </row>
    <row r="211" spans="1:5" s="448" customFormat="1" ht="15.75" customHeight="1">
      <c r="A211" s="450"/>
      <c r="B211" s="450"/>
      <c r="C211" s="449"/>
      <c r="E211" s="354"/>
    </row>
    <row r="212" spans="1:5" s="448" customFormat="1" ht="15.75" customHeight="1">
      <c r="A212" s="450"/>
      <c r="B212" s="450"/>
      <c r="C212" s="449"/>
      <c r="E212" s="354"/>
    </row>
    <row r="213" spans="1:5" s="448" customFormat="1" ht="15.75" customHeight="1">
      <c r="A213" s="450"/>
      <c r="B213" s="450"/>
      <c r="C213" s="449"/>
      <c r="E213" s="354"/>
    </row>
    <row r="214" spans="1:5" s="448" customFormat="1" ht="15.75" customHeight="1">
      <c r="A214" s="450"/>
      <c r="B214" s="450"/>
      <c r="C214" s="449"/>
      <c r="E214" s="354"/>
    </row>
    <row r="215" spans="1:5" s="448" customFormat="1" ht="15.75" customHeight="1">
      <c r="A215" s="450"/>
      <c r="B215" s="450"/>
      <c r="C215" s="449"/>
      <c r="E215" s="354"/>
    </row>
    <row r="216" spans="1:5" s="448" customFormat="1" ht="15.75" customHeight="1">
      <c r="A216" s="450"/>
      <c r="B216" s="450"/>
      <c r="C216" s="449"/>
      <c r="E216" s="354"/>
    </row>
    <row r="217" spans="1:5" s="448" customFormat="1" ht="15.75" customHeight="1">
      <c r="A217" s="450"/>
      <c r="B217" s="450"/>
      <c r="C217" s="449"/>
      <c r="E217" s="354"/>
    </row>
    <row r="218" spans="1:5" s="448" customFormat="1" ht="15.75" customHeight="1">
      <c r="A218" s="450"/>
      <c r="B218" s="450"/>
      <c r="C218" s="449"/>
      <c r="E218" s="354"/>
    </row>
    <row r="219" spans="1:5" s="448" customFormat="1" ht="15.75" customHeight="1">
      <c r="A219" s="450"/>
      <c r="B219" s="450"/>
      <c r="C219" s="449"/>
      <c r="E219" s="354"/>
    </row>
    <row r="220" spans="1:5" s="448" customFormat="1" ht="15.75" customHeight="1">
      <c r="A220" s="450"/>
      <c r="B220" s="450"/>
      <c r="C220" s="449"/>
      <c r="E220" s="354"/>
    </row>
    <row r="221" spans="1:5" s="448" customFormat="1" ht="15.75" customHeight="1">
      <c r="A221" s="450"/>
      <c r="B221" s="450"/>
      <c r="C221" s="449"/>
      <c r="E221" s="354"/>
    </row>
    <row r="222" spans="1:5" s="448" customFormat="1" ht="15.75" customHeight="1">
      <c r="A222" s="450"/>
      <c r="B222" s="450"/>
      <c r="C222" s="449"/>
      <c r="E222" s="354"/>
    </row>
    <row r="223" spans="1:5" s="448" customFormat="1" ht="15.75" customHeight="1">
      <c r="A223" s="450"/>
      <c r="B223" s="450"/>
      <c r="C223" s="449"/>
      <c r="E223" s="354"/>
    </row>
    <row r="224" spans="1:5" s="448" customFormat="1" ht="15.75" customHeight="1">
      <c r="A224" s="450"/>
      <c r="B224" s="450"/>
      <c r="C224" s="449"/>
      <c r="E224" s="354"/>
    </row>
    <row r="225" spans="1:5" s="448" customFormat="1" ht="15.75" customHeight="1">
      <c r="A225" s="450"/>
      <c r="B225" s="450"/>
      <c r="C225" s="449"/>
      <c r="E225" s="354"/>
    </row>
    <row r="226" spans="1:5" s="448" customFormat="1" ht="15.75" customHeight="1">
      <c r="A226" s="450"/>
      <c r="B226" s="450"/>
      <c r="C226" s="449"/>
      <c r="E226" s="354"/>
    </row>
    <row r="227" spans="1:5" s="448" customFormat="1" ht="15.75" customHeight="1">
      <c r="A227" s="450"/>
      <c r="B227" s="450"/>
      <c r="C227" s="449"/>
      <c r="E227" s="354"/>
    </row>
    <row r="228" spans="1:5" s="448" customFormat="1" ht="15.75" customHeight="1">
      <c r="A228" s="450"/>
      <c r="B228" s="450"/>
      <c r="C228" s="449"/>
      <c r="E228" s="354"/>
    </row>
    <row r="229" spans="1:5" s="448" customFormat="1" ht="15.75" customHeight="1">
      <c r="A229" s="450"/>
      <c r="B229" s="450"/>
      <c r="C229" s="449"/>
      <c r="E229" s="354"/>
    </row>
    <row r="230" spans="1:5" s="448" customFormat="1" ht="15.75" customHeight="1">
      <c r="A230" s="450"/>
      <c r="B230" s="450"/>
      <c r="C230" s="449"/>
      <c r="E230" s="354"/>
    </row>
    <row r="231" spans="1:5" s="448" customFormat="1" ht="15.75" customHeight="1">
      <c r="A231" s="450"/>
      <c r="B231" s="450"/>
      <c r="C231" s="449"/>
      <c r="E231" s="354"/>
    </row>
    <row r="232" spans="1:5" s="448" customFormat="1" ht="15.75" customHeight="1">
      <c r="A232" s="450"/>
      <c r="B232" s="450"/>
      <c r="C232" s="449"/>
      <c r="E232" s="354"/>
    </row>
    <row r="233" spans="1:5" s="448" customFormat="1" ht="15.75" customHeight="1">
      <c r="A233" s="450"/>
      <c r="B233" s="450"/>
      <c r="C233" s="449"/>
      <c r="E233" s="354"/>
    </row>
    <row r="234" spans="1:5" s="448" customFormat="1" ht="15.75" customHeight="1">
      <c r="A234" s="450"/>
      <c r="B234" s="450"/>
      <c r="C234" s="449"/>
      <c r="E234" s="354"/>
    </row>
    <row r="235" spans="1:5" s="448" customFormat="1" ht="15.75" customHeight="1">
      <c r="A235" s="450"/>
      <c r="B235" s="450"/>
      <c r="C235" s="449"/>
      <c r="E235" s="354"/>
    </row>
    <row r="236" spans="1:5" s="448" customFormat="1" ht="15.75" customHeight="1">
      <c r="A236" s="450"/>
      <c r="B236" s="450"/>
      <c r="C236" s="449"/>
      <c r="E236" s="354"/>
    </row>
    <row r="237" spans="1:5" s="448" customFormat="1" ht="15.75" customHeight="1">
      <c r="A237" s="450"/>
      <c r="B237" s="450"/>
      <c r="C237" s="449"/>
      <c r="E237" s="354"/>
    </row>
    <row r="238" spans="1:5" s="448" customFormat="1" ht="15.75" customHeight="1">
      <c r="A238" s="450"/>
      <c r="B238" s="450"/>
      <c r="C238" s="449"/>
      <c r="E238" s="354"/>
    </row>
    <row r="239" spans="1:5" s="448" customFormat="1" ht="15.75" customHeight="1">
      <c r="A239" s="450"/>
      <c r="B239" s="450"/>
      <c r="C239" s="449"/>
      <c r="E239" s="354"/>
    </row>
    <row r="240" spans="1:5" s="448" customFormat="1" ht="15.75" customHeight="1">
      <c r="A240" s="450"/>
      <c r="B240" s="450"/>
      <c r="C240" s="449"/>
      <c r="E240" s="354"/>
    </row>
    <row r="241" spans="1:5" s="448" customFormat="1" ht="15.75" customHeight="1">
      <c r="A241" s="450"/>
      <c r="B241" s="450"/>
      <c r="C241" s="449"/>
      <c r="E241" s="354"/>
    </row>
    <row r="242" spans="1:5" s="448" customFormat="1" ht="15.75" customHeight="1">
      <c r="A242" s="450"/>
      <c r="B242" s="450"/>
      <c r="C242" s="449"/>
      <c r="E242" s="354"/>
    </row>
    <row r="243" spans="1:5" s="448" customFormat="1" ht="15.75" customHeight="1">
      <c r="A243" s="450"/>
      <c r="B243" s="450"/>
      <c r="C243" s="449"/>
      <c r="E243" s="354"/>
    </row>
    <row r="244" spans="1:5" s="448" customFormat="1" ht="15.75" customHeight="1">
      <c r="A244" s="450"/>
      <c r="B244" s="450"/>
      <c r="C244" s="449"/>
      <c r="E244" s="354"/>
    </row>
    <row r="245" spans="1:5" s="448" customFormat="1" ht="15.75" customHeight="1">
      <c r="A245" s="450"/>
      <c r="B245" s="450"/>
      <c r="C245" s="449"/>
      <c r="E245" s="354"/>
    </row>
    <row r="246" spans="1:5" s="448" customFormat="1" ht="15.75" customHeight="1">
      <c r="A246" s="450"/>
      <c r="B246" s="450"/>
      <c r="C246" s="449"/>
      <c r="E246" s="354"/>
    </row>
    <row r="247" spans="1:5" s="448" customFormat="1" ht="15.75" customHeight="1">
      <c r="A247" s="450"/>
      <c r="B247" s="450"/>
      <c r="C247" s="449"/>
      <c r="E247" s="354"/>
    </row>
    <row r="248" spans="1:5" s="448" customFormat="1" ht="15.75" customHeight="1">
      <c r="A248" s="450"/>
      <c r="B248" s="450"/>
      <c r="C248" s="449"/>
      <c r="E248" s="354"/>
    </row>
    <row r="249" spans="1:5" s="448" customFormat="1" ht="15.75" customHeight="1">
      <c r="A249" s="450"/>
      <c r="B249" s="450"/>
      <c r="C249" s="449"/>
      <c r="E249" s="354"/>
    </row>
    <row r="250" spans="1:5" s="448" customFormat="1" ht="15.75" customHeight="1">
      <c r="A250" s="450"/>
      <c r="B250" s="450"/>
      <c r="C250" s="449"/>
      <c r="E250" s="354"/>
    </row>
    <row r="251" spans="1:5" s="448" customFormat="1" ht="15.75" customHeight="1">
      <c r="A251" s="450"/>
      <c r="B251" s="450"/>
      <c r="C251" s="449"/>
      <c r="E251" s="354"/>
    </row>
    <row r="252" spans="1:5" s="448" customFormat="1" ht="15.75" customHeight="1">
      <c r="A252" s="450"/>
      <c r="B252" s="450"/>
      <c r="C252" s="449"/>
      <c r="E252" s="354"/>
    </row>
    <row r="253" spans="1:5" s="448" customFormat="1" ht="15.75" customHeight="1">
      <c r="A253" s="450"/>
      <c r="B253" s="450"/>
      <c r="C253" s="449"/>
      <c r="E253" s="354"/>
    </row>
    <row r="254" spans="1:5" s="448" customFormat="1" ht="15.75" customHeight="1">
      <c r="A254" s="450"/>
      <c r="B254" s="450"/>
      <c r="C254" s="449"/>
      <c r="E254" s="354"/>
    </row>
    <row r="255" spans="1:5" s="448" customFormat="1" ht="15.75" customHeight="1">
      <c r="A255" s="450"/>
      <c r="B255" s="450"/>
      <c r="C255" s="449"/>
      <c r="E255" s="354"/>
    </row>
    <row r="256" spans="1:5" s="448" customFormat="1" ht="15.75" customHeight="1">
      <c r="A256" s="450"/>
      <c r="B256" s="450"/>
      <c r="C256" s="449"/>
      <c r="E256" s="354"/>
    </row>
    <row r="257" spans="1:5" s="448" customFormat="1" ht="15.75" customHeight="1">
      <c r="A257" s="450"/>
      <c r="B257" s="450"/>
      <c r="C257" s="449"/>
      <c r="E257" s="354"/>
    </row>
    <row r="258" spans="1:5" s="448" customFormat="1" ht="15.75" customHeight="1">
      <c r="A258" s="450"/>
      <c r="B258" s="450"/>
      <c r="C258" s="449"/>
      <c r="E258" s="354"/>
    </row>
    <row r="259" spans="1:5" s="448" customFormat="1" ht="15.75" customHeight="1">
      <c r="A259" s="450"/>
      <c r="B259" s="450"/>
      <c r="C259" s="449"/>
      <c r="E259" s="354"/>
    </row>
    <row r="260" spans="1:5" s="448" customFormat="1" ht="15.75" customHeight="1">
      <c r="A260" s="450"/>
      <c r="B260" s="450"/>
      <c r="C260" s="449"/>
      <c r="E260" s="354"/>
    </row>
    <row r="261" spans="1:5" s="448" customFormat="1" ht="15.75" customHeight="1">
      <c r="A261" s="450"/>
      <c r="B261" s="450"/>
      <c r="C261" s="449"/>
      <c r="E261" s="354"/>
    </row>
    <row r="262" spans="1:5" s="448" customFormat="1" ht="15.75" customHeight="1">
      <c r="A262" s="450"/>
      <c r="B262" s="450"/>
      <c r="C262" s="449"/>
      <c r="E262" s="354"/>
    </row>
    <row r="263" spans="1:5" s="448" customFormat="1" ht="15.75" customHeight="1">
      <c r="A263" s="450"/>
      <c r="B263" s="450"/>
      <c r="C263" s="449"/>
      <c r="E263" s="354"/>
    </row>
    <row r="264" spans="1:5" s="448" customFormat="1" ht="15.75" customHeight="1">
      <c r="A264" s="450"/>
      <c r="B264" s="450"/>
      <c r="C264" s="449"/>
      <c r="E264" s="354"/>
    </row>
    <row r="265" spans="1:5" s="448" customFormat="1" ht="15.75" customHeight="1">
      <c r="A265" s="450"/>
      <c r="B265" s="450"/>
      <c r="C265" s="449"/>
      <c r="E265" s="354"/>
    </row>
    <row r="266" spans="1:5" s="448" customFormat="1" ht="15.75" customHeight="1">
      <c r="A266" s="450"/>
      <c r="B266" s="450"/>
      <c r="C266" s="449"/>
      <c r="E266" s="354"/>
    </row>
    <row r="267" spans="1:5" s="448" customFormat="1" ht="15.75" customHeight="1">
      <c r="A267" s="450"/>
      <c r="B267" s="450"/>
      <c r="C267" s="449"/>
      <c r="E267" s="354"/>
    </row>
    <row r="268" spans="1:5" s="448" customFormat="1" ht="15.75" customHeight="1">
      <c r="A268" s="450"/>
      <c r="B268" s="450"/>
      <c r="C268" s="449"/>
      <c r="E268" s="354"/>
    </row>
    <row r="269" spans="1:5" s="448" customFormat="1" ht="15.75" customHeight="1">
      <c r="A269" s="450"/>
      <c r="B269" s="450"/>
      <c r="C269" s="449"/>
      <c r="E269" s="354"/>
    </row>
    <row r="270" spans="1:5" s="448" customFormat="1" ht="15.75" customHeight="1">
      <c r="A270" s="450"/>
      <c r="B270" s="450"/>
      <c r="C270" s="449"/>
      <c r="E270" s="354"/>
    </row>
    <row r="271" spans="1:5" s="448" customFormat="1" ht="15.75" customHeight="1">
      <c r="A271" s="450"/>
      <c r="B271" s="450"/>
      <c r="C271" s="449"/>
      <c r="E271" s="354"/>
    </row>
    <row r="272" spans="1:5" s="448" customFormat="1" ht="15.75" customHeight="1">
      <c r="A272" s="450"/>
      <c r="B272" s="450"/>
      <c r="C272" s="449"/>
      <c r="E272" s="354"/>
    </row>
    <row r="273" spans="1:5" s="448" customFormat="1" ht="15.75" customHeight="1">
      <c r="A273" s="450"/>
      <c r="B273" s="450"/>
      <c r="C273" s="449"/>
      <c r="E273" s="354"/>
    </row>
    <row r="274" spans="1:5" s="448" customFormat="1" ht="15.75" customHeight="1">
      <c r="A274" s="450"/>
      <c r="B274" s="450"/>
      <c r="C274" s="449"/>
      <c r="E274" s="354"/>
    </row>
    <row r="275" spans="1:5" s="448" customFormat="1" ht="15.75" customHeight="1">
      <c r="A275" s="450"/>
      <c r="B275" s="450"/>
      <c r="C275" s="449"/>
      <c r="E275" s="354"/>
    </row>
    <row r="276" spans="1:5" s="448" customFormat="1" ht="15.75" customHeight="1">
      <c r="A276" s="450"/>
      <c r="B276" s="450"/>
      <c r="C276" s="449"/>
      <c r="E276" s="354"/>
    </row>
    <row r="277" spans="1:5" s="448" customFormat="1" ht="15.75" customHeight="1">
      <c r="A277" s="450"/>
      <c r="B277" s="450"/>
      <c r="C277" s="449"/>
      <c r="E277" s="354"/>
    </row>
    <row r="278" spans="1:5" s="448" customFormat="1" ht="15.75" customHeight="1">
      <c r="A278" s="450"/>
      <c r="B278" s="450"/>
      <c r="C278" s="449"/>
      <c r="E278" s="354"/>
    </row>
    <row r="279" spans="1:5" s="448" customFormat="1" ht="15.75" customHeight="1">
      <c r="A279" s="450"/>
      <c r="B279" s="450"/>
      <c r="C279" s="449"/>
      <c r="E279" s="354"/>
    </row>
    <row r="280" spans="1:5" s="448" customFormat="1" ht="15.75" customHeight="1">
      <c r="A280" s="450"/>
      <c r="B280" s="450"/>
      <c r="C280" s="449"/>
      <c r="E280" s="354"/>
    </row>
    <row r="281" spans="1:5" s="448" customFormat="1" ht="15.75" customHeight="1">
      <c r="A281" s="450"/>
      <c r="B281" s="450"/>
      <c r="C281" s="449"/>
      <c r="E281" s="354"/>
    </row>
    <row r="282" spans="1:5" s="448" customFormat="1" ht="15.75" customHeight="1">
      <c r="A282" s="450"/>
      <c r="B282" s="450"/>
      <c r="C282" s="449"/>
      <c r="E282" s="354"/>
    </row>
    <row r="283" spans="1:5" s="448" customFormat="1" ht="15.75" customHeight="1">
      <c r="A283" s="450"/>
      <c r="B283" s="450"/>
      <c r="C283" s="449"/>
      <c r="E283" s="354"/>
    </row>
    <row r="284" spans="1:5" s="448" customFormat="1" ht="15.75" customHeight="1">
      <c r="A284" s="450"/>
      <c r="B284" s="450"/>
      <c r="C284" s="449"/>
      <c r="E284" s="354"/>
    </row>
    <row r="285" spans="1:5" s="448" customFormat="1" ht="15.75" customHeight="1">
      <c r="A285" s="450"/>
      <c r="B285" s="450"/>
      <c r="C285" s="449"/>
      <c r="E285" s="354"/>
    </row>
    <row r="286" spans="1:5" s="448" customFormat="1" ht="15.75" customHeight="1">
      <c r="A286" s="450"/>
      <c r="B286" s="450"/>
      <c r="C286" s="449"/>
      <c r="E286" s="354"/>
    </row>
    <row r="287" spans="1:5" s="448" customFormat="1" ht="15.75" customHeight="1">
      <c r="A287" s="450"/>
      <c r="B287" s="450"/>
      <c r="C287" s="449"/>
      <c r="E287" s="354"/>
    </row>
    <row r="288" spans="1:5" s="448" customFormat="1" ht="15.75" customHeight="1">
      <c r="A288" s="450"/>
      <c r="B288" s="450"/>
      <c r="C288" s="449"/>
      <c r="E288" s="354"/>
    </row>
    <row r="289" spans="1:5" s="448" customFormat="1" ht="15.75" customHeight="1">
      <c r="A289" s="450"/>
      <c r="B289" s="450"/>
      <c r="C289" s="449"/>
      <c r="E289" s="354"/>
    </row>
    <row r="290" spans="1:5" s="448" customFormat="1" ht="15.75" customHeight="1">
      <c r="A290" s="450"/>
      <c r="B290" s="450"/>
      <c r="C290" s="449"/>
      <c r="E290" s="354"/>
    </row>
    <row r="291" spans="1:5" s="448" customFormat="1" ht="15.75" customHeight="1">
      <c r="A291" s="450"/>
      <c r="B291" s="450"/>
      <c r="C291" s="449"/>
      <c r="E291" s="354"/>
    </row>
    <row r="292" spans="1:5" s="448" customFormat="1" ht="15.75" customHeight="1">
      <c r="A292" s="450"/>
      <c r="B292" s="450"/>
      <c r="C292" s="449"/>
      <c r="E292" s="354"/>
    </row>
    <row r="293" spans="1:5" s="448" customFormat="1" ht="15.75" customHeight="1">
      <c r="A293" s="450"/>
      <c r="B293" s="450"/>
      <c r="C293" s="449"/>
      <c r="E293" s="354"/>
    </row>
    <row r="294" spans="1:5" s="448" customFormat="1" ht="15.75" customHeight="1">
      <c r="A294" s="450"/>
      <c r="B294" s="450"/>
      <c r="C294" s="449"/>
      <c r="E294" s="354"/>
    </row>
    <row r="295" spans="1:5" s="448" customFormat="1" ht="15.75" customHeight="1">
      <c r="A295" s="450"/>
      <c r="B295" s="450"/>
      <c r="C295" s="449"/>
      <c r="E295" s="354"/>
    </row>
    <row r="296" spans="1:5" s="448" customFormat="1" ht="15.75" customHeight="1">
      <c r="A296" s="450"/>
      <c r="B296" s="450"/>
      <c r="C296" s="449"/>
      <c r="E296" s="354"/>
    </row>
    <row r="297" spans="1:5" s="448" customFormat="1" ht="15.75" customHeight="1">
      <c r="A297" s="450"/>
      <c r="B297" s="450"/>
      <c r="C297" s="449"/>
      <c r="E297" s="354"/>
    </row>
    <row r="298" spans="1:5" s="448" customFormat="1" ht="15.75" customHeight="1">
      <c r="A298" s="450"/>
      <c r="B298" s="450"/>
      <c r="C298" s="449"/>
      <c r="E298" s="354"/>
    </row>
    <row r="299" spans="1:5" s="448" customFormat="1" ht="15.75" customHeight="1">
      <c r="A299" s="450"/>
      <c r="B299" s="450"/>
      <c r="C299" s="449"/>
      <c r="E299" s="354"/>
    </row>
    <row r="300" spans="1:5" s="448" customFormat="1" ht="15.75" customHeight="1">
      <c r="A300" s="450"/>
      <c r="B300" s="450"/>
      <c r="C300" s="449"/>
      <c r="E300" s="354"/>
    </row>
    <row r="301" spans="1:5" s="448" customFormat="1" ht="15.75" customHeight="1">
      <c r="A301" s="450"/>
      <c r="B301" s="450"/>
      <c r="C301" s="449"/>
      <c r="E301" s="354"/>
    </row>
    <row r="302" spans="1:5" s="448" customFormat="1" ht="15.75" customHeight="1">
      <c r="A302" s="450"/>
      <c r="B302" s="450"/>
      <c r="C302" s="449"/>
      <c r="E302" s="354"/>
    </row>
    <row r="303" spans="1:5" s="448" customFormat="1" ht="15.75" customHeight="1">
      <c r="A303" s="450"/>
      <c r="B303" s="450"/>
      <c r="C303" s="449"/>
      <c r="E303" s="354"/>
    </row>
    <row r="304" spans="1:5" s="448" customFormat="1" ht="15.75" customHeight="1">
      <c r="A304" s="450"/>
      <c r="B304" s="450"/>
      <c r="C304" s="449"/>
      <c r="E304" s="354"/>
    </row>
    <row r="305" spans="1:5" s="448" customFormat="1" ht="15.75" customHeight="1">
      <c r="A305" s="450"/>
      <c r="B305" s="450"/>
      <c r="C305" s="449"/>
      <c r="E305" s="354"/>
    </row>
    <row r="306" spans="1:5" s="448" customFormat="1" ht="15.75" customHeight="1">
      <c r="A306" s="450"/>
      <c r="B306" s="450"/>
      <c r="C306" s="449"/>
      <c r="E306" s="354"/>
    </row>
    <row r="307" spans="1:5" s="448" customFormat="1" ht="15.75" customHeight="1">
      <c r="A307" s="450"/>
      <c r="B307" s="450"/>
      <c r="C307" s="449"/>
      <c r="E307" s="354"/>
    </row>
    <row r="308" spans="1:5" s="448" customFormat="1" ht="15.75" customHeight="1">
      <c r="A308" s="450"/>
      <c r="B308" s="450"/>
      <c r="C308" s="449"/>
      <c r="E308" s="354"/>
    </row>
    <row r="309" spans="1:5" s="448" customFormat="1" ht="15.75" customHeight="1">
      <c r="A309" s="450"/>
      <c r="B309" s="450"/>
      <c r="C309" s="449"/>
      <c r="E309" s="354"/>
    </row>
    <row r="310" spans="1:5" s="448" customFormat="1" ht="15.75" customHeight="1">
      <c r="A310" s="450"/>
      <c r="B310" s="450"/>
      <c r="C310" s="449"/>
      <c r="E310" s="354"/>
    </row>
    <row r="311" spans="1:5" s="448" customFormat="1" ht="15.75" customHeight="1">
      <c r="A311" s="450"/>
      <c r="B311" s="450"/>
      <c r="C311" s="449"/>
      <c r="E311" s="354"/>
    </row>
    <row r="312" spans="1:5" s="448" customFormat="1" ht="15.75" customHeight="1">
      <c r="A312" s="450"/>
      <c r="B312" s="450"/>
      <c r="C312" s="449"/>
      <c r="E312" s="354"/>
    </row>
    <row r="313" spans="1:5" s="448" customFormat="1" ht="15.75" customHeight="1">
      <c r="A313" s="450"/>
      <c r="B313" s="450"/>
      <c r="C313" s="449"/>
      <c r="E313" s="354"/>
    </row>
    <row r="314" spans="1:5" s="448" customFormat="1" ht="15.75" customHeight="1">
      <c r="A314" s="450"/>
      <c r="B314" s="450"/>
      <c r="C314" s="449"/>
      <c r="E314" s="354"/>
    </row>
    <row r="315" spans="1:5" s="448" customFormat="1" ht="15.75" customHeight="1">
      <c r="A315" s="450"/>
      <c r="B315" s="450"/>
      <c r="C315" s="449"/>
      <c r="E315" s="354"/>
    </row>
    <row r="316" spans="1:5" s="448" customFormat="1" ht="15.75" customHeight="1">
      <c r="A316" s="450"/>
      <c r="B316" s="450"/>
      <c r="C316" s="449"/>
      <c r="E316" s="354"/>
    </row>
    <row r="317" spans="1:5" s="448" customFormat="1" ht="15.75" customHeight="1">
      <c r="A317" s="450"/>
      <c r="B317" s="450"/>
      <c r="C317" s="449"/>
      <c r="E317" s="354"/>
    </row>
    <row r="318" spans="1:5" s="448" customFormat="1" ht="15.75" customHeight="1">
      <c r="A318" s="450"/>
      <c r="B318" s="450"/>
      <c r="C318" s="449"/>
      <c r="E318" s="354"/>
    </row>
    <row r="319" spans="1:5" s="448" customFormat="1" ht="15.75" customHeight="1">
      <c r="A319" s="450"/>
      <c r="B319" s="450"/>
      <c r="C319" s="449"/>
      <c r="E319" s="354"/>
    </row>
    <row r="320" spans="1:5" s="448" customFormat="1" ht="15.75" customHeight="1">
      <c r="A320" s="450"/>
      <c r="B320" s="450"/>
      <c r="C320" s="449"/>
      <c r="E320" s="354"/>
    </row>
    <row r="321" spans="1:5" s="448" customFormat="1" ht="15.75" customHeight="1">
      <c r="A321" s="450"/>
      <c r="B321" s="450"/>
      <c r="C321" s="449"/>
      <c r="E321" s="354"/>
    </row>
    <row r="322" spans="1:5" s="448" customFormat="1" ht="15.75" customHeight="1">
      <c r="A322" s="450"/>
      <c r="B322" s="450"/>
      <c r="C322" s="449"/>
      <c r="E322" s="354"/>
    </row>
    <row r="323" spans="1:5" s="448" customFormat="1" ht="15.75" customHeight="1">
      <c r="A323" s="450"/>
      <c r="B323" s="450"/>
      <c r="C323" s="449"/>
      <c r="E323" s="354"/>
    </row>
    <row r="324" spans="1:5" s="448" customFormat="1" ht="15.75" customHeight="1">
      <c r="A324" s="450"/>
      <c r="B324" s="450"/>
      <c r="C324" s="449"/>
      <c r="E324" s="354"/>
    </row>
    <row r="325" spans="1:5" s="448" customFormat="1" ht="15.75" customHeight="1">
      <c r="A325" s="450"/>
      <c r="B325" s="450"/>
      <c r="C325" s="449"/>
      <c r="E325" s="354"/>
    </row>
    <row r="326" spans="1:5" s="448" customFormat="1" ht="15.75" customHeight="1">
      <c r="A326" s="450"/>
      <c r="B326" s="450"/>
      <c r="C326" s="449"/>
      <c r="E326" s="354"/>
    </row>
    <row r="327" spans="1:5" s="448" customFormat="1" ht="15.75" customHeight="1">
      <c r="A327" s="450"/>
      <c r="B327" s="450"/>
      <c r="C327" s="449"/>
      <c r="E327" s="354"/>
    </row>
    <row r="328" spans="1:5" s="448" customFormat="1" ht="15.75" customHeight="1">
      <c r="A328" s="450"/>
      <c r="B328" s="450"/>
      <c r="C328" s="449"/>
      <c r="E328" s="354"/>
    </row>
    <row r="329" spans="1:5" s="448" customFormat="1" ht="15.75" customHeight="1">
      <c r="A329" s="450"/>
      <c r="B329" s="450"/>
      <c r="C329" s="449"/>
      <c r="E329" s="354"/>
    </row>
    <row r="330" spans="1:5" s="448" customFormat="1" ht="15.75" customHeight="1">
      <c r="A330" s="450"/>
      <c r="B330" s="450"/>
      <c r="C330" s="449"/>
      <c r="E330" s="354"/>
    </row>
    <row r="331" spans="1:5" s="448" customFormat="1" ht="15.75" customHeight="1">
      <c r="A331" s="450"/>
      <c r="B331" s="450"/>
      <c r="C331" s="449"/>
      <c r="E331" s="354"/>
    </row>
    <row r="332" spans="1:5" s="448" customFormat="1" ht="15.75" customHeight="1">
      <c r="A332" s="450"/>
      <c r="B332" s="450"/>
      <c r="C332" s="449"/>
      <c r="E332" s="354"/>
    </row>
    <row r="333" spans="1:5" s="448" customFormat="1" ht="15.75" customHeight="1">
      <c r="A333" s="450"/>
      <c r="B333" s="450"/>
      <c r="C333" s="449"/>
      <c r="E333" s="354"/>
    </row>
    <row r="334" spans="1:5" s="448" customFormat="1" ht="15.75" customHeight="1">
      <c r="A334" s="450"/>
      <c r="B334" s="450"/>
      <c r="C334" s="449"/>
      <c r="E334" s="354"/>
    </row>
    <row r="335" spans="1:5" s="448" customFormat="1" ht="15.75" customHeight="1">
      <c r="A335" s="450"/>
      <c r="B335" s="450"/>
      <c r="C335" s="449"/>
      <c r="E335" s="354"/>
    </row>
    <row r="336" spans="1:5" s="448" customFormat="1" ht="15.75" customHeight="1">
      <c r="A336" s="450"/>
      <c r="B336" s="450"/>
      <c r="C336" s="449"/>
      <c r="E336" s="354"/>
    </row>
    <row r="337" spans="1:5" s="448" customFormat="1" ht="15.75" customHeight="1">
      <c r="A337" s="450"/>
      <c r="B337" s="450"/>
      <c r="C337" s="449"/>
      <c r="E337" s="354"/>
    </row>
    <row r="338" spans="1:5" s="448" customFormat="1" ht="15.75" customHeight="1">
      <c r="A338" s="450"/>
      <c r="B338" s="450"/>
      <c r="C338" s="449"/>
      <c r="E338" s="354"/>
    </row>
    <row r="339" spans="1:5" s="448" customFormat="1" ht="15.75" customHeight="1">
      <c r="A339" s="450"/>
      <c r="B339" s="450"/>
      <c r="C339" s="449"/>
      <c r="E339" s="354"/>
    </row>
    <row r="340" spans="1:5" s="448" customFormat="1" ht="15.75" customHeight="1">
      <c r="A340" s="450"/>
      <c r="B340" s="450"/>
      <c r="C340" s="449"/>
      <c r="E340" s="354"/>
    </row>
    <row r="341" spans="1:5" s="448" customFormat="1" ht="15.75" customHeight="1">
      <c r="A341" s="450"/>
      <c r="B341" s="450"/>
      <c r="C341" s="449"/>
      <c r="E341" s="354"/>
    </row>
    <row r="342" spans="1:5" s="448" customFormat="1" ht="15.75" customHeight="1">
      <c r="A342" s="450"/>
      <c r="B342" s="450"/>
      <c r="C342" s="449"/>
      <c r="E342" s="354"/>
    </row>
    <row r="343" spans="1:5" s="448" customFormat="1" ht="15.75" customHeight="1">
      <c r="A343" s="450"/>
      <c r="B343" s="450"/>
      <c r="C343" s="449"/>
      <c r="E343" s="354"/>
    </row>
    <row r="344" spans="1:5" s="448" customFormat="1" ht="15.75" customHeight="1">
      <c r="A344" s="450"/>
      <c r="B344" s="450"/>
      <c r="C344" s="449"/>
      <c r="E344" s="354"/>
    </row>
    <row r="345" spans="1:5" s="448" customFormat="1" ht="15.75" customHeight="1">
      <c r="A345" s="450"/>
      <c r="B345" s="450"/>
      <c r="C345" s="449"/>
      <c r="E345" s="354"/>
    </row>
    <row r="346" spans="1:5" s="448" customFormat="1" ht="15.75" customHeight="1">
      <c r="A346" s="450"/>
      <c r="B346" s="450"/>
      <c r="C346" s="449"/>
      <c r="E346" s="354"/>
    </row>
    <row r="347" spans="1:5" s="448" customFormat="1" ht="15.75" customHeight="1">
      <c r="A347" s="450"/>
      <c r="B347" s="450"/>
      <c r="C347" s="449"/>
      <c r="E347" s="354"/>
    </row>
    <row r="348" spans="1:5" s="448" customFormat="1" ht="15.75" customHeight="1">
      <c r="A348" s="450"/>
      <c r="B348" s="450"/>
      <c r="C348" s="449"/>
      <c r="E348" s="354"/>
    </row>
    <row r="349" spans="1:5" s="448" customFormat="1" ht="15.75" customHeight="1">
      <c r="A349" s="450"/>
      <c r="B349" s="450"/>
      <c r="C349" s="449"/>
      <c r="E349" s="354"/>
    </row>
    <row r="350" spans="1:5" s="448" customFormat="1" ht="15.75" customHeight="1">
      <c r="A350" s="450"/>
      <c r="B350" s="450"/>
      <c r="C350" s="449"/>
      <c r="E350" s="354"/>
    </row>
    <row r="351" spans="1:5" s="448" customFormat="1" ht="15.75" customHeight="1">
      <c r="A351" s="450"/>
      <c r="B351" s="450"/>
      <c r="C351" s="449"/>
      <c r="E351" s="354"/>
    </row>
    <row r="352" spans="1:5" s="448" customFormat="1" ht="15.75" customHeight="1">
      <c r="A352" s="450"/>
      <c r="B352" s="450"/>
      <c r="C352" s="449"/>
      <c r="E352" s="354"/>
    </row>
    <row r="353" spans="1:5" s="448" customFormat="1" ht="15.75" customHeight="1">
      <c r="A353" s="450"/>
      <c r="B353" s="450"/>
      <c r="C353" s="449"/>
      <c r="E353" s="354"/>
    </row>
    <row r="354" spans="1:5" s="448" customFormat="1" ht="15.75" customHeight="1">
      <c r="A354" s="450"/>
      <c r="B354" s="450"/>
      <c r="C354" s="449"/>
      <c r="E354" s="354"/>
    </row>
    <row r="355" spans="1:5" s="448" customFormat="1" ht="15.75" customHeight="1">
      <c r="A355" s="450"/>
      <c r="B355" s="450"/>
      <c r="C355" s="449"/>
      <c r="E355" s="354"/>
    </row>
    <row r="356" spans="1:5" s="448" customFormat="1" ht="15.75" customHeight="1">
      <c r="A356" s="450"/>
      <c r="B356" s="450"/>
      <c r="C356" s="449"/>
      <c r="E356" s="354"/>
    </row>
    <row r="357" spans="1:5" s="448" customFormat="1" ht="15.75" customHeight="1">
      <c r="A357" s="450"/>
      <c r="B357" s="450"/>
      <c r="C357" s="449"/>
      <c r="E357" s="354"/>
    </row>
    <row r="358" spans="1:5" s="448" customFormat="1" ht="15.75" customHeight="1">
      <c r="A358" s="450"/>
      <c r="B358" s="450"/>
      <c r="C358" s="449"/>
      <c r="E358" s="354"/>
    </row>
    <row r="359" spans="1:5" s="448" customFormat="1" ht="15.75" customHeight="1">
      <c r="A359" s="450"/>
      <c r="B359" s="450"/>
      <c r="C359" s="449"/>
      <c r="E359" s="354"/>
    </row>
    <row r="360" spans="1:5" s="448" customFormat="1" ht="15.75" customHeight="1">
      <c r="A360" s="450"/>
      <c r="B360" s="450"/>
      <c r="C360" s="449"/>
      <c r="E360" s="354"/>
    </row>
    <row r="361" spans="1:5" s="448" customFormat="1" ht="15.75" customHeight="1">
      <c r="A361" s="450"/>
      <c r="B361" s="450"/>
      <c r="C361" s="449"/>
      <c r="E361" s="354"/>
    </row>
    <row r="362" spans="1:5" s="448" customFormat="1" ht="15.75" customHeight="1">
      <c r="A362" s="450"/>
      <c r="B362" s="450"/>
      <c r="C362" s="449"/>
      <c r="E362" s="354"/>
    </row>
    <row r="363" spans="1:5" s="448" customFormat="1" ht="15.75" customHeight="1">
      <c r="A363" s="450"/>
      <c r="B363" s="450"/>
      <c r="C363" s="449"/>
      <c r="E363" s="354"/>
    </row>
    <row r="364" spans="1:5" s="448" customFormat="1" ht="15.75" customHeight="1">
      <c r="A364" s="450"/>
      <c r="B364" s="450"/>
      <c r="C364" s="449"/>
      <c r="E364" s="354"/>
    </row>
    <row r="365" spans="1:5" s="448" customFormat="1" ht="15.75" customHeight="1">
      <c r="A365" s="450"/>
      <c r="B365" s="450"/>
      <c r="C365" s="449"/>
      <c r="E365" s="354"/>
    </row>
    <row r="366" spans="1:5" s="448" customFormat="1" ht="15.75" customHeight="1">
      <c r="A366" s="450"/>
      <c r="B366" s="450"/>
      <c r="C366" s="449"/>
      <c r="E366" s="354"/>
    </row>
    <row r="367" spans="1:5" s="448" customFormat="1" ht="15.75" customHeight="1">
      <c r="A367" s="450"/>
      <c r="B367" s="450"/>
      <c r="C367" s="449"/>
      <c r="E367" s="354"/>
    </row>
    <row r="368" spans="1:5" s="448" customFormat="1" ht="15.75" customHeight="1">
      <c r="A368" s="450"/>
      <c r="B368" s="450"/>
      <c r="C368" s="449"/>
      <c r="E368" s="354"/>
    </row>
    <row r="369" spans="1:5" s="448" customFormat="1" ht="15.75" customHeight="1">
      <c r="A369" s="450"/>
      <c r="B369" s="450"/>
      <c r="C369" s="449"/>
      <c r="E369" s="354"/>
    </row>
    <row r="370" spans="1:5" s="448" customFormat="1" ht="15.75" customHeight="1">
      <c r="A370" s="450"/>
      <c r="B370" s="450"/>
      <c r="C370" s="449"/>
      <c r="E370" s="354"/>
    </row>
    <row r="371" spans="1:5" s="448" customFormat="1" ht="15.75" customHeight="1">
      <c r="A371" s="450"/>
      <c r="B371" s="450"/>
      <c r="C371" s="449"/>
      <c r="E371" s="354"/>
    </row>
    <row r="372" spans="1:5" s="448" customFormat="1" ht="15.75" customHeight="1">
      <c r="A372" s="450"/>
      <c r="B372" s="450"/>
      <c r="C372" s="449"/>
      <c r="E372" s="354"/>
    </row>
    <row r="373" spans="1:5" s="448" customFormat="1" ht="15.75" customHeight="1">
      <c r="A373" s="450"/>
      <c r="B373" s="450"/>
      <c r="C373" s="449"/>
      <c r="E373" s="354"/>
    </row>
    <row r="374" spans="1:5" s="448" customFormat="1" ht="15.75" customHeight="1">
      <c r="A374" s="450"/>
      <c r="B374" s="450"/>
      <c r="C374" s="449"/>
      <c r="E374" s="354"/>
    </row>
    <row r="375" spans="1:5" s="448" customFormat="1" ht="15.75" customHeight="1">
      <c r="A375" s="450"/>
      <c r="B375" s="450"/>
      <c r="C375" s="449"/>
      <c r="E375" s="354"/>
    </row>
    <row r="376" spans="1:5" s="448" customFormat="1" ht="15.75" customHeight="1">
      <c r="A376" s="450"/>
      <c r="B376" s="450"/>
      <c r="C376" s="449"/>
      <c r="E376" s="354"/>
    </row>
    <row r="377" spans="1:5" s="448" customFormat="1" ht="15.75" customHeight="1">
      <c r="A377" s="450"/>
      <c r="B377" s="450"/>
      <c r="C377" s="449"/>
      <c r="E377" s="354"/>
    </row>
    <row r="378" spans="1:5" s="448" customFormat="1" ht="15.75" customHeight="1">
      <c r="A378" s="450"/>
      <c r="B378" s="450"/>
      <c r="C378" s="449"/>
      <c r="E378" s="354"/>
    </row>
    <row r="379" spans="1:5" s="448" customFormat="1" ht="15.75" customHeight="1">
      <c r="A379" s="450"/>
      <c r="B379" s="450"/>
      <c r="C379" s="449"/>
      <c r="E379" s="354"/>
    </row>
    <row r="380" spans="1:5" s="448" customFormat="1" ht="15.75" customHeight="1">
      <c r="A380" s="450"/>
      <c r="B380" s="450"/>
      <c r="C380" s="449"/>
      <c r="E380" s="354"/>
    </row>
    <row r="381" spans="1:5" s="448" customFormat="1" ht="15.75" customHeight="1">
      <c r="A381" s="450"/>
      <c r="B381" s="450"/>
      <c r="C381" s="449"/>
      <c r="E381" s="354"/>
    </row>
    <row r="382" spans="1:5" s="448" customFormat="1" ht="15.75" customHeight="1">
      <c r="A382" s="450"/>
      <c r="B382" s="450"/>
      <c r="C382" s="449"/>
      <c r="E382" s="354"/>
    </row>
    <row r="383" spans="1:5" s="448" customFormat="1" ht="15.75" customHeight="1">
      <c r="A383" s="450"/>
      <c r="B383" s="450"/>
      <c r="C383" s="449"/>
      <c r="E383" s="354"/>
    </row>
    <row r="384" spans="1:5" s="448" customFormat="1" ht="15.75" customHeight="1">
      <c r="A384" s="450"/>
      <c r="B384" s="450"/>
      <c r="C384" s="449"/>
      <c r="E384" s="354"/>
    </row>
    <row r="385" spans="1:5" s="448" customFormat="1" ht="15.75" customHeight="1">
      <c r="A385" s="450"/>
      <c r="B385" s="450"/>
      <c r="C385" s="449"/>
      <c r="E385" s="354"/>
    </row>
    <row r="386" spans="1:5" s="448" customFormat="1" ht="15.75" customHeight="1">
      <c r="A386" s="450"/>
      <c r="B386" s="450"/>
      <c r="C386" s="449"/>
      <c r="E386" s="354"/>
    </row>
    <row r="387" spans="1:5" s="448" customFormat="1" ht="15.75" customHeight="1">
      <c r="A387" s="450"/>
      <c r="B387" s="450"/>
      <c r="C387" s="449"/>
      <c r="E387" s="354"/>
    </row>
    <row r="388" spans="1:5" s="448" customFormat="1" ht="15.75" customHeight="1">
      <c r="A388" s="450"/>
      <c r="B388" s="450"/>
      <c r="C388" s="449"/>
      <c r="E388" s="354"/>
    </row>
    <row r="389" spans="1:5" s="448" customFormat="1" ht="15.75" customHeight="1">
      <c r="A389" s="450"/>
      <c r="B389" s="450"/>
      <c r="C389" s="449"/>
      <c r="E389" s="354"/>
    </row>
    <row r="390" spans="1:5" s="448" customFormat="1" ht="15.75" customHeight="1">
      <c r="A390" s="450"/>
      <c r="B390" s="450"/>
      <c r="C390" s="449"/>
      <c r="E390" s="354"/>
    </row>
    <row r="391" spans="1:5" s="448" customFormat="1" ht="15.75" customHeight="1">
      <c r="A391" s="450"/>
      <c r="B391" s="450"/>
      <c r="C391" s="449"/>
      <c r="E391" s="354"/>
    </row>
    <row r="392" spans="1:5" s="448" customFormat="1" ht="15.75" customHeight="1">
      <c r="A392" s="450"/>
      <c r="B392" s="450"/>
      <c r="C392" s="449"/>
      <c r="E392" s="354"/>
    </row>
    <row r="393" spans="1:5" s="448" customFormat="1" ht="15.75" customHeight="1">
      <c r="A393" s="450"/>
      <c r="B393" s="450"/>
      <c r="C393" s="449"/>
      <c r="E393" s="354"/>
    </row>
    <row r="394" spans="1:5" s="448" customFormat="1" ht="15.75" customHeight="1">
      <c r="A394" s="450"/>
      <c r="B394" s="450"/>
      <c r="C394" s="449"/>
      <c r="E394" s="354"/>
    </row>
    <row r="395" spans="1:5" s="448" customFormat="1" ht="15.75" customHeight="1">
      <c r="A395" s="450"/>
      <c r="B395" s="450"/>
      <c r="C395" s="449"/>
      <c r="E395" s="354"/>
    </row>
    <row r="396" spans="1:5" s="448" customFormat="1" ht="15.75" customHeight="1">
      <c r="A396" s="450"/>
      <c r="B396" s="450"/>
      <c r="C396" s="449"/>
      <c r="E396" s="354"/>
    </row>
    <row r="397" spans="1:5" s="448" customFormat="1" ht="15.75" customHeight="1">
      <c r="A397" s="450"/>
      <c r="B397" s="450"/>
      <c r="C397" s="449"/>
      <c r="E397" s="354"/>
    </row>
    <row r="398" spans="1:5" s="448" customFormat="1" ht="15.75" customHeight="1">
      <c r="A398" s="450"/>
      <c r="B398" s="450"/>
      <c r="C398" s="449"/>
      <c r="E398" s="354"/>
    </row>
    <row r="399" spans="1:5" s="448" customFormat="1" ht="15.75" customHeight="1">
      <c r="A399" s="450"/>
      <c r="B399" s="450"/>
      <c r="C399" s="449"/>
      <c r="E399" s="354"/>
    </row>
    <row r="400" spans="1:5" s="448" customFormat="1" ht="15.75" customHeight="1">
      <c r="A400" s="450"/>
      <c r="B400" s="450"/>
      <c r="C400" s="449"/>
      <c r="E400" s="354"/>
    </row>
    <row r="401" spans="1:5" s="448" customFormat="1" ht="15.75" customHeight="1">
      <c r="A401" s="450"/>
      <c r="B401" s="450"/>
      <c r="C401" s="449"/>
      <c r="E401" s="354"/>
    </row>
    <row r="402" spans="1:5" s="448" customFormat="1" ht="15.75" customHeight="1">
      <c r="A402" s="450"/>
      <c r="B402" s="450"/>
      <c r="C402" s="449"/>
      <c r="E402" s="354"/>
    </row>
    <row r="403" spans="1:5" s="448" customFormat="1" ht="15.75" customHeight="1">
      <c r="A403" s="450"/>
      <c r="B403" s="450"/>
      <c r="C403" s="449"/>
      <c r="E403" s="354"/>
    </row>
    <row r="404" spans="1:5" s="448" customFormat="1" ht="15.75" customHeight="1">
      <c r="A404" s="450"/>
      <c r="B404" s="450"/>
      <c r="C404" s="449"/>
      <c r="E404" s="354"/>
    </row>
    <row r="405" spans="1:5" s="448" customFormat="1" ht="15.75" customHeight="1">
      <c r="A405" s="450"/>
      <c r="B405" s="450"/>
      <c r="C405" s="449"/>
      <c r="E405" s="354"/>
    </row>
    <row r="406" spans="1:5" s="448" customFormat="1" ht="15.75" customHeight="1">
      <c r="A406" s="450"/>
      <c r="B406" s="450"/>
      <c r="C406" s="449"/>
      <c r="E406" s="354"/>
    </row>
    <row r="407" spans="1:5" s="448" customFormat="1" ht="15.75" customHeight="1">
      <c r="A407" s="450"/>
      <c r="B407" s="450"/>
      <c r="C407" s="449"/>
      <c r="E407" s="354"/>
    </row>
    <row r="408" spans="1:5" s="448" customFormat="1" ht="15.75" customHeight="1">
      <c r="A408" s="450"/>
      <c r="B408" s="450"/>
      <c r="C408" s="449"/>
      <c r="E408" s="354"/>
    </row>
    <row r="409" spans="1:5" s="448" customFormat="1" ht="15.75" customHeight="1">
      <c r="A409" s="450"/>
      <c r="B409" s="450"/>
      <c r="C409" s="449"/>
      <c r="E409" s="354"/>
    </row>
    <row r="410" spans="1:5" s="448" customFormat="1" ht="15.75" customHeight="1">
      <c r="A410" s="450"/>
      <c r="B410" s="450"/>
      <c r="C410" s="449"/>
      <c r="E410" s="354"/>
    </row>
    <row r="411" spans="1:5" s="448" customFormat="1" ht="15.75" customHeight="1">
      <c r="A411" s="450"/>
      <c r="B411" s="450"/>
      <c r="C411" s="449"/>
      <c r="E411" s="354"/>
    </row>
    <row r="412" spans="1:5" s="448" customFormat="1" ht="15.75" customHeight="1">
      <c r="A412" s="450"/>
      <c r="B412" s="450"/>
      <c r="C412" s="449"/>
      <c r="E412" s="354"/>
    </row>
    <row r="413" spans="1:5" s="448" customFormat="1" ht="15.75" customHeight="1">
      <c r="A413" s="450"/>
      <c r="B413" s="450"/>
      <c r="C413" s="449"/>
      <c r="E413" s="354"/>
    </row>
    <row r="414" spans="1:5" s="448" customFormat="1" ht="15.75" customHeight="1">
      <c r="A414" s="450"/>
      <c r="B414" s="450"/>
      <c r="C414" s="449"/>
      <c r="E414" s="354"/>
    </row>
    <row r="415" spans="1:5" s="448" customFormat="1" ht="15.75" customHeight="1">
      <c r="A415" s="450"/>
      <c r="B415" s="450"/>
      <c r="C415" s="449"/>
      <c r="E415" s="354"/>
    </row>
    <row r="416" spans="1:5" s="448" customFormat="1" ht="15.75" customHeight="1">
      <c r="A416" s="450"/>
      <c r="B416" s="450"/>
      <c r="C416" s="449"/>
      <c r="E416" s="354"/>
    </row>
    <row r="417" spans="1:5" s="448" customFormat="1" ht="15.75" customHeight="1">
      <c r="A417" s="450"/>
      <c r="B417" s="450"/>
      <c r="C417" s="449"/>
      <c r="E417" s="354"/>
    </row>
    <row r="418" spans="1:5" s="448" customFormat="1" ht="15.75" customHeight="1">
      <c r="A418" s="450"/>
      <c r="B418" s="450"/>
      <c r="C418" s="449"/>
      <c r="E418" s="354"/>
    </row>
    <row r="419" spans="1:5" s="448" customFormat="1" ht="15.75" customHeight="1">
      <c r="A419" s="450"/>
      <c r="B419" s="450"/>
      <c r="C419" s="449"/>
      <c r="E419" s="354"/>
    </row>
    <row r="420" spans="1:5" s="448" customFormat="1" ht="15.75" customHeight="1">
      <c r="A420" s="450"/>
      <c r="B420" s="450"/>
      <c r="C420" s="449"/>
      <c r="E420" s="354"/>
    </row>
    <row r="421" spans="1:5" s="448" customFormat="1" ht="15.75" customHeight="1">
      <c r="A421" s="450"/>
      <c r="B421" s="450"/>
      <c r="C421" s="449"/>
      <c r="E421" s="354"/>
    </row>
    <row r="422" spans="1:5" s="448" customFormat="1" ht="15.75" customHeight="1">
      <c r="A422" s="450"/>
      <c r="B422" s="450"/>
      <c r="C422" s="449"/>
      <c r="E422" s="354"/>
    </row>
    <row r="423" spans="1:5" s="448" customFormat="1" ht="15.75" customHeight="1">
      <c r="A423" s="450"/>
      <c r="B423" s="450"/>
      <c r="C423" s="449"/>
      <c r="E423" s="354"/>
    </row>
    <row r="424" spans="1:5" s="448" customFormat="1" ht="15.75" customHeight="1">
      <c r="A424" s="450"/>
      <c r="B424" s="450"/>
      <c r="C424" s="449"/>
      <c r="E424" s="354"/>
    </row>
    <row r="425" spans="1:5" s="448" customFormat="1" ht="15.75" customHeight="1">
      <c r="A425" s="450"/>
      <c r="B425" s="450"/>
      <c r="C425" s="449"/>
      <c r="E425" s="354"/>
    </row>
    <row r="426" spans="1:5" s="448" customFormat="1" ht="15.75" customHeight="1">
      <c r="A426" s="450"/>
      <c r="B426" s="450"/>
      <c r="C426" s="449"/>
      <c r="E426" s="354"/>
    </row>
    <row r="427" spans="1:5" s="448" customFormat="1" ht="15.75" customHeight="1">
      <c r="A427" s="450"/>
      <c r="B427" s="450"/>
      <c r="C427" s="449"/>
      <c r="E427" s="354"/>
    </row>
    <row r="428" spans="1:5" s="448" customFormat="1" ht="15.75" customHeight="1">
      <c r="A428" s="450"/>
      <c r="B428" s="450"/>
      <c r="C428" s="449"/>
      <c r="E428" s="354"/>
    </row>
    <row r="429" spans="1:5" s="448" customFormat="1" ht="15.75" customHeight="1">
      <c r="A429" s="450"/>
      <c r="B429" s="450"/>
      <c r="C429" s="449"/>
      <c r="E429" s="354"/>
    </row>
    <row r="430" spans="1:5" s="448" customFormat="1" ht="15.75" customHeight="1">
      <c r="A430" s="450"/>
      <c r="B430" s="450"/>
      <c r="C430" s="449"/>
      <c r="E430" s="354"/>
    </row>
    <row r="431" spans="1:5" s="448" customFormat="1" ht="15.75" customHeight="1">
      <c r="A431" s="450"/>
      <c r="B431" s="450"/>
      <c r="C431" s="449"/>
      <c r="E431" s="354"/>
    </row>
    <row r="432" spans="1:5" s="448" customFormat="1" ht="15.75" customHeight="1">
      <c r="A432" s="450"/>
      <c r="B432" s="450"/>
      <c r="C432" s="449"/>
      <c r="E432" s="354"/>
    </row>
    <row r="433" spans="1:5" s="448" customFormat="1" ht="15.75" customHeight="1">
      <c r="A433" s="450"/>
      <c r="B433" s="450"/>
      <c r="C433" s="449"/>
      <c r="E433" s="354"/>
    </row>
    <row r="434" spans="1:5" s="448" customFormat="1" ht="15.75" customHeight="1">
      <c r="A434" s="450"/>
      <c r="B434" s="450"/>
      <c r="C434" s="449"/>
      <c r="E434" s="354"/>
    </row>
    <row r="435" spans="1:5" s="448" customFormat="1" ht="15.75" customHeight="1">
      <c r="A435" s="450"/>
      <c r="B435" s="450"/>
      <c r="C435" s="449"/>
      <c r="E435" s="354"/>
    </row>
    <row r="436" spans="1:5" s="448" customFormat="1" ht="15.75" customHeight="1">
      <c r="A436" s="450"/>
      <c r="B436" s="450"/>
      <c r="C436" s="449"/>
      <c r="E436" s="354"/>
    </row>
    <row r="437" spans="1:5" s="448" customFormat="1" ht="15.75" customHeight="1">
      <c r="A437" s="450"/>
      <c r="B437" s="450"/>
      <c r="C437" s="449"/>
      <c r="E437" s="354"/>
    </row>
    <row r="438" spans="1:5" s="448" customFormat="1" ht="15.75" customHeight="1">
      <c r="A438" s="450"/>
      <c r="B438" s="450"/>
      <c r="C438" s="449"/>
      <c r="E438" s="354"/>
    </row>
    <row r="439" spans="1:5" s="448" customFormat="1" ht="15.75" customHeight="1">
      <c r="A439" s="450"/>
      <c r="B439" s="450"/>
      <c r="C439" s="449"/>
      <c r="E439" s="354"/>
    </row>
    <row r="440" spans="1:5" s="448" customFormat="1" ht="15.75" customHeight="1">
      <c r="A440" s="450"/>
      <c r="B440" s="450"/>
      <c r="C440" s="449"/>
      <c r="E440" s="354"/>
    </row>
    <row r="441" spans="1:5" s="448" customFormat="1" ht="15.75" customHeight="1">
      <c r="A441" s="450"/>
      <c r="B441" s="450"/>
      <c r="C441" s="449"/>
      <c r="E441" s="354"/>
    </row>
    <row r="442" spans="1:5" s="448" customFormat="1" ht="15.75" customHeight="1">
      <c r="A442" s="450"/>
      <c r="B442" s="450"/>
      <c r="C442" s="449"/>
      <c r="E442" s="354"/>
    </row>
    <row r="443" spans="1:5" s="448" customFormat="1" ht="15.75" customHeight="1">
      <c r="A443" s="450"/>
      <c r="B443" s="450"/>
      <c r="C443" s="449"/>
      <c r="E443" s="354"/>
    </row>
    <row r="444" spans="1:5" s="448" customFormat="1" ht="15.75" customHeight="1">
      <c r="A444" s="450"/>
      <c r="B444" s="450"/>
      <c r="C444" s="449"/>
      <c r="E444" s="354"/>
    </row>
    <row r="445" spans="1:5" s="448" customFormat="1" ht="15.75" customHeight="1">
      <c r="A445" s="450"/>
      <c r="B445" s="450"/>
      <c r="C445" s="449"/>
      <c r="E445" s="354"/>
    </row>
    <row r="446" spans="1:5" s="448" customFormat="1" ht="15.75" customHeight="1">
      <c r="A446" s="450"/>
      <c r="B446" s="450"/>
      <c r="C446" s="449"/>
      <c r="E446" s="354"/>
    </row>
    <row r="447" spans="1:5" s="448" customFormat="1" ht="15.75" customHeight="1">
      <c r="A447" s="450"/>
      <c r="B447" s="450"/>
      <c r="C447" s="449"/>
      <c r="E447" s="354"/>
    </row>
    <row r="448" spans="1:5" s="448" customFormat="1" ht="15.75" customHeight="1">
      <c r="A448" s="450"/>
      <c r="B448" s="450"/>
      <c r="C448" s="449"/>
      <c r="E448" s="354"/>
    </row>
    <row r="449" spans="1:5" s="448" customFormat="1" ht="15.75" customHeight="1">
      <c r="A449" s="450"/>
      <c r="B449" s="450"/>
      <c r="C449" s="449"/>
      <c r="E449" s="354"/>
    </row>
    <row r="450" spans="1:5" s="448" customFormat="1" ht="15.75" customHeight="1">
      <c r="A450" s="450"/>
      <c r="B450" s="450"/>
      <c r="C450" s="449"/>
      <c r="E450" s="354"/>
    </row>
    <row r="451" spans="1:5" s="448" customFormat="1" ht="15.75" customHeight="1">
      <c r="A451" s="450"/>
      <c r="B451" s="450"/>
      <c r="C451" s="449"/>
      <c r="E451" s="354"/>
    </row>
    <row r="452" spans="1:5" s="448" customFormat="1" ht="15.75" customHeight="1">
      <c r="A452" s="450"/>
      <c r="B452" s="450"/>
      <c r="C452" s="449"/>
      <c r="E452" s="354"/>
    </row>
    <row r="453" spans="1:5" s="448" customFormat="1" ht="15.75" customHeight="1">
      <c r="A453" s="450"/>
      <c r="B453" s="450"/>
      <c r="C453" s="449"/>
      <c r="E453" s="354"/>
    </row>
    <row r="454" spans="1:5" s="448" customFormat="1" ht="15.75" customHeight="1">
      <c r="A454" s="450"/>
      <c r="B454" s="450"/>
      <c r="C454" s="449"/>
      <c r="E454" s="354"/>
    </row>
    <row r="455" spans="1:5" s="448" customFormat="1" ht="15.75" customHeight="1">
      <c r="A455" s="450"/>
      <c r="B455" s="450"/>
      <c r="C455" s="449"/>
      <c r="E455" s="354"/>
    </row>
    <row r="456" spans="1:5" s="448" customFormat="1" ht="15.75" customHeight="1">
      <c r="A456" s="450"/>
      <c r="B456" s="450"/>
      <c r="C456" s="449"/>
      <c r="E456" s="354"/>
    </row>
    <row r="457" spans="1:5" s="448" customFormat="1" ht="15.75" customHeight="1">
      <c r="A457" s="450"/>
      <c r="B457" s="450"/>
      <c r="C457" s="449"/>
      <c r="E457" s="354"/>
    </row>
    <row r="458" spans="1:5" s="448" customFormat="1" ht="15.75" customHeight="1">
      <c r="A458" s="450"/>
      <c r="B458" s="450"/>
      <c r="C458" s="449"/>
      <c r="E458" s="354"/>
    </row>
    <row r="459" spans="1:5" s="448" customFormat="1" ht="15.75" customHeight="1">
      <c r="A459" s="450"/>
      <c r="B459" s="450"/>
      <c r="C459" s="449"/>
      <c r="E459" s="354"/>
    </row>
    <row r="460" spans="1:5" s="448" customFormat="1" ht="15.75" customHeight="1">
      <c r="A460" s="450"/>
      <c r="B460" s="450"/>
      <c r="C460" s="449"/>
      <c r="E460" s="354"/>
    </row>
    <row r="461" spans="1:5" s="448" customFormat="1" ht="15.75" customHeight="1">
      <c r="A461" s="450"/>
      <c r="B461" s="450"/>
      <c r="C461" s="449"/>
      <c r="E461" s="354"/>
    </row>
    <row r="462" spans="1:5" s="448" customFormat="1" ht="15.75" customHeight="1">
      <c r="A462" s="450"/>
      <c r="B462" s="450"/>
      <c r="C462" s="449"/>
      <c r="E462" s="354"/>
    </row>
    <row r="463" spans="1:5" s="448" customFormat="1" ht="15.75" customHeight="1">
      <c r="A463" s="450"/>
      <c r="B463" s="450"/>
      <c r="C463" s="449"/>
      <c r="E463" s="354"/>
    </row>
    <row r="464" spans="1:5" s="448" customFormat="1" ht="15.75" customHeight="1">
      <c r="A464" s="450"/>
      <c r="B464" s="450"/>
      <c r="C464" s="449"/>
      <c r="E464" s="354"/>
    </row>
    <row r="465" spans="1:5" s="448" customFormat="1" ht="15.75" customHeight="1">
      <c r="A465" s="450"/>
      <c r="B465" s="450"/>
      <c r="C465" s="449"/>
      <c r="E465" s="354"/>
    </row>
    <row r="466" spans="1:5" s="448" customFormat="1" ht="15.75" customHeight="1">
      <c r="A466" s="450"/>
      <c r="B466" s="450"/>
      <c r="C466" s="449"/>
      <c r="E466" s="354"/>
    </row>
    <row r="467" spans="1:5" s="448" customFormat="1" ht="15.75" customHeight="1">
      <c r="A467" s="450"/>
      <c r="B467" s="450"/>
      <c r="C467" s="449"/>
      <c r="E467" s="354"/>
    </row>
    <row r="468" spans="1:5" s="448" customFormat="1" ht="15.75" customHeight="1">
      <c r="A468" s="450"/>
      <c r="B468" s="450"/>
      <c r="C468" s="449"/>
      <c r="E468" s="354"/>
    </row>
    <row r="469" spans="1:5" s="448" customFormat="1" ht="15.75" customHeight="1">
      <c r="A469" s="450"/>
      <c r="B469" s="450"/>
      <c r="C469" s="449"/>
      <c r="E469" s="354"/>
    </row>
    <row r="470" spans="1:5" s="448" customFormat="1" ht="15.75" customHeight="1">
      <c r="A470" s="450"/>
      <c r="B470" s="450"/>
      <c r="C470" s="449"/>
      <c r="E470" s="354"/>
    </row>
    <row r="471" spans="1:5" s="448" customFormat="1" ht="15.75" customHeight="1">
      <c r="A471" s="450"/>
      <c r="B471" s="450"/>
      <c r="C471" s="449"/>
      <c r="E471" s="354"/>
    </row>
    <row r="472" spans="1:5" s="448" customFormat="1" ht="15.75" customHeight="1">
      <c r="A472" s="450"/>
      <c r="B472" s="450"/>
      <c r="C472" s="449"/>
      <c r="E472" s="354"/>
    </row>
    <row r="473" spans="1:5" s="448" customFormat="1" ht="15.75" customHeight="1">
      <c r="A473" s="450"/>
      <c r="B473" s="450"/>
      <c r="C473" s="449"/>
      <c r="E473" s="354"/>
    </row>
    <row r="474" spans="1:5" s="448" customFormat="1" ht="15.75" customHeight="1">
      <c r="A474" s="450"/>
      <c r="B474" s="450"/>
      <c r="C474" s="449"/>
      <c r="E474" s="354"/>
    </row>
    <row r="475" spans="1:5" s="448" customFormat="1" ht="15.75" customHeight="1">
      <c r="A475" s="450"/>
      <c r="B475" s="450"/>
      <c r="C475" s="449"/>
      <c r="E475" s="354"/>
    </row>
    <row r="476" spans="1:5" s="448" customFormat="1" ht="15.75" customHeight="1">
      <c r="A476" s="450"/>
      <c r="B476" s="450"/>
      <c r="C476" s="449"/>
      <c r="E476" s="354"/>
    </row>
    <row r="477" spans="1:5" s="448" customFormat="1" ht="15.75" customHeight="1">
      <c r="A477" s="450"/>
      <c r="B477" s="450"/>
      <c r="C477" s="449"/>
      <c r="E477" s="354"/>
    </row>
    <row r="478" spans="1:5" s="448" customFormat="1" ht="15.75" customHeight="1">
      <c r="A478" s="450"/>
      <c r="B478" s="450"/>
      <c r="C478" s="449"/>
      <c r="E478" s="354"/>
    </row>
    <row r="479" spans="1:5" s="448" customFormat="1" ht="15.75" customHeight="1">
      <c r="A479" s="450"/>
      <c r="B479" s="450"/>
      <c r="C479" s="449"/>
      <c r="E479" s="354"/>
    </row>
    <row r="480" spans="1:5" s="448" customFormat="1" ht="15.75" customHeight="1">
      <c r="A480" s="450"/>
      <c r="B480" s="450"/>
      <c r="C480" s="449"/>
      <c r="E480" s="354"/>
    </row>
    <row r="481" spans="1:5" s="448" customFormat="1" ht="15.75" customHeight="1">
      <c r="A481" s="450"/>
      <c r="B481" s="450"/>
      <c r="C481" s="449"/>
      <c r="E481" s="354"/>
    </row>
    <row r="482" spans="1:5" s="448" customFormat="1" ht="15.75" customHeight="1">
      <c r="A482" s="450"/>
      <c r="B482" s="450"/>
      <c r="C482" s="449"/>
      <c r="E482" s="354"/>
    </row>
    <row r="483" spans="1:5" s="448" customFormat="1" ht="15.75" customHeight="1">
      <c r="A483" s="450"/>
      <c r="B483" s="450"/>
      <c r="C483" s="449"/>
      <c r="E483" s="354"/>
    </row>
    <row r="484" spans="1:5" s="448" customFormat="1" ht="15.75" customHeight="1">
      <c r="A484" s="450"/>
      <c r="B484" s="450"/>
      <c r="C484" s="449"/>
      <c r="E484" s="354"/>
    </row>
    <row r="485" spans="1:5" s="448" customFormat="1" ht="15.75" customHeight="1">
      <c r="A485" s="450"/>
      <c r="B485" s="450"/>
      <c r="C485" s="449"/>
      <c r="E485" s="354"/>
    </row>
    <row r="486" spans="1:5" s="448" customFormat="1" ht="15.75" customHeight="1">
      <c r="A486" s="450"/>
      <c r="B486" s="450"/>
      <c r="C486" s="449"/>
      <c r="E486" s="354"/>
    </row>
    <row r="487" spans="1:5" s="448" customFormat="1" ht="15.75" customHeight="1">
      <c r="A487" s="450"/>
      <c r="B487" s="450"/>
      <c r="C487" s="449"/>
      <c r="E487" s="354"/>
    </row>
    <row r="488" spans="1:5" s="448" customFormat="1" ht="15.75" customHeight="1">
      <c r="A488" s="450"/>
      <c r="B488" s="450"/>
      <c r="C488" s="449"/>
      <c r="E488" s="354"/>
    </row>
    <row r="489" spans="1:5" s="448" customFormat="1" ht="15.75" customHeight="1">
      <c r="A489" s="450"/>
      <c r="B489" s="450"/>
      <c r="C489" s="449"/>
      <c r="E489" s="354"/>
    </row>
    <row r="490" spans="1:5" s="448" customFormat="1" ht="15.75" customHeight="1">
      <c r="A490" s="450"/>
      <c r="B490" s="450"/>
      <c r="C490" s="449"/>
      <c r="E490" s="354"/>
    </row>
    <row r="491" spans="1:5" s="448" customFormat="1" ht="15.75" customHeight="1">
      <c r="A491" s="450"/>
      <c r="B491" s="450"/>
      <c r="C491" s="449"/>
      <c r="E491" s="354"/>
    </row>
    <row r="492" spans="1:5" s="448" customFormat="1" ht="15.75" customHeight="1">
      <c r="A492" s="450"/>
      <c r="B492" s="450"/>
      <c r="C492" s="449"/>
      <c r="E492" s="354"/>
    </row>
    <row r="493" spans="1:5" s="448" customFormat="1" ht="15.75" customHeight="1">
      <c r="A493" s="450"/>
      <c r="B493" s="450"/>
      <c r="C493" s="449"/>
      <c r="E493" s="354"/>
    </row>
    <row r="494" spans="1:5" s="448" customFormat="1" ht="15.75" customHeight="1">
      <c r="A494" s="450"/>
      <c r="B494" s="450"/>
      <c r="C494" s="449"/>
      <c r="E494" s="354"/>
    </row>
    <row r="495" spans="1:5" s="448" customFormat="1" ht="15.75" customHeight="1">
      <c r="A495" s="450"/>
      <c r="B495" s="450"/>
      <c r="C495" s="449"/>
      <c r="E495" s="354"/>
    </row>
    <row r="496" spans="1:5" s="448" customFormat="1" ht="15.75" customHeight="1">
      <c r="A496" s="450"/>
      <c r="B496" s="450"/>
      <c r="C496" s="449"/>
      <c r="E496" s="354"/>
    </row>
    <row r="497" spans="1:5" s="448" customFormat="1" ht="15.75" customHeight="1">
      <c r="A497" s="450"/>
      <c r="B497" s="450"/>
      <c r="C497" s="449"/>
      <c r="E497" s="354"/>
    </row>
    <row r="498" spans="1:5" s="448" customFormat="1" ht="15.75" customHeight="1">
      <c r="A498" s="450"/>
      <c r="B498" s="450"/>
      <c r="C498" s="449"/>
      <c r="E498" s="354"/>
    </row>
    <row r="499" spans="1:5" s="448" customFormat="1" ht="15.75" customHeight="1">
      <c r="A499" s="450"/>
      <c r="B499" s="450"/>
      <c r="C499" s="449"/>
      <c r="E499" s="354"/>
    </row>
    <row r="500" spans="1:5" s="448" customFormat="1" ht="15.75" customHeight="1">
      <c r="A500" s="450"/>
      <c r="B500" s="450"/>
      <c r="C500" s="449"/>
      <c r="E500" s="354"/>
    </row>
    <row r="501" spans="1:5" s="448" customFormat="1" ht="15.75" customHeight="1">
      <c r="A501" s="450"/>
      <c r="B501" s="450"/>
      <c r="C501" s="449"/>
      <c r="E501" s="354"/>
    </row>
    <row r="502" spans="1:5" s="448" customFormat="1" ht="15.75" customHeight="1">
      <c r="A502" s="450"/>
      <c r="B502" s="450"/>
      <c r="C502" s="449"/>
      <c r="E502" s="354"/>
    </row>
    <row r="503" spans="1:5" s="448" customFormat="1" ht="15.75" customHeight="1">
      <c r="A503" s="450"/>
      <c r="B503" s="450"/>
      <c r="C503" s="449"/>
      <c r="E503" s="354"/>
    </row>
    <row r="504" spans="1:5" s="448" customFormat="1" ht="15.75" customHeight="1">
      <c r="A504" s="450"/>
      <c r="B504" s="450"/>
      <c r="C504" s="449"/>
      <c r="E504" s="354"/>
    </row>
    <row r="505" spans="1:5" s="448" customFormat="1" ht="15.75" customHeight="1">
      <c r="A505" s="450"/>
      <c r="B505" s="450"/>
      <c r="C505" s="449"/>
      <c r="E505" s="354"/>
    </row>
    <row r="506" spans="1:5" s="448" customFormat="1" ht="15.75" customHeight="1">
      <c r="A506" s="450"/>
      <c r="B506" s="450"/>
      <c r="C506" s="449"/>
      <c r="E506" s="354"/>
    </row>
    <row r="507" spans="1:5" s="448" customFormat="1" ht="15.75" customHeight="1">
      <c r="A507" s="450"/>
      <c r="B507" s="450"/>
      <c r="C507" s="449"/>
      <c r="E507" s="354"/>
    </row>
    <row r="508" spans="1:5" s="448" customFormat="1" ht="15.75" customHeight="1">
      <c r="A508" s="450"/>
      <c r="B508" s="450"/>
      <c r="C508" s="449"/>
      <c r="E508" s="354"/>
    </row>
    <row r="509" spans="1:5" s="448" customFormat="1" ht="15.75" customHeight="1">
      <c r="A509" s="450"/>
      <c r="B509" s="450"/>
      <c r="C509" s="449"/>
      <c r="E509" s="354"/>
    </row>
    <row r="510" spans="1:5" s="448" customFormat="1" ht="15.75" customHeight="1">
      <c r="A510" s="450"/>
      <c r="B510" s="450"/>
      <c r="C510" s="449"/>
      <c r="E510" s="354"/>
    </row>
    <row r="511" spans="1:5" s="448" customFormat="1" ht="15.75" customHeight="1">
      <c r="A511" s="450"/>
      <c r="B511" s="450"/>
      <c r="C511" s="449"/>
      <c r="E511" s="354"/>
    </row>
    <row r="512" spans="1:5" s="448" customFormat="1" ht="15.75" customHeight="1">
      <c r="A512" s="450"/>
      <c r="B512" s="450"/>
      <c r="C512" s="449"/>
      <c r="E512" s="354"/>
    </row>
    <row r="513" spans="1:5" s="448" customFormat="1" ht="15.75" customHeight="1">
      <c r="A513" s="450"/>
      <c r="B513" s="450"/>
      <c r="C513" s="449"/>
      <c r="E513" s="354"/>
    </row>
    <row r="514" spans="1:5" s="448" customFormat="1" ht="15.75" customHeight="1">
      <c r="A514" s="450"/>
      <c r="B514" s="450"/>
      <c r="C514" s="449"/>
      <c r="E514" s="354"/>
    </row>
    <row r="515" spans="1:5" s="448" customFormat="1" ht="15.75" customHeight="1">
      <c r="A515" s="450"/>
      <c r="B515" s="450"/>
      <c r="C515" s="449"/>
      <c r="E515" s="354"/>
    </row>
    <row r="516" spans="1:5" s="448" customFormat="1" ht="15.75" customHeight="1">
      <c r="A516" s="450"/>
      <c r="B516" s="450"/>
      <c r="C516" s="449"/>
      <c r="E516" s="354"/>
    </row>
    <row r="517" spans="1:5" s="448" customFormat="1" ht="15.75" customHeight="1">
      <c r="A517" s="450"/>
      <c r="B517" s="450"/>
      <c r="C517" s="449"/>
      <c r="E517" s="354"/>
    </row>
    <row r="518" spans="1:5" s="448" customFormat="1" ht="15.75" customHeight="1">
      <c r="A518" s="450"/>
      <c r="B518" s="450"/>
      <c r="C518" s="449"/>
      <c r="E518" s="354"/>
    </row>
    <row r="519" spans="1:5" s="448" customFormat="1" ht="15.75" customHeight="1">
      <c r="A519" s="450"/>
      <c r="B519" s="450"/>
      <c r="C519" s="449"/>
      <c r="E519" s="354"/>
    </row>
    <row r="520" spans="1:5" s="448" customFormat="1" ht="15.75" customHeight="1">
      <c r="A520" s="450"/>
      <c r="B520" s="450"/>
      <c r="C520" s="449"/>
      <c r="E520" s="354"/>
    </row>
    <row r="521" spans="1:5" s="448" customFormat="1" ht="15.75" customHeight="1">
      <c r="A521" s="450"/>
      <c r="B521" s="450"/>
      <c r="C521" s="449"/>
      <c r="E521" s="354"/>
    </row>
    <row r="522" spans="1:5" s="448" customFormat="1" ht="15.75" customHeight="1">
      <c r="A522" s="450"/>
      <c r="B522" s="450"/>
      <c r="C522" s="449"/>
      <c r="E522" s="354"/>
    </row>
    <row r="523" spans="1:5" s="448" customFormat="1" ht="15.75" customHeight="1">
      <c r="A523" s="450"/>
      <c r="B523" s="450"/>
      <c r="C523" s="449"/>
      <c r="E523" s="354"/>
    </row>
    <row r="524" spans="1:5" s="448" customFormat="1" ht="15.75" customHeight="1">
      <c r="A524" s="450"/>
      <c r="B524" s="450"/>
      <c r="C524" s="449"/>
      <c r="E524" s="354"/>
    </row>
    <row r="525" spans="1:5" s="448" customFormat="1" ht="15.75" customHeight="1">
      <c r="A525" s="450"/>
      <c r="B525" s="450"/>
      <c r="C525" s="449"/>
      <c r="E525" s="354"/>
    </row>
    <row r="526" spans="1:5" s="448" customFormat="1" ht="15.75" customHeight="1">
      <c r="A526" s="450"/>
      <c r="B526" s="450"/>
      <c r="C526" s="449"/>
      <c r="E526" s="354"/>
    </row>
    <row r="527" spans="1:5" s="448" customFormat="1" ht="15.75" customHeight="1">
      <c r="A527" s="450"/>
      <c r="B527" s="450"/>
      <c r="C527" s="449"/>
      <c r="E527" s="354"/>
    </row>
    <row r="528" spans="1:5" s="448" customFormat="1" ht="15.75" customHeight="1">
      <c r="A528" s="450"/>
      <c r="B528" s="450"/>
      <c r="C528" s="449"/>
      <c r="E528" s="354"/>
    </row>
    <row r="529" spans="1:5" s="448" customFormat="1" ht="15.75" customHeight="1">
      <c r="A529" s="450"/>
      <c r="B529" s="450"/>
      <c r="C529" s="449"/>
      <c r="E529" s="354"/>
    </row>
    <row r="530" spans="1:5" s="448" customFormat="1" ht="15.75" customHeight="1">
      <c r="A530" s="450"/>
      <c r="B530" s="450"/>
      <c r="C530" s="449"/>
      <c r="E530" s="354"/>
    </row>
    <row r="531" spans="1:5" s="448" customFormat="1" ht="15.75" customHeight="1">
      <c r="A531" s="450"/>
      <c r="B531" s="450"/>
      <c r="C531" s="449"/>
      <c r="E531" s="354"/>
    </row>
    <row r="532" spans="1:5" s="448" customFormat="1" ht="15.75" customHeight="1">
      <c r="A532" s="450"/>
      <c r="B532" s="450"/>
      <c r="C532" s="449"/>
      <c r="E532" s="354"/>
    </row>
    <row r="533" spans="1:5" s="448" customFormat="1" ht="15.75" customHeight="1">
      <c r="A533" s="450"/>
      <c r="B533" s="450"/>
      <c r="C533" s="449"/>
      <c r="E533" s="354"/>
    </row>
    <row r="534" spans="1:5" s="448" customFormat="1" ht="15.75" customHeight="1">
      <c r="A534" s="450"/>
      <c r="B534" s="450"/>
      <c r="C534" s="449"/>
      <c r="E534" s="354"/>
    </row>
    <row r="535" spans="1:5" s="448" customFormat="1" ht="15.75" customHeight="1">
      <c r="A535" s="450"/>
      <c r="B535" s="450"/>
      <c r="C535" s="449"/>
      <c r="E535" s="354"/>
    </row>
    <row r="536" spans="1:5" s="448" customFormat="1" ht="15.75" customHeight="1">
      <c r="A536" s="450"/>
      <c r="B536" s="450"/>
      <c r="C536" s="449"/>
      <c r="E536" s="354"/>
    </row>
    <row r="537" spans="1:5" s="448" customFormat="1" ht="15.75" customHeight="1">
      <c r="A537" s="450"/>
      <c r="B537" s="450"/>
      <c r="C537" s="449"/>
      <c r="E537" s="354"/>
    </row>
    <row r="538" spans="1:5" s="448" customFormat="1" ht="15.75" customHeight="1">
      <c r="A538" s="450"/>
      <c r="B538" s="450"/>
      <c r="C538" s="449"/>
      <c r="E538" s="354"/>
    </row>
    <row r="539" spans="1:5" s="448" customFormat="1" ht="15.75" customHeight="1">
      <c r="A539" s="450"/>
      <c r="B539" s="450"/>
      <c r="C539" s="449"/>
      <c r="E539" s="354"/>
    </row>
    <row r="540" spans="1:5" s="448" customFormat="1" ht="15.75" customHeight="1">
      <c r="A540" s="450"/>
      <c r="B540" s="450"/>
      <c r="C540" s="449"/>
      <c r="E540" s="354"/>
    </row>
    <row r="541" spans="1:5" s="448" customFormat="1" ht="15.75" customHeight="1">
      <c r="A541" s="450"/>
      <c r="B541" s="450"/>
      <c r="C541" s="449"/>
      <c r="E541" s="354"/>
    </row>
    <row r="542" spans="1:5" s="448" customFormat="1" ht="15.75" customHeight="1">
      <c r="A542" s="450"/>
      <c r="B542" s="450"/>
      <c r="C542" s="449"/>
      <c r="E542" s="354"/>
    </row>
    <row r="543" spans="1:5" s="448" customFormat="1" ht="15.75" customHeight="1">
      <c r="A543" s="450"/>
      <c r="B543" s="450"/>
      <c r="C543" s="449"/>
      <c r="E543" s="354"/>
    </row>
    <row r="544" spans="1:5" s="448" customFormat="1" ht="15.75" customHeight="1">
      <c r="A544" s="450"/>
      <c r="B544" s="450"/>
      <c r="C544" s="449"/>
      <c r="E544" s="354"/>
    </row>
    <row r="545" spans="1:5" s="448" customFormat="1" ht="15.75" customHeight="1">
      <c r="A545" s="450"/>
      <c r="B545" s="450"/>
      <c r="C545" s="449"/>
      <c r="E545" s="354"/>
    </row>
    <row r="546" spans="1:5" s="448" customFormat="1" ht="15.75" customHeight="1">
      <c r="A546" s="450"/>
      <c r="B546" s="450"/>
      <c r="C546" s="449"/>
      <c r="E546" s="354"/>
    </row>
    <row r="547" spans="1:5" s="448" customFormat="1" ht="15.75" customHeight="1">
      <c r="A547" s="450"/>
      <c r="B547" s="450"/>
      <c r="C547" s="449"/>
      <c r="E547" s="354"/>
    </row>
    <row r="548" spans="1:5" s="448" customFormat="1" ht="15.75" customHeight="1">
      <c r="A548" s="450"/>
      <c r="B548" s="450"/>
      <c r="C548" s="449"/>
      <c r="E548" s="354"/>
    </row>
    <row r="549" spans="1:5" s="448" customFormat="1" ht="15.75" customHeight="1">
      <c r="A549" s="450"/>
      <c r="B549" s="450"/>
      <c r="C549" s="449"/>
      <c r="E549" s="354"/>
    </row>
    <row r="550" spans="1:5" s="448" customFormat="1" ht="15.75" customHeight="1">
      <c r="A550" s="450"/>
      <c r="B550" s="450"/>
      <c r="C550" s="449"/>
      <c r="E550" s="354"/>
    </row>
    <row r="551" spans="1:5" s="448" customFormat="1" ht="15.75" customHeight="1">
      <c r="A551" s="450"/>
      <c r="B551" s="450"/>
      <c r="C551" s="449"/>
      <c r="E551" s="354"/>
    </row>
    <row r="552" spans="1:5" s="448" customFormat="1" ht="15.75" customHeight="1">
      <c r="A552" s="450"/>
      <c r="B552" s="450"/>
      <c r="C552" s="449"/>
      <c r="E552" s="354"/>
    </row>
    <row r="553" spans="1:5" s="448" customFormat="1" ht="15.75" customHeight="1">
      <c r="A553" s="450"/>
      <c r="B553" s="450"/>
      <c r="C553" s="449"/>
      <c r="E553" s="354"/>
    </row>
    <row r="554" spans="1:5" s="448" customFormat="1" ht="15.75" customHeight="1">
      <c r="A554" s="450"/>
      <c r="B554" s="450"/>
      <c r="C554" s="449"/>
      <c r="E554" s="354"/>
    </row>
    <row r="555" spans="1:5" s="448" customFormat="1" ht="15.75" customHeight="1">
      <c r="A555" s="450"/>
      <c r="B555" s="450"/>
      <c r="C555" s="449"/>
      <c r="E555" s="354"/>
    </row>
    <row r="556" spans="1:5" s="448" customFormat="1" ht="15.75" customHeight="1">
      <c r="A556" s="450"/>
      <c r="B556" s="450"/>
      <c r="C556" s="449"/>
      <c r="E556" s="354"/>
    </row>
    <row r="557" spans="1:5" s="448" customFormat="1" ht="15.75" customHeight="1">
      <c r="A557" s="450"/>
      <c r="B557" s="450"/>
      <c r="C557" s="449"/>
      <c r="E557" s="354"/>
    </row>
    <row r="558" spans="1:5" s="448" customFormat="1" ht="15.75" customHeight="1">
      <c r="A558" s="450"/>
      <c r="B558" s="450"/>
      <c r="C558" s="449"/>
      <c r="E558" s="354"/>
    </row>
    <row r="559" spans="1:5" s="448" customFormat="1" ht="15.75" customHeight="1">
      <c r="A559" s="450"/>
      <c r="B559" s="450"/>
      <c r="C559" s="449"/>
      <c r="E559" s="354"/>
    </row>
    <row r="560" spans="1:5" s="448" customFormat="1" ht="15.75" customHeight="1">
      <c r="A560" s="450"/>
      <c r="B560" s="450"/>
      <c r="C560" s="449"/>
      <c r="E560" s="354"/>
    </row>
    <row r="561" spans="1:5" s="448" customFormat="1" ht="15.75" customHeight="1">
      <c r="A561" s="450"/>
      <c r="B561" s="450"/>
      <c r="C561" s="449"/>
      <c r="E561" s="354"/>
    </row>
    <row r="562" spans="1:5" s="448" customFormat="1" ht="15.75" customHeight="1">
      <c r="A562" s="450"/>
      <c r="B562" s="450"/>
      <c r="C562" s="449"/>
      <c r="E562" s="354"/>
    </row>
    <row r="563" spans="1:5" s="448" customFormat="1" ht="15.75" customHeight="1">
      <c r="A563" s="450"/>
      <c r="B563" s="450"/>
      <c r="C563" s="449"/>
      <c r="E563" s="354"/>
    </row>
    <row r="564" spans="1:5" s="448" customFormat="1" ht="15.75" customHeight="1">
      <c r="A564" s="450"/>
      <c r="B564" s="450"/>
      <c r="C564" s="449"/>
      <c r="E564" s="354"/>
    </row>
    <row r="565" spans="1:5" s="448" customFormat="1" ht="15.75" customHeight="1">
      <c r="A565" s="450"/>
      <c r="B565" s="450"/>
      <c r="C565" s="449"/>
      <c r="E565" s="354"/>
    </row>
    <row r="566" spans="1:5" s="448" customFormat="1" ht="15.75" customHeight="1">
      <c r="A566" s="450"/>
      <c r="B566" s="450"/>
      <c r="C566" s="449"/>
      <c r="E566" s="354"/>
    </row>
    <row r="567" spans="1:5" s="448" customFormat="1" ht="15.75" customHeight="1">
      <c r="A567" s="450"/>
      <c r="B567" s="450"/>
      <c r="C567" s="449"/>
      <c r="E567" s="354"/>
    </row>
    <row r="568" spans="1:5" s="448" customFormat="1" ht="15.75" customHeight="1">
      <c r="A568" s="450"/>
      <c r="B568" s="450"/>
      <c r="C568" s="449"/>
      <c r="E568" s="354"/>
    </row>
    <row r="569" spans="1:5" s="448" customFormat="1" ht="15.75" customHeight="1">
      <c r="A569" s="450"/>
      <c r="B569" s="450"/>
      <c r="C569" s="449"/>
      <c r="E569" s="354"/>
    </row>
    <row r="570" spans="1:5" s="448" customFormat="1" ht="15.75" customHeight="1">
      <c r="A570" s="450"/>
      <c r="B570" s="450"/>
      <c r="C570" s="449"/>
      <c r="E570" s="354"/>
    </row>
    <row r="571" spans="1:5" s="448" customFormat="1" ht="15.75" customHeight="1">
      <c r="A571" s="450"/>
      <c r="B571" s="450"/>
      <c r="C571" s="449"/>
      <c r="E571" s="354"/>
    </row>
    <row r="572" spans="1:5" s="448" customFormat="1" ht="15.75" customHeight="1">
      <c r="A572" s="450"/>
      <c r="B572" s="450"/>
      <c r="C572" s="449"/>
      <c r="E572" s="354"/>
    </row>
    <row r="573" spans="1:5" s="448" customFormat="1" ht="15.75" customHeight="1">
      <c r="A573" s="450"/>
      <c r="B573" s="450"/>
      <c r="C573" s="449"/>
      <c r="E573" s="354"/>
    </row>
    <row r="574" spans="1:5" s="448" customFormat="1" ht="15.75" customHeight="1">
      <c r="A574" s="450"/>
      <c r="B574" s="450"/>
      <c r="C574" s="449"/>
      <c r="E574" s="354"/>
    </row>
    <row r="575" spans="1:5" s="448" customFormat="1" ht="15.75" customHeight="1">
      <c r="A575" s="450"/>
      <c r="B575" s="450"/>
      <c r="C575" s="449"/>
      <c r="E575" s="354"/>
    </row>
    <row r="576" spans="1:5" s="448" customFormat="1" ht="15.75" customHeight="1">
      <c r="A576" s="450"/>
      <c r="B576" s="450"/>
      <c r="C576" s="449"/>
      <c r="E576" s="354"/>
    </row>
    <row r="577" spans="1:5" s="448" customFormat="1" ht="15.75" customHeight="1">
      <c r="A577" s="450"/>
      <c r="B577" s="450"/>
      <c r="C577" s="449"/>
      <c r="E577" s="354"/>
    </row>
    <row r="578" spans="1:5" s="448" customFormat="1" ht="15.75" customHeight="1">
      <c r="A578" s="450"/>
      <c r="B578" s="450"/>
      <c r="C578" s="449"/>
      <c r="E578" s="354"/>
    </row>
    <row r="579" spans="1:5" s="448" customFormat="1" ht="15.75" customHeight="1">
      <c r="A579" s="450"/>
      <c r="B579" s="450"/>
      <c r="C579" s="449"/>
      <c r="E579" s="354"/>
    </row>
    <row r="580" spans="1:5" s="448" customFormat="1" ht="15.75" customHeight="1">
      <c r="A580" s="450"/>
      <c r="B580" s="450"/>
      <c r="C580" s="449"/>
      <c r="E580" s="354"/>
    </row>
    <row r="581" spans="1:5" s="448" customFormat="1" ht="15.75" customHeight="1">
      <c r="A581" s="450"/>
      <c r="B581" s="450"/>
      <c r="C581" s="449"/>
      <c r="E581" s="354"/>
    </row>
    <row r="582" spans="1:5" s="448" customFormat="1" ht="15.75" customHeight="1">
      <c r="A582" s="450"/>
      <c r="B582" s="450"/>
      <c r="C582" s="449"/>
      <c r="E582" s="354"/>
    </row>
    <row r="583" spans="1:5" s="448" customFormat="1" ht="15.75" customHeight="1">
      <c r="A583" s="450"/>
      <c r="B583" s="450"/>
      <c r="C583" s="449"/>
      <c r="E583" s="354"/>
    </row>
    <row r="584" spans="1:5" s="448" customFormat="1" ht="15.75" customHeight="1">
      <c r="A584" s="450"/>
      <c r="B584" s="450"/>
      <c r="C584" s="449"/>
      <c r="E584" s="354"/>
    </row>
    <row r="585" spans="1:5" s="448" customFormat="1" ht="15.75" customHeight="1">
      <c r="A585" s="450"/>
      <c r="B585" s="450"/>
      <c r="C585" s="449"/>
      <c r="E585" s="354"/>
    </row>
    <row r="586" spans="1:5" s="448" customFormat="1" ht="15.75" customHeight="1">
      <c r="A586" s="450"/>
      <c r="B586" s="450"/>
      <c r="C586" s="449"/>
      <c r="E586" s="354"/>
    </row>
    <row r="587" spans="1:5" s="448" customFormat="1" ht="15.75" customHeight="1">
      <c r="A587" s="450"/>
      <c r="B587" s="450"/>
      <c r="C587" s="449"/>
      <c r="E587" s="354"/>
    </row>
    <row r="588" spans="1:5" s="448" customFormat="1" ht="15.75" customHeight="1">
      <c r="A588" s="450"/>
      <c r="B588" s="450"/>
      <c r="C588" s="449"/>
      <c r="E588" s="354"/>
    </row>
    <row r="589" spans="1:5" s="448" customFormat="1" ht="15.75" customHeight="1">
      <c r="A589" s="450"/>
      <c r="B589" s="450"/>
      <c r="C589" s="449"/>
      <c r="E589" s="354"/>
    </row>
    <row r="590" spans="1:5" s="448" customFormat="1" ht="15.75" customHeight="1">
      <c r="A590" s="450"/>
      <c r="B590" s="450"/>
      <c r="C590" s="449"/>
      <c r="E590" s="354"/>
    </row>
    <row r="591" spans="1:5" s="448" customFormat="1" ht="15.75" customHeight="1">
      <c r="A591" s="450"/>
      <c r="B591" s="450"/>
      <c r="C591" s="449"/>
      <c r="E591" s="354"/>
    </row>
    <row r="592" spans="1:5" s="448" customFormat="1" ht="15.75" customHeight="1">
      <c r="A592" s="450"/>
      <c r="B592" s="450"/>
      <c r="C592" s="449"/>
      <c r="E592" s="354"/>
    </row>
    <row r="593" spans="1:5" s="448" customFormat="1" ht="15.75" customHeight="1">
      <c r="A593" s="450"/>
      <c r="B593" s="450"/>
      <c r="C593" s="449"/>
      <c r="E593" s="354"/>
    </row>
    <row r="594" spans="1:5" s="448" customFormat="1" ht="15.75" customHeight="1">
      <c r="A594" s="450"/>
      <c r="B594" s="450"/>
      <c r="C594" s="449"/>
      <c r="E594" s="354"/>
    </row>
    <row r="595" spans="1:5" s="448" customFormat="1" ht="15.75" customHeight="1">
      <c r="A595" s="450"/>
      <c r="B595" s="450"/>
      <c r="C595" s="449"/>
      <c r="E595" s="354"/>
    </row>
    <row r="596" spans="1:5" s="448" customFormat="1" ht="15.75" customHeight="1">
      <c r="A596" s="450"/>
      <c r="B596" s="450"/>
      <c r="C596" s="449"/>
      <c r="E596" s="354"/>
    </row>
    <row r="597" spans="1:5" s="448" customFormat="1" ht="15.75" customHeight="1">
      <c r="A597" s="450"/>
      <c r="B597" s="450"/>
      <c r="C597" s="449"/>
      <c r="E597" s="354"/>
    </row>
    <row r="598" spans="1:5" s="448" customFormat="1" ht="15.75" customHeight="1">
      <c r="A598" s="450"/>
      <c r="B598" s="450"/>
      <c r="C598" s="449"/>
      <c r="E598" s="354"/>
    </row>
    <row r="599" spans="1:5" s="448" customFormat="1" ht="15.75" customHeight="1">
      <c r="A599" s="450"/>
      <c r="B599" s="450"/>
      <c r="C599" s="449"/>
      <c r="E599" s="354"/>
    </row>
    <row r="600" spans="1:5" s="448" customFormat="1" ht="15.75" customHeight="1">
      <c r="A600" s="450"/>
      <c r="B600" s="450"/>
      <c r="C600" s="449"/>
      <c r="E600" s="354"/>
    </row>
    <row r="601" spans="1:5" s="448" customFormat="1" ht="15.75" customHeight="1">
      <c r="A601" s="450"/>
      <c r="B601" s="450"/>
      <c r="C601" s="449"/>
      <c r="E601" s="354"/>
    </row>
    <row r="602" spans="1:5" s="448" customFormat="1" ht="15.75" customHeight="1">
      <c r="A602" s="450"/>
      <c r="B602" s="450"/>
      <c r="C602" s="449"/>
      <c r="E602" s="354"/>
    </row>
    <row r="603" spans="1:5" s="448" customFormat="1" ht="15.75" customHeight="1">
      <c r="A603" s="450"/>
      <c r="B603" s="450"/>
      <c r="C603" s="449"/>
      <c r="E603" s="354"/>
    </row>
    <row r="604" spans="1:5" s="448" customFormat="1" ht="15.75" customHeight="1">
      <c r="A604" s="450"/>
      <c r="B604" s="450"/>
      <c r="C604" s="449"/>
      <c r="E604" s="354"/>
    </row>
    <row r="605" spans="1:5" s="448" customFormat="1" ht="15.75" customHeight="1">
      <c r="A605" s="450"/>
      <c r="B605" s="450"/>
      <c r="C605" s="449"/>
      <c r="E605" s="354"/>
    </row>
    <row r="606" spans="1:5" s="448" customFormat="1" ht="15.75" customHeight="1">
      <c r="A606" s="450"/>
      <c r="B606" s="450"/>
      <c r="C606" s="449"/>
      <c r="E606" s="354"/>
    </row>
    <row r="607" spans="1:5" s="448" customFormat="1" ht="15.75" customHeight="1">
      <c r="A607" s="450"/>
      <c r="B607" s="450"/>
      <c r="C607" s="449"/>
      <c r="E607" s="354"/>
    </row>
    <row r="608" spans="1:5" s="448" customFormat="1" ht="15.75" customHeight="1">
      <c r="A608" s="450"/>
      <c r="B608" s="450"/>
      <c r="C608" s="449"/>
      <c r="E608" s="354"/>
    </row>
    <row r="609" spans="1:5" s="448" customFormat="1" ht="15.75" customHeight="1">
      <c r="A609" s="450"/>
      <c r="B609" s="450"/>
      <c r="C609" s="449"/>
      <c r="E609" s="354"/>
    </row>
    <row r="610" spans="1:5" s="448" customFormat="1" ht="15.75" customHeight="1">
      <c r="A610" s="450"/>
      <c r="B610" s="450"/>
      <c r="C610" s="449"/>
      <c r="E610" s="354"/>
    </row>
    <row r="611" spans="1:5" s="448" customFormat="1" ht="15.75" customHeight="1">
      <c r="A611" s="450"/>
      <c r="B611" s="450"/>
      <c r="C611" s="449"/>
      <c r="E611" s="354"/>
    </row>
    <row r="612" spans="1:5" s="448" customFormat="1" ht="15.75" customHeight="1">
      <c r="A612" s="450"/>
      <c r="B612" s="450"/>
      <c r="C612" s="449"/>
      <c r="E612" s="354"/>
    </row>
    <row r="613" spans="1:5" s="448" customFormat="1" ht="15.75" customHeight="1">
      <c r="A613" s="450"/>
      <c r="B613" s="450"/>
      <c r="C613" s="449"/>
      <c r="E613" s="354"/>
    </row>
    <row r="614" spans="1:5" s="448" customFormat="1" ht="15.75" customHeight="1">
      <c r="A614" s="450"/>
      <c r="B614" s="450"/>
      <c r="C614" s="449"/>
      <c r="E614" s="354"/>
    </row>
    <row r="615" spans="1:5" s="448" customFormat="1" ht="15.75" customHeight="1">
      <c r="A615" s="450"/>
      <c r="B615" s="450"/>
      <c r="C615" s="449"/>
      <c r="E615" s="354"/>
    </row>
    <row r="616" spans="1:5" s="448" customFormat="1" ht="15.75" customHeight="1">
      <c r="A616" s="450"/>
      <c r="B616" s="450"/>
      <c r="C616" s="449"/>
      <c r="E616" s="354"/>
    </row>
    <row r="617" spans="1:5" s="448" customFormat="1" ht="15.75" customHeight="1">
      <c r="A617" s="450"/>
      <c r="B617" s="450"/>
      <c r="C617" s="449"/>
      <c r="E617" s="354"/>
    </row>
    <row r="618" spans="1:5" s="448" customFormat="1" ht="15.75" customHeight="1">
      <c r="A618" s="450"/>
      <c r="B618" s="450"/>
      <c r="C618" s="449"/>
      <c r="E618" s="354"/>
    </row>
    <row r="619" spans="1:5" s="448" customFormat="1" ht="15.75" customHeight="1">
      <c r="A619" s="450"/>
      <c r="B619" s="450"/>
      <c r="C619" s="449"/>
      <c r="E619" s="354"/>
    </row>
    <row r="620" spans="1:5" s="448" customFormat="1" ht="15.75" customHeight="1">
      <c r="A620" s="450"/>
      <c r="B620" s="450"/>
      <c r="C620" s="449"/>
      <c r="E620" s="354"/>
    </row>
    <row r="621" spans="1:5" s="448" customFormat="1" ht="15.75" customHeight="1">
      <c r="A621" s="450"/>
      <c r="B621" s="450"/>
      <c r="C621" s="449"/>
      <c r="E621" s="354"/>
    </row>
    <row r="622" spans="1:5" s="448" customFormat="1" ht="15.75" customHeight="1">
      <c r="A622" s="450"/>
      <c r="B622" s="450"/>
      <c r="C622" s="449"/>
      <c r="E622" s="354"/>
    </row>
    <row r="623" spans="1:5" s="448" customFormat="1" ht="15.75" customHeight="1">
      <c r="A623" s="450"/>
      <c r="B623" s="450"/>
      <c r="C623" s="449"/>
      <c r="E623" s="354"/>
    </row>
    <row r="624" spans="1:5" s="448" customFormat="1" ht="15.75" customHeight="1">
      <c r="A624" s="450"/>
      <c r="B624" s="450"/>
      <c r="C624" s="449"/>
      <c r="E624" s="354"/>
    </row>
    <row r="625" spans="1:5" s="448" customFormat="1" ht="15.75" customHeight="1">
      <c r="A625" s="450"/>
      <c r="B625" s="450"/>
      <c r="C625" s="449"/>
      <c r="E625" s="354"/>
    </row>
    <row r="626" spans="1:5" s="448" customFormat="1" ht="15.75" customHeight="1">
      <c r="A626" s="450"/>
      <c r="B626" s="450"/>
      <c r="C626" s="449"/>
      <c r="E626" s="354"/>
    </row>
    <row r="627" spans="1:5" s="448" customFormat="1" ht="15.75" customHeight="1">
      <c r="A627" s="450"/>
      <c r="B627" s="450"/>
      <c r="C627" s="449"/>
      <c r="E627" s="354"/>
    </row>
    <row r="628" spans="1:5" s="448" customFormat="1" ht="15.75" customHeight="1">
      <c r="A628" s="450"/>
      <c r="B628" s="450"/>
      <c r="C628" s="449"/>
      <c r="E628" s="354"/>
    </row>
    <row r="629" spans="1:5" s="448" customFormat="1" ht="15.75" customHeight="1">
      <c r="A629" s="450"/>
      <c r="B629" s="450"/>
      <c r="C629" s="449"/>
      <c r="E629" s="354"/>
    </row>
    <row r="630" spans="1:5" s="448" customFormat="1" ht="15.75" customHeight="1">
      <c r="A630" s="450"/>
      <c r="B630" s="450"/>
      <c r="C630" s="449"/>
      <c r="E630" s="354"/>
    </row>
    <row r="631" spans="1:5" s="448" customFormat="1" ht="15.75" customHeight="1">
      <c r="A631" s="450"/>
      <c r="B631" s="450"/>
      <c r="C631" s="449"/>
      <c r="E631" s="354"/>
    </row>
    <row r="632" spans="1:5" s="448" customFormat="1" ht="15.75" customHeight="1">
      <c r="A632" s="450"/>
      <c r="B632" s="450"/>
      <c r="C632" s="449"/>
      <c r="E632" s="354"/>
    </row>
    <row r="633" spans="1:5" s="448" customFormat="1" ht="15.75" customHeight="1">
      <c r="A633" s="450"/>
      <c r="B633" s="450"/>
      <c r="C633" s="449"/>
      <c r="E633" s="354"/>
    </row>
    <row r="634" spans="1:5" s="448" customFormat="1" ht="15.75" customHeight="1">
      <c r="A634" s="450"/>
      <c r="B634" s="450"/>
      <c r="C634" s="449"/>
      <c r="E634" s="354"/>
    </row>
    <row r="635" spans="1:5" s="448" customFormat="1" ht="15.75" customHeight="1">
      <c r="A635" s="450"/>
      <c r="B635" s="450"/>
      <c r="C635" s="449"/>
      <c r="E635" s="354"/>
    </row>
    <row r="636" spans="1:5" s="448" customFormat="1" ht="15.75" customHeight="1">
      <c r="A636" s="450"/>
      <c r="B636" s="450"/>
      <c r="C636" s="449"/>
      <c r="E636" s="354"/>
    </row>
    <row r="637" spans="1:5" s="448" customFormat="1" ht="15.75" customHeight="1">
      <c r="A637" s="450"/>
      <c r="B637" s="450"/>
      <c r="C637" s="449"/>
      <c r="E637" s="354"/>
    </row>
    <row r="638" spans="1:5" s="448" customFormat="1" ht="15.75" customHeight="1">
      <c r="A638" s="450"/>
      <c r="B638" s="450"/>
      <c r="C638" s="449"/>
      <c r="E638" s="354"/>
    </row>
    <row r="639" spans="1:5" s="448" customFormat="1" ht="15.75" customHeight="1">
      <c r="A639" s="450"/>
      <c r="B639" s="450"/>
      <c r="C639" s="449"/>
      <c r="E639" s="354"/>
    </row>
    <row r="640" spans="1:5" s="448" customFormat="1" ht="15.75" customHeight="1">
      <c r="A640" s="450"/>
      <c r="B640" s="450"/>
      <c r="C640" s="449"/>
      <c r="E640" s="354"/>
    </row>
    <row r="641" spans="1:5" s="448" customFormat="1" ht="15.75" customHeight="1">
      <c r="A641" s="450"/>
      <c r="B641" s="450"/>
      <c r="C641" s="449"/>
      <c r="E641" s="354"/>
    </row>
    <row r="642" spans="1:5" s="448" customFormat="1" ht="15.75" customHeight="1">
      <c r="A642" s="450"/>
      <c r="B642" s="450"/>
      <c r="C642" s="449"/>
      <c r="E642" s="354"/>
    </row>
    <row r="643" spans="1:5" s="448" customFormat="1" ht="15.75" customHeight="1">
      <c r="A643" s="450"/>
      <c r="B643" s="450"/>
      <c r="C643" s="449"/>
      <c r="E643" s="354"/>
    </row>
    <row r="644" spans="1:5" s="448" customFormat="1" ht="15.75" customHeight="1">
      <c r="A644" s="450"/>
      <c r="B644" s="450"/>
      <c r="C644" s="449"/>
      <c r="E644" s="354"/>
    </row>
    <row r="645" spans="1:5" s="448" customFormat="1" ht="15.75" customHeight="1">
      <c r="A645" s="450"/>
      <c r="B645" s="450"/>
      <c r="C645" s="449"/>
      <c r="E645" s="354"/>
    </row>
    <row r="646" spans="1:5" s="448" customFormat="1" ht="15.75" customHeight="1">
      <c r="A646" s="450"/>
      <c r="B646" s="450"/>
      <c r="C646" s="449"/>
      <c r="E646" s="354"/>
    </row>
    <row r="647" spans="1:5" s="448" customFormat="1" ht="15.75" customHeight="1">
      <c r="A647" s="450"/>
      <c r="B647" s="450"/>
      <c r="C647" s="449"/>
      <c r="E647" s="354"/>
    </row>
    <row r="648" spans="1:5" s="448" customFormat="1" ht="15.75" customHeight="1">
      <c r="A648" s="450"/>
      <c r="B648" s="450"/>
      <c r="C648" s="449"/>
      <c r="E648" s="354"/>
    </row>
    <row r="649" spans="1:5" s="448" customFormat="1" ht="15.75" customHeight="1">
      <c r="A649" s="450"/>
      <c r="B649" s="450"/>
      <c r="C649" s="449"/>
      <c r="E649" s="354"/>
    </row>
    <row r="650" spans="1:5" s="448" customFormat="1" ht="15.75" customHeight="1">
      <c r="A650" s="450"/>
      <c r="B650" s="450"/>
      <c r="C650" s="449"/>
      <c r="E650" s="354"/>
    </row>
    <row r="651" spans="1:5" s="448" customFormat="1" ht="15.75" customHeight="1">
      <c r="A651" s="450"/>
      <c r="B651" s="450"/>
      <c r="C651" s="449"/>
      <c r="E651" s="354"/>
    </row>
    <row r="652" spans="1:5" s="448" customFormat="1" ht="15.75" customHeight="1">
      <c r="A652" s="450"/>
      <c r="B652" s="450"/>
      <c r="C652" s="449"/>
      <c r="E652" s="354"/>
    </row>
    <row r="653" spans="1:5" s="448" customFormat="1" ht="15.75" customHeight="1">
      <c r="A653" s="450"/>
      <c r="B653" s="450"/>
      <c r="C653" s="449"/>
      <c r="E653" s="354"/>
    </row>
    <row r="654" spans="1:5" s="448" customFormat="1" ht="15.75" customHeight="1">
      <c r="A654" s="450"/>
      <c r="B654" s="450"/>
      <c r="C654" s="449"/>
      <c r="E654" s="354"/>
    </row>
    <row r="655" spans="1:5" s="448" customFormat="1" ht="15.75" customHeight="1">
      <c r="A655" s="450"/>
      <c r="B655" s="450"/>
      <c r="C655" s="449"/>
      <c r="E655" s="354"/>
    </row>
    <row r="656" spans="1:5" s="448" customFormat="1" ht="15.75" customHeight="1">
      <c r="A656" s="450"/>
      <c r="B656" s="450"/>
      <c r="C656" s="449"/>
      <c r="E656" s="354"/>
    </row>
    <row r="657" spans="1:5" s="448" customFormat="1" ht="15.75" customHeight="1">
      <c r="A657" s="450"/>
      <c r="B657" s="450"/>
      <c r="C657" s="449"/>
      <c r="E657" s="354"/>
    </row>
    <row r="658" spans="1:5" s="448" customFormat="1" ht="15.75" customHeight="1">
      <c r="A658" s="450"/>
      <c r="B658" s="450"/>
      <c r="C658" s="449"/>
      <c r="E658" s="354"/>
    </row>
    <row r="659" spans="1:5" s="448" customFormat="1" ht="15.75" customHeight="1">
      <c r="A659" s="450"/>
      <c r="B659" s="450"/>
      <c r="C659" s="449"/>
      <c r="E659" s="354"/>
    </row>
    <row r="660" spans="1:5" s="448" customFormat="1" ht="15.75" customHeight="1">
      <c r="A660" s="450"/>
      <c r="B660" s="450"/>
      <c r="C660" s="449"/>
      <c r="E660" s="354"/>
    </row>
    <row r="661" spans="1:5" s="448" customFormat="1" ht="15.75" customHeight="1">
      <c r="A661" s="450"/>
      <c r="B661" s="450"/>
      <c r="C661" s="449"/>
      <c r="E661" s="354"/>
    </row>
    <row r="662" spans="1:5" s="448" customFormat="1" ht="15.75" customHeight="1">
      <c r="A662" s="450"/>
      <c r="B662" s="450"/>
      <c r="C662" s="449"/>
      <c r="E662" s="354"/>
    </row>
    <row r="663" spans="1:5" s="448" customFormat="1" ht="15.75" customHeight="1">
      <c r="A663" s="450"/>
      <c r="B663" s="450"/>
      <c r="C663" s="449"/>
      <c r="E663" s="354"/>
    </row>
    <row r="664" spans="1:5" s="448" customFormat="1" ht="15.75" customHeight="1">
      <c r="A664" s="450"/>
      <c r="B664" s="450"/>
      <c r="C664" s="449"/>
      <c r="E664" s="354"/>
    </row>
    <row r="665" spans="1:5" s="448" customFormat="1" ht="15.75" customHeight="1">
      <c r="A665" s="450"/>
      <c r="B665" s="450"/>
      <c r="C665" s="449"/>
      <c r="E665" s="354"/>
    </row>
    <row r="666" spans="1:5" s="448" customFormat="1" ht="15.75" customHeight="1">
      <c r="A666" s="450"/>
      <c r="B666" s="450"/>
      <c r="C666" s="449"/>
      <c r="E666" s="354"/>
    </row>
    <row r="667" spans="1:5" s="448" customFormat="1" ht="15.75" customHeight="1">
      <c r="A667" s="450"/>
      <c r="B667" s="450"/>
      <c r="C667" s="449"/>
      <c r="E667" s="354"/>
    </row>
    <row r="668" spans="1:5" s="448" customFormat="1" ht="15.75" customHeight="1">
      <c r="A668" s="450"/>
      <c r="B668" s="450"/>
      <c r="C668" s="449"/>
      <c r="E668" s="354"/>
    </row>
    <row r="669" spans="1:5" s="448" customFormat="1" ht="15.75" customHeight="1">
      <c r="A669" s="450"/>
      <c r="B669" s="450"/>
      <c r="C669" s="449"/>
      <c r="E669" s="354"/>
    </row>
    <row r="670" spans="1:5" s="448" customFormat="1" ht="15.75" customHeight="1">
      <c r="A670" s="450"/>
      <c r="B670" s="450"/>
      <c r="C670" s="449"/>
      <c r="E670" s="354"/>
    </row>
    <row r="671" spans="1:5" s="448" customFormat="1" ht="15.75" customHeight="1">
      <c r="A671" s="450"/>
      <c r="B671" s="450"/>
      <c r="C671" s="449"/>
      <c r="E671" s="354"/>
    </row>
    <row r="672" spans="1:5" s="448" customFormat="1" ht="15.75" customHeight="1">
      <c r="A672" s="450"/>
      <c r="B672" s="450"/>
      <c r="C672" s="449"/>
      <c r="E672" s="354"/>
    </row>
    <row r="673" spans="1:5" s="448" customFormat="1" ht="15.75" customHeight="1">
      <c r="A673" s="450"/>
      <c r="B673" s="450"/>
      <c r="C673" s="449"/>
      <c r="E673" s="354"/>
    </row>
    <row r="674" spans="1:5" s="448" customFormat="1" ht="15.75" customHeight="1">
      <c r="A674" s="450"/>
      <c r="B674" s="450"/>
      <c r="C674" s="449"/>
      <c r="E674" s="354"/>
    </row>
    <row r="675" spans="1:5" s="448" customFormat="1" ht="15.75" customHeight="1">
      <c r="A675" s="450"/>
      <c r="B675" s="450"/>
      <c r="C675" s="449"/>
      <c r="E675" s="354"/>
    </row>
    <row r="676" spans="1:5" s="448" customFormat="1" ht="15.75" customHeight="1">
      <c r="A676" s="450"/>
      <c r="B676" s="450"/>
      <c r="C676" s="449"/>
      <c r="E676" s="354"/>
    </row>
    <row r="677" spans="1:5" s="448" customFormat="1" ht="15.75" customHeight="1">
      <c r="A677" s="450"/>
      <c r="B677" s="450"/>
      <c r="C677" s="449"/>
      <c r="E677" s="354"/>
    </row>
    <row r="678" spans="1:5" s="448" customFormat="1" ht="15.75" customHeight="1">
      <c r="A678" s="450"/>
      <c r="B678" s="450"/>
      <c r="C678" s="449"/>
      <c r="E678" s="354"/>
    </row>
    <row r="679" spans="1:5" s="448" customFormat="1" ht="15.75" customHeight="1">
      <c r="A679" s="450"/>
      <c r="B679" s="450"/>
      <c r="C679" s="449"/>
      <c r="E679" s="354"/>
    </row>
    <row r="680" spans="1:5" s="448" customFormat="1" ht="15.75" customHeight="1">
      <c r="A680" s="450"/>
      <c r="B680" s="450"/>
      <c r="C680" s="449"/>
      <c r="E680" s="354"/>
    </row>
    <row r="681" spans="1:5" s="448" customFormat="1" ht="15.75" customHeight="1">
      <c r="A681" s="450"/>
      <c r="B681" s="450"/>
      <c r="C681" s="449"/>
      <c r="E681" s="354"/>
    </row>
    <row r="682" spans="1:5" s="448" customFormat="1" ht="15.75" customHeight="1">
      <c r="A682" s="450"/>
      <c r="B682" s="450"/>
      <c r="C682" s="449"/>
      <c r="E682" s="354"/>
    </row>
    <row r="683" spans="1:5" s="448" customFormat="1" ht="15.75" customHeight="1">
      <c r="A683" s="450"/>
      <c r="B683" s="450"/>
      <c r="C683" s="449"/>
      <c r="E683" s="354"/>
    </row>
    <row r="684" spans="1:5" s="448" customFormat="1" ht="15.75" customHeight="1">
      <c r="A684" s="450"/>
      <c r="B684" s="450"/>
      <c r="C684" s="449"/>
      <c r="E684" s="354"/>
    </row>
    <row r="685" spans="1:5" s="448" customFormat="1" ht="15.75" customHeight="1">
      <c r="A685" s="450"/>
      <c r="B685" s="450"/>
      <c r="C685" s="449"/>
      <c r="E685" s="354"/>
    </row>
    <row r="686" spans="1:5" s="448" customFormat="1" ht="15.75" customHeight="1">
      <c r="A686" s="450"/>
      <c r="B686" s="450"/>
      <c r="C686" s="449"/>
      <c r="E686" s="354"/>
    </row>
    <row r="687" spans="1:5" s="448" customFormat="1" ht="15.75" customHeight="1">
      <c r="A687" s="450"/>
      <c r="B687" s="450"/>
      <c r="C687" s="449"/>
      <c r="E687" s="354"/>
    </row>
    <row r="688" spans="1:5" s="448" customFormat="1" ht="15.75" customHeight="1">
      <c r="A688" s="450"/>
      <c r="B688" s="450"/>
      <c r="C688" s="449"/>
      <c r="E688" s="354"/>
    </row>
    <row r="689" spans="1:5" s="448" customFormat="1" ht="15.75" customHeight="1">
      <c r="A689" s="450"/>
      <c r="B689" s="450"/>
      <c r="C689" s="449"/>
      <c r="E689" s="354"/>
    </row>
    <row r="690" spans="1:5" s="448" customFormat="1" ht="15.75" customHeight="1">
      <c r="A690" s="450"/>
      <c r="B690" s="450"/>
      <c r="C690" s="449"/>
      <c r="E690" s="354"/>
    </row>
    <row r="691" spans="1:5" s="448" customFormat="1" ht="15.75" customHeight="1">
      <c r="A691" s="450"/>
      <c r="B691" s="450"/>
      <c r="C691" s="449"/>
      <c r="E691" s="354"/>
    </row>
    <row r="692" spans="1:5" s="448" customFormat="1" ht="15.75" customHeight="1">
      <c r="A692" s="450"/>
      <c r="B692" s="450"/>
      <c r="C692" s="449"/>
      <c r="E692" s="354"/>
    </row>
    <row r="693" spans="1:5" s="448" customFormat="1" ht="15.75" customHeight="1">
      <c r="A693" s="450"/>
      <c r="B693" s="450"/>
      <c r="C693" s="449"/>
      <c r="E693" s="354"/>
    </row>
    <row r="694" spans="1:5" s="448" customFormat="1" ht="15.75" customHeight="1">
      <c r="A694" s="450"/>
      <c r="B694" s="450"/>
      <c r="C694" s="449"/>
      <c r="E694" s="354"/>
    </row>
    <row r="695" spans="1:5" s="448" customFormat="1" ht="15.75" customHeight="1">
      <c r="A695" s="450"/>
      <c r="B695" s="450"/>
      <c r="C695" s="449"/>
      <c r="E695" s="354"/>
    </row>
    <row r="696" spans="1:5" s="448" customFormat="1" ht="15.75" customHeight="1">
      <c r="A696" s="450"/>
      <c r="B696" s="450"/>
      <c r="C696" s="449"/>
      <c r="E696" s="354"/>
    </row>
    <row r="697" spans="1:5" s="448" customFormat="1" ht="15.75" customHeight="1">
      <c r="A697" s="450"/>
      <c r="B697" s="450"/>
      <c r="C697" s="449"/>
      <c r="E697" s="354"/>
    </row>
    <row r="698" spans="1:5" s="448" customFormat="1" ht="15.75" customHeight="1">
      <c r="A698" s="450"/>
      <c r="B698" s="450"/>
      <c r="C698" s="449"/>
      <c r="E698" s="354"/>
    </row>
    <row r="699" spans="1:5" s="448" customFormat="1" ht="15.75" customHeight="1">
      <c r="A699" s="450"/>
      <c r="B699" s="450"/>
      <c r="C699" s="449"/>
      <c r="E699" s="354"/>
    </row>
    <row r="700" spans="1:5" s="448" customFormat="1" ht="15.75" customHeight="1">
      <c r="A700" s="450"/>
      <c r="B700" s="450"/>
      <c r="C700" s="449"/>
      <c r="E700" s="354"/>
    </row>
    <row r="701" spans="1:5" s="448" customFormat="1" ht="15.75" customHeight="1">
      <c r="A701" s="450"/>
      <c r="B701" s="450"/>
      <c r="C701" s="449"/>
      <c r="E701" s="354"/>
    </row>
    <row r="702" spans="1:5" s="448" customFormat="1" ht="15.75" customHeight="1">
      <c r="A702" s="450"/>
      <c r="B702" s="450"/>
      <c r="C702" s="449"/>
      <c r="E702" s="354"/>
    </row>
    <row r="703" spans="1:5" s="448" customFormat="1" ht="15.75" customHeight="1">
      <c r="A703" s="450"/>
      <c r="B703" s="450"/>
      <c r="C703" s="449"/>
      <c r="E703" s="354"/>
    </row>
    <row r="704" spans="1:5" s="448" customFormat="1" ht="15.75" customHeight="1">
      <c r="A704" s="450"/>
      <c r="B704" s="450"/>
      <c r="C704" s="449"/>
      <c r="E704" s="354"/>
    </row>
    <row r="705" spans="1:5" s="448" customFormat="1" ht="15.75" customHeight="1">
      <c r="A705" s="450"/>
      <c r="B705" s="450"/>
      <c r="C705" s="449"/>
      <c r="E705" s="354"/>
    </row>
    <row r="706" spans="1:5" s="448" customFormat="1" ht="15.75" customHeight="1">
      <c r="A706" s="450"/>
      <c r="B706" s="450"/>
      <c r="C706" s="449"/>
      <c r="E706" s="354"/>
    </row>
    <row r="707" spans="1:5" s="448" customFormat="1" ht="15.75" customHeight="1">
      <c r="A707" s="450"/>
      <c r="B707" s="450"/>
      <c r="C707" s="449"/>
      <c r="E707" s="354"/>
    </row>
    <row r="708" spans="1:5" s="448" customFormat="1" ht="15.75" customHeight="1">
      <c r="A708" s="450"/>
      <c r="B708" s="450"/>
      <c r="C708" s="449"/>
      <c r="E708" s="354"/>
    </row>
    <row r="709" spans="1:5" s="448" customFormat="1" ht="15.75" customHeight="1">
      <c r="A709" s="450"/>
      <c r="B709" s="450"/>
      <c r="C709" s="449"/>
      <c r="E709" s="354"/>
    </row>
    <row r="710" spans="1:5" s="448" customFormat="1" ht="15.75" customHeight="1">
      <c r="A710" s="450"/>
      <c r="B710" s="450"/>
      <c r="C710" s="449"/>
      <c r="E710" s="354"/>
    </row>
    <row r="711" spans="1:5" s="448" customFormat="1" ht="15.75" customHeight="1">
      <c r="A711" s="450"/>
      <c r="B711" s="450"/>
      <c r="C711" s="449"/>
      <c r="E711" s="354"/>
    </row>
    <row r="712" spans="1:5" s="448" customFormat="1" ht="15.75" customHeight="1">
      <c r="A712" s="450"/>
      <c r="B712" s="450"/>
      <c r="C712" s="449"/>
      <c r="E712" s="354"/>
    </row>
    <row r="713" spans="1:5" s="448" customFormat="1" ht="15.75" customHeight="1">
      <c r="A713" s="450"/>
      <c r="B713" s="450"/>
      <c r="C713" s="449"/>
      <c r="E713" s="354"/>
    </row>
    <row r="714" spans="1:5" s="448" customFormat="1" ht="15.75" customHeight="1">
      <c r="A714" s="450"/>
      <c r="B714" s="450"/>
      <c r="C714" s="449"/>
      <c r="E714" s="354"/>
    </row>
    <row r="715" spans="1:5" s="448" customFormat="1" ht="15.75" customHeight="1">
      <c r="A715" s="450"/>
      <c r="B715" s="450"/>
      <c r="C715" s="449"/>
      <c r="E715" s="354"/>
    </row>
    <row r="716" spans="1:5" s="448" customFormat="1" ht="15.75" customHeight="1">
      <c r="A716" s="450"/>
      <c r="B716" s="450"/>
      <c r="C716" s="449"/>
      <c r="E716" s="354"/>
    </row>
    <row r="717" spans="1:5" s="448" customFormat="1" ht="15.75" customHeight="1">
      <c r="A717" s="450"/>
      <c r="B717" s="450"/>
      <c r="C717" s="449"/>
      <c r="E717" s="354"/>
    </row>
    <row r="718" spans="1:5" s="448" customFormat="1" ht="15.75" customHeight="1">
      <c r="A718" s="450"/>
      <c r="B718" s="450"/>
      <c r="C718" s="449"/>
      <c r="E718" s="354"/>
    </row>
    <row r="719" spans="1:5" s="448" customFormat="1" ht="15.75" customHeight="1">
      <c r="A719" s="450"/>
      <c r="B719" s="450"/>
      <c r="C719" s="449"/>
      <c r="E719" s="354"/>
    </row>
    <row r="720" spans="1:5" s="448" customFormat="1" ht="15.75" customHeight="1">
      <c r="A720" s="450"/>
      <c r="B720" s="450"/>
      <c r="C720" s="449"/>
      <c r="E720" s="354"/>
    </row>
    <row r="721" spans="1:5" s="448" customFormat="1" ht="15.75" customHeight="1">
      <c r="A721" s="450"/>
      <c r="B721" s="450"/>
      <c r="C721" s="449"/>
      <c r="E721" s="354"/>
    </row>
    <row r="722" spans="1:5" s="448" customFormat="1" ht="15.75" customHeight="1">
      <c r="A722" s="450"/>
      <c r="B722" s="450"/>
      <c r="C722" s="449"/>
      <c r="E722" s="354"/>
    </row>
    <row r="723" spans="1:5" s="448" customFormat="1" ht="15.75" customHeight="1">
      <c r="A723" s="450"/>
      <c r="B723" s="450"/>
      <c r="C723" s="449"/>
      <c r="E723" s="354"/>
    </row>
    <row r="724" spans="1:5" s="448" customFormat="1" ht="15.75" customHeight="1">
      <c r="A724" s="450"/>
      <c r="B724" s="450"/>
      <c r="C724" s="449"/>
      <c r="E724" s="354"/>
    </row>
    <row r="725" spans="1:5" s="448" customFormat="1" ht="15.75" customHeight="1">
      <c r="A725" s="450"/>
      <c r="B725" s="450"/>
      <c r="C725" s="449"/>
      <c r="E725" s="354"/>
    </row>
    <row r="726" spans="1:5" s="448" customFormat="1" ht="15.75" customHeight="1">
      <c r="A726" s="450"/>
      <c r="B726" s="450"/>
      <c r="C726" s="449"/>
      <c r="E726" s="354"/>
    </row>
    <row r="727" spans="1:5" s="448" customFormat="1" ht="15.75" customHeight="1">
      <c r="A727" s="450"/>
      <c r="B727" s="450"/>
      <c r="C727" s="449"/>
      <c r="E727" s="354"/>
    </row>
    <row r="728" spans="1:5" s="448" customFormat="1" ht="15.75" customHeight="1">
      <c r="A728" s="450"/>
      <c r="B728" s="450"/>
      <c r="C728" s="449"/>
      <c r="E728" s="354"/>
    </row>
    <row r="729" spans="1:5" s="448" customFormat="1" ht="15.75" customHeight="1">
      <c r="A729" s="450"/>
      <c r="B729" s="450"/>
      <c r="C729" s="449"/>
      <c r="E729" s="354"/>
    </row>
    <row r="730" spans="1:5" s="448" customFormat="1" ht="15.75" customHeight="1">
      <c r="A730" s="450"/>
      <c r="B730" s="450"/>
      <c r="C730" s="449"/>
      <c r="E730" s="354"/>
    </row>
    <row r="731" spans="1:5" s="448" customFormat="1" ht="15.75" customHeight="1">
      <c r="A731" s="450"/>
      <c r="B731" s="450"/>
      <c r="C731" s="449"/>
      <c r="E731" s="354"/>
    </row>
    <row r="732" spans="1:5" s="448" customFormat="1" ht="15.75" customHeight="1">
      <c r="A732" s="450"/>
      <c r="B732" s="450"/>
      <c r="C732" s="449"/>
      <c r="E732" s="354"/>
    </row>
    <row r="733" spans="1:5" s="448" customFormat="1" ht="15.75" customHeight="1">
      <c r="A733" s="450"/>
      <c r="B733" s="450"/>
      <c r="C733" s="449"/>
      <c r="E733" s="354"/>
    </row>
    <row r="734" spans="1:5" s="448" customFormat="1" ht="15.75" customHeight="1">
      <c r="A734" s="450"/>
      <c r="B734" s="450"/>
      <c r="C734" s="449"/>
      <c r="E734" s="354"/>
    </row>
    <row r="735" spans="1:5" s="448" customFormat="1" ht="15.75" customHeight="1">
      <c r="A735" s="450"/>
      <c r="B735" s="450"/>
      <c r="C735" s="449"/>
      <c r="E735" s="354"/>
    </row>
    <row r="736" spans="1:5" s="448" customFormat="1" ht="15.75" customHeight="1">
      <c r="A736" s="450"/>
      <c r="B736" s="450"/>
      <c r="C736" s="449"/>
      <c r="E736" s="354"/>
    </row>
    <row r="737" spans="1:5" s="448" customFormat="1" ht="15.75" customHeight="1">
      <c r="A737" s="450"/>
      <c r="B737" s="450"/>
      <c r="C737" s="449"/>
      <c r="E737" s="354"/>
    </row>
    <row r="738" spans="1:5" s="448" customFormat="1" ht="15.75" customHeight="1">
      <c r="A738" s="450"/>
      <c r="B738" s="450"/>
      <c r="C738" s="449"/>
      <c r="E738" s="354"/>
    </row>
    <row r="739" spans="1:5" s="448" customFormat="1" ht="15.75" customHeight="1">
      <c r="A739" s="450"/>
      <c r="B739" s="450"/>
      <c r="C739" s="449"/>
      <c r="E739" s="354"/>
    </row>
    <row r="740" spans="1:5" s="448" customFormat="1" ht="15.75" customHeight="1">
      <c r="A740" s="450"/>
      <c r="B740" s="450"/>
      <c r="C740" s="449"/>
      <c r="E740" s="354"/>
    </row>
    <row r="741" spans="1:5" s="448" customFormat="1" ht="15.75" customHeight="1">
      <c r="A741" s="450"/>
      <c r="B741" s="450"/>
      <c r="C741" s="449"/>
      <c r="E741" s="354"/>
    </row>
    <row r="742" spans="1:5" s="448" customFormat="1" ht="15.75" customHeight="1">
      <c r="A742" s="450"/>
      <c r="B742" s="450"/>
      <c r="C742" s="449"/>
      <c r="E742" s="354"/>
    </row>
    <row r="743" spans="1:5" s="448" customFormat="1" ht="15.75" customHeight="1">
      <c r="A743" s="450"/>
      <c r="B743" s="450"/>
      <c r="C743" s="449"/>
      <c r="E743" s="354"/>
    </row>
    <row r="744" spans="1:5" s="448" customFormat="1" ht="15.75" customHeight="1">
      <c r="A744" s="450"/>
      <c r="B744" s="450"/>
      <c r="C744" s="449"/>
      <c r="E744" s="354"/>
    </row>
    <row r="745" spans="1:5" s="448" customFormat="1" ht="15.75" customHeight="1">
      <c r="A745" s="450"/>
      <c r="B745" s="450"/>
      <c r="C745" s="449"/>
      <c r="E745" s="354"/>
    </row>
    <row r="746" spans="1:5" s="448" customFormat="1" ht="15.75" customHeight="1">
      <c r="A746" s="450"/>
      <c r="B746" s="450"/>
      <c r="C746" s="449"/>
      <c r="E746" s="354"/>
    </row>
    <row r="747" spans="1:5" s="448" customFormat="1" ht="15.75" customHeight="1">
      <c r="A747" s="450"/>
      <c r="B747" s="450"/>
      <c r="C747" s="449"/>
      <c r="E747" s="354"/>
    </row>
    <row r="748" spans="1:5" s="448" customFormat="1" ht="15.75" customHeight="1">
      <c r="A748" s="450"/>
      <c r="B748" s="450"/>
      <c r="C748" s="449"/>
      <c r="E748" s="354"/>
    </row>
    <row r="749" spans="1:5" s="448" customFormat="1" ht="15.75" customHeight="1">
      <c r="A749" s="450"/>
      <c r="B749" s="450"/>
      <c r="C749" s="449"/>
      <c r="E749" s="354"/>
    </row>
    <row r="750" spans="1:5" s="448" customFormat="1" ht="15.75" customHeight="1">
      <c r="A750" s="450"/>
      <c r="B750" s="450"/>
      <c r="C750" s="449"/>
      <c r="E750" s="354"/>
    </row>
    <row r="751" spans="1:5" s="448" customFormat="1" ht="15.75" customHeight="1">
      <c r="A751" s="450"/>
      <c r="B751" s="450"/>
      <c r="C751" s="449"/>
      <c r="E751" s="354"/>
    </row>
    <row r="752" spans="1:5" s="448" customFormat="1" ht="15.75" customHeight="1">
      <c r="A752" s="450"/>
      <c r="B752" s="450"/>
      <c r="C752" s="449"/>
      <c r="E752" s="354"/>
    </row>
    <row r="753" spans="1:5" s="448" customFormat="1" ht="15.75" customHeight="1">
      <c r="A753" s="450"/>
      <c r="B753" s="450"/>
      <c r="C753" s="449"/>
      <c r="E753" s="354"/>
    </row>
    <row r="754" spans="1:5" s="448" customFormat="1" ht="15.75" customHeight="1">
      <c r="A754" s="450"/>
      <c r="B754" s="450"/>
      <c r="C754" s="449"/>
      <c r="E754" s="354"/>
    </row>
    <row r="755" spans="1:5" s="448" customFormat="1" ht="15.75" customHeight="1">
      <c r="A755" s="450"/>
      <c r="B755" s="450"/>
      <c r="C755" s="449"/>
      <c r="E755" s="354"/>
    </row>
    <row r="756" spans="1:5" s="448" customFormat="1" ht="15.75" customHeight="1">
      <c r="A756" s="450"/>
      <c r="B756" s="450"/>
      <c r="C756" s="449"/>
      <c r="E756" s="354"/>
    </row>
    <row r="757" spans="1:5" s="448" customFormat="1" ht="15.75" customHeight="1">
      <c r="A757" s="450"/>
      <c r="B757" s="450"/>
      <c r="C757" s="449"/>
      <c r="E757" s="354"/>
    </row>
    <row r="758" spans="1:5" s="448" customFormat="1" ht="15.75" customHeight="1">
      <c r="A758" s="450"/>
      <c r="B758" s="450"/>
      <c r="C758" s="449"/>
      <c r="E758" s="354"/>
    </row>
    <row r="759" spans="1:5" s="448" customFormat="1" ht="15.75" customHeight="1">
      <c r="A759" s="450"/>
      <c r="B759" s="450"/>
      <c r="C759" s="449"/>
      <c r="E759" s="354"/>
    </row>
    <row r="760" spans="1:5" s="448" customFormat="1" ht="15.75" customHeight="1">
      <c r="A760" s="450"/>
      <c r="B760" s="450"/>
      <c r="C760" s="449"/>
      <c r="E760" s="354"/>
    </row>
    <row r="761" spans="1:5" s="448" customFormat="1" ht="15.75" customHeight="1">
      <c r="A761" s="450"/>
      <c r="B761" s="450"/>
      <c r="C761" s="449"/>
      <c r="E761" s="354"/>
    </row>
    <row r="762" spans="1:5" s="448" customFormat="1" ht="15.75" customHeight="1">
      <c r="A762" s="450"/>
      <c r="B762" s="450"/>
      <c r="C762" s="449"/>
      <c r="E762" s="354"/>
    </row>
    <row r="763" spans="1:5" s="448" customFormat="1" ht="15.75" customHeight="1">
      <c r="A763" s="450"/>
      <c r="B763" s="450"/>
      <c r="C763" s="449"/>
      <c r="E763" s="354"/>
    </row>
    <row r="764" spans="1:5" s="448" customFormat="1" ht="15.75" customHeight="1">
      <c r="A764" s="450"/>
      <c r="B764" s="450"/>
      <c r="C764" s="449"/>
      <c r="E764" s="354"/>
    </row>
    <row r="765" spans="1:5" s="448" customFormat="1" ht="15.75" customHeight="1">
      <c r="A765" s="450"/>
      <c r="B765" s="450"/>
      <c r="C765" s="449"/>
      <c r="E765" s="354"/>
    </row>
    <row r="766" spans="1:5" s="448" customFormat="1" ht="15.75" customHeight="1">
      <c r="A766" s="450"/>
      <c r="B766" s="450"/>
      <c r="C766" s="449"/>
      <c r="E766" s="354"/>
    </row>
    <row r="767" spans="1:5" s="448" customFormat="1" ht="15.75" customHeight="1">
      <c r="A767" s="450"/>
      <c r="B767" s="450"/>
      <c r="C767" s="449"/>
      <c r="E767" s="354"/>
    </row>
    <row r="768" spans="1:5" s="448" customFormat="1" ht="15.75" customHeight="1">
      <c r="A768" s="450"/>
      <c r="B768" s="450"/>
      <c r="C768" s="449"/>
      <c r="E768" s="354"/>
    </row>
    <row r="769" spans="1:5" s="448" customFormat="1" ht="15.75" customHeight="1">
      <c r="A769" s="450"/>
      <c r="B769" s="450"/>
      <c r="C769" s="449"/>
      <c r="E769" s="354"/>
    </row>
    <row r="770" spans="1:5" s="448" customFormat="1" ht="15.75" customHeight="1">
      <c r="A770" s="450"/>
      <c r="B770" s="450"/>
      <c r="C770" s="449"/>
      <c r="E770" s="354"/>
    </row>
    <row r="771" spans="1:5" s="448" customFormat="1" ht="15.75" customHeight="1">
      <c r="A771" s="450"/>
      <c r="B771" s="450"/>
      <c r="C771" s="449"/>
      <c r="E771" s="354"/>
    </row>
    <row r="772" spans="1:5" s="448" customFormat="1" ht="15.75" customHeight="1">
      <c r="A772" s="450"/>
      <c r="B772" s="450"/>
      <c r="C772" s="449"/>
      <c r="E772" s="354"/>
    </row>
    <row r="773" spans="1:5" s="448" customFormat="1" ht="15.75" customHeight="1">
      <c r="A773" s="450"/>
      <c r="B773" s="450"/>
      <c r="C773" s="449"/>
      <c r="E773" s="354"/>
    </row>
    <row r="774" spans="1:5" s="448" customFormat="1" ht="15.75" customHeight="1">
      <c r="A774" s="450"/>
      <c r="B774" s="450"/>
      <c r="C774" s="449"/>
      <c r="E774" s="354"/>
    </row>
    <row r="775" spans="1:5" s="448" customFormat="1" ht="15.75" customHeight="1">
      <c r="A775" s="450"/>
      <c r="B775" s="450"/>
      <c r="C775" s="449"/>
      <c r="E775" s="354"/>
    </row>
    <row r="776" spans="1:5" s="448" customFormat="1" ht="15.75" customHeight="1">
      <c r="A776" s="450"/>
      <c r="B776" s="450"/>
      <c r="C776" s="449"/>
      <c r="E776" s="354"/>
    </row>
    <row r="777" spans="1:5" s="448" customFormat="1" ht="15.75" customHeight="1">
      <c r="A777" s="450"/>
      <c r="B777" s="450"/>
      <c r="C777" s="449"/>
      <c r="E777" s="354"/>
    </row>
    <row r="778" spans="1:5" s="448" customFormat="1" ht="15.75" customHeight="1">
      <c r="A778" s="450"/>
      <c r="B778" s="450"/>
      <c r="C778" s="449"/>
      <c r="E778" s="354"/>
    </row>
    <row r="779" spans="1:5" s="448" customFormat="1" ht="15.75" customHeight="1">
      <c r="A779" s="450"/>
      <c r="B779" s="450"/>
      <c r="C779" s="449"/>
      <c r="E779" s="354"/>
    </row>
    <row r="780" spans="1:5" s="448" customFormat="1" ht="15.75" customHeight="1">
      <c r="A780" s="450"/>
      <c r="B780" s="450"/>
      <c r="C780" s="449"/>
      <c r="E780" s="354"/>
    </row>
    <row r="781" spans="1:5" s="448" customFormat="1" ht="15.75" customHeight="1">
      <c r="A781" s="450"/>
      <c r="B781" s="450"/>
      <c r="C781" s="449"/>
      <c r="E781" s="354"/>
    </row>
    <row r="782" spans="1:5" s="448" customFormat="1" ht="15.75" customHeight="1">
      <c r="A782" s="450"/>
      <c r="B782" s="450"/>
      <c r="C782" s="449"/>
      <c r="E782" s="354"/>
    </row>
    <row r="783" spans="1:5" s="448" customFormat="1" ht="15.75" customHeight="1">
      <c r="A783" s="450"/>
      <c r="B783" s="450"/>
      <c r="C783" s="449"/>
      <c r="E783" s="354"/>
    </row>
    <row r="784" spans="1:5" s="448" customFormat="1" ht="15.75" customHeight="1">
      <c r="A784" s="450"/>
      <c r="B784" s="450"/>
      <c r="C784" s="449"/>
      <c r="E784" s="354"/>
    </row>
    <row r="785" spans="1:5" s="448" customFormat="1" ht="15.75" customHeight="1">
      <c r="A785" s="450"/>
      <c r="B785" s="450"/>
      <c r="C785" s="449"/>
      <c r="E785" s="354"/>
    </row>
    <row r="786" spans="1:5" s="448" customFormat="1" ht="15.75" customHeight="1">
      <c r="A786" s="450"/>
      <c r="B786" s="450"/>
      <c r="C786" s="449"/>
      <c r="E786" s="354"/>
    </row>
    <row r="787" spans="1:5" s="448" customFormat="1" ht="15.75" customHeight="1">
      <c r="A787" s="450"/>
      <c r="B787" s="450"/>
      <c r="C787" s="449"/>
      <c r="E787" s="354"/>
    </row>
    <row r="788" spans="1:5" s="448" customFormat="1" ht="15.75" customHeight="1">
      <c r="A788" s="450"/>
      <c r="B788" s="450"/>
      <c r="C788" s="449"/>
      <c r="E788" s="354"/>
    </row>
    <row r="789" spans="1:5" s="448" customFormat="1" ht="15.75" customHeight="1">
      <c r="A789" s="450"/>
      <c r="B789" s="450"/>
      <c r="C789" s="449"/>
      <c r="E789" s="354"/>
    </row>
    <row r="790" spans="1:5" s="448" customFormat="1" ht="15.75" customHeight="1">
      <c r="A790" s="450"/>
      <c r="B790" s="450"/>
      <c r="C790" s="449"/>
      <c r="E790" s="354"/>
    </row>
    <row r="791" spans="1:5" s="448" customFormat="1" ht="15.75" customHeight="1">
      <c r="A791" s="450"/>
      <c r="B791" s="450"/>
      <c r="C791" s="449"/>
      <c r="E791" s="354"/>
    </row>
    <row r="792" spans="1:5" s="448" customFormat="1" ht="15.75" customHeight="1">
      <c r="A792" s="450"/>
      <c r="B792" s="450"/>
      <c r="C792" s="449"/>
      <c r="E792" s="354"/>
    </row>
    <row r="793" spans="1:5" s="448" customFormat="1" ht="15.75" customHeight="1">
      <c r="A793" s="450"/>
      <c r="B793" s="450"/>
      <c r="C793" s="449"/>
      <c r="E793" s="354"/>
    </row>
    <row r="794" spans="1:5" s="448" customFormat="1" ht="15.75" customHeight="1">
      <c r="A794" s="450"/>
      <c r="B794" s="450"/>
      <c r="C794" s="449"/>
      <c r="E794" s="354"/>
    </row>
    <row r="795" spans="1:5" s="448" customFormat="1" ht="15.75" customHeight="1">
      <c r="A795" s="450"/>
      <c r="B795" s="450"/>
      <c r="C795" s="449"/>
      <c r="E795" s="354"/>
    </row>
    <row r="796" spans="1:5" s="448" customFormat="1" ht="15.75" customHeight="1">
      <c r="A796" s="450"/>
      <c r="B796" s="450"/>
      <c r="C796" s="449"/>
      <c r="E796" s="354"/>
    </row>
    <row r="797" spans="1:5" s="448" customFormat="1" ht="15.75" customHeight="1">
      <c r="A797" s="450"/>
      <c r="B797" s="450"/>
      <c r="C797" s="449"/>
      <c r="E797" s="354"/>
    </row>
    <row r="798" spans="1:5" s="448" customFormat="1" ht="15.75" customHeight="1">
      <c r="A798" s="450"/>
      <c r="B798" s="450"/>
      <c r="C798" s="449"/>
      <c r="E798" s="354"/>
    </row>
    <row r="799" spans="1:5" s="448" customFormat="1" ht="15.75" customHeight="1">
      <c r="A799" s="450"/>
      <c r="B799" s="450"/>
      <c r="C799" s="449"/>
      <c r="E799" s="354"/>
    </row>
    <row r="800" spans="1:5" s="448" customFormat="1" ht="15.75" customHeight="1">
      <c r="A800" s="450"/>
      <c r="B800" s="450"/>
      <c r="C800" s="449"/>
      <c r="E800" s="354"/>
    </row>
    <row r="801" spans="1:5" s="448" customFormat="1" ht="15.75" customHeight="1">
      <c r="A801" s="450"/>
      <c r="B801" s="450"/>
      <c r="C801" s="449"/>
      <c r="E801" s="354"/>
    </row>
    <row r="802" spans="1:5" s="448" customFormat="1" ht="15.75" customHeight="1">
      <c r="A802" s="450"/>
      <c r="B802" s="450"/>
      <c r="C802" s="449"/>
      <c r="E802" s="354"/>
    </row>
    <row r="803" spans="1:5" s="448" customFormat="1" ht="15.75" customHeight="1">
      <c r="A803" s="450"/>
      <c r="B803" s="450"/>
      <c r="C803" s="449"/>
      <c r="E803" s="354"/>
    </row>
    <row r="804" spans="1:5" s="448" customFormat="1" ht="15.75" customHeight="1">
      <c r="A804" s="450"/>
      <c r="B804" s="450"/>
      <c r="C804" s="449"/>
      <c r="E804" s="354"/>
    </row>
    <row r="805" spans="1:5" s="448" customFormat="1" ht="15.75" customHeight="1">
      <c r="A805" s="450"/>
      <c r="B805" s="450"/>
      <c r="C805" s="449"/>
      <c r="E805" s="354"/>
    </row>
    <row r="806" spans="1:5" s="448" customFormat="1" ht="15.75" customHeight="1">
      <c r="A806" s="450"/>
      <c r="B806" s="450"/>
      <c r="C806" s="449"/>
      <c r="E806" s="354"/>
    </row>
    <row r="807" spans="1:5" s="448" customFormat="1" ht="15.75" customHeight="1">
      <c r="A807" s="450"/>
      <c r="B807" s="450"/>
      <c r="C807" s="449"/>
      <c r="E807" s="354"/>
    </row>
    <row r="808" spans="1:5" s="448" customFormat="1" ht="15.75" customHeight="1">
      <c r="A808" s="450"/>
      <c r="B808" s="450"/>
      <c r="C808" s="449"/>
      <c r="E808" s="354"/>
    </row>
    <row r="809" spans="1:5" s="448" customFormat="1" ht="15.75" customHeight="1">
      <c r="A809" s="450"/>
      <c r="B809" s="450"/>
      <c r="C809" s="449"/>
      <c r="E809" s="354"/>
    </row>
    <row r="810" spans="1:5" s="448" customFormat="1" ht="15.75" customHeight="1">
      <c r="A810" s="450"/>
      <c r="B810" s="450"/>
      <c r="C810" s="449"/>
      <c r="E810" s="354"/>
    </row>
    <row r="811" spans="1:5" s="448" customFormat="1" ht="15.75" customHeight="1">
      <c r="A811" s="450"/>
      <c r="B811" s="450"/>
      <c r="C811" s="449"/>
      <c r="E811" s="354"/>
    </row>
    <row r="812" spans="1:5" s="448" customFormat="1" ht="15.75" customHeight="1">
      <c r="A812" s="450"/>
      <c r="B812" s="450"/>
      <c r="C812" s="449"/>
      <c r="E812" s="354"/>
    </row>
    <row r="813" spans="1:5" s="448" customFormat="1" ht="15.75" customHeight="1">
      <c r="A813" s="450"/>
      <c r="B813" s="450"/>
      <c r="C813" s="449"/>
      <c r="E813" s="354"/>
    </row>
    <row r="814" spans="1:5" s="448" customFormat="1" ht="15.75" customHeight="1">
      <c r="A814" s="450"/>
      <c r="B814" s="450"/>
      <c r="C814" s="449"/>
      <c r="E814" s="354"/>
    </row>
    <row r="815" spans="1:5" s="448" customFormat="1" ht="15.75" customHeight="1">
      <c r="A815" s="450"/>
      <c r="B815" s="450"/>
      <c r="C815" s="449"/>
      <c r="E815" s="354"/>
    </row>
    <row r="816" spans="1:5" s="448" customFormat="1" ht="15.75" customHeight="1">
      <c r="A816" s="450"/>
      <c r="B816" s="450"/>
      <c r="C816" s="449"/>
      <c r="E816" s="354"/>
    </row>
    <row r="817" spans="1:5" s="448" customFormat="1" ht="15.75" customHeight="1">
      <c r="A817" s="450"/>
      <c r="B817" s="450"/>
      <c r="C817" s="449"/>
      <c r="E817" s="354"/>
    </row>
    <row r="818" spans="1:5" s="448" customFormat="1" ht="15.75" customHeight="1">
      <c r="A818" s="450"/>
      <c r="B818" s="450"/>
      <c r="C818" s="449"/>
      <c r="E818" s="354"/>
    </row>
    <row r="819" spans="1:5" s="448" customFormat="1" ht="15.75" customHeight="1">
      <c r="A819" s="450"/>
      <c r="B819" s="450"/>
      <c r="C819" s="449"/>
      <c r="E819" s="354"/>
    </row>
    <row r="820" spans="1:5" s="448" customFormat="1" ht="15.75" customHeight="1">
      <c r="A820" s="450"/>
      <c r="B820" s="450"/>
      <c r="C820" s="449"/>
      <c r="E820" s="354"/>
    </row>
    <row r="821" spans="1:5" s="448" customFormat="1" ht="15.75" customHeight="1">
      <c r="A821" s="450"/>
      <c r="B821" s="450"/>
      <c r="C821" s="449"/>
      <c r="E821" s="354"/>
    </row>
    <row r="822" spans="1:5" s="448" customFormat="1" ht="15.75" customHeight="1">
      <c r="A822" s="450"/>
      <c r="B822" s="450"/>
      <c r="C822" s="449"/>
      <c r="E822" s="354"/>
    </row>
    <row r="823" spans="1:5" s="448" customFormat="1" ht="15.75" customHeight="1">
      <c r="A823" s="450"/>
      <c r="B823" s="450"/>
      <c r="C823" s="449"/>
      <c r="E823" s="354"/>
    </row>
    <row r="824" spans="1:5" s="448" customFormat="1" ht="15.75" customHeight="1">
      <c r="A824" s="450"/>
      <c r="B824" s="450"/>
      <c r="C824" s="449"/>
      <c r="E824" s="354"/>
    </row>
    <row r="825" spans="1:5" s="448" customFormat="1" ht="15.75" customHeight="1">
      <c r="A825" s="450"/>
      <c r="B825" s="450"/>
      <c r="C825" s="449"/>
      <c r="E825" s="354"/>
    </row>
    <row r="826" spans="1:5" s="448" customFormat="1" ht="15.75" customHeight="1">
      <c r="A826" s="450"/>
      <c r="B826" s="450"/>
      <c r="C826" s="449"/>
      <c r="E826" s="354"/>
    </row>
    <row r="827" spans="1:5" s="448" customFormat="1" ht="15.75" customHeight="1">
      <c r="A827" s="450"/>
      <c r="B827" s="450"/>
      <c r="C827" s="449"/>
      <c r="E827" s="354"/>
    </row>
    <row r="828" spans="1:5" s="448" customFormat="1" ht="15.75" customHeight="1">
      <c r="A828" s="450"/>
      <c r="B828" s="450"/>
      <c r="C828" s="449"/>
      <c r="E828" s="354"/>
    </row>
    <row r="829" spans="1:5" s="448" customFormat="1" ht="15.75" customHeight="1">
      <c r="A829" s="450"/>
      <c r="B829" s="450"/>
      <c r="C829" s="449"/>
      <c r="E829" s="354"/>
    </row>
    <row r="830" spans="1:5" s="448" customFormat="1" ht="15.75" customHeight="1">
      <c r="A830" s="450"/>
      <c r="B830" s="450"/>
      <c r="C830" s="449"/>
      <c r="E830" s="354"/>
    </row>
    <row r="831" spans="1:5" s="448" customFormat="1" ht="15.75" customHeight="1">
      <c r="A831" s="450"/>
      <c r="B831" s="450"/>
      <c r="C831" s="449"/>
      <c r="E831" s="354"/>
    </row>
    <row r="832" spans="1:5" s="448" customFormat="1" ht="15.75" customHeight="1">
      <c r="A832" s="450"/>
      <c r="B832" s="450"/>
      <c r="C832" s="449"/>
      <c r="E832" s="354"/>
    </row>
    <row r="833" spans="1:5" s="448" customFormat="1" ht="15.75" customHeight="1">
      <c r="A833" s="450"/>
      <c r="B833" s="450"/>
      <c r="C833" s="449"/>
      <c r="E833" s="354"/>
    </row>
    <row r="834" spans="1:5" s="448" customFormat="1" ht="15.75" customHeight="1">
      <c r="A834" s="450"/>
      <c r="B834" s="450"/>
      <c r="C834" s="449"/>
      <c r="E834" s="354"/>
    </row>
    <row r="835" spans="1:5" s="448" customFormat="1" ht="15.75" customHeight="1">
      <c r="A835" s="450"/>
      <c r="B835" s="450"/>
      <c r="C835" s="449"/>
      <c r="E835" s="354"/>
    </row>
    <row r="836" spans="1:5" s="448" customFormat="1" ht="15.75" customHeight="1">
      <c r="A836" s="450"/>
      <c r="B836" s="450"/>
      <c r="C836" s="449"/>
      <c r="E836" s="354"/>
    </row>
    <row r="837" spans="1:5" s="448" customFormat="1" ht="15.75" customHeight="1">
      <c r="A837" s="450"/>
      <c r="B837" s="450"/>
      <c r="C837" s="449"/>
      <c r="E837" s="354"/>
    </row>
    <row r="838" spans="1:5" s="448" customFormat="1" ht="15.75" customHeight="1">
      <c r="A838" s="450"/>
      <c r="B838" s="450"/>
      <c r="C838" s="449"/>
      <c r="E838" s="354"/>
    </row>
    <row r="839" spans="1:5" s="448" customFormat="1" ht="15.75" customHeight="1">
      <c r="A839" s="450"/>
      <c r="B839" s="450"/>
      <c r="C839" s="449"/>
      <c r="E839" s="354"/>
    </row>
    <row r="840" spans="1:5" s="448" customFormat="1" ht="15.75" customHeight="1">
      <c r="A840" s="450"/>
      <c r="B840" s="450"/>
      <c r="C840" s="449"/>
      <c r="E840" s="354"/>
    </row>
    <row r="841" spans="1:5" s="448" customFormat="1" ht="15.75" customHeight="1">
      <c r="A841" s="450"/>
      <c r="B841" s="450"/>
      <c r="C841" s="449"/>
      <c r="E841" s="354"/>
    </row>
    <row r="842" spans="1:5" s="448" customFormat="1" ht="15.75" customHeight="1">
      <c r="A842" s="450"/>
      <c r="B842" s="450"/>
      <c r="C842" s="449"/>
      <c r="E842" s="354"/>
    </row>
    <row r="843" spans="1:5" s="448" customFormat="1" ht="15.75" customHeight="1">
      <c r="A843" s="450"/>
      <c r="B843" s="450"/>
      <c r="C843" s="449"/>
      <c r="E843" s="354"/>
    </row>
    <row r="844" spans="1:5" s="448" customFormat="1" ht="15.75" customHeight="1">
      <c r="A844" s="450"/>
      <c r="B844" s="450"/>
      <c r="C844" s="449"/>
      <c r="E844" s="354"/>
    </row>
    <row r="845" spans="1:5" s="448" customFormat="1" ht="15.75" customHeight="1">
      <c r="A845" s="450"/>
      <c r="B845" s="450"/>
      <c r="C845" s="449"/>
      <c r="E845" s="354"/>
    </row>
    <row r="846" spans="1:5" s="448" customFormat="1" ht="15.75" customHeight="1">
      <c r="A846" s="450"/>
      <c r="B846" s="450"/>
      <c r="C846" s="449"/>
      <c r="E846" s="354"/>
    </row>
    <row r="847" spans="1:5" s="448" customFormat="1" ht="15.75" customHeight="1">
      <c r="A847" s="450"/>
      <c r="B847" s="450"/>
      <c r="C847" s="449"/>
      <c r="E847" s="354"/>
    </row>
    <row r="848" spans="1:5" s="448" customFormat="1" ht="15.75" customHeight="1">
      <c r="A848" s="450"/>
      <c r="B848" s="450"/>
      <c r="C848" s="449"/>
      <c r="E848" s="354"/>
    </row>
    <row r="849" spans="1:5" s="448" customFormat="1" ht="15.75" customHeight="1">
      <c r="A849" s="450"/>
      <c r="B849" s="450"/>
      <c r="C849" s="449"/>
      <c r="E849" s="354"/>
    </row>
    <row r="850" spans="1:5" s="448" customFormat="1" ht="15.75" customHeight="1">
      <c r="A850" s="450"/>
      <c r="B850" s="450"/>
      <c r="C850" s="449"/>
      <c r="E850" s="354"/>
    </row>
    <row r="851" spans="1:5" s="448" customFormat="1" ht="15.75" customHeight="1">
      <c r="A851" s="450"/>
      <c r="B851" s="450"/>
      <c r="C851" s="449"/>
      <c r="E851" s="354"/>
    </row>
    <row r="852" spans="1:5" s="448" customFormat="1" ht="15.75" customHeight="1">
      <c r="A852" s="450"/>
      <c r="B852" s="450"/>
      <c r="C852" s="449"/>
      <c r="E852" s="354"/>
    </row>
    <row r="853" spans="1:5" s="448" customFormat="1" ht="15.75" customHeight="1">
      <c r="A853" s="450"/>
      <c r="B853" s="450"/>
      <c r="C853" s="449"/>
      <c r="E853" s="354"/>
    </row>
    <row r="854" spans="1:5" s="448" customFormat="1" ht="15.75" customHeight="1">
      <c r="A854" s="450"/>
      <c r="B854" s="450"/>
      <c r="C854" s="449"/>
      <c r="E854" s="354"/>
    </row>
    <row r="855" spans="1:5" s="448" customFormat="1" ht="15.75" customHeight="1">
      <c r="A855" s="450"/>
      <c r="B855" s="450"/>
      <c r="C855" s="449"/>
      <c r="E855" s="354"/>
    </row>
    <row r="856" spans="1:5" s="448" customFormat="1" ht="15.75" customHeight="1">
      <c r="A856" s="450"/>
      <c r="B856" s="450"/>
      <c r="C856" s="449"/>
      <c r="E856" s="354"/>
    </row>
    <row r="857" spans="1:5" s="448" customFormat="1" ht="15.75" customHeight="1">
      <c r="A857" s="450"/>
      <c r="B857" s="450"/>
      <c r="C857" s="449"/>
      <c r="E857" s="354"/>
    </row>
    <row r="858" spans="1:5" s="448" customFormat="1" ht="15.75" customHeight="1">
      <c r="A858" s="450"/>
      <c r="B858" s="450"/>
      <c r="C858" s="449"/>
      <c r="E858" s="354"/>
    </row>
    <row r="859" spans="1:5" s="448" customFormat="1" ht="15.75" customHeight="1">
      <c r="A859" s="450"/>
      <c r="B859" s="450"/>
      <c r="C859" s="449"/>
      <c r="E859" s="354"/>
    </row>
    <row r="860" spans="1:5" s="448" customFormat="1" ht="15.75" customHeight="1">
      <c r="A860" s="450"/>
      <c r="B860" s="450"/>
      <c r="C860" s="449"/>
      <c r="E860" s="354"/>
    </row>
    <row r="861" spans="1:5" s="448" customFormat="1" ht="15.75" customHeight="1">
      <c r="A861" s="450"/>
      <c r="B861" s="450"/>
      <c r="C861" s="449"/>
      <c r="E861" s="354"/>
    </row>
    <row r="862" spans="1:5" s="448" customFormat="1" ht="15.75" customHeight="1">
      <c r="A862" s="450"/>
      <c r="B862" s="450"/>
      <c r="C862" s="449"/>
      <c r="E862" s="354"/>
    </row>
    <row r="863" spans="1:5" s="448" customFormat="1" ht="15.75" customHeight="1">
      <c r="A863" s="450"/>
      <c r="B863" s="450"/>
      <c r="C863" s="449"/>
      <c r="E863" s="354"/>
    </row>
    <row r="864" spans="1:5" s="448" customFormat="1" ht="15.75" customHeight="1">
      <c r="A864" s="450"/>
      <c r="B864" s="450"/>
      <c r="C864" s="449"/>
      <c r="E864" s="354"/>
    </row>
    <row r="865" spans="1:5" s="448" customFormat="1" ht="15.75" customHeight="1">
      <c r="A865" s="450"/>
      <c r="B865" s="450"/>
      <c r="C865" s="449"/>
      <c r="E865" s="354"/>
    </row>
    <row r="866" spans="1:5" s="448" customFormat="1" ht="15.75" customHeight="1">
      <c r="A866" s="450"/>
      <c r="B866" s="450"/>
      <c r="C866" s="449"/>
      <c r="E866" s="354"/>
    </row>
    <row r="867" spans="1:5" s="448" customFormat="1" ht="15.75" customHeight="1">
      <c r="A867" s="450"/>
      <c r="B867" s="450"/>
      <c r="C867" s="449"/>
      <c r="E867" s="354"/>
    </row>
    <row r="868" spans="1:5" s="448" customFormat="1" ht="15.75" customHeight="1">
      <c r="A868" s="450"/>
      <c r="B868" s="450"/>
      <c r="C868" s="449"/>
      <c r="E868" s="354"/>
    </row>
    <row r="869" spans="1:5" s="448" customFormat="1" ht="15.75" customHeight="1">
      <c r="A869" s="450"/>
      <c r="B869" s="450"/>
      <c r="C869" s="449"/>
      <c r="E869" s="354"/>
    </row>
    <row r="870" spans="1:5" s="448" customFormat="1" ht="15.75" customHeight="1">
      <c r="A870" s="450"/>
      <c r="B870" s="450"/>
      <c r="C870" s="449"/>
      <c r="E870" s="354"/>
    </row>
    <row r="871" spans="1:5" s="448" customFormat="1" ht="15.75" customHeight="1">
      <c r="A871" s="450"/>
      <c r="B871" s="450"/>
      <c r="C871" s="449"/>
      <c r="E871" s="354"/>
    </row>
    <row r="872" spans="1:5" s="448" customFormat="1" ht="15.75" customHeight="1">
      <c r="A872" s="450"/>
      <c r="B872" s="450"/>
      <c r="C872" s="449"/>
      <c r="E872" s="354"/>
    </row>
    <row r="873" spans="1:5" s="448" customFormat="1" ht="15.75" customHeight="1">
      <c r="A873" s="450"/>
      <c r="B873" s="450"/>
      <c r="C873" s="449"/>
      <c r="E873" s="354"/>
    </row>
    <row r="874" spans="1:5" s="448" customFormat="1" ht="15.75" customHeight="1">
      <c r="A874" s="450"/>
      <c r="B874" s="450"/>
      <c r="C874" s="449"/>
      <c r="E874" s="354"/>
    </row>
    <row r="875" spans="1:5" s="448" customFormat="1" ht="15.75" customHeight="1">
      <c r="A875" s="450"/>
      <c r="B875" s="450"/>
      <c r="C875" s="449"/>
      <c r="E875" s="354"/>
    </row>
    <row r="876" spans="1:5" s="448" customFormat="1" ht="15.75" customHeight="1">
      <c r="A876" s="450"/>
      <c r="B876" s="450"/>
      <c r="C876" s="449"/>
      <c r="E876" s="354"/>
    </row>
    <row r="877" spans="1:5" s="448" customFormat="1" ht="15.75" customHeight="1">
      <c r="A877" s="450"/>
      <c r="B877" s="450"/>
      <c r="C877" s="449"/>
      <c r="E877" s="354"/>
    </row>
    <row r="878" spans="1:5" s="448" customFormat="1" ht="15.75" customHeight="1">
      <c r="A878" s="450"/>
      <c r="B878" s="450"/>
      <c r="C878" s="449"/>
      <c r="E878" s="354"/>
    </row>
    <row r="879" spans="1:5" s="448" customFormat="1" ht="15.75" customHeight="1">
      <c r="A879" s="450"/>
      <c r="B879" s="450"/>
      <c r="C879" s="449"/>
      <c r="E879" s="354"/>
    </row>
    <row r="880" spans="1:5" s="448" customFormat="1" ht="15.75" customHeight="1">
      <c r="A880" s="450"/>
      <c r="B880" s="450"/>
      <c r="C880" s="449"/>
      <c r="E880" s="354"/>
    </row>
    <row r="881" spans="1:5" s="448" customFormat="1" ht="15.75" customHeight="1">
      <c r="A881" s="450"/>
      <c r="B881" s="450"/>
      <c r="C881" s="449"/>
      <c r="E881" s="354"/>
    </row>
    <row r="882" spans="1:5" s="448" customFormat="1" ht="15.75" customHeight="1">
      <c r="A882" s="450"/>
      <c r="B882" s="450"/>
      <c r="C882" s="449"/>
      <c r="E882" s="354"/>
    </row>
    <row r="883" spans="1:5" s="448" customFormat="1" ht="15.75" customHeight="1">
      <c r="A883" s="450"/>
      <c r="B883" s="450"/>
      <c r="C883" s="449"/>
      <c r="E883" s="354"/>
    </row>
    <row r="884" spans="1:5" s="448" customFormat="1" ht="15.75" customHeight="1">
      <c r="A884" s="450"/>
      <c r="B884" s="450"/>
      <c r="C884" s="449"/>
      <c r="E884" s="354"/>
    </row>
    <row r="885" spans="1:5" s="448" customFormat="1" ht="15.75" customHeight="1">
      <c r="A885" s="450"/>
      <c r="B885" s="450"/>
      <c r="C885" s="449"/>
      <c r="E885" s="354"/>
    </row>
    <row r="886" spans="1:5" s="448" customFormat="1" ht="15.75" customHeight="1">
      <c r="A886" s="450"/>
      <c r="B886" s="450"/>
      <c r="C886" s="449"/>
      <c r="E886" s="354"/>
    </row>
    <row r="887" spans="1:5" s="448" customFormat="1" ht="15.75" customHeight="1">
      <c r="A887" s="450"/>
      <c r="B887" s="450"/>
      <c r="C887" s="449"/>
      <c r="E887" s="354"/>
    </row>
    <row r="888" spans="1:5" s="448" customFormat="1" ht="15.75" customHeight="1">
      <c r="A888" s="450"/>
      <c r="B888" s="450"/>
      <c r="C888" s="449"/>
      <c r="E888" s="354"/>
    </row>
    <row r="889" spans="1:5" s="448" customFormat="1" ht="15.75" customHeight="1">
      <c r="A889" s="450"/>
      <c r="B889" s="450"/>
      <c r="C889" s="449"/>
      <c r="E889" s="354"/>
    </row>
    <row r="890" spans="1:5" s="448" customFormat="1" ht="15.75" customHeight="1">
      <c r="A890" s="450"/>
      <c r="B890" s="450"/>
      <c r="C890" s="449"/>
      <c r="E890" s="354"/>
    </row>
    <row r="891" spans="1:5" s="448" customFormat="1" ht="15.75" customHeight="1">
      <c r="A891" s="450"/>
      <c r="B891" s="450"/>
      <c r="C891" s="449"/>
      <c r="E891" s="354"/>
    </row>
    <row r="892" spans="1:5" s="448" customFormat="1" ht="15.75" customHeight="1">
      <c r="A892" s="450"/>
      <c r="B892" s="450"/>
      <c r="C892" s="449"/>
      <c r="E892" s="354"/>
    </row>
    <row r="893" spans="1:5" s="448" customFormat="1" ht="15.75" customHeight="1">
      <c r="A893" s="450"/>
      <c r="B893" s="450"/>
      <c r="C893" s="449"/>
      <c r="E893" s="354"/>
    </row>
    <row r="894" spans="1:5" s="448" customFormat="1" ht="15.75" customHeight="1">
      <c r="A894" s="450"/>
      <c r="B894" s="450"/>
      <c r="C894" s="449"/>
      <c r="E894" s="354"/>
    </row>
    <row r="895" spans="1:5" s="448" customFormat="1" ht="15.75" customHeight="1">
      <c r="A895" s="450"/>
      <c r="B895" s="450"/>
      <c r="C895" s="449"/>
      <c r="E895" s="354"/>
    </row>
    <row r="896" spans="1:5" s="448" customFormat="1" ht="15.75" customHeight="1">
      <c r="A896" s="450"/>
      <c r="B896" s="450"/>
      <c r="C896" s="449"/>
      <c r="E896" s="354"/>
    </row>
    <row r="897" spans="1:5" s="448" customFormat="1" ht="15.75" customHeight="1">
      <c r="A897" s="450"/>
      <c r="B897" s="450"/>
      <c r="C897" s="449"/>
      <c r="E897" s="354"/>
    </row>
    <row r="898" spans="1:5" s="448" customFormat="1" ht="15.75" customHeight="1">
      <c r="A898" s="450"/>
      <c r="B898" s="450"/>
      <c r="C898" s="449"/>
      <c r="E898" s="354"/>
    </row>
    <row r="899" spans="1:5" s="448" customFormat="1" ht="15.75" customHeight="1">
      <c r="A899" s="450"/>
      <c r="B899" s="450"/>
      <c r="C899" s="449"/>
      <c r="E899" s="354"/>
    </row>
    <row r="900" spans="1:5" s="448" customFormat="1" ht="15.75" customHeight="1">
      <c r="A900" s="450"/>
      <c r="B900" s="450"/>
      <c r="C900" s="449"/>
      <c r="E900" s="354"/>
    </row>
    <row r="901" spans="1:5" s="448" customFormat="1" ht="15.75" customHeight="1">
      <c r="A901" s="450"/>
      <c r="B901" s="450"/>
      <c r="C901" s="449"/>
      <c r="E901" s="354"/>
    </row>
    <row r="902" spans="1:5" s="448" customFormat="1" ht="15.75" customHeight="1">
      <c r="A902" s="450"/>
      <c r="B902" s="450"/>
      <c r="C902" s="449"/>
      <c r="E902" s="354"/>
    </row>
    <row r="903" spans="1:5" s="448" customFormat="1" ht="15.75" customHeight="1">
      <c r="A903" s="450"/>
      <c r="B903" s="450"/>
      <c r="C903" s="449"/>
      <c r="E903" s="354"/>
    </row>
    <row r="904" spans="1:5" s="448" customFormat="1" ht="15.75" customHeight="1">
      <c r="A904" s="450"/>
      <c r="B904" s="450"/>
      <c r="C904" s="449"/>
      <c r="E904" s="354"/>
    </row>
    <row r="905" spans="1:5" s="448" customFormat="1" ht="15.75" customHeight="1">
      <c r="A905" s="450"/>
      <c r="B905" s="450"/>
      <c r="C905" s="449"/>
      <c r="E905" s="354"/>
    </row>
    <row r="906" spans="1:5" s="448" customFormat="1" ht="15.75" customHeight="1">
      <c r="A906" s="450"/>
      <c r="B906" s="450"/>
      <c r="C906" s="449"/>
      <c r="E906" s="354"/>
    </row>
    <row r="907" spans="1:5" s="448" customFormat="1" ht="15.75" customHeight="1">
      <c r="A907" s="450"/>
      <c r="B907" s="450"/>
      <c r="C907" s="449"/>
      <c r="E907" s="354"/>
    </row>
    <row r="908" spans="1:5" s="448" customFormat="1" ht="15.75" customHeight="1">
      <c r="A908" s="450"/>
      <c r="B908" s="450"/>
      <c r="C908" s="449"/>
      <c r="E908" s="354"/>
    </row>
    <row r="909" spans="1:5" s="448" customFormat="1" ht="15.75" customHeight="1">
      <c r="A909" s="450"/>
      <c r="B909" s="450"/>
      <c r="C909" s="449"/>
      <c r="E909" s="354"/>
    </row>
    <row r="910" spans="1:5" s="448" customFormat="1" ht="15.75" customHeight="1">
      <c r="A910" s="450"/>
      <c r="B910" s="450"/>
      <c r="C910" s="449"/>
      <c r="E910" s="354"/>
    </row>
    <row r="911" spans="1:5" s="448" customFormat="1" ht="15.75" customHeight="1">
      <c r="A911" s="450"/>
      <c r="B911" s="450"/>
      <c r="C911" s="449"/>
      <c r="E911" s="354"/>
    </row>
    <row r="912" spans="1:5" s="448" customFormat="1" ht="15.75" customHeight="1">
      <c r="A912" s="450"/>
      <c r="B912" s="450"/>
      <c r="C912" s="449"/>
      <c r="E912" s="354"/>
    </row>
    <row r="913" spans="1:5" s="448" customFormat="1" ht="15.75" customHeight="1">
      <c r="A913" s="450"/>
      <c r="B913" s="450"/>
      <c r="C913" s="449"/>
      <c r="E913" s="354"/>
    </row>
    <row r="914" spans="1:5" s="448" customFormat="1" ht="15.75" customHeight="1">
      <c r="A914" s="450"/>
      <c r="B914" s="450"/>
      <c r="C914" s="449"/>
      <c r="E914" s="354"/>
    </row>
    <row r="915" spans="1:5" s="448" customFormat="1" ht="15.75" customHeight="1">
      <c r="A915" s="450"/>
      <c r="B915" s="450"/>
      <c r="C915" s="449"/>
      <c r="E915" s="354"/>
    </row>
    <row r="916" spans="1:5" s="448" customFormat="1" ht="15.75" customHeight="1">
      <c r="A916" s="450"/>
      <c r="B916" s="450"/>
      <c r="C916" s="449"/>
      <c r="E916" s="354"/>
    </row>
    <row r="917" spans="1:5" s="448" customFormat="1" ht="15.75" customHeight="1">
      <c r="A917" s="450"/>
      <c r="B917" s="450"/>
      <c r="C917" s="449"/>
      <c r="E917" s="354"/>
    </row>
    <row r="918" spans="1:5" s="448" customFormat="1" ht="15.75" customHeight="1">
      <c r="A918" s="450"/>
      <c r="B918" s="450"/>
      <c r="C918" s="449"/>
      <c r="E918" s="354"/>
    </row>
    <row r="919" spans="1:5" s="448" customFormat="1" ht="15.75" customHeight="1">
      <c r="A919" s="450"/>
      <c r="B919" s="450"/>
      <c r="C919" s="449"/>
      <c r="E919" s="354"/>
    </row>
  </sheetData>
  <mergeCells count="1">
    <mergeCell ref="A2:C4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5AA6-9AEE-3C41-9956-0B66098D9ECA}">
  <sheetPr codeName="Sheet26">
    <tabColor theme="5" tint="0.39997558519241921"/>
  </sheetPr>
  <dimension ref="A2:I930"/>
  <sheetViews>
    <sheetView topLeftCell="A7" zoomScale="70" zoomScaleNormal="70" workbookViewId="0"/>
  </sheetViews>
  <sheetFormatPr defaultColWidth="14.42578125" defaultRowHeight="15" customHeight="1" outlineLevelRow="1"/>
  <cols>
    <col min="1" max="1" width="18.42578125" style="354" customWidth="1"/>
    <col min="2" max="2" width="24.85546875" style="467" customWidth="1"/>
    <col min="3" max="3" width="32.42578125" style="354" customWidth="1"/>
    <col min="4" max="4" width="13.140625" style="354" customWidth="1"/>
    <col min="5" max="5" width="14.42578125" style="448" customWidth="1"/>
    <col min="6" max="6" width="11.42578125" style="354" customWidth="1"/>
    <col min="7" max="16384" width="14.42578125" style="354"/>
  </cols>
  <sheetData>
    <row r="2" spans="1:6" ht="15" customHeight="1">
      <c r="A2" s="790" t="s">
        <v>1567</v>
      </c>
      <c r="B2" s="790"/>
      <c r="C2" s="790"/>
    </row>
    <row r="3" spans="1:6" ht="15" customHeight="1">
      <c r="A3" s="790"/>
      <c r="B3" s="790"/>
      <c r="C3" s="790"/>
    </row>
    <row r="4" spans="1:6" ht="15" customHeight="1">
      <c r="A4" s="790"/>
      <c r="B4" s="790"/>
      <c r="C4" s="790"/>
    </row>
    <row r="6" spans="1:6">
      <c r="B6" s="469"/>
      <c r="C6" s="450"/>
      <c r="D6" s="449"/>
      <c r="E6" s="468"/>
    </row>
    <row r="7" spans="1:6">
      <c r="B7" s="469"/>
      <c r="C7" s="450"/>
      <c r="D7" s="449"/>
      <c r="E7" s="468"/>
      <c r="F7" s="449"/>
    </row>
    <row r="8" spans="1:6">
      <c r="B8" s="469"/>
      <c r="C8" s="450"/>
      <c r="D8" s="537">
        <v>2022</v>
      </c>
      <c r="E8" s="498" t="s">
        <v>305</v>
      </c>
      <c r="F8" s="537">
        <v>2022</v>
      </c>
    </row>
    <row r="9" spans="1:6">
      <c r="B9" s="469"/>
      <c r="C9" s="450"/>
      <c r="D9" s="466" t="s">
        <v>1552</v>
      </c>
      <c r="E9" s="497"/>
      <c r="F9" s="466" t="s">
        <v>1552</v>
      </c>
    </row>
    <row r="10" spans="1:6">
      <c r="B10" s="469"/>
      <c r="C10" s="450"/>
      <c r="D10" s="449"/>
      <c r="E10" s="468"/>
      <c r="F10" s="449"/>
    </row>
    <row r="11" spans="1:6" ht="15.75" customHeight="1">
      <c r="B11" s="479" t="s">
        <v>145</v>
      </c>
      <c r="C11" s="433" t="s">
        <v>1568</v>
      </c>
      <c r="D11" s="453">
        <f>SUMIFS('TB India 12.22'!G:G,'TB India 12.22'!I:I,$B11,'TB India 12.22'!J:J,$C11)</f>
        <v>0</v>
      </c>
      <c r="E11" s="476"/>
      <c r="F11" s="453">
        <f>D11+E11</f>
        <v>0</v>
      </c>
    </row>
    <row r="12" spans="1:6" ht="15.75" customHeight="1" thickBot="1">
      <c r="B12" s="491"/>
      <c r="C12" s="495" t="s">
        <v>1537</v>
      </c>
      <c r="D12" s="494">
        <f>D11</f>
        <v>0</v>
      </c>
      <c r="E12" s="476"/>
      <c r="F12" s="494">
        <f>F11</f>
        <v>0</v>
      </c>
    </row>
    <row r="13" spans="1:6" ht="15.75" customHeight="1">
      <c r="B13" s="491"/>
      <c r="C13" s="479"/>
      <c r="D13" s="453"/>
      <c r="E13" s="476"/>
      <c r="F13" s="453"/>
    </row>
    <row r="14" spans="1:6" ht="15.75" customHeight="1">
      <c r="B14" s="469"/>
      <c r="C14" s="492" t="s">
        <v>149</v>
      </c>
      <c r="D14" s="464">
        <f t="shared" ref="D14:F14" si="0">SUM(D15:D15)</f>
        <v>30322.73</v>
      </c>
      <c r="E14" s="483"/>
      <c r="F14" s="464">
        <f t="shared" si="0"/>
        <v>30322.73</v>
      </c>
    </row>
    <row r="15" spans="1:6" ht="15.75" customHeight="1" outlineLevel="1">
      <c r="A15" s="480" t="s">
        <v>309</v>
      </c>
      <c r="B15" s="491" t="s">
        <v>149</v>
      </c>
      <c r="C15" s="433" t="s">
        <v>635</v>
      </c>
      <c r="D15" s="453">
        <f>SUMIFS('TB India 12.22'!G:G,'TB India 12.22'!I:I,$B15,'TB India 12.22'!J:J,$C15)</f>
        <v>30322.73</v>
      </c>
      <c r="E15" s="476"/>
      <c r="F15" s="453">
        <f>D15+E15</f>
        <v>30322.73</v>
      </c>
    </row>
    <row r="16" spans="1:6" ht="15.75" customHeight="1" outlineLevel="1">
      <c r="B16" s="491"/>
      <c r="C16" s="433"/>
      <c r="D16" s="482"/>
      <c r="E16" s="486"/>
      <c r="F16" s="482"/>
    </row>
    <row r="17" spans="1:9" ht="15.75" customHeight="1">
      <c r="B17" s="469"/>
      <c r="C17" s="492" t="s">
        <v>152</v>
      </c>
      <c r="D17" s="464">
        <f>SUM(D18:D19)</f>
        <v>20751.2</v>
      </c>
      <c r="E17" s="483"/>
      <c r="F17" s="464">
        <f>SUM(F18:F19)</f>
        <v>20751.2</v>
      </c>
    </row>
    <row r="18" spans="1:9" ht="15.75" customHeight="1">
      <c r="A18" s="480" t="s">
        <v>309</v>
      </c>
      <c r="B18" s="491" t="s">
        <v>152</v>
      </c>
      <c r="C18" s="433" t="s">
        <v>635</v>
      </c>
      <c r="D18" s="453">
        <f>SUMIFS('TB India 12.22'!G:G,'TB India 12.22'!I:I,$B18,'TB India 12.22'!J:J,$C18)</f>
        <v>20000</v>
      </c>
      <c r="E18" s="476"/>
      <c r="F18" s="453">
        <f>D18+E18</f>
        <v>20000</v>
      </c>
    </row>
    <row r="19" spans="1:9" ht="15.75" customHeight="1">
      <c r="A19" s="480" t="s">
        <v>309</v>
      </c>
      <c r="B19" s="491" t="s">
        <v>152</v>
      </c>
      <c r="C19" s="433" t="s">
        <v>850</v>
      </c>
      <c r="D19" s="453">
        <f>SUMIFS('TB India 12.22'!G:G,'TB India 12.22'!I:I,$B19,'TB India 12.22'!J:J,$C19)</f>
        <v>751.2</v>
      </c>
      <c r="E19" s="476"/>
      <c r="F19" s="453">
        <f>D19+E19</f>
        <v>751.2</v>
      </c>
      <c r="G19" s="515"/>
      <c r="H19" s="515"/>
    </row>
    <row r="20" spans="1:9" ht="15.75" customHeight="1" outlineLevel="1">
      <c r="A20" s="480"/>
      <c r="B20" s="490" t="s">
        <v>300</v>
      </c>
      <c r="C20" s="489" t="s">
        <v>300</v>
      </c>
      <c r="D20" s="453">
        <f>SUMIFS('TB India 12.22'!G:G,'TB India 12.22'!I:I,$B20,'TB India 12.22'!J:J,$C20)</f>
        <v>0</v>
      </c>
      <c r="E20" s="476"/>
      <c r="F20" s="453">
        <f>D20+E20</f>
        <v>0</v>
      </c>
    </row>
    <row r="21" spans="1:9" ht="15.75" customHeight="1" thickBot="1">
      <c r="B21" s="469"/>
      <c r="C21" s="485" t="s">
        <v>298</v>
      </c>
      <c r="D21" s="488">
        <f>D17+D14+D20</f>
        <v>51073.93</v>
      </c>
      <c r="E21" s="476"/>
      <c r="F21" s="488">
        <f>F17+F14+F20</f>
        <v>51073.93</v>
      </c>
    </row>
    <row r="22" spans="1:9" ht="15.75" customHeight="1">
      <c r="B22" s="469"/>
      <c r="C22" s="487"/>
      <c r="D22" s="482"/>
      <c r="E22" s="486"/>
      <c r="F22" s="482"/>
    </row>
    <row r="23" spans="1:9" ht="15.75" customHeight="1" thickBot="1">
      <c r="B23" s="469"/>
      <c r="C23" s="499" t="s">
        <v>1536</v>
      </c>
      <c r="D23" s="500">
        <f>D21+D12</f>
        <v>51073.93</v>
      </c>
      <c r="E23" s="476"/>
      <c r="F23" s="500">
        <f>F21+F12</f>
        <v>51073.93</v>
      </c>
    </row>
    <row r="24" spans="1:9" ht="15.75" customHeight="1" thickTop="1">
      <c r="B24" s="469"/>
      <c r="C24" s="479"/>
      <c r="D24" s="453"/>
      <c r="E24" s="476"/>
      <c r="F24" s="453"/>
      <c r="H24" s="482"/>
      <c r="I24" s="482"/>
    </row>
    <row r="25" spans="1:9" ht="15.75" customHeight="1">
      <c r="A25" s="351"/>
      <c r="B25" s="492"/>
      <c r="C25" s="492" t="s">
        <v>163</v>
      </c>
      <c r="D25" s="464">
        <f>SUM(D26:D26)</f>
        <v>262.11</v>
      </c>
      <c r="E25" s="483"/>
      <c r="F25" s="464">
        <f>SUM(F26:F26)</f>
        <v>262.11</v>
      </c>
      <c r="H25" s="482"/>
      <c r="I25" s="482"/>
    </row>
    <row r="26" spans="1:9" ht="15.75" customHeight="1" outlineLevel="1">
      <c r="A26" s="351" t="s">
        <v>313</v>
      </c>
      <c r="B26" s="434" t="s">
        <v>163</v>
      </c>
      <c r="C26" s="435" t="s">
        <v>313</v>
      </c>
      <c r="D26" s="453">
        <f>SUMIFS('TB India 12.22'!G:G,'TB India 12.22'!I:I,$B26,'TB India 12.22'!J:J,$C26)</f>
        <v>262.11</v>
      </c>
      <c r="E26" s="476"/>
      <c r="F26" s="453">
        <f>D26+E26</f>
        <v>262.11</v>
      </c>
    </row>
    <row r="27" spans="1:9" ht="15.75" customHeight="1">
      <c r="B27" s="469"/>
      <c r="C27" s="479"/>
      <c r="D27" s="453"/>
      <c r="E27" s="476"/>
      <c r="F27" s="453"/>
    </row>
    <row r="28" spans="1:9" ht="15.75" customHeight="1" thickBot="1">
      <c r="B28" s="469"/>
      <c r="C28" s="478" t="s">
        <v>302</v>
      </c>
      <c r="D28" s="477">
        <f>+D23+D25</f>
        <v>51336.04</v>
      </c>
      <c r="E28" s="476"/>
      <c r="F28" s="477">
        <f>+F23+F25</f>
        <v>51336.04</v>
      </c>
    </row>
    <row r="29" spans="1:9" ht="15.75" customHeight="1" thickTop="1">
      <c r="B29" s="469"/>
      <c r="C29" s="450"/>
      <c r="D29" s="475"/>
      <c r="E29" s="474"/>
      <c r="F29" s="475"/>
    </row>
    <row r="30" spans="1:9" ht="15.75" customHeight="1">
      <c r="B30" s="469"/>
      <c r="C30" s="450"/>
      <c r="D30" s="449"/>
      <c r="E30" s="468"/>
    </row>
    <row r="31" spans="1:9" ht="15.75" customHeight="1">
      <c r="B31" s="469"/>
      <c r="C31" s="450"/>
      <c r="D31" s="449"/>
      <c r="E31" s="468"/>
    </row>
    <row r="32" spans="1:9" ht="15.75" customHeight="1">
      <c r="B32" s="469"/>
      <c r="C32" s="450"/>
      <c r="D32" s="449"/>
      <c r="E32" s="468"/>
    </row>
    <row r="33" spans="2:5" ht="15.75" customHeight="1">
      <c r="B33" s="469"/>
      <c r="C33" s="450"/>
      <c r="D33" s="449"/>
      <c r="E33" s="468"/>
    </row>
    <row r="34" spans="2:5" ht="15.75" customHeight="1">
      <c r="B34" s="469"/>
      <c r="C34" s="450"/>
      <c r="D34" s="449"/>
      <c r="E34" s="468"/>
    </row>
    <row r="35" spans="2:5" ht="15.75" customHeight="1">
      <c r="B35" s="469"/>
      <c r="C35" s="450"/>
      <c r="D35" s="449"/>
      <c r="E35" s="468"/>
    </row>
    <row r="36" spans="2:5" ht="15.75" customHeight="1">
      <c r="B36" s="469"/>
      <c r="C36" s="450"/>
      <c r="D36" s="449"/>
      <c r="E36" s="468"/>
    </row>
    <row r="37" spans="2:5" ht="15.75" customHeight="1">
      <c r="B37" s="469"/>
      <c r="C37" s="450"/>
      <c r="D37" s="449"/>
      <c r="E37" s="468"/>
    </row>
    <row r="38" spans="2:5" ht="15.75" customHeight="1">
      <c r="B38" s="469"/>
      <c r="C38" s="450"/>
      <c r="D38" s="449"/>
      <c r="E38" s="468"/>
    </row>
    <row r="39" spans="2:5" ht="15.75" customHeight="1">
      <c r="B39" s="469"/>
      <c r="C39" s="450"/>
      <c r="D39" s="449"/>
      <c r="E39" s="468"/>
    </row>
    <row r="40" spans="2:5" ht="15.75" customHeight="1">
      <c r="B40" s="469"/>
      <c r="C40" s="450"/>
      <c r="D40" s="449"/>
      <c r="E40" s="468"/>
    </row>
    <row r="41" spans="2:5" ht="15.75" customHeight="1">
      <c r="B41" s="469"/>
      <c r="C41" s="450"/>
      <c r="D41" s="449"/>
      <c r="E41" s="468"/>
    </row>
    <row r="42" spans="2:5" ht="15.75" customHeight="1">
      <c r="B42" s="469"/>
      <c r="C42" s="450"/>
      <c r="D42" s="449"/>
      <c r="E42" s="468"/>
    </row>
    <row r="43" spans="2:5" ht="15.75" customHeight="1">
      <c r="B43" s="469"/>
      <c r="C43" s="450"/>
      <c r="D43" s="449"/>
      <c r="E43" s="468"/>
    </row>
    <row r="44" spans="2:5" ht="15.75" customHeight="1">
      <c r="B44" s="469"/>
      <c r="C44" s="450"/>
      <c r="D44" s="449"/>
      <c r="E44" s="468"/>
    </row>
    <row r="45" spans="2:5" ht="15.75" customHeight="1">
      <c r="B45" s="469"/>
      <c r="C45" s="450"/>
      <c r="D45" s="449"/>
      <c r="E45" s="468"/>
    </row>
    <row r="46" spans="2:5" ht="15.75" customHeight="1">
      <c r="B46" s="469"/>
      <c r="C46" s="450"/>
      <c r="D46" s="449"/>
      <c r="E46" s="468"/>
    </row>
    <row r="47" spans="2:5" ht="15.75" customHeight="1">
      <c r="B47" s="469"/>
      <c r="C47" s="450"/>
      <c r="D47" s="449"/>
      <c r="E47" s="468"/>
    </row>
    <row r="48" spans="2:5" ht="15.75" customHeight="1">
      <c r="B48" s="469"/>
      <c r="C48" s="450"/>
      <c r="D48" s="449"/>
      <c r="E48" s="468"/>
    </row>
    <row r="49" spans="2:5" ht="15.75" customHeight="1">
      <c r="B49" s="469"/>
      <c r="C49" s="450"/>
      <c r="D49" s="449"/>
      <c r="E49" s="468"/>
    </row>
    <row r="50" spans="2:5" ht="15.75" customHeight="1">
      <c r="B50" s="469"/>
      <c r="C50" s="450"/>
      <c r="D50" s="449"/>
      <c r="E50" s="468"/>
    </row>
    <row r="51" spans="2:5" ht="15.75" customHeight="1">
      <c r="B51" s="469"/>
      <c r="C51" s="450"/>
      <c r="D51" s="449"/>
      <c r="E51" s="468"/>
    </row>
    <row r="52" spans="2:5" ht="15.75" customHeight="1">
      <c r="B52" s="469"/>
      <c r="C52" s="450"/>
      <c r="D52" s="449"/>
      <c r="E52" s="468"/>
    </row>
    <row r="53" spans="2:5" ht="15.75" customHeight="1">
      <c r="B53" s="469"/>
      <c r="C53" s="450"/>
      <c r="D53" s="449"/>
      <c r="E53" s="468"/>
    </row>
    <row r="54" spans="2:5" ht="15.75" customHeight="1">
      <c r="B54" s="469"/>
      <c r="C54" s="450"/>
      <c r="D54" s="449"/>
      <c r="E54" s="468"/>
    </row>
    <row r="55" spans="2:5" ht="15.75" customHeight="1">
      <c r="B55" s="469"/>
      <c r="C55" s="450"/>
      <c r="D55" s="449"/>
      <c r="E55" s="468"/>
    </row>
    <row r="56" spans="2:5" ht="15.75" customHeight="1">
      <c r="B56" s="469"/>
      <c r="C56" s="450"/>
      <c r="D56" s="449"/>
      <c r="E56" s="468"/>
    </row>
    <row r="57" spans="2:5" ht="15.75" customHeight="1">
      <c r="B57" s="469"/>
      <c r="C57" s="450"/>
      <c r="D57" s="449"/>
      <c r="E57" s="468"/>
    </row>
    <row r="58" spans="2:5" ht="15.75" customHeight="1">
      <c r="B58" s="469"/>
      <c r="C58" s="450"/>
      <c r="D58" s="449"/>
      <c r="E58" s="468"/>
    </row>
    <row r="59" spans="2:5" ht="15.75" customHeight="1">
      <c r="B59" s="469"/>
      <c r="C59" s="450"/>
      <c r="D59" s="449"/>
      <c r="E59" s="468"/>
    </row>
    <row r="60" spans="2:5" ht="15.75" customHeight="1">
      <c r="B60" s="469"/>
      <c r="C60" s="450"/>
      <c r="D60" s="449"/>
      <c r="E60" s="468"/>
    </row>
    <row r="61" spans="2:5" ht="15.75" customHeight="1">
      <c r="B61" s="469"/>
      <c r="C61" s="450"/>
      <c r="D61" s="449"/>
      <c r="E61" s="468"/>
    </row>
    <row r="62" spans="2:5" ht="15.75" customHeight="1">
      <c r="B62" s="469"/>
      <c r="C62" s="450"/>
      <c r="D62" s="449"/>
      <c r="E62" s="468"/>
    </row>
    <row r="63" spans="2:5" ht="15.75" customHeight="1">
      <c r="B63" s="469"/>
      <c r="C63" s="450"/>
      <c r="D63" s="449"/>
      <c r="E63" s="468"/>
    </row>
    <row r="64" spans="2:5" ht="15.75" customHeight="1">
      <c r="B64" s="469"/>
      <c r="C64" s="450"/>
      <c r="D64" s="449"/>
      <c r="E64" s="468"/>
    </row>
    <row r="65" spans="2:5" ht="15.75" customHeight="1">
      <c r="B65" s="469"/>
      <c r="C65" s="450"/>
      <c r="D65" s="449"/>
      <c r="E65" s="468"/>
    </row>
    <row r="66" spans="2:5" ht="15.75" customHeight="1">
      <c r="B66" s="469"/>
      <c r="C66" s="450"/>
      <c r="D66" s="449"/>
      <c r="E66" s="468"/>
    </row>
    <row r="67" spans="2:5" ht="15.75" customHeight="1">
      <c r="B67" s="469"/>
      <c r="C67" s="450"/>
      <c r="D67" s="449"/>
      <c r="E67" s="468"/>
    </row>
    <row r="68" spans="2:5" ht="15.75" customHeight="1">
      <c r="B68" s="469"/>
      <c r="C68" s="450"/>
      <c r="D68" s="449"/>
      <c r="E68" s="468"/>
    </row>
    <row r="69" spans="2:5" ht="15.75" customHeight="1">
      <c r="B69" s="469"/>
      <c r="C69" s="450"/>
      <c r="D69" s="449"/>
      <c r="E69" s="468"/>
    </row>
    <row r="70" spans="2:5" ht="15.75" customHeight="1">
      <c r="B70" s="469"/>
      <c r="C70" s="450"/>
      <c r="D70" s="449"/>
      <c r="E70" s="468"/>
    </row>
    <row r="71" spans="2:5" ht="15.75" customHeight="1">
      <c r="B71" s="469"/>
      <c r="C71" s="450"/>
      <c r="D71" s="449"/>
      <c r="E71" s="468"/>
    </row>
    <row r="72" spans="2:5" ht="15.75" customHeight="1">
      <c r="B72" s="469"/>
      <c r="C72" s="450"/>
      <c r="D72" s="449"/>
      <c r="E72" s="468"/>
    </row>
    <row r="73" spans="2:5" ht="15.75" customHeight="1">
      <c r="B73" s="469"/>
      <c r="C73" s="450"/>
      <c r="D73" s="449"/>
      <c r="E73" s="468"/>
    </row>
    <row r="74" spans="2:5" ht="15.75" customHeight="1">
      <c r="B74" s="469"/>
      <c r="C74" s="450"/>
      <c r="D74" s="449"/>
      <c r="E74" s="468"/>
    </row>
    <row r="75" spans="2:5" ht="15.75" customHeight="1">
      <c r="B75" s="469"/>
      <c r="C75" s="450"/>
      <c r="D75" s="449"/>
      <c r="E75" s="468"/>
    </row>
    <row r="76" spans="2:5" ht="15.75" customHeight="1">
      <c r="B76" s="469"/>
      <c r="C76" s="450"/>
      <c r="D76" s="449"/>
      <c r="E76" s="468"/>
    </row>
    <row r="77" spans="2:5" ht="15.75" customHeight="1">
      <c r="B77" s="469"/>
      <c r="C77" s="450"/>
      <c r="D77" s="449"/>
      <c r="E77" s="468"/>
    </row>
    <row r="78" spans="2:5" ht="15.75" customHeight="1">
      <c r="B78" s="469"/>
      <c r="C78" s="450"/>
      <c r="D78" s="449"/>
      <c r="E78" s="468"/>
    </row>
    <row r="79" spans="2:5" ht="15.75" customHeight="1">
      <c r="B79" s="469"/>
      <c r="C79" s="450"/>
      <c r="D79" s="449"/>
      <c r="E79" s="468"/>
    </row>
    <row r="80" spans="2:5" ht="15.75" customHeight="1">
      <c r="B80" s="469"/>
      <c r="C80" s="450"/>
      <c r="D80" s="449"/>
      <c r="E80" s="468"/>
    </row>
    <row r="81" spans="2:5" ht="15.75" customHeight="1">
      <c r="B81" s="469"/>
      <c r="C81" s="450"/>
      <c r="D81" s="449"/>
      <c r="E81" s="468"/>
    </row>
    <row r="82" spans="2:5" ht="15.75" customHeight="1">
      <c r="B82" s="469"/>
      <c r="C82" s="450"/>
      <c r="D82" s="449"/>
      <c r="E82" s="468"/>
    </row>
    <row r="83" spans="2:5" ht="15.75" customHeight="1">
      <c r="B83" s="469"/>
      <c r="C83" s="450"/>
      <c r="D83" s="449"/>
      <c r="E83" s="468"/>
    </row>
    <row r="84" spans="2:5" ht="15.75" customHeight="1">
      <c r="B84" s="469"/>
      <c r="C84" s="450"/>
      <c r="D84" s="449"/>
      <c r="E84" s="468"/>
    </row>
    <row r="85" spans="2:5" ht="15.75" customHeight="1">
      <c r="B85" s="469"/>
      <c r="C85" s="450"/>
      <c r="D85" s="449"/>
      <c r="E85" s="468"/>
    </row>
    <row r="86" spans="2:5" ht="15.75" customHeight="1">
      <c r="B86" s="469"/>
      <c r="C86" s="450"/>
      <c r="D86" s="449"/>
      <c r="E86" s="468"/>
    </row>
    <row r="87" spans="2:5" ht="15.75" customHeight="1">
      <c r="B87" s="469"/>
      <c r="C87" s="450"/>
      <c r="D87" s="449"/>
      <c r="E87" s="468"/>
    </row>
    <row r="88" spans="2:5" ht="15.75" customHeight="1">
      <c r="B88" s="469"/>
      <c r="C88" s="450"/>
      <c r="D88" s="449"/>
      <c r="E88" s="468"/>
    </row>
    <row r="89" spans="2:5" ht="15.75" customHeight="1">
      <c r="B89" s="469"/>
      <c r="C89" s="450"/>
      <c r="D89" s="449"/>
      <c r="E89" s="468"/>
    </row>
    <row r="90" spans="2:5" ht="15.75" customHeight="1">
      <c r="B90" s="469"/>
      <c r="C90" s="450"/>
      <c r="D90" s="449"/>
      <c r="E90" s="468"/>
    </row>
    <row r="91" spans="2:5" ht="15.75" customHeight="1">
      <c r="B91" s="469"/>
      <c r="C91" s="450"/>
      <c r="D91" s="449"/>
      <c r="E91" s="468"/>
    </row>
    <row r="92" spans="2:5" ht="15.75" customHeight="1">
      <c r="B92" s="469"/>
      <c r="C92" s="450"/>
      <c r="D92" s="449"/>
      <c r="E92" s="468"/>
    </row>
    <row r="93" spans="2:5" ht="15.75" customHeight="1">
      <c r="B93" s="469"/>
      <c r="C93" s="450"/>
      <c r="D93" s="449"/>
      <c r="E93" s="468"/>
    </row>
    <row r="94" spans="2:5" ht="15.75" customHeight="1">
      <c r="B94" s="469"/>
      <c r="C94" s="450"/>
      <c r="D94" s="449"/>
      <c r="E94" s="468"/>
    </row>
    <row r="95" spans="2:5" ht="15.75" customHeight="1">
      <c r="B95" s="469"/>
      <c r="C95" s="450"/>
      <c r="D95" s="449"/>
      <c r="E95" s="468"/>
    </row>
    <row r="96" spans="2:5" ht="15.75" customHeight="1">
      <c r="B96" s="469"/>
      <c r="C96" s="450"/>
      <c r="D96" s="449"/>
      <c r="E96" s="468"/>
    </row>
    <row r="97" spans="2:5" ht="15.75" customHeight="1">
      <c r="B97" s="469"/>
      <c r="C97" s="450"/>
      <c r="D97" s="449"/>
      <c r="E97" s="468"/>
    </row>
    <row r="98" spans="2:5" ht="15.75" customHeight="1">
      <c r="B98" s="469"/>
      <c r="C98" s="450"/>
      <c r="D98" s="449"/>
      <c r="E98" s="468"/>
    </row>
    <row r="99" spans="2:5" ht="15.75" customHeight="1">
      <c r="B99" s="469"/>
      <c r="C99" s="450"/>
      <c r="D99" s="449"/>
      <c r="E99" s="468"/>
    </row>
    <row r="100" spans="2:5" ht="15.75" customHeight="1">
      <c r="B100" s="469"/>
      <c r="C100" s="450"/>
      <c r="D100" s="449"/>
      <c r="E100" s="468"/>
    </row>
    <row r="101" spans="2:5" ht="15.75" customHeight="1">
      <c r="B101" s="469"/>
      <c r="C101" s="450"/>
      <c r="D101" s="449"/>
      <c r="E101" s="468"/>
    </row>
    <row r="102" spans="2:5" ht="15.75" customHeight="1">
      <c r="B102" s="469"/>
      <c r="C102" s="450"/>
      <c r="D102" s="449"/>
      <c r="E102" s="468"/>
    </row>
    <row r="103" spans="2:5" ht="15.75" customHeight="1">
      <c r="B103" s="469"/>
      <c r="C103" s="450"/>
      <c r="D103" s="449"/>
      <c r="E103" s="468"/>
    </row>
    <row r="104" spans="2:5" ht="15.75" customHeight="1">
      <c r="B104" s="469"/>
      <c r="C104" s="450"/>
      <c r="D104" s="449"/>
      <c r="E104" s="468"/>
    </row>
    <row r="105" spans="2:5" ht="15.75" customHeight="1">
      <c r="B105" s="469"/>
      <c r="C105" s="450"/>
      <c r="D105" s="449"/>
      <c r="E105" s="468"/>
    </row>
    <row r="106" spans="2:5" ht="15.75" customHeight="1">
      <c r="B106" s="469"/>
      <c r="C106" s="450"/>
      <c r="D106" s="449"/>
      <c r="E106" s="468"/>
    </row>
    <row r="107" spans="2:5" ht="15.75" customHeight="1">
      <c r="B107" s="469"/>
      <c r="C107" s="450"/>
      <c r="D107" s="449"/>
      <c r="E107" s="468"/>
    </row>
    <row r="108" spans="2:5" ht="15.75" customHeight="1">
      <c r="B108" s="469"/>
      <c r="C108" s="450"/>
      <c r="D108" s="449"/>
      <c r="E108" s="468"/>
    </row>
    <row r="109" spans="2:5" ht="15.75" customHeight="1">
      <c r="B109" s="469"/>
      <c r="C109" s="450"/>
      <c r="D109" s="449"/>
      <c r="E109" s="468"/>
    </row>
    <row r="110" spans="2:5" ht="15.75" customHeight="1">
      <c r="B110" s="469"/>
      <c r="C110" s="450"/>
      <c r="D110" s="449"/>
      <c r="E110" s="468"/>
    </row>
    <row r="111" spans="2:5" ht="15.75" customHeight="1">
      <c r="B111" s="469"/>
      <c r="C111" s="450"/>
      <c r="D111" s="449"/>
      <c r="E111" s="468"/>
    </row>
    <row r="112" spans="2:5" ht="15.75" customHeight="1">
      <c r="B112" s="469"/>
      <c r="C112" s="450"/>
      <c r="D112" s="449"/>
      <c r="E112" s="468"/>
    </row>
    <row r="113" spans="2:5" ht="15.75" customHeight="1">
      <c r="B113" s="469"/>
      <c r="C113" s="450"/>
      <c r="D113" s="449"/>
      <c r="E113" s="468"/>
    </row>
    <row r="114" spans="2:5" ht="15.75" customHeight="1">
      <c r="B114" s="469"/>
      <c r="C114" s="450"/>
      <c r="D114" s="449"/>
      <c r="E114" s="468"/>
    </row>
    <row r="115" spans="2:5" ht="15.75" customHeight="1">
      <c r="B115" s="469"/>
      <c r="C115" s="450"/>
      <c r="D115" s="449"/>
      <c r="E115" s="468"/>
    </row>
    <row r="116" spans="2:5" ht="15.75" customHeight="1">
      <c r="B116" s="469"/>
      <c r="C116" s="450"/>
      <c r="D116" s="449"/>
      <c r="E116" s="468"/>
    </row>
    <row r="117" spans="2:5" ht="15.75" customHeight="1">
      <c r="B117" s="469"/>
      <c r="C117" s="450"/>
      <c r="D117" s="449"/>
      <c r="E117" s="468"/>
    </row>
    <row r="118" spans="2:5" ht="15.75" customHeight="1">
      <c r="B118" s="469"/>
      <c r="C118" s="450"/>
      <c r="D118" s="449"/>
      <c r="E118" s="468"/>
    </row>
    <row r="119" spans="2:5" ht="15.75" customHeight="1">
      <c r="B119" s="469"/>
      <c r="C119" s="450"/>
      <c r="D119" s="449"/>
      <c r="E119" s="468"/>
    </row>
    <row r="120" spans="2:5" ht="15.75" customHeight="1">
      <c r="B120" s="469"/>
      <c r="C120" s="450"/>
      <c r="D120" s="449"/>
      <c r="E120" s="468"/>
    </row>
    <row r="121" spans="2:5" ht="15.75" customHeight="1">
      <c r="B121" s="469"/>
      <c r="C121" s="450"/>
      <c r="D121" s="449"/>
      <c r="E121" s="468"/>
    </row>
    <row r="122" spans="2:5" ht="15.75" customHeight="1">
      <c r="B122" s="469"/>
      <c r="C122" s="450"/>
      <c r="D122" s="449"/>
      <c r="E122" s="468"/>
    </row>
    <row r="123" spans="2:5" ht="15.75" customHeight="1">
      <c r="B123" s="469"/>
      <c r="C123" s="450"/>
      <c r="D123" s="449"/>
      <c r="E123" s="468"/>
    </row>
    <row r="124" spans="2:5" ht="15.75" customHeight="1">
      <c r="B124" s="469"/>
      <c r="C124" s="450"/>
      <c r="D124" s="449"/>
      <c r="E124" s="468"/>
    </row>
    <row r="125" spans="2:5" ht="15.75" customHeight="1">
      <c r="B125" s="469"/>
      <c r="C125" s="450"/>
      <c r="D125" s="449"/>
      <c r="E125" s="468"/>
    </row>
    <row r="126" spans="2:5" ht="15.75" customHeight="1">
      <c r="B126" s="469"/>
      <c r="C126" s="450"/>
      <c r="D126" s="449"/>
      <c r="E126" s="468"/>
    </row>
    <row r="127" spans="2:5" ht="15.75" customHeight="1">
      <c r="B127" s="469"/>
      <c r="C127" s="450"/>
      <c r="D127" s="449"/>
      <c r="E127" s="468"/>
    </row>
    <row r="128" spans="2:5" ht="15.75" customHeight="1">
      <c r="B128" s="469"/>
      <c r="C128" s="450"/>
      <c r="D128" s="449"/>
      <c r="E128" s="468"/>
    </row>
    <row r="129" spans="2:5" ht="15.75" customHeight="1">
      <c r="B129" s="469"/>
      <c r="C129" s="450"/>
      <c r="D129" s="449"/>
      <c r="E129" s="468"/>
    </row>
    <row r="130" spans="2:5" ht="15.75" customHeight="1">
      <c r="B130" s="469"/>
      <c r="C130" s="450"/>
      <c r="D130" s="449"/>
      <c r="E130" s="468"/>
    </row>
    <row r="131" spans="2:5" ht="15.75" customHeight="1">
      <c r="B131" s="469"/>
      <c r="C131" s="450"/>
      <c r="D131" s="449"/>
      <c r="E131" s="468"/>
    </row>
    <row r="132" spans="2:5" ht="15.75" customHeight="1">
      <c r="B132" s="469"/>
      <c r="C132" s="450"/>
      <c r="D132" s="449"/>
      <c r="E132" s="468"/>
    </row>
    <row r="133" spans="2:5" ht="15.75" customHeight="1">
      <c r="B133" s="469"/>
      <c r="C133" s="450"/>
      <c r="D133" s="449"/>
      <c r="E133" s="468"/>
    </row>
    <row r="134" spans="2:5" ht="15.75" customHeight="1">
      <c r="B134" s="469"/>
      <c r="C134" s="450"/>
      <c r="D134" s="449"/>
      <c r="E134" s="468"/>
    </row>
    <row r="135" spans="2:5" ht="15.75" customHeight="1">
      <c r="B135" s="469"/>
      <c r="C135" s="450"/>
      <c r="D135" s="449"/>
      <c r="E135" s="468"/>
    </row>
    <row r="136" spans="2:5" ht="15.75" customHeight="1">
      <c r="B136" s="469"/>
      <c r="C136" s="450"/>
      <c r="D136" s="449"/>
      <c r="E136" s="468"/>
    </row>
    <row r="137" spans="2:5" ht="15.75" customHeight="1">
      <c r="B137" s="469"/>
      <c r="C137" s="450"/>
      <c r="D137" s="449"/>
      <c r="E137" s="468"/>
    </row>
    <row r="138" spans="2:5" ht="15.75" customHeight="1">
      <c r="B138" s="469"/>
      <c r="C138" s="450"/>
      <c r="D138" s="449"/>
      <c r="E138" s="468"/>
    </row>
    <row r="139" spans="2:5" ht="15.75" customHeight="1">
      <c r="B139" s="469"/>
      <c r="C139" s="450"/>
      <c r="D139" s="449"/>
      <c r="E139" s="468"/>
    </row>
    <row r="140" spans="2:5" ht="15.75" customHeight="1">
      <c r="B140" s="469"/>
      <c r="C140" s="450"/>
      <c r="D140" s="449"/>
      <c r="E140" s="468"/>
    </row>
    <row r="141" spans="2:5" ht="15.75" customHeight="1">
      <c r="B141" s="469"/>
      <c r="C141" s="450"/>
      <c r="D141" s="449"/>
      <c r="E141" s="468"/>
    </row>
    <row r="142" spans="2:5" ht="15.75" customHeight="1">
      <c r="B142" s="469"/>
      <c r="C142" s="450"/>
      <c r="D142" s="449"/>
      <c r="E142" s="468"/>
    </row>
    <row r="143" spans="2:5" ht="15.75" customHeight="1">
      <c r="B143" s="469"/>
      <c r="C143" s="450"/>
      <c r="D143" s="449"/>
      <c r="E143" s="468"/>
    </row>
    <row r="144" spans="2:5" ht="15.75" customHeight="1">
      <c r="B144" s="469"/>
      <c r="C144" s="450"/>
      <c r="D144" s="449"/>
      <c r="E144" s="468"/>
    </row>
    <row r="145" spans="2:5" ht="15.75" customHeight="1">
      <c r="B145" s="469"/>
      <c r="C145" s="450"/>
      <c r="D145" s="449"/>
      <c r="E145" s="468"/>
    </row>
    <row r="146" spans="2:5" ht="15.75" customHeight="1">
      <c r="B146" s="469"/>
      <c r="C146" s="450"/>
      <c r="D146" s="449"/>
      <c r="E146" s="468"/>
    </row>
    <row r="147" spans="2:5" ht="15.75" customHeight="1">
      <c r="B147" s="469"/>
      <c r="C147" s="450"/>
      <c r="D147" s="449"/>
      <c r="E147" s="468"/>
    </row>
    <row r="148" spans="2:5" ht="15.75" customHeight="1">
      <c r="B148" s="469"/>
      <c r="C148" s="450"/>
      <c r="D148" s="449"/>
      <c r="E148" s="468"/>
    </row>
    <row r="149" spans="2:5" ht="15.75" customHeight="1">
      <c r="B149" s="469"/>
      <c r="C149" s="450"/>
      <c r="D149" s="449"/>
      <c r="E149" s="468"/>
    </row>
    <row r="150" spans="2:5" ht="15.75" customHeight="1">
      <c r="B150" s="469"/>
      <c r="C150" s="450"/>
      <c r="D150" s="449"/>
      <c r="E150" s="468"/>
    </row>
    <row r="151" spans="2:5" ht="15.75" customHeight="1">
      <c r="B151" s="469"/>
      <c r="C151" s="450"/>
      <c r="D151" s="449"/>
      <c r="E151" s="468"/>
    </row>
    <row r="152" spans="2:5" ht="15.75" customHeight="1">
      <c r="B152" s="469"/>
      <c r="C152" s="450"/>
      <c r="D152" s="449"/>
      <c r="E152" s="468"/>
    </row>
    <row r="153" spans="2:5" ht="15.75" customHeight="1">
      <c r="B153" s="469"/>
      <c r="C153" s="450"/>
      <c r="D153" s="449"/>
      <c r="E153" s="468"/>
    </row>
    <row r="154" spans="2:5" ht="15.75" customHeight="1">
      <c r="B154" s="469"/>
      <c r="C154" s="450"/>
      <c r="D154" s="449"/>
      <c r="E154" s="468"/>
    </row>
    <row r="155" spans="2:5" ht="15.75" customHeight="1">
      <c r="B155" s="469"/>
      <c r="C155" s="450"/>
      <c r="D155" s="449"/>
      <c r="E155" s="468"/>
    </row>
    <row r="156" spans="2:5" ht="15.75" customHeight="1">
      <c r="B156" s="469"/>
      <c r="C156" s="450"/>
      <c r="D156" s="449"/>
      <c r="E156" s="468"/>
    </row>
    <row r="157" spans="2:5" ht="15.75" customHeight="1">
      <c r="B157" s="469"/>
      <c r="C157" s="450"/>
      <c r="D157" s="449"/>
      <c r="E157" s="468"/>
    </row>
    <row r="158" spans="2:5" ht="15.75" customHeight="1">
      <c r="B158" s="469"/>
      <c r="C158" s="450"/>
      <c r="D158" s="449"/>
      <c r="E158" s="468"/>
    </row>
    <row r="159" spans="2:5" ht="15.75" customHeight="1">
      <c r="B159" s="469"/>
      <c r="C159" s="450"/>
      <c r="D159" s="449"/>
      <c r="E159" s="468"/>
    </row>
    <row r="160" spans="2:5" ht="15.75" customHeight="1">
      <c r="B160" s="469"/>
      <c r="C160" s="450"/>
      <c r="D160" s="449"/>
      <c r="E160" s="468"/>
    </row>
    <row r="161" spans="2:5" ht="15.75" customHeight="1">
      <c r="B161" s="469"/>
      <c r="C161" s="450"/>
      <c r="D161" s="449"/>
      <c r="E161" s="468"/>
    </row>
    <row r="162" spans="2:5" ht="15.75" customHeight="1">
      <c r="B162" s="469"/>
      <c r="C162" s="450"/>
      <c r="D162" s="449"/>
      <c r="E162" s="468"/>
    </row>
    <row r="163" spans="2:5" ht="15.75" customHeight="1">
      <c r="B163" s="469"/>
      <c r="C163" s="450"/>
      <c r="D163" s="449"/>
      <c r="E163" s="468"/>
    </row>
    <row r="164" spans="2:5" ht="15.75" customHeight="1">
      <c r="B164" s="469"/>
      <c r="C164" s="450"/>
      <c r="D164" s="449"/>
      <c r="E164" s="468"/>
    </row>
    <row r="165" spans="2:5" ht="15.75" customHeight="1">
      <c r="B165" s="469"/>
      <c r="C165" s="450"/>
      <c r="D165" s="449"/>
      <c r="E165" s="468"/>
    </row>
    <row r="166" spans="2:5" ht="15.75" customHeight="1">
      <c r="B166" s="469"/>
      <c r="C166" s="450"/>
      <c r="D166" s="449"/>
      <c r="E166" s="468"/>
    </row>
    <row r="167" spans="2:5" ht="15.75" customHeight="1">
      <c r="B167" s="469"/>
      <c r="C167" s="450"/>
      <c r="D167" s="449"/>
      <c r="E167" s="468"/>
    </row>
    <row r="168" spans="2:5" ht="15.75" customHeight="1">
      <c r="B168" s="469"/>
      <c r="C168" s="450"/>
      <c r="D168" s="449"/>
      <c r="E168" s="468"/>
    </row>
    <row r="169" spans="2:5" ht="15.75" customHeight="1">
      <c r="B169" s="469"/>
      <c r="C169" s="450"/>
      <c r="D169" s="449"/>
      <c r="E169" s="468"/>
    </row>
    <row r="170" spans="2:5" ht="15.75" customHeight="1">
      <c r="B170" s="469"/>
      <c r="C170" s="450"/>
      <c r="D170" s="449"/>
      <c r="E170" s="468"/>
    </row>
    <row r="171" spans="2:5" ht="15.75" customHeight="1">
      <c r="B171" s="469"/>
      <c r="C171" s="450"/>
      <c r="D171" s="449"/>
      <c r="E171" s="468"/>
    </row>
    <row r="172" spans="2:5" ht="15.75" customHeight="1">
      <c r="B172" s="469"/>
      <c r="C172" s="450"/>
      <c r="D172" s="449"/>
      <c r="E172" s="468"/>
    </row>
    <row r="173" spans="2:5" ht="15.75" customHeight="1">
      <c r="B173" s="469"/>
      <c r="C173" s="450"/>
      <c r="D173" s="449"/>
      <c r="E173" s="468"/>
    </row>
    <row r="174" spans="2:5" ht="15.75" customHeight="1">
      <c r="B174" s="469"/>
      <c r="C174" s="450"/>
      <c r="D174" s="449"/>
      <c r="E174" s="468"/>
    </row>
    <row r="175" spans="2:5" ht="15.75" customHeight="1">
      <c r="B175" s="469"/>
      <c r="C175" s="450"/>
      <c r="D175" s="449"/>
      <c r="E175" s="468"/>
    </row>
    <row r="176" spans="2:5" ht="15.75" customHeight="1">
      <c r="B176" s="469"/>
      <c r="C176" s="450"/>
      <c r="D176" s="449"/>
      <c r="E176" s="468"/>
    </row>
    <row r="177" spans="2:5" ht="15.75" customHeight="1">
      <c r="B177" s="469"/>
      <c r="C177" s="450"/>
      <c r="D177" s="449"/>
      <c r="E177" s="468"/>
    </row>
    <row r="178" spans="2:5" ht="15.75" customHeight="1">
      <c r="B178" s="469"/>
      <c r="C178" s="450"/>
      <c r="D178" s="449"/>
      <c r="E178" s="468"/>
    </row>
    <row r="179" spans="2:5" ht="15.75" customHeight="1">
      <c r="B179" s="469"/>
      <c r="C179" s="450"/>
      <c r="D179" s="449"/>
      <c r="E179" s="468"/>
    </row>
    <row r="180" spans="2:5" ht="15.75" customHeight="1">
      <c r="B180" s="469"/>
      <c r="C180" s="450"/>
      <c r="D180" s="449"/>
      <c r="E180" s="468"/>
    </row>
    <row r="181" spans="2:5" ht="15.75" customHeight="1">
      <c r="B181" s="469"/>
      <c r="C181" s="450"/>
      <c r="D181" s="449"/>
      <c r="E181" s="468"/>
    </row>
    <row r="182" spans="2:5" ht="15.75" customHeight="1">
      <c r="B182" s="469"/>
      <c r="C182" s="450"/>
      <c r="D182" s="449"/>
      <c r="E182" s="468"/>
    </row>
    <row r="183" spans="2:5" ht="15.75" customHeight="1">
      <c r="B183" s="469"/>
      <c r="C183" s="450"/>
      <c r="D183" s="449"/>
      <c r="E183" s="468"/>
    </row>
    <row r="184" spans="2:5" ht="15.75" customHeight="1">
      <c r="B184" s="469"/>
      <c r="C184" s="450"/>
      <c r="D184" s="449"/>
      <c r="E184" s="468"/>
    </row>
    <row r="185" spans="2:5" ht="15.75" customHeight="1">
      <c r="B185" s="469"/>
      <c r="C185" s="450"/>
      <c r="D185" s="449"/>
      <c r="E185" s="468"/>
    </row>
    <row r="186" spans="2:5" ht="15.75" customHeight="1">
      <c r="B186" s="469"/>
      <c r="C186" s="450"/>
      <c r="D186" s="449"/>
      <c r="E186" s="468"/>
    </row>
    <row r="187" spans="2:5" ht="15.75" customHeight="1">
      <c r="B187" s="469"/>
      <c r="C187" s="450"/>
      <c r="D187" s="449"/>
      <c r="E187" s="468"/>
    </row>
    <row r="188" spans="2:5" ht="15.75" customHeight="1">
      <c r="B188" s="469"/>
      <c r="C188" s="450"/>
      <c r="D188" s="449"/>
      <c r="E188" s="468"/>
    </row>
    <row r="189" spans="2:5" ht="15.75" customHeight="1">
      <c r="B189" s="469"/>
      <c r="C189" s="450"/>
      <c r="D189" s="449"/>
      <c r="E189" s="468"/>
    </row>
    <row r="190" spans="2:5" ht="15.75" customHeight="1">
      <c r="B190" s="469"/>
      <c r="C190" s="450"/>
      <c r="D190" s="449"/>
      <c r="E190" s="468"/>
    </row>
    <row r="191" spans="2:5" ht="15.75" customHeight="1">
      <c r="B191" s="469"/>
      <c r="C191" s="450"/>
      <c r="D191" s="449"/>
      <c r="E191" s="468"/>
    </row>
    <row r="192" spans="2:5" ht="15.75" customHeight="1">
      <c r="B192" s="469"/>
      <c r="C192" s="450"/>
      <c r="D192" s="449"/>
      <c r="E192" s="468"/>
    </row>
    <row r="193" spans="2:5" ht="15.75" customHeight="1">
      <c r="B193" s="469"/>
      <c r="C193" s="450"/>
      <c r="D193" s="449"/>
      <c r="E193" s="468"/>
    </row>
    <row r="194" spans="2:5" ht="15.75" customHeight="1">
      <c r="B194" s="469"/>
      <c r="C194" s="450"/>
      <c r="D194" s="449"/>
      <c r="E194" s="468"/>
    </row>
    <row r="195" spans="2:5" ht="15.75" customHeight="1">
      <c r="B195" s="469"/>
      <c r="C195" s="450"/>
      <c r="D195" s="449"/>
      <c r="E195" s="468"/>
    </row>
    <row r="196" spans="2:5" ht="15.75" customHeight="1">
      <c r="B196" s="469"/>
      <c r="C196" s="450"/>
      <c r="D196" s="449"/>
      <c r="E196" s="468"/>
    </row>
    <row r="197" spans="2:5" ht="15.75" customHeight="1">
      <c r="B197" s="469"/>
      <c r="C197" s="450"/>
      <c r="D197" s="449"/>
      <c r="E197" s="468"/>
    </row>
    <row r="198" spans="2:5" ht="15.75" customHeight="1">
      <c r="B198" s="469"/>
      <c r="C198" s="450"/>
      <c r="D198" s="449"/>
      <c r="E198" s="468"/>
    </row>
    <row r="199" spans="2:5" ht="15.75" customHeight="1">
      <c r="B199" s="469"/>
      <c r="C199" s="450"/>
      <c r="D199" s="449"/>
      <c r="E199" s="468"/>
    </row>
    <row r="200" spans="2:5" ht="15.75" customHeight="1">
      <c r="B200" s="469"/>
      <c r="C200" s="450"/>
      <c r="D200" s="449"/>
      <c r="E200" s="468"/>
    </row>
    <row r="201" spans="2:5" ht="15.75" customHeight="1">
      <c r="B201" s="469"/>
      <c r="C201" s="450"/>
      <c r="D201" s="449"/>
      <c r="E201" s="468"/>
    </row>
    <row r="202" spans="2:5" ht="15.75" customHeight="1">
      <c r="B202" s="469"/>
      <c r="C202" s="450"/>
      <c r="D202" s="449"/>
      <c r="E202" s="468"/>
    </row>
    <row r="203" spans="2:5" ht="15.75" customHeight="1">
      <c r="B203" s="469"/>
      <c r="C203" s="450"/>
      <c r="D203" s="449"/>
      <c r="E203" s="468"/>
    </row>
    <row r="204" spans="2:5" ht="15.75" customHeight="1">
      <c r="B204" s="469"/>
      <c r="C204" s="450"/>
      <c r="D204" s="449"/>
      <c r="E204" s="468"/>
    </row>
    <row r="205" spans="2:5" ht="15.75" customHeight="1">
      <c r="B205" s="469"/>
      <c r="C205" s="450"/>
      <c r="D205" s="449"/>
      <c r="E205" s="468"/>
    </row>
    <row r="206" spans="2:5" ht="15.75" customHeight="1">
      <c r="B206" s="469"/>
      <c r="C206" s="450"/>
      <c r="D206" s="449"/>
      <c r="E206" s="468"/>
    </row>
    <row r="207" spans="2:5" ht="15.75" customHeight="1">
      <c r="B207" s="469"/>
      <c r="C207" s="450"/>
      <c r="D207" s="449"/>
      <c r="E207" s="468"/>
    </row>
    <row r="208" spans="2:5" ht="15.75" customHeight="1">
      <c r="B208" s="469"/>
      <c r="C208" s="450"/>
      <c r="D208" s="449"/>
      <c r="E208" s="468"/>
    </row>
    <row r="209" spans="2:5" ht="15.75" customHeight="1">
      <c r="B209" s="469"/>
      <c r="C209" s="450"/>
      <c r="D209" s="449"/>
      <c r="E209" s="468"/>
    </row>
    <row r="210" spans="2:5" ht="15.75" customHeight="1">
      <c r="B210" s="469"/>
      <c r="C210" s="450"/>
      <c r="D210" s="449"/>
      <c r="E210" s="468"/>
    </row>
    <row r="211" spans="2:5" ht="15.75" customHeight="1">
      <c r="B211" s="469"/>
      <c r="C211" s="450"/>
      <c r="D211" s="449"/>
      <c r="E211" s="468"/>
    </row>
    <row r="212" spans="2:5" ht="15.75" customHeight="1">
      <c r="B212" s="469"/>
      <c r="C212" s="450"/>
      <c r="D212" s="449"/>
      <c r="E212" s="468"/>
    </row>
    <row r="213" spans="2:5" ht="15.75" customHeight="1">
      <c r="B213" s="469"/>
      <c r="C213" s="450"/>
      <c r="D213" s="449"/>
      <c r="E213" s="468"/>
    </row>
    <row r="214" spans="2:5" ht="15.75" customHeight="1">
      <c r="B214" s="469"/>
      <c r="C214" s="450"/>
      <c r="D214" s="449"/>
      <c r="E214" s="468"/>
    </row>
    <row r="215" spans="2:5" ht="15.75" customHeight="1">
      <c r="B215" s="469"/>
      <c r="C215" s="450"/>
      <c r="D215" s="449"/>
      <c r="E215" s="468"/>
    </row>
    <row r="216" spans="2:5" ht="15.75" customHeight="1">
      <c r="B216" s="469"/>
      <c r="C216" s="450"/>
      <c r="D216" s="449"/>
      <c r="E216" s="468"/>
    </row>
    <row r="217" spans="2:5" ht="15.75" customHeight="1">
      <c r="B217" s="469"/>
      <c r="C217" s="450"/>
      <c r="D217" s="449"/>
      <c r="E217" s="468"/>
    </row>
    <row r="218" spans="2:5" ht="15.75" customHeight="1">
      <c r="B218" s="469"/>
      <c r="C218" s="450"/>
      <c r="D218" s="449"/>
      <c r="E218" s="468"/>
    </row>
    <row r="219" spans="2:5" ht="15.75" customHeight="1">
      <c r="B219" s="469"/>
      <c r="C219" s="450"/>
      <c r="D219" s="449"/>
      <c r="E219" s="468"/>
    </row>
    <row r="220" spans="2:5" ht="15.75" customHeight="1">
      <c r="B220" s="469"/>
      <c r="C220" s="450"/>
      <c r="D220" s="449"/>
      <c r="E220" s="468"/>
    </row>
    <row r="221" spans="2:5" ht="15.75" customHeight="1">
      <c r="B221" s="469"/>
      <c r="C221" s="450"/>
      <c r="D221" s="449"/>
      <c r="E221" s="468"/>
    </row>
    <row r="222" spans="2:5" ht="15.75" customHeight="1">
      <c r="B222" s="469"/>
      <c r="C222" s="450"/>
      <c r="D222" s="449"/>
      <c r="E222" s="468"/>
    </row>
    <row r="223" spans="2:5" ht="15.75" customHeight="1">
      <c r="B223" s="469"/>
      <c r="C223" s="450"/>
      <c r="D223" s="449"/>
      <c r="E223" s="468"/>
    </row>
    <row r="224" spans="2:5" ht="15.75" customHeight="1">
      <c r="B224" s="469"/>
      <c r="C224" s="450"/>
      <c r="D224" s="449"/>
      <c r="E224" s="468"/>
    </row>
    <row r="225" spans="2:5" ht="15.75" customHeight="1">
      <c r="B225" s="469"/>
      <c r="C225" s="450"/>
      <c r="D225" s="449"/>
      <c r="E225" s="468"/>
    </row>
    <row r="226" spans="2:5" ht="15.75" customHeight="1">
      <c r="B226" s="469"/>
      <c r="C226" s="450"/>
      <c r="D226" s="449"/>
      <c r="E226" s="468"/>
    </row>
    <row r="227" spans="2:5" ht="15.75" customHeight="1">
      <c r="B227" s="469"/>
      <c r="C227" s="450"/>
      <c r="D227" s="449"/>
      <c r="E227" s="468"/>
    </row>
    <row r="228" spans="2:5" ht="15.75" customHeight="1">
      <c r="B228" s="469"/>
      <c r="C228" s="450"/>
      <c r="D228" s="449"/>
      <c r="E228" s="468"/>
    </row>
    <row r="229" spans="2:5" ht="15.75" customHeight="1">
      <c r="B229" s="469"/>
      <c r="C229" s="450"/>
      <c r="D229" s="449"/>
      <c r="E229" s="468"/>
    </row>
    <row r="230" spans="2:5" ht="15.75" customHeight="1">
      <c r="B230" s="469"/>
      <c r="C230" s="450"/>
      <c r="D230" s="449"/>
      <c r="E230" s="468"/>
    </row>
    <row r="231" spans="2:5" ht="15.75" customHeight="1">
      <c r="B231" s="469"/>
      <c r="C231" s="450"/>
      <c r="D231" s="449"/>
      <c r="E231" s="468"/>
    </row>
    <row r="232" spans="2:5" ht="15.75" customHeight="1">
      <c r="B232" s="469"/>
      <c r="C232" s="450"/>
      <c r="D232" s="449"/>
      <c r="E232" s="468"/>
    </row>
    <row r="233" spans="2:5" ht="15.75" customHeight="1">
      <c r="B233" s="469"/>
      <c r="C233" s="450"/>
      <c r="D233" s="449"/>
      <c r="E233" s="468"/>
    </row>
    <row r="234" spans="2:5" ht="15.75" customHeight="1">
      <c r="B234" s="469"/>
      <c r="C234" s="450"/>
      <c r="D234" s="449"/>
      <c r="E234" s="468"/>
    </row>
    <row r="235" spans="2:5" ht="15.75" customHeight="1">
      <c r="B235" s="469"/>
      <c r="C235" s="450"/>
      <c r="D235" s="449"/>
      <c r="E235" s="468"/>
    </row>
    <row r="236" spans="2:5" ht="15.75" customHeight="1">
      <c r="B236" s="469"/>
      <c r="C236" s="450"/>
      <c r="D236" s="449"/>
      <c r="E236" s="468"/>
    </row>
    <row r="237" spans="2:5" ht="15.75" customHeight="1">
      <c r="B237" s="469"/>
      <c r="C237" s="450"/>
      <c r="D237" s="449"/>
      <c r="E237" s="468"/>
    </row>
    <row r="238" spans="2:5" ht="15.75" customHeight="1">
      <c r="B238" s="469"/>
      <c r="C238" s="450"/>
      <c r="D238" s="449"/>
      <c r="E238" s="468"/>
    </row>
    <row r="239" spans="2:5" ht="15.75" customHeight="1">
      <c r="B239" s="469"/>
      <c r="C239" s="450"/>
      <c r="D239" s="449"/>
      <c r="E239" s="468"/>
    </row>
    <row r="240" spans="2:5" ht="15.75" customHeight="1">
      <c r="B240" s="469"/>
      <c r="C240" s="450"/>
      <c r="D240" s="449"/>
      <c r="E240" s="468"/>
    </row>
    <row r="241" spans="2:5" ht="15.75" customHeight="1">
      <c r="B241" s="469"/>
      <c r="C241" s="450"/>
      <c r="D241" s="449"/>
      <c r="E241" s="468"/>
    </row>
    <row r="242" spans="2:5" ht="15.75" customHeight="1">
      <c r="B242" s="469"/>
      <c r="C242" s="450"/>
      <c r="D242" s="449"/>
      <c r="E242" s="468"/>
    </row>
    <row r="243" spans="2:5" ht="15.75" customHeight="1">
      <c r="B243" s="469"/>
      <c r="C243" s="450"/>
      <c r="D243" s="449"/>
      <c r="E243" s="468"/>
    </row>
    <row r="244" spans="2:5" ht="15.75" customHeight="1">
      <c r="B244" s="469"/>
      <c r="C244" s="450"/>
      <c r="D244" s="449"/>
      <c r="E244" s="468"/>
    </row>
    <row r="245" spans="2:5" ht="15.75" customHeight="1">
      <c r="B245" s="469"/>
      <c r="C245" s="450"/>
      <c r="D245" s="449"/>
      <c r="E245" s="468"/>
    </row>
    <row r="246" spans="2:5" ht="15.75" customHeight="1">
      <c r="B246" s="469"/>
      <c r="C246" s="450"/>
      <c r="D246" s="449"/>
      <c r="E246" s="468"/>
    </row>
    <row r="247" spans="2:5" ht="15.75" customHeight="1">
      <c r="B247" s="469"/>
      <c r="C247" s="450"/>
      <c r="D247" s="449"/>
      <c r="E247" s="468"/>
    </row>
    <row r="248" spans="2:5" ht="15.75" customHeight="1">
      <c r="B248" s="469"/>
      <c r="C248" s="450"/>
      <c r="D248" s="449"/>
      <c r="E248" s="468"/>
    </row>
    <row r="249" spans="2:5" ht="15.75" customHeight="1">
      <c r="B249" s="469"/>
      <c r="C249" s="450"/>
      <c r="D249" s="449"/>
      <c r="E249" s="468"/>
    </row>
    <row r="250" spans="2:5" ht="15.75" customHeight="1">
      <c r="B250" s="469"/>
      <c r="C250" s="450"/>
      <c r="D250" s="449"/>
      <c r="E250" s="468"/>
    </row>
    <row r="251" spans="2:5" ht="15.75" customHeight="1">
      <c r="B251" s="469"/>
      <c r="C251" s="450"/>
      <c r="D251" s="449"/>
      <c r="E251" s="468"/>
    </row>
    <row r="252" spans="2:5" ht="15.75" customHeight="1">
      <c r="B252" s="469"/>
      <c r="C252" s="450"/>
      <c r="D252" s="449"/>
      <c r="E252" s="468"/>
    </row>
    <row r="253" spans="2:5" ht="15.75" customHeight="1">
      <c r="B253" s="469"/>
      <c r="C253" s="450"/>
      <c r="D253" s="449"/>
      <c r="E253" s="468"/>
    </row>
    <row r="254" spans="2:5" ht="15.75" customHeight="1">
      <c r="B254" s="469"/>
      <c r="C254" s="450"/>
      <c r="D254" s="449"/>
      <c r="E254" s="468"/>
    </row>
    <row r="255" spans="2:5" ht="15.75" customHeight="1">
      <c r="B255" s="469"/>
      <c r="C255" s="450"/>
      <c r="D255" s="449"/>
      <c r="E255" s="468"/>
    </row>
    <row r="256" spans="2:5" ht="15.75" customHeight="1">
      <c r="B256" s="469"/>
      <c r="C256" s="450"/>
      <c r="D256" s="449"/>
      <c r="E256" s="468"/>
    </row>
    <row r="257" spans="2:5" ht="15.75" customHeight="1">
      <c r="B257" s="469"/>
      <c r="C257" s="450"/>
      <c r="D257" s="449"/>
      <c r="E257" s="468"/>
    </row>
    <row r="258" spans="2:5" ht="15.75" customHeight="1">
      <c r="B258" s="469"/>
      <c r="C258" s="450"/>
      <c r="D258" s="449"/>
      <c r="E258" s="468"/>
    </row>
    <row r="259" spans="2:5" ht="15.75" customHeight="1">
      <c r="B259" s="469"/>
      <c r="C259" s="450"/>
      <c r="D259" s="449"/>
      <c r="E259" s="468"/>
    </row>
    <row r="260" spans="2:5" ht="15.75" customHeight="1">
      <c r="B260" s="469"/>
      <c r="C260" s="450"/>
      <c r="D260" s="449"/>
      <c r="E260" s="468"/>
    </row>
    <row r="261" spans="2:5" ht="15.75" customHeight="1">
      <c r="B261" s="469"/>
      <c r="C261" s="450"/>
      <c r="D261" s="449"/>
      <c r="E261" s="468"/>
    </row>
    <row r="262" spans="2:5" ht="15.75" customHeight="1">
      <c r="B262" s="469"/>
      <c r="C262" s="450"/>
      <c r="D262" s="449"/>
      <c r="E262" s="468"/>
    </row>
    <row r="263" spans="2:5" ht="15.75" customHeight="1">
      <c r="B263" s="469"/>
      <c r="C263" s="450"/>
      <c r="D263" s="449"/>
      <c r="E263" s="468"/>
    </row>
    <row r="264" spans="2:5" ht="15.75" customHeight="1">
      <c r="B264" s="469"/>
      <c r="C264" s="450"/>
      <c r="D264" s="449"/>
      <c r="E264" s="468"/>
    </row>
    <row r="265" spans="2:5" ht="15.75" customHeight="1">
      <c r="B265" s="469"/>
      <c r="C265" s="450"/>
      <c r="D265" s="449"/>
      <c r="E265" s="468"/>
    </row>
    <row r="266" spans="2:5" ht="15.75" customHeight="1">
      <c r="B266" s="469"/>
      <c r="C266" s="450"/>
      <c r="D266" s="449"/>
      <c r="E266" s="468"/>
    </row>
    <row r="267" spans="2:5" ht="15.75" customHeight="1">
      <c r="B267" s="469"/>
      <c r="C267" s="450"/>
      <c r="D267" s="449"/>
      <c r="E267" s="468"/>
    </row>
    <row r="268" spans="2:5" ht="15.75" customHeight="1">
      <c r="B268" s="469"/>
      <c r="C268" s="450"/>
      <c r="D268" s="449"/>
      <c r="E268" s="468"/>
    </row>
    <row r="269" spans="2:5" ht="15.75" customHeight="1">
      <c r="B269" s="469"/>
      <c r="C269" s="450"/>
      <c r="D269" s="449"/>
      <c r="E269" s="468"/>
    </row>
    <row r="270" spans="2:5" ht="15.75" customHeight="1">
      <c r="B270" s="469"/>
      <c r="C270" s="450"/>
      <c r="D270" s="449"/>
      <c r="E270" s="468"/>
    </row>
    <row r="271" spans="2:5" ht="15.75" customHeight="1">
      <c r="B271" s="469"/>
      <c r="C271" s="450"/>
      <c r="D271" s="449"/>
      <c r="E271" s="468"/>
    </row>
    <row r="272" spans="2:5" ht="15.75" customHeight="1">
      <c r="B272" s="469"/>
      <c r="C272" s="450"/>
      <c r="D272" s="449"/>
      <c r="E272" s="468"/>
    </row>
    <row r="273" spans="2:5" ht="15.75" customHeight="1">
      <c r="B273" s="469"/>
      <c r="C273" s="450"/>
      <c r="D273" s="449"/>
      <c r="E273" s="468"/>
    </row>
    <row r="274" spans="2:5" ht="15.75" customHeight="1">
      <c r="B274" s="469"/>
      <c r="C274" s="450"/>
      <c r="D274" s="449"/>
      <c r="E274" s="468"/>
    </row>
    <row r="275" spans="2:5" ht="15.75" customHeight="1">
      <c r="B275" s="469"/>
      <c r="C275" s="450"/>
      <c r="D275" s="449"/>
      <c r="E275" s="468"/>
    </row>
    <row r="276" spans="2:5" ht="15.75" customHeight="1">
      <c r="B276" s="469"/>
      <c r="C276" s="450"/>
      <c r="D276" s="449"/>
      <c r="E276" s="468"/>
    </row>
    <row r="277" spans="2:5" ht="15.75" customHeight="1">
      <c r="B277" s="469"/>
      <c r="C277" s="450"/>
      <c r="D277" s="449"/>
      <c r="E277" s="468"/>
    </row>
    <row r="278" spans="2:5" ht="15.75" customHeight="1">
      <c r="B278" s="469"/>
      <c r="C278" s="450"/>
      <c r="D278" s="449"/>
      <c r="E278" s="468"/>
    </row>
    <row r="279" spans="2:5" ht="15.75" customHeight="1">
      <c r="B279" s="469"/>
      <c r="C279" s="450"/>
      <c r="D279" s="449"/>
      <c r="E279" s="468"/>
    </row>
    <row r="280" spans="2:5" ht="15.75" customHeight="1">
      <c r="B280" s="469"/>
      <c r="C280" s="450"/>
      <c r="D280" s="449"/>
      <c r="E280" s="468"/>
    </row>
    <row r="281" spans="2:5" ht="15.75" customHeight="1">
      <c r="B281" s="469"/>
      <c r="C281" s="450"/>
      <c r="D281" s="449"/>
      <c r="E281" s="468"/>
    </row>
    <row r="282" spans="2:5" ht="15.75" customHeight="1">
      <c r="B282" s="469"/>
      <c r="C282" s="450"/>
      <c r="D282" s="449"/>
      <c r="E282" s="468"/>
    </row>
    <row r="283" spans="2:5" ht="15.75" customHeight="1">
      <c r="B283" s="469"/>
      <c r="C283" s="450"/>
      <c r="D283" s="449"/>
      <c r="E283" s="468"/>
    </row>
    <row r="284" spans="2:5" ht="15.75" customHeight="1">
      <c r="B284" s="469"/>
      <c r="C284" s="450"/>
      <c r="D284" s="449"/>
      <c r="E284" s="468"/>
    </row>
    <row r="285" spans="2:5" ht="15.75" customHeight="1">
      <c r="B285" s="469"/>
      <c r="C285" s="450"/>
      <c r="D285" s="449"/>
      <c r="E285" s="468"/>
    </row>
    <row r="286" spans="2:5" ht="15.75" customHeight="1">
      <c r="B286" s="469"/>
      <c r="C286" s="450"/>
      <c r="D286" s="449"/>
      <c r="E286" s="468"/>
    </row>
    <row r="287" spans="2:5" ht="15.75" customHeight="1">
      <c r="B287" s="469"/>
      <c r="C287" s="450"/>
      <c r="D287" s="449"/>
      <c r="E287" s="468"/>
    </row>
    <row r="288" spans="2:5" ht="15.75" customHeight="1">
      <c r="B288" s="469"/>
      <c r="C288" s="450"/>
      <c r="D288" s="449"/>
      <c r="E288" s="468"/>
    </row>
    <row r="289" spans="2:5" ht="15.75" customHeight="1">
      <c r="B289" s="469"/>
      <c r="C289" s="450"/>
      <c r="D289" s="449"/>
      <c r="E289" s="468"/>
    </row>
    <row r="290" spans="2:5" ht="15.75" customHeight="1">
      <c r="B290" s="469"/>
      <c r="C290" s="450"/>
      <c r="D290" s="449"/>
      <c r="E290" s="468"/>
    </row>
    <row r="291" spans="2:5" ht="15.75" customHeight="1">
      <c r="B291" s="469"/>
      <c r="C291" s="450"/>
      <c r="D291" s="449"/>
      <c r="E291" s="468"/>
    </row>
    <row r="292" spans="2:5" ht="15.75" customHeight="1">
      <c r="B292" s="469"/>
      <c r="C292" s="450"/>
      <c r="D292" s="449"/>
      <c r="E292" s="468"/>
    </row>
    <row r="293" spans="2:5" ht="15.75" customHeight="1">
      <c r="B293" s="469"/>
      <c r="C293" s="450"/>
      <c r="D293" s="449"/>
      <c r="E293" s="468"/>
    </row>
    <row r="294" spans="2:5" ht="15.75" customHeight="1">
      <c r="B294" s="469"/>
      <c r="C294" s="450"/>
      <c r="D294" s="449"/>
      <c r="E294" s="468"/>
    </row>
    <row r="295" spans="2:5" ht="15.75" customHeight="1">
      <c r="B295" s="469"/>
      <c r="C295" s="450"/>
      <c r="D295" s="449"/>
      <c r="E295" s="468"/>
    </row>
    <row r="296" spans="2:5" ht="15.75" customHeight="1">
      <c r="B296" s="469"/>
      <c r="C296" s="450"/>
      <c r="D296" s="449"/>
      <c r="E296" s="468"/>
    </row>
    <row r="297" spans="2:5" ht="15.75" customHeight="1">
      <c r="B297" s="469"/>
      <c r="C297" s="450"/>
      <c r="D297" s="449"/>
      <c r="E297" s="468"/>
    </row>
    <row r="298" spans="2:5" ht="15.75" customHeight="1">
      <c r="B298" s="469"/>
      <c r="C298" s="450"/>
      <c r="D298" s="449"/>
      <c r="E298" s="468"/>
    </row>
    <row r="299" spans="2:5" ht="15.75" customHeight="1">
      <c r="B299" s="469"/>
      <c r="C299" s="450"/>
      <c r="D299" s="449"/>
      <c r="E299" s="468"/>
    </row>
    <row r="300" spans="2:5" ht="15.75" customHeight="1">
      <c r="B300" s="469"/>
      <c r="C300" s="450"/>
      <c r="D300" s="449"/>
      <c r="E300" s="468"/>
    </row>
    <row r="301" spans="2:5" ht="15.75" customHeight="1">
      <c r="B301" s="469"/>
      <c r="C301" s="450"/>
      <c r="D301" s="449"/>
      <c r="E301" s="468"/>
    </row>
    <row r="302" spans="2:5" ht="15.75" customHeight="1">
      <c r="B302" s="469"/>
      <c r="C302" s="450"/>
      <c r="D302" s="449"/>
      <c r="E302" s="468"/>
    </row>
    <row r="303" spans="2:5" ht="15.75" customHeight="1">
      <c r="B303" s="469"/>
      <c r="C303" s="450"/>
      <c r="D303" s="449"/>
      <c r="E303" s="468"/>
    </row>
    <row r="304" spans="2:5" ht="15.75" customHeight="1">
      <c r="B304" s="469"/>
      <c r="C304" s="450"/>
      <c r="D304" s="449"/>
      <c r="E304" s="468"/>
    </row>
    <row r="305" spans="2:5" ht="15.75" customHeight="1">
      <c r="B305" s="469"/>
      <c r="C305" s="450"/>
      <c r="D305" s="449"/>
      <c r="E305" s="468"/>
    </row>
    <row r="306" spans="2:5" ht="15.75" customHeight="1">
      <c r="B306" s="469"/>
      <c r="C306" s="450"/>
      <c r="D306" s="449"/>
      <c r="E306" s="468"/>
    </row>
    <row r="307" spans="2:5" ht="15.75" customHeight="1">
      <c r="B307" s="469"/>
      <c r="C307" s="450"/>
      <c r="D307" s="449"/>
      <c r="E307" s="468"/>
    </row>
    <row r="308" spans="2:5" ht="15.75" customHeight="1">
      <c r="B308" s="469"/>
      <c r="C308" s="450"/>
      <c r="D308" s="449"/>
      <c r="E308" s="468"/>
    </row>
    <row r="309" spans="2:5" ht="15.75" customHeight="1">
      <c r="B309" s="469"/>
      <c r="C309" s="450"/>
      <c r="D309" s="449"/>
      <c r="E309" s="468"/>
    </row>
    <row r="310" spans="2:5" ht="15.75" customHeight="1">
      <c r="B310" s="469"/>
      <c r="C310" s="450"/>
      <c r="D310" s="449"/>
      <c r="E310" s="468"/>
    </row>
    <row r="311" spans="2:5" ht="15.75" customHeight="1">
      <c r="B311" s="469"/>
      <c r="C311" s="450"/>
      <c r="D311" s="449"/>
      <c r="E311" s="468"/>
    </row>
    <row r="312" spans="2:5" ht="15.75" customHeight="1">
      <c r="B312" s="469"/>
      <c r="C312" s="450"/>
      <c r="D312" s="449"/>
      <c r="E312" s="468"/>
    </row>
    <row r="313" spans="2:5" ht="15.75" customHeight="1">
      <c r="B313" s="469"/>
      <c r="C313" s="450"/>
      <c r="D313" s="449"/>
      <c r="E313" s="468"/>
    </row>
    <row r="314" spans="2:5" ht="15.75" customHeight="1">
      <c r="B314" s="469"/>
      <c r="C314" s="450"/>
      <c r="D314" s="449"/>
      <c r="E314" s="468"/>
    </row>
    <row r="315" spans="2:5" ht="15.75" customHeight="1">
      <c r="B315" s="469"/>
      <c r="C315" s="450"/>
      <c r="D315" s="449"/>
      <c r="E315" s="468"/>
    </row>
    <row r="316" spans="2:5" ht="15.75" customHeight="1">
      <c r="B316" s="469"/>
      <c r="C316" s="450"/>
      <c r="D316" s="449"/>
      <c r="E316" s="468"/>
    </row>
    <row r="317" spans="2:5" ht="15.75" customHeight="1">
      <c r="B317" s="469"/>
      <c r="C317" s="450"/>
      <c r="D317" s="449"/>
      <c r="E317" s="468"/>
    </row>
    <row r="318" spans="2:5" ht="15.75" customHeight="1">
      <c r="B318" s="469"/>
      <c r="C318" s="450"/>
      <c r="D318" s="449"/>
      <c r="E318" s="468"/>
    </row>
    <row r="319" spans="2:5" ht="15.75" customHeight="1">
      <c r="B319" s="469"/>
      <c r="C319" s="450"/>
      <c r="D319" s="449"/>
      <c r="E319" s="468"/>
    </row>
    <row r="320" spans="2:5" ht="15.75" customHeight="1">
      <c r="B320" s="469"/>
      <c r="C320" s="450"/>
      <c r="D320" s="449"/>
      <c r="E320" s="468"/>
    </row>
    <row r="321" spans="2:5" ht="15.75" customHeight="1">
      <c r="B321" s="469"/>
      <c r="C321" s="450"/>
      <c r="D321" s="449"/>
      <c r="E321" s="468"/>
    </row>
    <row r="322" spans="2:5" ht="15.75" customHeight="1">
      <c r="B322" s="469"/>
      <c r="C322" s="450"/>
      <c r="D322" s="449"/>
      <c r="E322" s="468"/>
    </row>
    <row r="323" spans="2:5" ht="15.75" customHeight="1">
      <c r="B323" s="469"/>
      <c r="C323" s="450"/>
      <c r="D323" s="449"/>
      <c r="E323" s="468"/>
    </row>
    <row r="324" spans="2:5" ht="15.75" customHeight="1">
      <c r="B324" s="469"/>
      <c r="C324" s="450"/>
      <c r="D324" s="449"/>
      <c r="E324" s="468"/>
    </row>
    <row r="325" spans="2:5" ht="15.75" customHeight="1">
      <c r="B325" s="469"/>
      <c r="C325" s="450"/>
      <c r="D325" s="449"/>
      <c r="E325" s="468"/>
    </row>
    <row r="326" spans="2:5" ht="15.75" customHeight="1">
      <c r="B326" s="469"/>
      <c r="C326" s="450"/>
      <c r="D326" s="449"/>
      <c r="E326" s="468"/>
    </row>
    <row r="327" spans="2:5" ht="15.75" customHeight="1">
      <c r="B327" s="469"/>
      <c r="C327" s="450"/>
      <c r="D327" s="449"/>
      <c r="E327" s="468"/>
    </row>
    <row r="328" spans="2:5" ht="15.75" customHeight="1">
      <c r="B328" s="469"/>
      <c r="C328" s="450"/>
      <c r="D328" s="449"/>
      <c r="E328" s="468"/>
    </row>
    <row r="329" spans="2:5" ht="15.75" customHeight="1">
      <c r="B329" s="469"/>
      <c r="C329" s="450"/>
      <c r="D329" s="449"/>
      <c r="E329" s="468"/>
    </row>
    <row r="330" spans="2:5" ht="15.75" customHeight="1">
      <c r="B330" s="469"/>
      <c r="C330" s="450"/>
      <c r="D330" s="449"/>
      <c r="E330" s="468"/>
    </row>
    <row r="331" spans="2:5" ht="15.75" customHeight="1">
      <c r="B331" s="469"/>
      <c r="C331" s="450"/>
      <c r="D331" s="449"/>
      <c r="E331" s="468"/>
    </row>
    <row r="332" spans="2:5" ht="15.75" customHeight="1">
      <c r="B332" s="469"/>
      <c r="C332" s="450"/>
      <c r="D332" s="449"/>
      <c r="E332" s="468"/>
    </row>
    <row r="333" spans="2:5" ht="15.75" customHeight="1">
      <c r="B333" s="469"/>
      <c r="C333" s="450"/>
      <c r="D333" s="449"/>
      <c r="E333" s="468"/>
    </row>
    <row r="334" spans="2:5" ht="15.75" customHeight="1">
      <c r="B334" s="469"/>
      <c r="C334" s="450"/>
      <c r="D334" s="449"/>
      <c r="E334" s="468"/>
    </row>
    <row r="335" spans="2:5" ht="15.75" customHeight="1">
      <c r="B335" s="469"/>
      <c r="C335" s="450"/>
      <c r="D335" s="449"/>
      <c r="E335" s="468"/>
    </row>
    <row r="336" spans="2:5" ht="15.75" customHeight="1">
      <c r="B336" s="469"/>
      <c r="C336" s="450"/>
      <c r="D336" s="449"/>
      <c r="E336" s="468"/>
    </row>
    <row r="337" spans="2:5" ht="15.75" customHeight="1">
      <c r="B337" s="469"/>
      <c r="C337" s="450"/>
      <c r="D337" s="449"/>
      <c r="E337" s="468"/>
    </row>
    <row r="338" spans="2:5" ht="15.75" customHeight="1">
      <c r="B338" s="469"/>
      <c r="C338" s="450"/>
      <c r="D338" s="449"/>
      <c r="E338" s="468"/>
    </row>
    <row r="339" spans="2:5" ht="15.75" customHeight="1">
      <c r="B339" s="469"/>
      <c r="C339" s="450"/>
      <c r="D339" s="449"/>
      <c r="E339" s="468"/>
    </row>
    <row r="340" spans="2:5" ht="15.75" customHeight="1">
      <c r="B340" s="469"/>
      <c r="C340" s="450"/>
      <c r="D340" s="449"/>
      <c r="E340" s="468"/>
    </row>
    <row r="341" spans="2:5" ht="15.75" customHeight="1">
      <c r="B341" s="469"/>
      <c r="C341" s="450"/>
      <c r="D341" s="449"/>
      <c r="E341" s="468"/>
    </row>
    <row r="342" spans="2:5" ht="15.75" customHeight="1">
      <c r="B342" s="469"/>
      <c r="C342" s="450"/>
      <c r="D342" s="449"/>
      <c r="E342" s="468"/>
    </row>
    <row r="343" spans="2:5" ht="15.75" customHeight="1">
      <c r="B343" s="469"/>
      <c r="C343" s="450"/>
      <c r="D343" s="449"/>
      <c r="E343" s="468"/>
    </row>
    <row r="344" spans="2:5" ht="15.75" customHeight="1">
      <c r="B344" s="469"/>
      <c r="C344" s="450"/>
      <c r="D344" s="449"/>
      <c r="E344" s="468"/>
    </row>
    <row r="345" spans="2:5" ht="15.75" customHeight="1">
      <c r="B345" s="469"/>
      <c r="C345" s="450"/>
      <c r="D345" s="449"/>
      <c r="E345" s="468"/>
    </row>
    <row r="346" spans="2:5" ht="15.75" customHeight="1">
      <c r="B346" s="469"/>
      <c r="C346" s="450"/>
      <c r="D346" s="449"/>
      <c r="E346" s="468"/>
    </row>
    <row r="347" spans="2:5" ht="15.75" customHeight="1">
      <c r="B347" s="469"/>
      <c r="C347" s="450"/>
      <c r="D347" s="449"/>
      <c r="E347" s="468"/>
    </row>
    <row r="348" spans="2:5" ht="15.75" customHeight="1">
      <c r="B348" s="469"/>
      <c r="C348" s="450"/>
      <c r="D348" s="449"/>
      <c r="E348" s="468"/>
    </row>
    <row r="349" spans="2:5" ht="15.75" customHeight="1">
      <c r="B349" s="469"/>
      <c r="C349" s="450"/>
      <c r="D349" s="449"/>
      <c r="E349" s="468"/>
    </row>
    <row r="350" spans="2:5" ht="15.75" customHeight="1">
      <c r="B350" s="469"/>
      <c r="C350" s="450"/>
      <c r="D350" s="449"/>
      <c r="E350" s="468"/>
    </row>
    <row r="351" spans="2:5" ht="15.75" customHeight="1">
      <c r="B351" s="469"/>
      <c r="C351" s="450"/>
      <c r="D351" s="449"/>
      <c r="E351" s="468"/>
    </row>
    <row r="352" spans="2:5" ht="15.75" customHeight="1">
      <c r="B352" s="469"/>
      <c r="C352" s="450"/>
      <c r="D352" s="449"/>
      <c r="E352" s="468"/>
    </row>
    <row r="353" spans="2:5" ht="15.75" customHeight="1">
      <c r="B353" s="469"/>
      <c r="C353" s="450"/>
      <c r="D353" s="449"/>
      <c r="E353" s="468"/>
    </row>
    <row r="354" spans="2:5" ht="15.75" customHeight="1">
      <c r="B354" s="469"/>
      <c r="C354" s="450"/>
      <c r="D354" s="449"/>
      <c r="E354" s="468"/>
    </row>
    <row r="355" spans="2:5" ht="15.75" customHeight="1">
      <c r="B355" s="469"/>
      <c r="C355" s="450"/>
      <c r="D355" s="449"/>
      <c r="E355" s="468"/>
    </row>
    <row r="356" spans="2:5" ht="15.75" customHeight="1">
      <c r="B356" s="469"/>
      <c r="C356" s="450"/>
      <c r="D356" s="449"/>
      <c r="E356" s="468"/>
    </row>
    <row r="357" spans="2:5" ht="15.75" customHeight="1">
      <c r="B357" s="469"/>
      <c r="C357" s="450"/>
      <c r="D357" s="449"/>
      <c r="E357" s="468"/>
    </row>
    <row r="358" spans="2:5" ht="15.75" customHeight="1">
      <c r="B358" s="469"/>
      <c r="C358" s="450"/>
      <c r="D358" s="449"/>
      <c r="E358" s="468"/>
    </row>
    <row r="359" spans="2:5" ht="15.75" customHeight="1">
      <c r="B359" s="469"/>
      <c r="C359" s="450"/>
      <c r="D359" s="449"/>
      <c r="E359" s="468"/>
    </row>
    <row r="360" spans="2:5" ht="15.75" customHeight="1">
      <c r="B360" s="469"/>
      <c r="C360" s="450"/>
      <c r="D360" s="449"/>
      <c r="E360" s="468"/>
    </row>
    <row r="361" spans="2:5" ht="15.75" customHeight="1">
      <c r="B361" s="469"/>
      <c r="C361" s="450"/>
      <c r="D361" s="449"/>
      <c r="E361" s="468"/>
    </row>
    <row r="362" spans="2:5" ht="15.75" customHeight="1">
      <c r="B362" s="469"/>
      <c r="C362" s="450"/>
      <c r="D362" s="449"/>
      <c r="E362" s="468"/>
    </row>
    <row r="363" spans="2:5" ht="15.75" customHeight="1">
      <c r="B363" s="469"/>
      <c r="C363" s="450"/>
      <c r="D363" s="449"/>
      <c r="E363" s="468"/>
    </row>
    <row r="364" spans="2:5" ht="15.75" customHeight="1">
      <c r="B364" s="469"/>
      <c r="C364" s="450"/>
      <c r="D364" s="449"/>
      <c r="E364" s="468"/>
    </row>
    <row r="365" spans="2:5" ht="15.75" customHeight="1">
      <c r="B365" s="469"/>
      <c r="C365" s="450"/>
      <c r="D365" s="449"/>
      <c r="E365" s="468"/>
    </row>
    <row r="366" spans="2:5" ht="15.75" customHeight="1">
      <c r="B366" s="469"/>
      <c r="C366" s="450"/>
      <c r="D366" s="449"/>
      <c r="E366" s="468"/>
    </row>
    <row r="367" spans="2:5" ht="15.75" customHeight="1">
      <c r="B367" s="469"/>
      <c r="C367" s="450"/>
      <c r="D367" s="449"/>
      <c r="E367" s="468"/>
    </row>
    <row r="368" spans="2:5" ht="15.75" customHeight="1">
      <c r="B368" s="469"/>
      <c r="C368" s="450"/>
      <c r="D368" s="449"/>
      <c r="E368" s="468"/>
    </row>
    <row r="369" spans="2:5" ht="15.75" customHeight="1">
      <c r="B369" s="469"/>
      <c r="C369" s="450"/>
      <c r="D369" s="449"/>
      <c r="E369" s="468"/>
    </row>
    <row r="370" spans="2:5" ht="15.75" customHeight="1">
      <c r="B370" s="469"/>
      <c r="C370" s="450"/>
      <c r="D370" s="449"/>
      <c r="E370" s="468"/>
    </row>
    <row r="371" spans="2:5" ht="15.75" customHeight="1">
      <c r="B371" s="469"/>
      <c r="C371" s="450"/>
      <c r="D371" s="449"/>
      <c r="E371" s="468"/>
    </row>
    <row r="372" spans="2:5" ht="15.75" customHeight="1">
      <c r="B372" s="469"/>
      <c r="C372" s="450"/>
      <c r="D372" s="449"/>
      <c r="E372" s="468"/>
    </row>
    <row r="373" spans="2:5" ht="15.75" customHeight="1">
      <c r="B373" s="469"/>
      <c r="C373" s="450"/>
      <c r="D373" s="449"/>
      <c r="E373" s="468"/>
    </row>
    <row r="374" spans="2:5" ht="15.75" customHeight="1">
      <c r="B374" s="469"/>
      <c r="C374" s="450"/>
      <c r="D374" s="449"/>
      <c r="E374" s="468"/>
    </row>
    <row r="375" spans="2:5" ht="15.75" customHeight="1">
      <c r="B375" s="469"/>
      <c r="C375" s="450"/>
      <c r="D375" s="449"/>
      <c r="E375" s="468"/>
    </row>
    <row r="376" spans="2:5" ht="15.75" customHeight="1">
      <c r="B376" s="469"/>
      <c r="C376" s="450"/>
      <c r="D376" s="449"/>
      <c r="E376" s="468"/>
    </row>
    <row r="377" spans="2:5" ht="15.75" customHeight="1">
      <c r="B377" s="469"/>
      <c r="C377" s="450"/>
      <c r="D377" s="449"/>
      <c r="E377" s="468"/>
    </row>
    <row r="378" spans="2:5" ht="15.75" customHeight="1">
      <c r="B378" s="469"/>
      <c r="C378" s="450"/>
      <c r="D378" s="449"/>
      <c r="E378" s="468"/>
    </row>
    <row r="379" spans="2:5" ht="15.75" customHeight="1">
      <c r="B379" s="469"/>
      <c r="C379" s="450"/>
      <c r="D379" s="449"/>
      <c r="E379" s="468"/>
    </row>
    <row r="380" spans="2:5" ht="15.75" customHeight="1">
      <c r="B380" s="469"/>
      <c r="C380" s="450"/>
      <c r="D380" s="449"/>
      <c r="E380" s="468"/>
    </row>
    <row r="381" spans="2:5" ht="15.75" customHeight="1">
      <c r="B381" s="469"/>
      <c r="C381" s="450"/>
      <c r="D381" s="449"/>
      <c r="E381" s="468"/>
    </row>
    <row r="382" spans="2:5" ht="15.75" customHeight="1">
      <c r="B382" s="469"/>
      <c r="C382" s="450"/>
      <c r="D382" s="449"/>
      <c r="E382" s="468"/>
    </row>
    <row r="383" spans="2:5" ht="15.75" customHeight="1">
      <c r="B383" s="469"/>
      <c r="C383" s="450"/>
      <c r="D383" s="449"/>
      <c r="E383" s="468"/>
    </row>
    <row r="384" spans="2:5" ht="15.75" customHeight="1">
      <c r="B384" s="469"/>
      <c r="C384" s="450"/>
      <c r="D384" s="449"/>
      <c r="E384" s="468"/>
    </row>
    <row r="385" spans="2:5" ht="15.75" customHeight="1">
      <c r="B385" s="469"/>
      <c r="C385" s="450"/>
      <c r="D385" s="449"/>
      <c r="E385" s="468"/>
    </row>
    <row r="386" spans="2:5" ht="15.75" customHeight="1">
      <c r="B386" s="469"/>
      <c r="C386" s="450"/>
      <c r="D386" s="449"/>
      <c r="E386" s="468"/>
    </row>
    <row r="387" spans="2:5" ht="15.75" customHeight="1">
      <c r="B387" s="469"/>
      <c r="C387" s="450"/>
      <c r="D387" s="449"/>
      <c r="E387" s="468"/>
    </row>
    <row r="388" spans="2:5" ht="15.75" customHeight="1">
      <c r="B388" s="469"/>
      <c r="C388" s="450"/>
      <c r="D388" s="449"/>
      <c r="E388" s="468"/>
    </row>
    <row r="389" spans="2:5" ht="15.75" customHeight="1">
      <c r="B389" s="469"/>
      <c r="C389" s="450"/>
      <c r="D389" s="449"/>
      <c r="E389" s="468"/>
    </row>
    <row r="390" spans="2:5" ht="15.75" customHeight="1">
      <c r="B390" s="469"/>
      <c r="C390" s="450"/>
      <c r="D390" s="449"/>
      <c r="E390" s="468"/>
    </row>
    <row r="391" spans="2:5" ht="15.75" customHeight="1">
      <c r="B391" s="469"/>
      <c r="C391" s="450"/>
      <c r="D391" s="449"/>
      <c r="E391" s="468"/>
    </row>
    <row r="392" spans="2:5" ht="15.75" customHeight="1">
      <c r="B392" s="469"/>
      <c r="C392" s="450"/>
      <c r="D392" s="449"/>
      <c r="E392" s="468"/>
    </row>
    <row r="393" spans="2:5" ht="15.75" customHeight="1">
      <c r="B393" s="469"/>
      <c r="C393" s="450"/>
      <c r="D393" s="449"/>
      <c r="E393" s="468"/>
    </row>
    <row r="394" spans="2:5" ht="15.75" customHeight="1">
      <c r="B394" s="469"/>
      <c r="C394" s="450"/>
      <c r="D394" s="449"/>
      <c r="E394" s="468"/>
    </row>
    <row r="395" spans="2:5" ht="15.75" customHeight="1">
      <c r="B395" s="469"/>
      <c r="C395" s="450"/>
      <c r="D395" s="449"/>
      <c r="E395" s="468"/>
    </row>
    <row r="396" spans="2:5" ht="15.75" customHeight="1">
      <c r="B396" s="469"/>
      <c r="C396" s="450"/>
      <c r="D396" s="449"/>
      <c r="E396" s="468"/>
    </row>
    <row r="397" spans="2:5" ht="15.75" customHeight="1">
      <c r="B397" s="469"/>
      <c r="C397" s="450"/>
      <c r="D397" s="449"/>
      <c r="E397" s="468"/>
    </row>
    <row r="398" spans="2:5" ht="15.75" customHeight="1">
      <c r="B398" s="469"/>
      <c r="C398" s="450"/>
      <c r="D398" s="449"/>
      <c r="E398" s="468"/>
    </row>
    <row r="399" spans="2:5" ht="15.75" customHeight="1">
      <c r="B399" s="469"/>
      <c r="C399" s="450"/>
      <c r="D399" s="449"/>
      <c r="E399" s="468"/>
    </row>
    <row r="400" spans="2:5" ht="15.75" customHeight="1">
      <c r="B400" s="469"/>
      <c r="C400" s="450"/>
      <c r="D400" s="449"/>
      <c r="E400" s="468"/>
    </row>
    <row r="401" spans="2:5" ht="15.75" customHeight="1">
      <c r="B401" s="469"/>
      <c r="C401" s="450"/>
      <c r="D401" s="449"/>
      <c r="E401" s="468"/>
    </row>
    <row r="402" spans="2:5" ht="15.75" customHeight="1">
      <c r="B402" s="469"/>
      <c r="C402" s="450"/>
      <c r="D402" s="449"/>
      <c r="E402" s="468"/>
    </row>
    <row r="403" spans="2:5" ht="15.75" customHeight="1">
      <c r="B403" s="469"/>
      <c r="C403" s="450"/>
      <c r="D403" s="449"/>
      <c r="E403" s="468"/>
    </row>
    <row r="404" spans="2:5" ht="15.75" customHeight="1">
      <c r="B404" s="469"/>
      <c r="C404" s="450"/>
      <c r="D404" s="449"/>
      <c r="E404" s="468"/>
    </row>
    <row r="405" spans="2:5" ht="15.75" customHeight="1">
      <c r="B405" s="469"/>
      <c r="C405" s="450"/>
      <c r="D405" s="449"/>
      <c r="E405" s="468"/>
    </row>
    <row r="406" spans="2:5" ht="15.75" customHeight="1">
      <c r="B406" s="469"/>
      <c r="C406" s="450"/>
      <c r="D406" s="449"/>
      <c r="E406" s="468"/>
    </row>
    <row r="407" spans="2:5" ht="15.75" customHeight="1">
      <c r="B407" s="469"/>
      <c r="C407" s="450"/>
      <c r="D407" s="449"/>
      <c r="E407" s="468"/>
    </row>
    <row r="408" spans="2:5" ht="15.75" customHeight="1">
      <c r="B408" s="469"/>
      <c r="C408" s="450"/>
      <c r="D408" s="449"/>
      <c r="E408" s="468"/>
    </row>
    <row r="409" spans="2:5" ht="15.75" customHeight="1">
      <c r="B409" s="469"/>
      <c r="C409" s="450"/>
      <c r="D409" s="449"/>
      <c r="E409" s="468"/>
    </row>
    <row r="410" spans="2:5" ht="15.75" customHeight="1">
      <c r="B410" s="469"/>
      <c r="C410" s="450"/>
      <c r="D410" s="449"/>
      <c r="E410" s="468"/>
    </row>
    <row r="411" spans="2:5" ht="15.75" customHeight="1">
      <c r="B411" s="469"/>
      <c r="C411" s="450"/>
      <c r="D411" s="449"/>
      <c r="E411" s="468"/>
    </row>
    <row r="412" spans="2:5" ht="15.75" customHeight="1">
      <c r="B412" s="469"/>
      <c r="C412" s="450"/>
      <c r="D412" s="449"/>
      <c r="E412" s="468"/>
    </row>
    <row r="413" spans="2:5" ht="15.75" customHeight="1">
      <c r="B413" s="469"/>
      <c r="C413" s="450"/>
      <c r="D413" s="449"/>
      <c r="E413" s="468"/>
    </row>
    <row r="414" spans="2:5" ht="15.75" customHeight="1">
      <c r="B414" s="469"/>
      <c r="C414" s="450"/>
      <c r="D414" s="449"/>
      <c r="E414" s="468"/>
    </row>
    <row r="415" spans="2:5" ht="15.75" customHeight="1">
      <c r="B415" s="469"/>
      <c r="C415" s="450"/>
      <c r="D415" s="449"/>
      <c r="E415" s="468"/>
    </row>
    <row r="416" spans="2:5" ht="15.75" customHeight="1">
      <c r="B416" s="469"/>
      <c r="C416" s="450"/>
      <c r="D416" s="449"/>
      <c r="E416" s="468"/>
    </row>
    <row r="417" spans="2:5" ht="15.75" customHeight="1">
      <c r="B417" s="469"/>
      <c r="C417" s="450"/>
      <c r="D417" s="449"/>
      <c r="E417" s="468"/>
    </row>
    <row r="418" spans="2:5" ht="15.75" customHeight="1">
      <c r="B418" s="469"/>
      <c r="C418" s="450"/>
      <c r="D418" s="449"/>
      <c r="E418" s="468"/>
    </row>
    <row r="419" spans="2:5" ht="15.75" customHeight="1">
      <c r="B419" s="469"/>
      <c r="C419" s="450"/>
      <c r="D419" s="449"/>
      <c r="E419" s="468"/>
    </row>
    <row r="420" spans="2:5" ht="15.75" customHeight="1">
      <c r="B420" s="469"/>
      <c r="C420" s="450"/>
      <c r="D420" s="449"/>
      <c r="E420" s="468"/>
    </row>
    <row r="421" spans="2:5" ht="15.75" customHeight="1">
      <c r="B421" s="469"/>
      <c r="C421" s="450"/>
      <c r="D421" s="449"/>
      <c r="E421" s="468"/>
    </row>
    <row r="422" spans="2:5" ht="15.75" customHeight="1">
      <c r="B422" s="469"/>
      <c r="C422" s="450"/>
      <c r="D422" s="449"/>
      <c r="E422" s="468"/>
    </row>
    <row r="423" spans="2:5" ht="15.75" customHeight="1">
      <c r="B423" s="469"/>
      <c r="C423" s="450"/>
      <c r="D423" s="449"/>
      <c r="E423" s="468"/>
    </row>
    <row r="424" spans="2:5" ht="15.75" customHeight="1">
      <c r="B424" s="469"/>
      <c r="C424" s="450"/>
      <c r="D424" s="449"/>
      <c r="E424" s="468"/>
    </row>
    <row r="425" spans="2:5" ht="15.75" customHeight="1">
      <c r="B425" s="469"/>
      <c r="C425" s="450"/>
      <c r="D425" s="449"/>
      <c r="E425" s="468"/>
    </row>
    <row r="426" spans="2:5" ht="15.75" customHeight="1">
      <c r="B426" s="469"/>
      <c r="C426" s="450"/>
      <c r="D426" s="449"/>
      <c r="E426" s="468"/>
    </row>
    <row r="427" spans="2:5" ht="15.75" customHeight="1">
      <c r="B427" s="469"/>
      <c r="C427" s="450"/>
      <c r="D427" s="449"/>
      <c r="E427" s="468"/>
    </row>
    <row r="428" spans="2:5" ht="15.75" customHeight="1">
      <c r="B428" s="469"/>
      <c r="C428" s="450"/>
      <c r="D428" s="449"/>
      <c r="E428" s="468"/>
    </row>
    <row r="429" spans="2:5" ht="15.75" customHeight="1">
      <c r="B429" s="469"/>
      <c r="C429" s="450"/>
      <c r="D429" s="449"/>
      <c r="E429" s="468"/>
    </row>
    <row r="430" spans="2:5" ht="15.75" customHeight="1">
      <c r="B430" s="469"/>
      <c r="C430" s="450"/>
      <c r="D430" s="449"/>
      <c r="E430" s="468"/>
    </row>
    <row r="431" spans="2:5" ht="15.75" customHeight="1">
      <c r="B431" s="469"/>
      <c r="C431" s="450"/>
      <c r="D431" s="449"/>
      <c r="E431" s="468"/>
    </row>
    <row r="432" spans="2:5" ht="15.75" customHeight="1">
      <c r="B432" s="469"/>
      <c r="C432" s="450"/>
      <c r="D432" s="449"/>
      <c r="E432" s="468"/>
    </row>
    <row r="433" spans="2:5" ht="15.75" customHeight="1">
      <c r="B433" s="469"/>
      <c r="C433" s="450"/>
      <c r="D433" s="449"/>
      <c r="E433" s="468"/>
    </row>
    <row r="434" spans="2:5" ht="15.75" customHeight="1">
      <c r="B434" s="469"/>
      <c r="C434" s="450"/>
      <c r="D434" s="449"/>
      <c r="E434" s="468"/>
    </row>
    <row r="435" spans="2:5" ht="15.75" customHeight="1">
      <c r="B435" s="469"/>
      <c r="C435" s="450"/>
      <c r="D435" s="449"/>
      <c r="E435" s="468"/>
    </row>
    <row r="436" spans="2:5" ht="15.75" customHeight="1">
      <c r="B436" s="469"/>
      <c r="C436" s="450"/>
      <c r="D436" s="449"/>
      <c r="E436" s="468"/>
    </row>
    <row r="437" spans="2:5" ht="15.75" customHeight="1">
      <c r="B437" s="469"/>
      <c r="C437" s="450"/>
      <c r="D437" s="449"/>
      <c r="E437" s="468"/>
    </row>
    <row r="438" spans="2:5" ht="15.75" customHeight="1">
      <c r="B438" s="469"/>
      <c r="C438" s="450"/>
      <c r="D438" s="449"/>
      <c r="E438" s="468"/>
    </row>
    <row r="439" spans="2:5" ht="15.75" customHeight="1">
      <c r="B439" s="469"/>
      <c r="C439" s="450"/>
      <c r="D439" s="449"/>
      <c r="E439" s="468"/>
    </row>
    <row r="440" spans="2:5" ht="15.75" customHeight="1">
      <c r="B440" s="469"/>
      <c r="C440" s="450"/>
      <c r="D440" s="449"/>
      <c r="E440" s="468"/>
    </row>
    <row r="441" spans="2:5" ht="15.75" customHeight="1">
      <c r="B441" s="469"/>
      <c r="C441" s="450"/>
      <c r="D441" s="449"/>
      <c r="E441" s="468"/>
    </row>
    <row r="442" spans="2:5" ht="15.75" customHeight="1">
      <c r="B442" s="469"/>
      <c r="C442" s="450"/>
      <c r="D442" s="449"/>
      <c r="E442" s="468"/>
    </row>
    <row r="443" spans="2:5" ht="15.75" customHeight="1">
      <c r="B443" s="469"/>
      <c r="C443" s="450"/>
      <c r="D443" s="449"/>
      <c r="E443" s="468"/>
    </row>
    <row r="444" spans="2:5" ht="15.75" customHeight="1">
      <c r="B444" s="469"/>
      <c r="C444" s="450"/>
      <c r="D444" s="449"/>
      <c r="E444" s="468"/>
    </row>
    <row r="445" spans="2:5" ht="15.75" customHeight="1">
      <c r="B445" s="469"/>
      <c r="C445" s="450"/>
      <c r="D445" s="449"/>
      <c r="E445" s="468"/>
    </row>
    <row r="446" spans="2:5" ht="15.75" customHeight="1">
      <c r="B446" s="469"/>
      <c r="C446" s="450"/>
      <c r="D446" s="449"/>
      <c r="E446" s="468"/>
    </row>
    <row r="447" spans="2:5" ht="15.75" customHeight="1">
      <c r="B447" s="469"/>
      <c r="C447" s="450"/>
      <c r="D447" s="449"/>
      <c r="E447" s="468"/>
    </row>
    <row r="448" spans="2:5" ht="15.75" customHeight="1">
      <c r="B448" s="469"/>
      <c r="C448" s="450"/>
      <c r="D448" s="449"/>
      <c r="E448" s="468"/>
    </row>
    <row r="449" spans="2:5" ht="15.75" customHeight="1">
      <c r="B449" s="469"/>
      <c r="C449" s="450"/>
      <c r="D449" s="449"/>
      <c r="E449" s="468"/>
    </row>
    <row r="450" spans="2:5" ht="15.75" customHeight="1">
      <c r="B450" s="469"/>
      <c r="C450" s="450"/>
      <c r="D450" s="449"/>
      <c r="E450" s="468"/>
    </row>
    <row r="451" spans="2:5" ht="15.75" customHeight="1">
      <c r="B451" s="469"/>
      <c r="C451" s="450"/>
      <c r="D451" s="449"/>
      <c r="E451" s="468"/>
    </row>
    <row r="452" spans="2:5" ht="15.75" customHeight="1">
      <c r="B452" s="469"/>
      <c r="C452" s="450"/>
      <c r="D452" s="449"/>
      <c r="E452" s="468"/>
    </row>
    <row r="453" spans="2:5" ht="15.75" customHeight="1">
      <c r="B453" s="469"/>
      <c r="C453" s="450"/>
      <c r="D453" s="449"/>
      <c r="E453" s="468"/>
    </row>
    <row r="454" spans="2:5" ht="15.75" customHeight="1">
      <c r="B454" s="469"/>
      <c r="C454" s="450"/>
      <c r="D454" s="449"/>
      <c r="E454" s="468"/>
    </row>
    <row r="455" spans="2:5" ht="15.75" customHeight="1">
      <c r="B455" s="469"/>
      <c r="C455" s="450"/>
      <c r="D455" s="449"/>
      <c r="E455" s="468"/>
    </row>
    <row r="456" spans="2:5" ht="15.75" customHeight="1">
      <c r="B456" s="469"/>
      <c r="C456" s="450"/>
      <c r="D456" s="449"/>
      <c r="E456" s="468"/>
    </row>
    <row r="457" spans="2:5" ht="15.75" customHeight="1">
      <c r="B457" s="469"/>
      <c r="C457" s="450"/>
      <c r="D457" s="449"/>
      <c r="E457" s="468"/>
    </row>
    <row r="458" spans="2:5" ht="15.75" customHeight="1">
      <c r="B458" s="469"/>
      <c r="C458" s="450"/>
      <c r="D458" s="449"/>
      <c r="E458" s="468"/>
    </row>
    <row r="459" spans="2:5" ht="15.75" customHeight="1">
      <c r="B459" s="469"/>
      <c r="C459" s="450"/>
      <c r="D459" s="449"/>
      <c r="E459" s="468"/>
    </row>
    <row r="460" spans="2:5" ht="15.75" customHeight="1">
      <c r="B460" s="469"/>
      <c r="C460" s="450"/>
      <c r="D460" s="449"/>
      <c r="E460" s="468"/>
    </row>
    <row r="461" spans="2:5" ht="15.75" customHeight="1">
      <c r="B461" s="469"/>
      <c r="C461" s="450"/>
      <c r="D461" s="449"/>
      <c r="E461" s="468"/>
    </row>
    <row r="462" spans="2:5" ht="15.75" customHeight="1">
      <c r="B462" s="469"/>
      <c r="C462" s="450"/>
      <c r="D462" s="449"/>
      <c r="E462" s="468"/>
    </row>
    <row r="463" spans="2:5" ht="15.75" customHeight="1">
      <c r="B463" s="469"/>
      <c r="C463" s="450"/>
      <c r="D463" s="449"/>
      <c r="E463" s="468"/>
    </row>
    <row r="464" spans="2:5" ht="15.75" customHeight="1">
      <c r="B464" s="469"/>
      <c r="C464" s="450"/>
      <c r="D464" s="449"/>
      <c r="E464" s="468"/>
    </row>
    <row r="465" spans="2:5" ht="15.75" customHeight="1">
      <c r="B465" s="469"/>
      <c r="C465" s="450"/>
      <c r="D465" s="449"/>
      <c r="E465" s="468"/>
    </row>
    <row r="466" spans="2:5" ht="15.75" customHeight="1">
      <c r="B466" s="469"/>
      <c r="C466" s="450"/>
      <c r="D466" s="449"/>
      <c r="E466" s="468"/>
    </row>
    <row r="467" spans="2:5" ht="15.75" customHeight="1">
      <c r="B467" s="469"/>
      <c r="C467" s="450"/>
      <c r="D467" s="449"/>
      <c r="E467" s="468"/>
    </row>
    <row r="468" spans="2:5" ht="15.75" customHeight="1">
      <c r="B468" s="469"/>
      <c r="C468" s="450"/>
      <c r="D468" s="449"/>
      <c r="E468" s="468"/>
    </row>
    <row r="469" spans="2:5" ht="15.75" customHeight="1">
      <c r="B469" s="469"/>
      <c r="C469" s="450"/>
      <c r="D469" s="449"/>
      <c r="E469" s="468"/>
    </row>
    <row r="470" spans="2:5" ht="15.75" customHeight="1">
      <c r="B470" s="469"/>
      <c r="C470" s="450"/>
      <c r="D470" s="449"/>
      <c r="E470" s="468"/>
    </row>
    <row r="471" spans="2:5" ht="15.75" customHeight="1">
      <c r="B471" s="469"/>
      <c r="C471" s="450"/>
      <c r="D471" s="449"/>
      <c r="E471" s="468"/>
    </row>
    <row r="472" spans="2:5" ht="15.75" customHeight="1">
      <c r="B472" s="469"/>
      <c r="C472" s="450"/>
      <c r="D472" s="449"/>
      <c r="E472" s="468"/>
    </row>
    <row r="473" spans="2:5" ht="15.75" customHeight="1">
      <c r="B473" s="469"/>
      <c r="C473" s="450"/>
      <c r="D473" s="449"/>
      <c r="E473" s="468"/>
    </row>
    <row r="474" spans="2:5" ht="15.75" customHeight="1">
      <c r="B474" s="469"/>
      <c r="C474" s="450"/>
      <c r="D474" s="449"/>
      <c r="E474" s="468"/>
    </row>
    <row r="475" spans="2:5" ht="15.75" customHeight="1">
      <c r="B475" s="469"/>
      <c r="C475" s="450"/>
      <c r="D475" s="449"/>
      <c r="E475" s="468"/>
    </row>
    <row r="476" spans="2:5" ht="15.75" customHeight="1">
      <c r="B476" s="469"/>
      <c r="C476" s="450"/>
      <c r="D476" s="449"/>
      <c r="E476" s="468"/>
    </row>
    <row r="477" spans="2:5" ht="15.75" customHeight="1">
      <c r="B477" s="469"/>
      <c r="C477" s="450"/>
      <c r="D477" s="449"/>
      <c r="E477" s="468"/>
    </row>
    <row r="478" spans="2:5" ht="15.75" customHeight="1">
      <c r="B478" s="469"/>
      <c r="C478" s="450"/>
      <c r="D478" s="449"/>
      <c r="E478" s="468"/>
    </row>
    <row r="479" spans="2:5" ht="15.75" customHeight="1">
      <c r="B479" s="469"/>
      <c r="C479" s="450"/>
      <c r="D479" s="449"/>
      <c r="E479" s="468"/>
    </row>
    <row r="480" spans="2:5" ht="15.75" customHeight="1">
      <c r="B480" s="469"/>
      <c r="C480" s="450"/>
      <c r="D480" s="449"/>
      <c r="E480" s="468"/>
    </row>
    <row r="481" spans="2:5" ht="15.75" customHeight="1">
      <c r="B481" s="469"/>
      <c r="C481" s="450"/>
      <c r="D481" s="449"/>
      <c r="E481" s="468"/>
    </row>
    <row r="482" spans="2:5" ht="15.75" customHeight="1">
      <c r="B482" s="469"/>
      <c r="C482" s="450"/>
      <c r="D482" s="449"/>
      <c r="E482" s="468"/>
    </row>
    <row r="483" spans="2:5" ht="15.75" customHeight="1">
      <c r="B483" s="469"/>
      <c r="C483" s="450"/>
      <c r="D483" s="449"/>
      <c r="E483" s="468"/>
    </row>
    <row r="484" spans="2:5" ht="15.75" customHeight="1">
      <c r="B484" s="469"/>
      <c r="C484" s="450"/>
      <c r="D484" s="449"/>
      <c r="E484" s="468"/>
    </row>
    <row r="485" spans="2:5" ht="15.75" customHeight="1">
      <c r="B485" s="469"/>
      <c r="C485" s="450"/>
      <c r="D485" s="449"/>
      <c r="E485" s="468"/>
    </row>
    <row r="486" spans="2:5" ht="15.75" customHeight="1">
      <c r="B486" s="469"/>
      <c r="C486" s="450"/>
      <c r="D486" s="449"/>
      <c r="E486" s="468"/>
    </row>
    <row r="487" spans="2:5" ht="15.75" customHeight="1">
      <c r="B487" s="469"/>
      <c r="C487" s="450"/>
      <c r="D487" s="449"/>
      <c r="E487" s="468"/>
    </row>
    <row r="488" spans="2:5" ht="15.75" customHeight="1">
      <c r="B488" s="469"/>
      <c r="C488" s="450"/>
      <c r="D488" s="449"/>
      <c r="E488" s="468"/>
    </row>
    <row r="489" spans="2:5" ht="15.75" customHeight="1">
      <c r="B489" s="469"/>
      <c r="C489" s="450"/>
      <c r="D489" s="449"/>
      <c r="E489" s="468"/>
    </row>
    <row r="490" spans="2:5" ht="15.75" customHeight="1">
      <c r="B490" s="469"/>
      <c r="C490" s="450"/>
      <c r="D490" s="449"/>
      <c r="E490" s="468"/>
    </row>
    <row r="491" spans="2:5" ht="15.75" customHeight="1">
      <c r="B491" s="469"/>
      <c r="C491" s="450"/>
      <c r="D491" s="449"/>
      <c r="E491" s="468"/>
    </row>
    <row r="492" spans="2:5" ht="15.75" customHeight="1">
      <c r="B492" s="469"/>
      <c r="C492" s="450"/>
      <c r="D492" s="449"/>
      <c r="E492" s="468"/>
    </row>
    <row r="493" spans="2:5" ht="15.75" customHeight="1">
      <c r="B493" s="469"/>
      <c r="C493" s="450"/>
      <c r="D493" s="449"/>
      <c r="E493" s="468"/>
    </row>
    <row r="494" spans="2:5" ht="15.75" customHeight="1">
      <c r="B494" s="469"/>
      <c r="C494" s="450"/>
      <c r="D494" s="449"/>
      <c r="E494" s="468"/>
    </row>
    <row r="495" spans="2:5" ht="15.75" customHeight="1">
      <c r="B495" s="469"/>
      <c r="C495" s="450"/>
      <c r="D495" s="449"/>
      <c r="E495" s="468"/>
    </row>
    <row r="496" spans="2:5" ht="15.75" customHeight="1">
      <c r="B496" s="469"/>
      <c r="C496" s="450"/>
      <c r="D496" s="449"/>
      <c r="E496" s="468"/>
    </row>
    <row r="497" spans="2:5" ht="15.75" customHeight="1">
      <c r="B497" s="469"/>
      <c r="C497" s="450"/>
      <c r="D497" s="449"/>
      <c r="E497" s="468"/>
    </row>
    <row r="498" spans="2:5" ht="15.75" customHeight="1">
      <c r="B498" s="469"/>
      <c r="C498" s="450"/>
      <c r="D498" s="449"/>
      <c r="E498" s="468"/>
    </row>
    <row r="499" spans="2:5" ht="15.75" customHeight="1">
      <c r="B499" s="469"/>
      <c r="C499" s="450"/>
      <c r="D499" s="449"/>
      <c r="E499" s="468"/>
    </row>
    <row r="500" spans="2:5" ht="15.75" customHeight="1">
      <c r="B500" s="469"/>
      <c r="C500" s="450"/>
      <c r="D500" s="449"/>
      <c r="E500" s="468"/>
    </row>
    <row r="501" spans="2:5" ht="15.75" customHeight="1">
      <c r="B501" s="469"/>
      <c r="C501" s="450"/>
      <c r="D501" s="449"/>
      <c r="E501" s="468"/>
    </row>
    <row r="502" spans="2:5" ht="15.75" customHeight="1">
      <c r="B502" s="469"/>
      <c r="C502" s="450"/>
      <c r="D502" s="449"/>
      <c r="E502" s="468"/>
    </row>
    <row r="503" spans="2:5" ht="15.75" customHeight="1">
      <c r="B503" s="469"/>
      <c r="C503" s="450"/>
      <c r="D503" s="449"/>
      <c r="E503" s="468"/>
    </row>
    <row r="504" spans="2:5" ht="15.75" customHeight="1">
      <c r="B504" s="469"/>
      <c r="C504" s="450"/>
      <c r="D504" s="449"/>
      <c r="E504" s="468"/>
    </row>
    <row r="505" spans="2:5" ht="15.75" customHeight="1">
      <c r="B505" s="469"/>
      <c r="C505" s="450"/>
      <c r="D505" s="449"/>
      <c r="E505" s="468"/>
    </row>
    <row r="506" spans="2:5" ht="15.75" customHeight="1">
      <c r="B506" s="469"/>
      <c r="C506" s="450"/>
      <c r="D506" s="449"/>
      <c r="E506" s="468"/>
    </row>
    <row r="507" spans="2:5" ht="15.75" customHeight="1">
      <c r="B507" s="469"/>
      <c r="C507" s="450"/>
      <c r="D507" s="449"/>
      <c r="E507" s="468"/>
    </row>
    <row r="508" spans="2:5" ht="15.75" customHeight="1">
      <c r="B508" s="469"/>
      <c r="C508" s="450"/>
      <c r="D508" s="449"/>
      <c r="E508" s="468"/>
    </row>
    <row r="509" spans="2:5" ht="15.75" customHeight="1">
      <c r="B509" s="469"/>
      <c r="C509" s="450"/>
      <c r="D509" s="449"/>
      <c r="E509" s="468"/>
    </row>
    <row r="510" spans="2:5" ht="15.75" customHeight="1">
      <c r="B510" s="469"/>
      <c r="C510" s="450"/>
      <c r="D510" s="449"/>
      <c r="E510" s="468"/>
    </row>
    <row r="511" spans="2:5" ht="15.75" customHeight="1">
      <c r="B511" s="469"/>
      <c r="C511" s="450"/>
      <c r="D511" s="449"/>
      <c r="E511" s="468"/>
    </row>
    <row r="512" spans="2:5" ht="15.75" customHeight="1">
      <c r="B512" s="469"/>
      <c r="C512" s="450"/>
      <c r="D512" s="449"/>
      <c r="E512" s="468"/>
    </row>
    <row r="513" spans="2:5" ht="15.75" customHeight="1">
      <c r="B513" s="469"/>
      <c r="C513" s="450"/>
      <c r="D513" s="449"/>
      <c r="E513" s="468"/>
    </row>
    <row r="514" spans="2:5" ht="15.75" customHeight="1">
      <c r="B514" s="469"/>
      <c r="C514" s="450"/>
      <c r="D514" s="449"/>
      <c r="E514" s="468"/>
    </row>
    <row r="515" spans="2:5" ht="15.75" customHeight="1">
      <c r="B515" s="469"/>
      <c r="C515" s="450"/>
      <c r="D515" s="449"/>
      <c r="E515" s="468"/>
    </row>
    <row r="516" spans="2:5" ht="15.75" customHeight="1">
      <c r="B516" s="469"/>
      <c r="C516" s="450"/>
      <c r="D516" s="449"/>
      <c r="E516" s="468"/>
    </row>
    <row r="517" spans="2:5" ht="15.75" customHeight="1">
      <c r="B517" s="469"/>
      <c r="C517" s="450"/>
      <c r="D517" s="449"/>
      <c r="E517" s="468"/>
    </row>
    <row r="518" spans="2:5" ht="15.75" customHeight="1">
      <c r="B518" s="469"/>
      <c r="C518" s="450"/>
      <c r="D518" s="449"/>
      <c r="E518" s="468"/>
    </row>
    <row r="519" spans="2:5" ht="15.75" customHeight="1">
      <c r="B519" s="469"/>
      <c r="C519" s="450"/>
      <c r="D519" s="449"/>
      <c r="E519" s="468"/>
    </row>
    <row r="520" spans="2:5" ht="15.75" customHeight="1">
      <c r="B520" s="469"/>
      <c r="C520" s="450"/>
      <c r="D520" s="449"/>
      <c r="E520" s="468"/>
    </row>
    <row r="521" spans="2:5" ht="15.75" customHeight="1">
      <c r="B521" s="469"/>
      <c r="C521" s="450"/>
      <c r="D521" s="449"/>
      <c r="E521" s="468"/>
    </row>
    <row r="522" spans="2:5" ht="15.75" customHeight="1">
      <c r="B522" s="469"/>
      <c r="C522" s="450"/>
      <c r="D522" s="449"/>
      <c r="E522" s="468"/>
    </row>
    <row r="523" spans="2:5" ht="15.75" customHeight="1">
      <c r="B523" s="469"/>
      <c r="C523" s="450"/>
      <c r="D523" s="449"/>
      <c r="E523" s="468"/>
    </row>
    <row r="524" spans="2:5" ht="15.75" customHeight="1">
      <c r="B524" s="469"/>
      <c r="C524" s="450"/>
      <c r="D524" s="449"/>
      <c r="E524" s="468"/>
    </row>
    <row r="525" spans="2:5" ht="15.75" customHeight="1">
      <c r="B525" s="469"/>
      <c r="C525" s="450"/>
      <c r="D525" s="449"/>
      <c r="E525" s="468"/>
    </row>
    <row r="526" spans="2:5" ht="15.75" customHeight="1">
      <c r="B526" s="469"/>
      <c r="C526" s="450"/>
      <c r="D526" s="449"/>
      <c r="E526" s="468"/>
    </row>
    <row r="527" spans="2:5" ht="15.75" customHeight="1">
      <c r="B527" s="469"/>
      <c r="C527" s="450"/>
      <c r="D527" s="449"/>
      <c r="E527" s="468"/>
    </row>
    <row r="528" spans="2:5" ht="15.75" customHeight="1">
      <c r="B528" s="469"/>
      <c r="C528" s="450"/>
      <c r="D528" s="449"/>
      <c r="E528" s="468"/>
    </row>
    <row r="529" spans="2:5" ht="15.75" customHeight="1">
      <c r="B529" s="469"/>
      <c r="C529" s="450"/>
      <c r="D529" s="449"/>
      <c r="E529" s="468"/>
    </row>
    <row r="530" spans="2:5" ht="15.75" customHeight="1">
      <c r="B530" s="469"/>
      <c r="C530" s="450"/>
      <c r="D530" s="449"/>
      <c r="E530" s="468"/>
    </row>
    <row r="531" spans="2:5" ht="15.75" customHeight="1">
      <c r="B531" s="469"/>
      <c r="C531" s="450"/>
      <c r="D531" s="449"/>
      <c r="E531" s="468"/>
    </row>
    <row r="532" spans="2:5" ht="15.75" customHeight="1">
      <c r="B532" s="469"/>
      <c r="C532" s="450"/>
      <c r="D532" s="449"/>
      <c r="E532" s="468"/>
    </row>
    <row r="533" spans="2:5" ht="15.75" customHeight="1">
      <c r="B533" s="469"/>
      <c r="C533" s="450"/>
      <c r="D533" s="449"/>
      <c r="E533" s="468"/>
    </row>
    <row r="534" spans="2:5" ht="15.75" customHeight="1">
      <c r="B534" s="469"/>
      <c r="C534" s="450"/>
      <c r="D534" s="449"/>
      <c r="E534" s="468"/>
    </row>
    <row r="535" spans="2:5" ht="15.75" customHeight="1">
      <c r="B535" s="469"/>
      <c r="C535" s="450"/>
      <c r="D535" s="449"/>
      <c r="E535" s="468"/>
    </row>
    <row r="536" spans="2:5" ht="15.75" customHeight="1">
      <c r="B536" s="469"/>
      <c r="C536" s="450"/>
      <c r="D536" s="449"/>
      <c r="E536" s="468"/>
    </row>
    <row r="537" spans="2:5" ht="15.75" customHeight="1">
      <c r="B537" s="469"/>
      <c r="C537" s="450"/>
      <c r="D537" s="449"/>
      <c r="E537" s="468"/>
    </row>
    <row r="538" spans="2:5" ht="15.75" customHeight="1">
      <c r="B538" s="469"/>
      <c r="C538" s="450"/>
      <c r="D538" s="449"/>
      <c r="E538" s="468"/>
    </row>
    <row r="539" spans="2:5" ht="15.75" customHeight="1">
      <c r="B539" s="469"/>
      <c r="C539" s="450"/>
      <c r="D539" s="449"/>
      <c r="E539" s="468"/>
    </row>
    <row r="540" spans="2:5" ht="15.75" customHeight="1">
      <c r="B540" s="469"/>
      <c r="C540" s="450"/>
      <c r="D540" s="449"/>
      <c r="E540" s="468"/>
    </row>
    <row r="541" spans="2:5" ht="15.75" customHeight="1">
      <c r="B541" s="469"/>
      <c r="C541" s="450"/>
      <c r="D541" s="449"/>
      <c r="E541" s="468"/>
    </row>
    <row r="542" spans="2:5" ht="15.75" customHeight="1">
      <c r="B542" s="469"/>
      <c r="C542" s="450"/>
      <c r="D542" s="449"/>
      <c r="E542" s="468"/>
    </row>
    <row r="543" spans="2:5" ht="15.75" customHeight="1">
      <c r="B543" s="469"/>
      <c r="C543" s="450"/>
      <c r="D543" s="449"/>
      <c r="E543" s="468"/>
    </row>
    <row r="544" spans="2:5" ht="15.75" customHeight="1">
      <c r="B544" s="469"/>
      <c r="C544" s="450"/>
      <c r="D544" s="449"/>
      <c r="E544" s="468"/>
    </row>
    <row r="545" spans="2:5" ht="15.75" customHeight="1">
      <c r="B545" s="469"/>
      <c r="C545" s="450"/>
      <c r="D545" s="449"/>
      <c r="E545" s="468"/>
    </row>
    <row r="546" spans="2:5" ht="15.75" customHeight="1">
      <c r="B546" s="469"/>
      <c r="C546" s="450"/>
      <c r="D546" s="449"/>
      <c r="E546" s="468"/>
    </row>
    <row r="547" spans="2:5" ht="15.75" customHeight="1">
      <c r="B547" s="469"/>
      <c r="C547" s="450"/>
      <c r="D547" s="449"/>
      <c r="E547" s="468"/>
    </row>
    <row r="548" spans="2:5" ht="15.75" customHeight="1">
      <c r="B548" s="469"/>
      <c r="C548" s="450"/>
      <c r="D548" s="449"/>
      <c r="E548" s="468"/>
    </row>
    <row r="549" spans="2:5" ht="15.75" customHeight="1">
      <c r="B549" s="469"/>
      <c r="C549" s="450"/>
      <c r="D549" s="449"/>
      <c r="E549" s="468"/>
    </row>
    <row r="550" spans="2:5" ht="15.75" customHeight="1">
      <c r="B550" s="469"/>
      <c r="C550" s="450"/>
      <c r="D550" s="449"/>
      <c r="E550" s="468"/>
    </row>
    <row r="551" spans="2:5" ht="15.75" customHeight="1">
      <c r="B551" s="469"/>
      <c r="C551" s="450"/>
      <c r="D551" s="449"/>
      <c r="E551" s="468"/>
    </row>
    <row r="552" spans="2:5" ht="15.75" customHeight="1">
      <c r="B552" s="469"/>
      <c r="C552" s="450"/>
      <c r="D552" s="449"/>
      <c r="E552" s="468"/>
    </row>
    <row r="553" spans="2:5" ht="15.75" customHeight="1">
      <c r="B553" s="469"/>
      <c r="C553" s="450"/>
      <c r="D553" s="449"/>
      <c r="E553" s="468"/>
    </row>
    <row r="554" spans="2:5" ht="15.75" customHeight="1">
      <c r="B554" s="469"/>
      <c r="C554" s="450"/>
      <c r="D554" s="449"/>
      <c r="E554" s="468"/>
    </row>
    <row r="555" spans="2:5" ht="15.75" customHeight="1">
      <c r="B555" s="469"/>
      <c r="C555" s="450"/>
      <c r="D555" s="449"/>
      <c r="E555" s="468"/>
    </row>
    <row r="556" spans="2:5" ht="15.75" customHeight="1">
      <c r="B556" s="469"/>
      <c r="C556" s="450"/>
      <c r="D556" s="449"/>
      <c r="E556" s="468"/>
    </row>
    <row r="557" spans="2:5" ht="15.75" customHeight="1">
      <c r="B557" s="469"/>
      <c r="C557" s="450"/>
      <c r="D557" s="449"/>
      <c r="E557" s="468"/>
    </row>
    <row r="558" spans="2:5" ht="15.75" customHeight="1">
      <c r="B558" s="469"/>
      <c r="C558" s="450"/>
      <c r="D558" s="449"/>
      <c r="E558" s="468"/>
    </row>
    <row r="559" spans="2:5" ht="15.75" customHeight="1">
      <c r="B559" s="469"/>
      <c r="C559" s="450"/>
      <c r="D559" s="449"/>
      <c r="E559" s="468"/>
    </row>
    <row r="560" spans="2:5" ht="15.75" customHeight="1">
      <c r="B560" s="469"/>
      <c r="C560" s="450"/>
      <c r="D560" s="449"/>
      <c r="E560" s="468"/>
    </row>
    <row r="561" spans="2:5" ht="15.75" customHeight="1">
      <c r="B561" s="469"/>
      <c r="C561" s="450"/>
      <c r="D561" s="449"/>
      <c r="E561" s="468"/>
    </row>
    <row r="562" spans="2:5" ht="15.75" customHeight="1">
      <c r="B562" s="469"/>
      <c r="C562" s="450"/>
      <c r="D562" s="449"/>
      <c r="E562" s="468"/>
    </row>
    <row r="563" spans="2:5" ht="15.75" customHeight="1">
      <c r="B563" s="469"/>
      <c r="C563" s="450"/>
      <c r="D563" s="449"/>
      <c r="E563" s="468"/>
    </row>
    <row r="564" spans="2:5" ht="15.75" customHeight="1">
      <c r="B564" s="469"/>
      <c r="C564" s="450"/>
      <c r="D564" s="449"/>
      <c r="E564" s="468"/>
    </row>
    <row r="565" spans="2:5" ht="15.75" customHeight="1">
      <c r="B565" s="469"/>
      <c r="C565" s="450"/>
      <c r="D565" s="449"/>
      <c r="E565" s="468"/>
    </row>
    <row r="566" spans="2:5" ht="15.75" customHeight="1">
      <c r="B566" s="469"/>
      <c r="C566" s="450"/>
      <c r="D566" s="449"/>
      <c r="E566" s="468"/>
    </row>
    <row r="567" spans="2:5" ht="15.75" customHeight="1">
      <c r="B567" s="469"/>
      <c r="C567" s="450"/>
      <c r="D567" s="449"/>
      <c r="E567" s="468"/>
    </row>
    <row r="568" spans="2:5" ht="15.75" customHeight="1">
      <c r="B568" s="469"/>
      <c r="C568" s="450"/>
      <c r="D568" s="449"/>
      <c r="E568" s="468"/>
    </row>
    <row r="569" spans="2:5" ht="15.75" customHeight="1">
      <c r="B569" s="469"/>
      <c r="C569" s="450"/>
      <c r="D569" s="449"/>
      <c r="E569" s="468"/>
    </row>
    <row r="570" spans="2:5" ht="15.75" customHeight="1">
      <c r="B570" s="469"/>
      <c r="C570" s="450"/>
      <c r="D570" s="449"/>
      <c r="E570" s="468"/>
    </row>
    <row r="571" spans="2:5" ht="15.75" customHeight="1">
      <c r="B571" s="469"/>
      <c r="C571" s="450"/>
      <c r="D571" s="449"/>
      <c r="E571" s="468"/>
    </row>
    <row r="572" spans="2:5" ht="15.75" customHeight="1">
      <c r="B572" s="469"/>
      <c r="C572" s="450"/>
      <c r="D572" s="449"/>
      <c r="E572" s="468"/>
    </row>
    <row r="573" spans="2:5" ht="15.75" customHeight="1">
      <c r="B573" s="469"/>
      <c r="C573" s="450"/>
      <c r="D573" s="449"/>
      <c r="E573" s="468"/>
    </row>
    <row r="574" spans="2:5" ht="15.75" customHeight="1">
      <c r="B574" s="469"/>
      <c r="C574" s="450"/>
      <c r="D574" s="449"/>
      <c r="E574" s="468"/>
    </row>
    <row r="575" spans="2:5" ht="15.75" customHeight="1">
      <c r="B575" s="469"/>
      <c r="C575" s="450"/>
      <c r="D575" s="449"/>
      <c r="E575" s="468"/>
    </row>
    <row r="576" spans="2:5" ht="15.75" customHeight="1">
      <c r="B576" s="469"/>
      <c r="C576" s="450"/>
      <c r="D576" s="449"/>
      <c r="E576" s="468"/>
    </row>
    <row r="577" spans="2:5" ht="15.75" customHeight="1">
      <c r="B577" s="469"/>
      <c r="C577" s="450"/>
      <c r="D577" s="449"/>
      <c r="E577" s="468"/>
    </row>
    <row r="578" spans="2:5" ht="15.75" customHeight="1">
      <c r="B578" s="469"/>
      <c r="C578" s="450"/>
      <c r="D578" s="449"/>
      <c r="E578" s="468"/>
    </row>
    <row r="579" spans="2:5" ht="15.75" customHeight="1">
      <c r="B579" s="469"/>
      <c r="C579" s="450"/>
      <c r="D579" s="449"/>
      <c r="E579" s="468"/>
    </row>
    <row r="580" spans="2:5" ht="15.75" customHeight="1">
      <c r="B580" s="469"/>
      <c r="C580" s="450"/>
      <c r="D580" s="449"/>
      <c r="E580" s="468"/>
    </row>
    <row r="581" spans="2:5" ht="15.75" customHeight="1">
      <c r="B581" s="469"/>
      <c r="C581" s="450"/>
      <c r="D581" s="449"/>
      <c r="E581" s="468"/>
    </row>
    <row r="582" spans="2:5" ht="15.75" customHeight="1">
      <c r="B582" s="469"/>
      <c r="C582" s="450"/>
      <c r="D582" s="449"/>
      <c r="E582" s="468"/>
    </row>
    <row r="583" spans="2:5" ht="15.75" customHeight="1">
      <c r="B583" s="469"/>
      <c r="C583" s="450"/>
      <c r="D583" s="449"/>
      <c r="E583" s="468"/>
    </row>
    <row r="584" spans="2:5" ht="15.75" customHeight="1">
      <c r="B584" s="469"/>
      <c r="C584" s="450"/>
      <c r="D584" s="449"/>
      <c r="E584" s="468"/>
    </row>
    <row r="585" spans="2:5" ht="15.75" customHeight="1">
      <c r="B585" s="469"/>
      <c r="C585" s="450"/>
      <c r="D585" s="449"/>
      <c r="E585" s="468"/>
    </row>
    <row r="586" spans="2:5" ht="15.75" customHeight="1">
      <c r="B586" s="469"/>
      <c r="C586" s="450"/>
      <c r="D586" s="449"/>
      <c r="E586" s="468"/>
    </row>
    <row r="587" spans="2:5" ht="15.75" customHeight="1">
      <c r="B587" s="469"/>
      <c r="C587" s="450"/>
      <c r="D587" s="449"/>
      <c r="E587" s="468"/>
    </row>
    <row r="588" spans="2:5" ht="15.75" customHeight="1">
      <c r="B588" s="469"/>
      <c r="C588" s="450"/>
      <c r="D588" s="449"/>
      <c r="E588" s="468"/>
    </row>
    <row r="589" spans="2:5" ht="15.75" customHeight="1">
      <c r="B589" s="469"/>
      <c r="C589" s="450"/>
      <c r="D589" s="449"/>
      <c r="E589" s="468"/>
    </row>
    <row r="590" spans="2:5" ht="15.75" customHeight="1">
      <c r="B590" s="469"/>
      <c r="C590" s="450"/>
      <c r="D590" s="449"/>
      <c r="E590" s="468"/>
    </row>
    <row r="591" spans="2:5" ht="15.75" customHeight="1">
      <c r="B591" s="469"/>
      <c r="C591" s="450"/>
      <c r="D591" s="449"/>
      <c r="E591" s="468"/>
    </row>
    <row r="592" spans="2:5" ht="15.75" customHeight="1">
      <c r="B592" s="469"/>
      <c r="C592" s="450"/>
      <c r="D592" s="449"/>
      <c r="E592" s="468"/>
    </row>
    <row r="593" spans="2:5" ht="15.75" customHeight="1">
      <c r="B593" s="469"/>
      <c r="C593" s="450"/>
      <c r="D593" s="449"/>
      <c r="E593" s="468"/>
    </row>
    <row r="594" spans="2:5" ht="15.75" customHeight="1">
      <c r="B594" s="469"/>
      <c r="C594" s="450"/>
      <c r="D594" s="449"/>
      <c r="E594" s="468"/>
    </row>
    <row r="595" spans="2:5" ht="15.75" customHeight="1">
      <c r="B595" s="469"/>
      <c r="C595" s="450"/>
      <c r="D595" s="449"/>
      <c r="E595" s="468"/>
    </row>
    <row r="596" spans="2:5" ht="15.75" customHeight="1">
      <c r="B596" s="469"/>
      <c r="C596" s="450"/>
      <c r="D596" s="449"/>
      <c r="E596" s="468"/>
    </row>
    <row r="597" spans="2:5" ht="15.75" customHeight="1">
      <c r="B597" s="469"/>
      <c r="C597" s="450"/>
      <c r="D597" s="449"/>
      <c r="E597" s="468"/>
    </row>
    <row r="598" spans="2:5" ht="15.75" customHeight="1">
      <c r="B598" s="469"/>
      <c r="C598" s="450"/>
      <c r="D598" s="449"/>
      <c r="E598" s="468"/>
    </row>
    <row r="599" spans="2:5" ht="15.75" customHeight="1">
      <c r="B599" s="469"/>
      <c r="C599" s="450"/>
      <c r="D599" s="449"/>
      <c r="E599" s="468"/>
    </row>
    <row r="600" spans="2:5" ht="15.75" customHeight="1">
      <c r="B600" s="469"/>
      <c r="C600" s="450"/>
      <c r="D600" s="449"/>
      <c r="E600" s="468"/>
    </row>
    <row r="601" spans="2:5" ht="15.75" customHeight="1">
      <c r="B601" s="469"/>
      <c r="C601" s="450"/>
      <c r="D601" s="449"/>
      <c r="E601" s="468"/>
    </row>
    <row r="602" spans="2:5" ht="15.75" customHeight="1">
      <c r="B602" s="469"/>
      <c r="C602" s="450"/>
      <c r="D602" s="449"/>
      <c r="E602" s="468"/>
    </row>
    <row r="603" spans="2:5" ht="15.75" customHeight="1">
      <c r="B603" s="469"/>
      <c r="C603" s="450"/>
      <c r="D603" s="449"/>
      <c r="E603" s="468"/>
    </row>
    <row r="604" spans="2:5" ht="15.75" customHeight="1">
      <c r="B604" s="469"/>
      <c r="C604" s="450"/>
      <c r="D604" s="449"/>
      <c r="E604" s="468"/>
    </row>
    <row r="605" spans="2:5" ht="15.75" customHeight="1">
      <c r="B605" s="469"/>
      <c r="C605" s="450"/>
      <c r="D605" s="449"/>
      <c r="E605" s="468"/>
    </row>
    <row r="606" spans="2:5" ht="15.75" customHeight="1">
      <c r="B606" s="469"/>
      <c r="C606" s="450"/>
      <c r="D606" s="449"/>
      <c r="E606" s="468"/>
    </row>
    <row r="607" spans="2:5" ht="15.75" customHeight="1">
      <c r="B607" s="469"/>
      <c r="C607" s="450"/>
      <c r="D607" s="449"/>
      <c r="E607" s="468"/>
    </row>
    <row r="608" spans="2:5" ht="15.75" customHeight="1">
      <c r="B608" s="469"/>
      <c r="C608" s="450"/>
      <c r="D608" s="449"/>
      <c r="E608" s="468"/>
    </row>
    <row r="609" spans="2:5" ht="15.75" customHeight="1">
      <c r="B609" s="469"/>
      <c r="C609" s="450"/>
      <c r="D609" s="449"/>
      <c r="E609" s="468"/>
    </row>
    <row r="610" spans="2:5" ht="15.75" customHeight="1">
      <c r="B610" s="469"/>
      <c r="C610" s="450"/>
      <c r="D610" s="449"/>
      <c r="E610" s="468"/>
    </row>
    <row r="611" spans="2:5" ht="15.75" customHeight="1">
      <c r="B611" s="469"/>
      <c r="C611" s="450"/>
      <c r="D611" s="449"/>
      <c r="E611" s="468"/>
    </row>
    <row r="612" spans="2:5" ht="15.75" customHeight="1">
      <c r="B612" s="469"/>
      <c r="C612" s="450"/>
      <c r="D612" s="449"/>
      <c r="E612" s="468"/>
    </row>
    <row r="613" spans="2:5" ht="15.75" customHeight="1">
      <c r="B613" s="469"/>
      <c r="C613" s="450"/>
      <c r="D613" s="449"/>
      <c r="E613" s="468"/>
    </row>
    <row r="614" spans="2:5" ht="15.75" customHeight="1">
      <c r="B614" s="469"/>
      <c r="C614" s="450"/>
      <c r="D614" s="449"/>
      <c r="E614" s="468"/>
    </row>
    <row r="615" spans="2:5" ht="15.75" customHeight="1">
      <c r="B615" s="469"/>
      <c r="C615" s="450"/>
      <c r="D615" s="449"/>
      <c r="E615" s="468"/>
    </row>
    <row r="616" spans="2:5" ht="15.75" customHeight="1">
      <c r="B616" s="469"/>
      <c r="C616" s="450"/>
      <c r="D616" s="449"/>
      <c r="E616" s="468"/>
    </row>
    <row r="617" spans="2:5" ht="15.75" customHeight="1">
      <c r="B617" s="469"/>
      <c r="C617" s="450"/>
      <c r="D617" s="449"/>
      <c r="E617" s="468"/>
    </row>
    <row r="618" spans="2:5" ht="15.75" customHeight="1">
      <c r="B618" s="469"/>
      <c r="C618" s="450"/>
      <c r="D618" s="449"/>
      <c r="E618" s="468"/>
    </row>
    <row r="619" spans="2:5" ht="15.75" customHeight="1">
      <c r="B619" s="469"/>
      <c r="C619" s="450"/>
      <c r="D619" s="449"/>
      <c r="E619" s="468"/>
    </row>
    <row r="620" spans="2:5" ht="15.75" customHeight="1">
      <c r="B620" s="469"/>
      <c r="C620" s="450"/>
      <c r="D620" s="449"/>
      <c r="E620" s="468"/>
    </row>
    <row r="621" spans="2:5" ht="15.75" customHeight="1">
      <c r="B621" s="469"/>
      <c r="C621" s="450"/>
      <c r="D621" s="449"/>
      <c r="E621" s="468"/>
    </row>
    <row r="622" spans="2:5" ht="15.75" customHeight="1">
      <c r="B622" s="469"/>
      <c r="C622" s="450"/>
      <c r="D622" s="449"/>
      <c r="E622" s="468"/>
    </row>
    <row r="623" spans="2:5" ht="15.75" customHeight="1">
      <c r="B623" s="469"/>
      <c r="C623" s="450"/>
      <c r="D623" s="449"/>
      <c r="E623" s="468"/>
    </row>
    <row r="624" spans="2:5" ht="15.75" customHeight="1">
      <c r="B624" s="469"/>
      <c r="C624" s="450"/>
      <c r="D624" s="449"/>
      <c r="E624" s="468"/>
    </row>
    <row r="625" spans="2:5" ht="15.75" customHeight="1">
      <c r="B625" s="469"/>
      <c r="C625" s="450"/>
      <c r="D625" s="449"/>
      <c r="E625" s="468"/>
    </row>
    <row r="626" spans="2:5" ht="15.75" customHeight="1">
      <c r="B626" s="469"/>
      <c r="C626" s="450"/>
      <c r="D626" s="449"/>
      <c r="E626" s="468"/>
    </row>
    <row r="627" spans="2:5" ht="15.75" customHeight="1">
      <c r="B627" s="469"/>
      <c r="C627" s="450"/>
      <c r="D627" s="449"/>
      <c r="E627" s="468"/>
    </row>
    <row r="628" spans="2:5" ht="15.75" customHeight="1">
      <c r="B628" s="469"/>
      <c r="C628" s="450"/>
      <c r="D628" s="449"/>
      <c r="E628" s="468"/>
    </row>
    <row r="629" spans="2:5" ht="15.75" customHeight="1">
      <c r="B629" s="469"/>
      <c r="C629" s="450"/>
      <c r="D629" s="449"/>
      <c r="E629" s="468"/>
    </row>
    <row r="630" spans="2:5" ht="15.75" customHeight="1">
      <c r="B630" s="469"/>
      <c r="C630" s="450"/>
      <c r="D630" s="449"/>
      <c r="E630" s="468"/>
    </row>
    <row r="631" spans="2:5" ht="15.75" customHeight="1">
      <c r="B631" s="469"/>
      <c r="C631" s="450"/>
      <c r="D631" s="449"/>
      <c r="E631" s="468"/>
    </row>
    <row r="632" spans="2:5" ht="15.75" customHeight="1">
      <c r="B632" s="469"/>
      <c r="C632" s="450"/>
      <c r="D632" s="449"/>
      <c r="E632" s="468"/>
    </row>
    <row r="633" spans="2:5" ht="15.75" customHeight="1">
      <c r="B633" s="469"/>
      <c r="C633" s="450"/>
      <c r="D633" s="449"/>
      <c r="E633" s="468"/>
    </row>
    <row r="634" spans="2:5" ht="15.75" customHeight="1">
      <c r="B634" s="469"/>
      <c r="C634" s="450"/>
      <c r="D634" s="449"/>
      <c r="E634" s="468"/>
    </row>
    <row r="635" spans="2:5" ht="15.75" customHeight="1">
      <c r="B635" s="469"/>
      <c r="C635" s="450"/>
      <c r="D635" s="449"/>
      <c r="E635" s="468"/>
    </row>
    <row r="636" spans="2:5" ht="15.75" customHeight="1">
      <c r="B636" s="469"/>
      <c r="C636" s="450"/>
      <c r="D636" s="449"/>
      <c r="E636" s="468"/>
    </row>
    <row r="637" spans="2:5" ht="15.75" customHeight="1">
      <c r="B637" s="469"/>
      <c r="C637" s="450"/>
      <c r="D637" s="449"/>
      <c r="E637" s="468"/>
    </row>
    <row r="638" spans="2:5" ht="15.75" customHeight="1">
      <c r="B638" s="469"/>
      <c r="C638" s="450"/>
      <c r="D638" s="449"/>
      <c r="E638" s="468"/>
    </row>
    <row r="639" spans="2:5" ht="15.75" customHeight="1">
      <c r="B639" s="469"/>
      <c r="C639" s="450"/>
      <c r="D639" s="449"/>
      <c r="E639" s="468"/>
    </row>
    <row r="640" spans="2:5" ht="15.75" customHeight="1">
      <c r="B640" s="469"/>
      <c r="C640" s="450"/>
      <c r="D640" s="449"/>
      <c r="E640" s="468"/>
    </row>
    <row r="641" spans="2:5" ht="15.75" customHeight="1">
      <c r="B641" s="469"/>
      <c r="C641" s="450"/>
      <c r="D641" s="449"/>
      <c r="E641" s="468"/>
    </row>
    <row r="642" spans="2:5" ht="15.75" customHeight="1">
      <c r="B642" s="469"/>
      <c r="C642" s="450"/>
      <c r="D642" s="449"/>
      <c r="E642" s="468"/>
    </row>
    <row r="643" spans="2:5" ht="15.75" customHeight="1">
      <c r="B643" s="469"/>
      <c r="C643" s="450"/>
      <c r="D643" s="449"/>
      <c r="E643" s="468"/>
    </row>
    <row r="644" spans="2:5" ht="15.75" customHeight="1">
      <c r="B644" s="469"/>
      <c r="C644" s="450"/>
      <c r="D644" s="449"/>
      <c r="E644" s="468"/>
    </row>
    <row r="645" spans="2:5" ht="15.75" customHeight="1">
      <c r="B645" s="469"/>
      <c r="C645" s="450"/>
      <c r="D645" s="449"/>
      <c r="E645" s="468"/>
    </row>
    <row r="646" spans="2:5" ht="15.75" customHeight="1">
      <c r="B646" s="469"/>
      <c r="C646" s="450"/>
      <c r="D646" s="449"/>
      <c r="E646" s="468"/>
    </row>
    <row r="647" spans="2:5" ht="15.75" customHeight="1">
      <c r="B647" s="469"/>
      <c r="C647" s="450"/>
      <c r="D647" s="449"/>
      <c r="E647" s="468"/>
    </row>
    <row r="648" spans="2:5" ht="15.75" customHeight="1">
      <c r="B648" s="469"/>
      <c r="C648" s="450"/>
      <c r="D648" s="449"/>
      <c r="E648" s="468"/>
    </row>
    <row r="649" spans="2:5" ht="15.75" customHeight="1">
      <c r="B649" s="469"/>
      <c r="C649" s="450"/>
      <c r="D649" s="449"/>
      <c r="E649" s="468"/>
    </row>
    <row r="650" spans="2:5" ht="15.75" customHeight="1">
      <c r="B650" s="469"/>
      <c r="C650" s="450"/>
      <c r="D650" s="449"/>
      <c r="E650" s="468"/>
    </row>
    <row r="651" spans="2:5" ht="15.75" customHeight="1">
      <c r="B651" s="469"/>
      <c r="C651" s="450"/>
      <c r="D651" s="449"/>
      <c r="E651" s="468"/>
    </row>
    <row r="652" spans="2:5" ht="15.75" customHeight="1">
      <c r="B652" s="469"/>
      <c r="C652" s="450"/>
      <c r="D652" s="449"/>
      <c r="E652" s="468"/>
    </row>
    <row r="653" spans="2:5" ht="15.75" customHeight="1">
      <c r="B653" s="469"/>
      <c r="C653" s="450"/>
      <c r="D653" s="449"/>
      <c r="E653" s="468"/>
    </row>
    <row r="654" spans="2:5" ht="15.75" customHeight="1">
      <c r="B654" s="469"/>
      <c r="C654" s="450"/>
      <c r="D654" s="449"/>
      <c r="E654" s="468"/>
    </row>
    <row r="655" spans="2:5" ht="15.75" customHeight="1">
      <c r="B655" s="469"/>
      <c r="C655" s="450"/>
      <c r="D655" s="449"/>
      <c r="E655" s="468"/>
    </row>
    <row r="656" spans="2:5" ht="15.75" customHeight="1">
      <c r="B656" s="469"/>
      <c r="C656" s="450"/>
      <c r="D656" s="449"/>
      <c r="E656" s="468"/>
    </row>
    <row r="657" spans="2:5" ht="15.75" customHeight="1">
      <c r="B657" s="469"/>
      <c r="C657" s="450"/>
      <c r="D657" s="449"/>
      <c r="E657" s="468"/>
    </row>
    <row r="658" spans="2:5" ht="15.75" customHeight="1">
      <c r="B658" s="469"/>
      <c r="C658" s="450"/>
      <c r="D658" s="449"/>
      <c r="E658" s="468"/>
    </row>
    <row r="659" spans="2:5" ht="15.75" customHeight="1">
      <c r="B659" s="469"/>
      <c r="C659" s="450"/>
      <c r="D659" s="449"/>
      <c r="E659" s="468"/>
    </row>
    <row r="660" spans="2:5" ht="15.75" customHeight="1">
      <c r="B660" s="469"/>
      <c r="C660" s="450"/>
      <c r="D660" s="449"/>
      <c r="E660" s="468"/>
    </row>
    <row r="661" spans="2:5" ht="15.75" customHeight="1">
      <c r="B661" s="469"/>
      <c r="C661" s="450"/>
      <c r="D661" s="449"/>
      <c r="E661" s="468"/>
    </row>
    <row r="662" spans="2:5" ht="15.75" customHeight="1">
      <c r="B662" s="469"/>
      <c r="C662" s="450"/>
      <c r="D662" s="449"/>
      <c r="E662" s="468"/>
    </row>
    <row r="663" spans="2:5" ht="15.75" customHeight="1">
      <c r="B663" s="469"/>
      <c r="C663" s="450"/>
      <c r="D663" s="449"/>
      <c r="E663" s="468"/>
    </row>
    <row r="664" spans="2:5" ht="15.75" customHeight="1">
      <c r="B664" s="469"/>
      <c r="C664" s="450"/>
      <c r="D664" s="449"/>
      <c r="E664" s="468"/>
    </row>
    <row r="665" spans="2:5" ht="15.75" customHeight="1">
      <c r="B665" s="469"/>
      <c r="C665" s="450"/>
      <c r="D665" s="449"/>
      <c r="E665" s="468"/>
    </row>
    <row r="666" spans="2:5" ht="15.75" customHeight="1">
      <c r="B666" s="469"/>
      <c r="C666" s="450"/>
      <c r="D666" s="449"/>
      <c r="E666" s="468"/>
    </row>
    <row r="667" spans="2:5" ht="15.75" customHeight="1">
      <c r="B667" s="469"/>
      <c r="C667" s="450"/>
      <c r="D667" s="449"/>
      <c r="E667" s="468"/>
    </row>
    <row r="668" spans="2:5" ht="15.75" customHeight="1">
      <c r="B668" s="469"/>
      <c r="C668" s="450"/>
      <c r="D668" s="449"/>
      <c r="E668" s="468"/>
    </row>
    <row r="669" spans="2:5" ht="15.75" customHeight="1">
      <c r="B669" s="469"/>
      <c r="C669" s="450"/>
      <c r="D669" s="449"/>
      <c r="E669" s="468"/>
    </row>
    <row r="670" spans="2:5" ht="15.75" customHeight="1">
      <c r="B670" s="469"/>
      <c r="C670" s="450"/>
      <c r="D670" s="449"/>
      <c r="E670" s="468"/>
    </row>
    <row r="671" spans="2:5" ht="15.75" customHeight="1">
      <c r="B671" s="469"/>
      <c r="C671" s="450"/>
      <c r="D671" s="449"/>
      <c r="E671" s="468"/>
    </row>
    <row r="672" spans="2:5" ht="15.75" customHeight="1">
      <c r="B672" s="469"/>
      <c r="C672" s="450"/>
      <c r="D672" s="449"/>
      <c r="E672" s="468"/>
    </row>
    <row r="673" spans="2:5" ht="15.75" customHeight="1">
      <c r="B673" s="469"/>
      <c r="C673" s="450"/>
      <c r="D673" s="449"/>
      <c r="E673" s="468"/>
    </row>
    <row r="674" spans="2:5" ht="15.75" customHeight="1">
      <c r="B674" s="469"/>
      <c r="C674" s="450"/>
      <c r="D674" s="449"/>
      <c r="E674" s="468"/>
    </row>
    <row r="675" spans="2:5" ht="15.75" customHeight="1">
      <c r="B675" s="469"/>
      <c r="C675" s="450"/>
      <c r="D675" s="449"/>
      <c r="E675" s="468"/>
    </row>
    <row r="676" spans="2:5" ht="15.75" customHeight="1">
      <c r="B676" s="469"/>
      <c r="C676" s="450"/>
      <c r="D676" s="449"/>
      <c r="E676" s="468"/>
    </row>
    <row r="677" spans="2:5" ht="15.75" customHeight="1">
      <c r="B677" s="469"/>
      <c r="C677" s="450"/>
      <c r="D677" s="449"/>
      <c r="E677" s="468"/>
    </row>
    <row r="678" spans="2:5" ht="15.75" customHeight="1">
      <c r="B678" s="469"/>
      <c r="C678" s="450"/>
      <c r="D678" s="449"/>
      <c r="E678" s="468"/>
    </row>
    <row r="679" spans="2:5" ht="15.75" customHeight="1">
      <c r="B679" s="469"/>
      <c r="C679" s="450"/>
      <c r="D679" s="449"/>
      <c r="E679" s="468"/>
    </row>
    <row r="680" spans="2:5" ht="15.75" customHeight="1">
      <c r="B680" s="469"/>
      <c r="C680" s="450"/>
      <c r="D680" s="449"/>
      <c r="E680" s="468"/>
    </row>
    <row r="681" spans="2:5" ht="15.75" customHeight="1">
      <c r="B681" s="469"/>
      <c r="C681" s="450"/>
      <c r="D681" s="449"/>
      <c r="E681" s="468"/>
    </row>
    <row r="682" spans="2:5" ht="15.75" customHeight="1">
      <c r="B682" s="469"/>
      <c r="C682" s="450"/>
      <c r="D682" s="449"/>
      <c r="E682" s="468"/>
    </row>
    <row r="683" spans="2:5" ht="15.75" customHeight="1">
      <c r="B683" s="469"/>
      <c r="C683" s="450"/>
      <c r="D683" s="449"/>
      <c r="E683" s="468"/>
    </row>
    <row r="684" spans="2:5" ht="15.75" customHeight="1">
      <c r="B684" s="469"/>
      <c r="C684" s="450"/>
      <c r="D684" s="449"/>
      <c r="E684" s="468"/>
    </row>
    <row r="685" spans="2:5" ht="15.75" customHeight="1">
      <c r="B685" s="469"/>
      <c r="C685" s="450"/>
      <c r="D685" s="449"/>
      <c r="E685" s="468"/>
    </row>
    <row r="686" spans="2:5" ht="15.75" customHeight="1">
      <c r="B686" s="469"/>
      <c r="C686" s="450"/>
      <c r="D686" s="449"/>
      <c r="E686" s="468"/>
    </row>
    <row r="687" spans="2:5" ht="15.75" customHeight="1">
      <c r="B687" s="469"/>
      <c r="C687" s="450"/>
      <c r="D687" s="449"/>
      <c r="E687" s="468"/>
    </row>
    <row r="688" spans="2:5" ht="15.75" customHeight="1">
      <c r="B688" s="469"/>
      <c r="C688" s="450"/>
      <c r="D688" s="449"/>
      <c r="E688" s="468"/>
    </row>
    <row r="689" spans="2:5" ht="15.75" customHeight="1">
      <c r="B689" s="469"/>
      <c r="C689" s="450"/>
      <c r="D689" s="449"/>
      <c r="E689" s="468"/>
    </row>
    <row r="690" spans="2:5" ht="15.75" customHeight="1">
      <c r="B690" s="469"/>
      <c r="C690" s="450"/>
      <c r="D690" s="449"/>
      <c r="E690" s="468"/>
    </row>
    <row r="691" spans="2:5" ht="15.75" customHeight="1">
      <c r="B691" s="469"/>
      <c r="C691" s="450"/>
      <c r="D691" s="449"/>
      <c r="E691" s="468"/>
    </row>
    <row r="692" spans="2:5" ht="15.75" customHeight="1">
      <c r="B692" s="469"/>
      <c r="C692" s="450"/>
      <c r="D692" s="449"/>
      <c r="E692" s="468"/>
    </row>
    <row r="693" spans="2:5" ht="15.75" customHeight="1">
      <c r="B693" s="469"/>
      <c r="C693" s="450"/>
      <c r="D693" s="449"/>
      <c r="E693" s="468"/>
    </row>
    <row r="694" spans="2:5" ht="15.75" customHeight="1">
      <c r="B694" s="469"/>
      <c r="C694" s="450"/>
      <c r="D694" s="449"/>
      <c r="E694" s="468"/>
    </row>
    <row r="695" spans="2:5" ht="15.75" customHeight="1">
      <c r="B695" s="469"/>
      <c r="C695" s="450"/>
      <c r="D695" s="449"/>
      <c r="E695" s="468"/>
    </row>
    <row r="696" spans="2:5" ht="15.75" customHeight="1">
      <c r="B696" s="469"/>
      <c r="C696" s="450"/>
      <c r="D696" s="449"/>
      <c r="E696" s="468"/>
    </row>
    <row r="697" spans="2:5" ht="15.75" customHeight="1">
      <c r="B697" s="469"/>
      <c r="C697" s="450"/>
      <c r="D697" s="449"/>
      <c r="E697" s="468"/>
    </row>
    <row r="698" spans="2:5" ht="15.75" customHeight="1">
      <c r="B698" s="469"/>
      <c r="C698" s="450"/>
      <c r="D698" s="449"/>
      <c r="E698" s="468"/>
    </row>
    <row r="699" spans="2:5" ht="15.75" customHeight="1">
      <c r="B699" s="469"/>
      <c r="C699" s="450"/>
      <c r="D699" s="449"/>
      <c r="E699" s="468"/>
    </row>
    <row r="700" spans="2:5" ht="15.75" customHeight="1">
      <c r="B700" s="469"/>
      <c r="C700" s="450"/>
      <c r="D700" s="449"/>
      <c r="E700" s="468"/>
    </row>
    <row r="701" spans="2:5" ht="15.75" customHeight="1">
      <c r="B701" s="469"/>
      <c r="C701" s="450"/>
      <c r="D701" s="449"/>
      <c r="E701" s="468"/>
    </row>
    <row r="702" spans="2:5" ht="15.75" customHeight="1">
      <c r="B702" s="469"/>
      <c r="C702" s="450"/>
      <c r="D702" s="449"/>
      <c r="E702" s="468"/>
    </row>
    <row r="703" spans="2:5" ht="15.75" customHeight="1">
      <c r="B703" s="469"/>
      <c r="C703" s="450"/>
      <c r="D703" s="449"/>
      <c r="E703" s="468"/>
    </row>
    <row r="704" spans="2:5" ht="15.75" customHeight="1">
      <c r="B704" s="469"/>
      <c r="C704" s="450"/>
      <c r="D704" s="449"/>
      <c r="E704" s="468"/>
    </row>
    <row r="705" spans="2:5" ht="15.75" customHeight="1">
      <c r="B705" s="469"/>
      <c r="C705" s="450"/>
      <c r="D705" s="449"/>
      <c r="E705" s="468"/>
    </row>
    <row r="706" spans="2:5" ht="15.75" customHeight="1">
      <c r="B706" s="469"/>
      <c r="C706" s="450"/>
      <c r="D706" s="449"/>
      <c r="E706" s="468"/>
    </row>
    <row r="707" spans="2:5" ht="15.75" customHeight="1">
      <c r="B707" s="469"/>
      <c r="C707" s="450"/>
      <c r="D707" s="449"/>
      <c r="E707" s="468"/>
    </row>
    <row r="708" spans="2:5" ht="15.75" customHeight="1">
      <c r="B708" s="469"/>
      <c r="C708" s="450"/>
      <c r="D708" s="449"/>
      <c r="E708" s="468"/>
    </row>
    <row r="709" spans="2:5" ht="15.75" customHeight="1">
      <c r="B709" s="469"/>
      <c r="C709" s="450"/>
      <c r="D709" s="449"/>
      <c r="E709" s="468"/>
    </row>
    <row r="710" spans="2:5" ht="15.75" customHeight="1">
      <c r="B710" s="469"/>
      <c r="C710" s="450"/>
      <c r="D710" s="449"/>
      <c r="E710" s="468"/>
    </row>
    <row r="711" spans="2:5" ht="15.75" customHeight="1">
      <c r="B711" s="469"/>
      <c r="C711" s="450"/>
      <c r="D711" s="449"/>
      <c r="E711" s="468"/>
    </row>
    <row r="712" spans="2:5" ht="15.75" customHeight="1">
      <c r="B712" s="469"/>
      <c r="C712" s="450"/>
      <c r="D712" s="449"/>
      <c r="E712" s="468"/>
    </row>
    <row r="713" spans="2:5" ht="15.75" customHeight="1">
      <c r="B713" s="469"/>
      <c r="C713" s="450"/>
      <c r="D713" s="449"/>
      <c r="E713" s="468"/>
    </row>
    <row r="714" spans="2:5" ht="15.75" customHeight="1">
      <c r="B714" s="469"/>
      <c r="C714" s="450"/>
      <c r="D714" s="449"/>
      <c r="E714" s="468"/>
    </row>
    <row r="715" spans="2:5" ht="15.75" customHeight="1">
      <c r="B715" s="469"/>
      <c r="C715" s="450"/>
      <c r="D715" s="449"/>
      <c r="E715" s="468"/>
    </row>
    <row r="716" spans="2:5" ht="15.75" customHeight="1">
      <c r="B716" s="469"/>
      <c r="C716" s="450"/>
      <c r="D716" s="449"/>
      <c r="E716" s="468"/>
    </row>
    <row r="717" spans="2:5" ht="15.75" customHeight="1">
      <c r="B717" s="469"/>
      <c r="C717" s="450"/>
      <c r="D717" s="449"/>
      <c r="E717" s="468"/>
    </row>
    <row r="718" spans="2:5" ht="15.75" customHeight="1">
      <c r="B718" s="469"/>
      <c r="C718" s="450"/>
      <c r="D718" s="449"/>
      <c r="E718" s="468"/>
    </row>
    <row r="719" spans="2:5" ht="15.75" customHeight="1">
      <c r="B719" s="469"/>
      <c r="C719" s="450"/>
      <c r="D719" s="449"/>
      <c r="E719" s="468"/>
    </row>
    <row r="720" spans="2:5" ht="15.75" customHeight="1">
      <c r="B720" s="469"/>
      <c r="C720" s="450"/>
      <c r="D720" s="449"/>
      <c r="E720" s="468"/>
    </row>
    <row r="721" spans="2:5" ht="15.75" customHeight="1">
      <c r="B721" s="469"/>
      <c r="C721" s="450"/>
      <c r="D721" s="449"/>
      <c r="E721" s="468"/>
    </row>
    <row r="722" spans="2:5" ht="15.75" customHeight="1">
      <c r="B722" s="469"/>
      <c r="C722" s="450"/>
      <c r="D722" s="449"/>
      <c r="E722" s="468"/>
    </row>
    <row r="723" spans="2:5" ht="15.75" customHeight="1">
      <c r="B723" s="469"/>
      <c r="C723" s="450"/>
      <c r="D723" s="449"/>
      <c r="E723" s="468"/>
    </row>
    <row r="724" spans="2:5" ht="15.75" customHeight="1">
      <c r="B724" s="469"/>
      <c r="C724" s="450"/>
      <c r="D724" s="449"/>
      <c r="E724" s="468"/>
    </row>
    <row r="725" spans="2:5" ht="15.75" customHeight="1">
      <c r="B725" s="469"/>
      <c r="C725" s="450"/>
      <c r="D725" s="449"/>
      <c r="E725" s="468"/>
    </row>
    <row r="726" spans="2:5" ht="15.75" customHeight="1">
      <c r="B726" s="469"/>
      <c r="C726" s="450"/>
      <c r="D726" s="449"/>
      <c r="E726" s="468"/>
    </row>
    <row r="727" spans="2:5" ht="15.75" customHeight="1">
      <c r="B727" s="469"/>
      <c r="C727" s="450"/>
      <c r="D727" s="449"/>
      <c r="E727" s="468"/>
    </row>
    <row r="728" spans="2:5" ht="15.75" customHeight="1">
      <c r="B728" s="469"/>
      <c r="C728" s="450"/>
      <c r="D728" s="449"/>
      <c r="E728" s="468"/>
    </row>
    <row r="729" spans="2:5" ht="15.75" customHeight="1">
      <c r="B729" s="469"/>
      <c r="C729" s="450"/>
      <c r="D729" s="449"/>
      <c r="E729" s="468"/>
    </row>
    <row r="730" spans="2:5" ht="15.75" customHeight="1">
      <c r="B730" s="469"/>
      <c r="C730" s="450"/>
      <c r="D730" s="449"/>
      <c r="E730" s="468"/>
    </row>
    <row r="731" spans="2:5" ht="15.75" customHeight="1">
      <c r="B731" s="469"/>
      <c r="C731" s="450"/>
      <c r="D731" s="449"/>
      <c r="E731" s="468"/>
    </row>
    <row r="732" spans="2:5" ht="15.75" customHeight="1">
      <c r="B732" s="469"/>
      <c r="C732" s="450"/>
      <c r="D732" s="449"/>
      <c r="E732" s="468"/>
    </row>
    <row r="733" spans="2:5" ht="15.75" customHeight="1">
      <c r="B733" s="469"/>
      <c r="C733" s="450"/>
      <c r="D733" s="449"/>
      <c r="E733" s="468"/>
    </row>
    <row r="734" spans="2:5" ht="15.75" customHeight="1">
      <c r="B734" s="469"/>
      <c r="C734" s="450"/>
      <c r="D734" s="449"/>
      <c r="E734" s="468"/>
    </row>
    <row r="735" spans="2:5" ht="15.75" customHeight="1">
      <c r="B735" s="469"/>
      <c r="C735" s="450"/>
      <c r="D735" s="449"/>
      <c r="E735" s="468"/>
    </row>
    <row r="736" spans="2:5" ht="15.75" customHeight="1">
      <c r="B736" s="469"/>
      <c r="C736" s="450"/>
      <c r="D736" s="449"/>
      <c r="E736" s="468"/>
    </row>
    <row r="737" spans="2:5" ht="15.75" customHeight="1">
      <c r="B737" s="469"/>
      <c r="C737" s="450"/>
      <c r="D737" s="449"/>
      <c r="E737" s="468"/>
    </row>
    <row r="738" spans="2:5" ht="15.75" customHeight="1">
      <c r="B738" s="469"/>
      <c r="C738" s="450"/>
      <c r="D738" s="449"/>
      <c r="E738" s="468"/>
    </row>
    <row r="739" spans="2:5" ht="15.75" customHeight="1">
      <c r="B739" s="469"/>
      <c r="C739" s="450"/>
      <c r="D739" s="449"/>
      <c r="E739" s="468"/>
    </row>
    <row r="740" spans="2:5" ht="15.75" customHeight="1">
      <c r="B740" s="469"/>
      <c r="C740" s="450"/>
      <c r="D740" s="449"/>
      <c r="E740" s="468"/>
    </row>
    <row r="741" spans="2:5" ht="15.75" customHeight="1">
      <c r="B741" s="469"/>
      <c r="C741" s="450"/>
      <c r="D741" s="449"/>
      <c r="E741" s="468"/>
    </row>
    <row r="742" spans="2:5" ht="15.75" customHeight="1">
      <c r="B742" s="469"/>
      <c r="C742" s="450"/>
      <c r="D742" s="449"/>
      <c r="E742" s="468"/>
    </row>
    <row r="743" spans="2:5" ht="15.75" customHeight="1">
      <c r="B743" s="469"/>
      <c r="C743" s="450"/>
      <c r="D743" s="449"/>
      <c r="E743" s="468"/>
    </row>
    <row r="744" spans="2:5" ht="15.75" customHeight="1">
      <c r="B744" s="469"/>
      <c r="C744" s="450"/>
      <c r="D744" s="449"/>
      <c r="E744" s="468"/>
    </row>
    <row r="745" spans="2:5" ht="15.75" customHeight="1">
      <c r="B745" s="469"/>
      <c r="C745" s="450"/>
      <c r="D745" s="449"/>
      <c r="E745" s="468"/>
    </row>
    <row r="746" spans="2:5" ht="15.75" customHeight="1">
      <c r="B746" s="469"/>
      <c r="C746" s="450"/>
      <c r="D746" s="449"/>
      <c r="E746" s="468"/>
    </row>
    <row r="747" spans="2:5" ht="15.75" customHeight="1">
      <c r="B747" s="469"/>
      <c r="C747" s="450"/>
      <c r="D747" s="449"/>
      <c r="E747" s="468"/>
    </row>
    <row r="748" spans="2:5" ht="15.75" customHeight="1">
      <c r="B748" s="469"/>
      <c r="C748" s="450"/>
      <c r="D748" s="449"/>
      <c r="E748" s="468"/>
    </row>
    <row r="749" spans="2:5" ht="15.75" customHeight="1">
      <c r="B749" s="469"/>
      <c r="C749" s="450"/>
      <c r="D749" s="449"/>
      <c r="E749" s="468"/>
    </row>
    <row r="750" spans="2:5" ht="15.75" customHeight="1">
      <c r="B750" s="469"/>
      <c r="C750" s="450"/>
      <c r="D750" s="449"/>
      <c r="E750" s="468"/>
    </row>
    <row r="751" spans="2:5" ht="15.75" customHeight="1">
      <c r="B751" s="469"/>
      <c r="C751" s="450"/>
      <c r="D751" s="449"/>
      <c r="E751" s="468"/>
    </row>
    <row r="752" spans="2:5" ht="15.75" customHeight="1">
      <c r="B752" s="469"/>
      <c r="C752" s="450"/>
      <c r="D752" s="449"/>
      <c r="E752" s="468"/>
    </row>
    <row r="753" spans="2:5" ht="15.75" customHeight="1">
      <c r="B753" s="469"/>
      <c r="C753" s="450"/>
      <c r="D753" s="449"/>
      <c r="E753" s="468"/>
    </row>
    <row r="754" spans="2:5" ht="15.75" customHeight="1">
      <c r="B754" s="469"/>
      <c r="C754" s="450"/>
      <c r="D754" s="449"/>
      <c r="E754" s="468"/>
    </row>
    <row r="755" spans="2:5" ht="15.75" customHeight="1">
      <c r="B755" s="469"/>
      <c r="C755" s="450"/>
      <c r="D755" s="449"/>
      <c r="E755" s="468"/>
    </row>
    <row r="756" spans="2:5" ht="15.75" customHeight="1">
      <c r="B756" s="469"/>
      <c r="C756" s="450"/>
      <c r="D756" s="449"/>
      <c r="E756" s="468"/>
    </row>
    <row r="757" spans="2:5" ht="15.75" customHeight="1">
      <c r="B757" s="469"/>
      <c r="C757" s="450"/>
      <c r="D757" s="449"/>
      <c r="E757" s="468"/>
    </row>
    <row r="758" spans="2:5" ht="15.75" customHeight="1">
      <c r="B758" s="469"/>
      <c r="C758" s="450"/>
      <c r="D758" s="449"/>
      <c r="E758" s="468"/>
    </row>
    <row r="759" spans="2:5" ht="15.75" customHeight="1">
      <c r="B759" s="469"/>
      <c r="C759" s="450"/>
      <c r="D759" s="449"/>
      <c r="E759" s="468"/>
    </row>
    <row r="760" spans="2:5" ht="15.75" customHeight="1">
      <c r="B760" s="469"/>
      <c r="C760" s="450"/>
      <c r="D760" s="449"/>
      <c r="E760" s="468"/>
    </row>
    <row r="761" spans="2:5" ht="15.75" customHeight="1">
      <c r="B761" s="469"/>
      <c r="C761" s="450"/>
      <c r="D761" s="449"/>
      <c r="E761" s="468"/>
    </row>
    <row r="762" spans="2:5" ht="15.75" customHeight="1">
      <c r="B762" s="469"/>
      <c r="C762" s="450"/>
      <c r="D762" s="449"/>
      <c r="E762" s="468"/>
    </row>
    <row r="763" spans="2:5" ht="15.75" customHeight="1">
      <c r="B763" s="469"/>
      <c r="C763" s="450"/>
      <c r="D763" s="449"/>
      <c r="E763" s="468"/>
    </row>
    <row r="764" spans="2:5" ht="15.75" customHeight="1">
      <c r="B764" s="469"/>
      <c r="C764" s="450"/>
      <c r="D764" s="449"/>
      <c r="E764" s="468"/>
    </row>
    <row r="765" spans="2:5" ht="15.75" customHeight="1">
      <c r="B765" s="469"/>
      <c r="C765" s="450"/>
      <c r="D765" s="449"/>
      <c r="E765" s="468"/>
    </row>
    <row r="766" spans="2:5" ht="15.75" customHeight="1">
      <c r="B766" s="469"/>
      <c r="C766" s="450"/>
      <c r="D766" s="449"/>
      <c r="E766" s="468"/>
    </row>
    <row r="767" spans="2:5" ht="15.75" customHeight="1">
      <c r="B767" s="469"/>
      <c r="C767" s="450"/>
      <c r="D767" s="449"/>
      <c r="E767" s="468"/>
    </row>
    <row r="768" spans="2:5" ht="15.75" customHeight="1">
      <c r="B768" s="469"/>
      <c r="C768" s="450"/>
      <c r="D768" s="449"/>
      <c r="E768" s="468"/>
    </row>
    <row r="769" spans="2:5" ht="15.75" customHeight="1">
      <c r="B769" s="469"/>
      <c r="C769" s="450"/>
      <c r="D769" s="449"/>
      <c r="E769" s="468"/>
    </row>
    <row r="770" spans="2:5" ht="15.75" customHeight="1">
      <c r="B770" s="469"/>
      <c r="C770" s="450"/>
      <c r="D770" s="449"/>
      <c r="E770" s="468"/>
    </row>
    <row r="771" spans="2:5" ht="15.75" customHeight="1">
      <c r="B771" s="469"/>
      <c r="C771" s="450"/>
      <c r="D771" s="449"/>
      <c r="E771" s="468"/>
    </row>
    <row r="772" spans="2:5" ht="15.75" customHeight="1">
      <c r="B772" s="469"/>
      <c r="C772" s="450"/>
      <c r="D772" s="449"/>
      <c r="E772" s="468"/>
    </row>
    <row r="773" spans="2:5" ht="15.75" customHeight="1">
      <c r="B773" s="469"/>
      <c r="C773" s="450"/>
      <c r="D773" s="449"/>
      <c r="E773" s="468"/>
    </row>
    <row r="774" spans="2:5" ht="15.75" customHeight="1">
      <c r="B774" s="469"/>
      <c r="C774" s="450"/>
      <c r="D774" s="449"/>
      <c r="E774" s="468"/>
    </row>
    <row r="775" spans="2:5" ht="15.75" customHeight="1">
      <c r="B775" s="469"/>
      <c r="C775" s="450"/>
      <c r="D775" s="449"/>
      <c r="E775" s="468"/>
    </row>
    <row r="776" spans="2:5" ht="15.75" customHeight="1">
      <c r="B776" s="469"/>
      <c r="C776" s="450"/>
      <c r="D776" s="449"/>
      <c r="E776" s="468"/>
    </row>
    <row r="777" spans="2:5" ht="15.75" customHeight="1">
      <c r="B777" s="469"/>
      <c r="C777" s="450"/>
      <c r="D777" s="449"/>
      <c r="E777" s="468"/>
    </row>
    <row r="778" spans="2:5" ht="15.75" customHeight="1">
      <c r="B778" s="469"/>
      <c r="C778" s="450"/>
      <c r="D778" s="449"/>
      <c r="E778" s="468"/>
    </row>
    <row r="779" spans="2:5" ht="15.75" customHeight="1">
      <c r="B779" s="469"/>
      <c r="C779" s="450"/>
      <c r="D779" s="449"/>
      <c r="E779" s="468"/>
    </row>
    <row r="780" spans="2:5" ht="15.75" customHeight="1">
      <c r="B780" s="469"/>
      <c r="C780" s="450"/>
      <c r="D780" s="449"/>
      <c r="E780" s="468"/>
    </row>
    <row r="781" spans="2:5" ht="15.75" customHeight="1">
      <c r="B781" s="469"/>
      <c r="C781" s="450"/>
      <c r="D781" s="449"/>
      <c r="E781" s="468"/>
    </row>
    <row r="782" spans="2:5" ht="15.75" customHeight="1">
      <c r="B782" s="469"/>
      <c r="C782" s="450"/>
      <c r="D782" s="449"/>
      <c r="E782" s="468"/>
    </row>
    <row r="783" spans="2:5" ht="15.75" customHeight="1">
      <c r="B783" s="469"/>
      <c r="C783" s="450"/>
      <c r="D783" s="449"/>
      <c r="E783" s="468"/>
    </row>
    <row r="784" spans="2:5" ht="15.75" customHeight="1">
      <c r="B784" s="469"/>
      <c r="C784" s="450"/>
      <c r="D784" s="449"/>
      <c r="E784" s="468"/>
    </row>
    <row r="785" spans="2:5" ht="15.75" customHeight="1">
      <c r="B785" s="469"/>
      <c r="C785" s="450"/>
      <c r="D785" s="449"/>
      <c r="E785" s="468"/>
    </row>
    <row r="786" spans="2:5" ht="15.75" customHeight="1">
      <c r="B786" s="469"/>
      <c r="C786" s="450"/>
      <c r="D786" s="449"/>
      <c r="E786" s="468"/>
    </row>
    <row r="787" spans="2:5" ht="15.75" customHeight="1">
      <c r="B787" s="469"/>
      <c r="C787" s="450"/>
      <c r="D787" s="449"/>
      <c r="E787" s="468"/>
    </row>
    <row r="788" spans="2:5" ht="15.75" customHeight="1">
      <c r="B788" s="469"/>
      <c r="C788" s="450"/>
      <c r="D788" s="449"/>
      <c r="E788" s="468"/>
    </row>
    <row r="789" spans="2:5" ht="15.75" customHeight="1">
      <c r="B789" s="469"/>
      <c r="C789" s="450"/>
      <c r="D789" s="449"/>
      <c r="E789" s="468"/>
    </row>
    <row r="790" spans="2:5" ht="15.75" customHeight="1">
      <c r="B790" s="469"/>
      <c r="C790" s="450"/>
      <c r="D790" s="449"/>
      <c r="E790" s="468"/>
    </row>
    <row r="791" spans="2:5" ht="15.75" customHeight="1">
      <c r="B791" s="469"/>
      <c r="C791" s="450"/>
      <c r="D791" s="449"/>
      <c r="E791" s="468"/>
    </row>
    <row r="792" spans="2:5" ht="15.75" customHeight="1">
      <c r="B792" s="469"/>
      <c r="C792" s="450"/>
      <c r="D792" s="449"/>
      <c r="E792" s="468"/>
    </row>
    <row r="793" spans="2:5" ht="15.75" customHeight="1">
      <c r="B793" s="469"/>
      <c r="C793" s="450"/>
      <c r="D793" s="449"/>
      <c r="E793" s="468"/>
    </row>
    <row r="794" spans="2:5" ht="15.75" customHeight="1">
      <c r="B794" s="469"/>
      <c r="C794" s="450"/>
      <c r="D794" s="449"/>
      <c r="E794" s="468"/>
    </row>
    <row r="795" spans="2:5" ht="15.75" customHeight="1">
      <c r="B795" s="469"/>
      <c r="C795" s="450"/>
      <c r="D795" s="449"/>
      <c r="E795" s="468"/>
    </row>
    <row r="796" spans="2:5" ht="15.75" customHeight="1">
      <c r="B796" s="469"/>
      <c r="C796" s="450"/>
      <c r="D796" s="449"/>
      <c r="E796" s="468"/>
    </row>
    <row r="797" spans="2:5" ht="15.75" customHeight="1">
      <c r="B797" s="469"/>
      <c r="C797" s="450"/>
      <c r="D797" s="449"/>
      <c r="E797" s="468"/>
    </row>
    <row r="798" spans="2:5" ht="15.75" customHeight="1">
      <c r="B798" s="469"/>
      <c r="C798" s="450"/>
      <c r="D798" s="449"/>
      <c r="E798" s="468"/>
    </row>
    <row r="799" spans="2:5" ht="15.75" customHeight="1">
      <c r="B799" s="469"/>
      <c r="C799" s="450"/>
      <c r="D799" s="449"/>
      <c r="E799" s="468"/>
    </row>
    <row r="800" spans="2:5" ht="15.75" customHeight="1">
      <c r="B800" s="469"/>
      <c r="C800" s="450"/>
      <c r="D800" s="449"/>
      <c r="E800" s="468"/>
    </row>
    <row r="801" spans="2:5" ht="15.75" customHeight="1">
      <c r="B801" s="469"/>
      <c r="C801" s="450"/>
      <c r="D801" s="449"/>
      <c r="E801" s="468"/>
    </row>
    <row r="802" spans="2:5" ht="15.75" customHeight="1">
      <c r="B802" s="469"/>
      <c r="C802" s="450"/>
      <c r="D802" s="449"/>
      <c r="E802" s="468"/>
    </row>
    <row r="803" spans="2:5" ht="15.75" customHeight="1">
      <c r="B803" s="469"/>
      <c r="C803" s="450"/>
      <c r="D803" s="449"/>
      <c r="E803" s="468"/>
    </row>
    <row r="804" spans="2:5" ht="15.75" customHeight="1">
      <c r="B804" s="469"/>
      <c r="C804" s="450"/>
      <c r="D804" s="449"/>
      <c r="E804" s="468"/>
    </row>
    <row r="805" spans="2:5" ht="15.75" customHeight="1">
      <c r="B805" s="469"/>
      <c r="C805" s="450"/>
      <c r="D805" s="449"/>
      <c r="E805" s="468"/>
    </row>
    <row r="806" spans="2:5" ht="15.75" customHeight="1">
      <c r="B806" s="469"/>
      <c r="C806" s="450"/>
      <c r="D806" s="449"/>
      <c r="E806" s="468"/>
    </row>
    <row r="807" spans="2:5" ht="15.75" customHeight="1">
      <c r="B807" s="469"/>
      <c r="C807" s="450"/>
      <c r="D807" s="449"/>
      <c r="E807" s="468"/>
    </row>
    <row r="808" spans="2:5" ht="15.75" customHeight="1">
      <c r="B808" s="469"/>
      <c r="C808" s="450"/>
      <c r="D808" s="449"/>
      <c r="E808" s="468"/>
    </row>
    <row r="809" spans="2:5" ht="15.75" customHeight="1">
      <c r="B809" s="469"/>
      <c r="C809" s="450"/>
      <c r="D809" s="449"/>
      <c r="E809" s="468"/>
    </row>
    <row r="810" spans="2:5" ht="15.75" customHeight="1">
      <c r="B810" s="469"/>
      <c r="C810" s="450"/>
      <c r="D810" s="449"/>
      <c r="E810" s="468"/>
    </row>
    <row r="811" spans="2:5" ht="15.75" customHeight="1">
      <c r="B811" s="469"/>
      <c r="C811" s="450"/>
      <c r="D811" s="449"/>
      <c r="E811" s="468"/>
    </row>
    <row r="812" spans="2:5" ht="15.75" customHeight="1">
      <c r="B812" s="469"/>
      <c r="C812" s="450"/>
      <c r="D812" s="449"/>
      <c r="E812" s="468"/>
    </row>
    <row r="813" spans="2:5" ht="15.75" customHeight="1">
      <c r="B813" s="469"/>
      <c r="C813" s="450"/>
      <c r="D813" s="449"/>
      <c r="E813" s="468"/>
    </row>
    <row r="814" spans="2:5" ht="15.75" customHeight="1">
      <c r="B814" s="469"/>
      <c r="C814" s="450"/>
      <c r="D814" s="449"/>
      <c r="E814" s="468"/>
    </row>
    <row r="815" spans="2:5" ht="15.75" customHeight="1">
      <c r="B815" s="469"/>
      <c r="C815" s="450"/>
      <c r="D815" s="449"/>
      <c r="E815" s="468"/>
    </row>
    <row r="816" spans="2:5" ht="15.75" customHeight="1">
      <c r="B816" s="469"/>
      <c r="C816" s="450"/>
      <c r="D816" s="449"/>
      <c r="E816" s="468"/>
    </row>
    <row r="817" spans="2:5" ht="15.75" customHeight="1">
      <c r="B817" s="469"/>
      <c r="C817" s="450"/>
      <c r="D817" s="449"/>
      <c r="E817" s="468"/>
    </row>
    <row r="818" spans="2:5" ht="15.75" customHeight="1">
      <c r="B818" s="469"/>
      <c r="C818" s="450"/>
      <c r="D818" s="449"/>
      <c r="E818" s="468"/>
    </row>
    <row r="819" spans="2:5" ht="15.75" customHeight="1">
      <c r="B819" s="469"/>
      <c r="C819" s="450"/>
      <c r="D819" s="449"/>
      <c r="E819" s="468"/>
    </row>
    <row r="820" spans="2:5" ht="15.75" customHeight="1">
      <c r="B820" s="469"/>
      <c r="C820" s="450"/>
      <c r="D820" s="449"/>
      <c r="E820" s="468"/>
    </row>
    <row r="821" spans="2:5" ht="15.75" customHeight="1">
      <c r="B821" s="469"/>
      <c r="C821" s="450"/>
      <c r="D821" s="449"/>
      <c r="E821" s="468"/>
    </row>
    <row r="822" spans="2:5" ht="15.75" customHeight="1">
      <c r="B822" s="469"/>
      <c r="C822" s="450"/>
      <c r="D822" s="449"/>
      <c r="E822" s="468"/>
    </row>
    <row r="823" spans="2:5" ht="15.75" customHeight="1">
      <c r="B823" s="469"/>
      <c r="C823" s="450"/>
      <c r="D823" s="449"/>
      <c r="E823" s="468"/>
    </row>
    <row r="824" spans="2:5" ht="15.75" customHeight="1">
      <c r="B824" s="469"/>
      <c r="C824" s="450"/>
      <c r="D824" s="449"/>
      <c r="E824" s="468"/>
    </row>
    <row r="825" spans="2:5" ht="15.75" customHeight="1">
      <c r="B825" s="469"/>
      <c r="C825" s="450"/>
      <c r="D825" s="449"/>
      <c r="E825" s="468"/>
    </row>
    <row r="826" spans="2:5" ht="15.75" customHeight="1">
      <c r="B826" s="469"/>
      <c r="C826" s="450"/>
      <c r="D826" s="449"/>
      <c r="E826" s="468"/>
    </row>
    <row r="827" spans="2:5" ht="15.75" customHeight="1">
      <c r="B827" s="469"/>
      <c r="C827" s="450"/>
      <c r="D827" s="449"/>
      <c r="E827" s="468"/>
    </row>
    <row r="828" spans="2:5" ht="15.75" customHeight="1">
      <c r="B828" s="469"/>
      <c r="C828" s="450"/>
      <c r="D828" s="449"/>
      <c r="E828" s="468"/>
    </row>
    <row r="829" spans="2:5" ht="15.75" customHeight="1">
      <c r="B829" s="469"/>
      <c r="C829" s="450"/>
      <c r="D829" s="449"/>
      <c r="E829" s="468"/>
    </row>
    <row r="830" spans="2:5" ht="15.75" customHeight="1">
      <c r="B830" s="469"/>
      <c r="C830" s="450"/>
      <c r="D830" s="449"/>
      <c r="E830" s="468"/>
    </row>
    <row r="831" spans="2:5" ht="15.75" customHeight="1">
      <c r="B831" s="469"/>
      <c r="C831" s="450"/>
      <c r="D831" s="449"/>
      <c r="E831" s="468"/>
    </row>
    <row r="832" spans="2:5" ht="15.75" customHeight="1">
      <c r="B832" s="469"/>
      <c r="C832" s="450"/>
      <c r="D832" s="449"/>
      <c r="E832" s="468"/>
    </row>
    <row r="833" spans="2:5" ht="15.75" customHeight="1">
      <c r="B833" s="469"/>
      <c r="C833" s="450"/>
      <c r="D833" s="449"/>
      <c r="E833" s="468"/>
    </row>
    <row r="834" spans="2:5" ht="15.75" customHeight="1">
      <c r="B834" s="469"/>
      <c r="C834" s="450"/>
      <c r="D834" s="449"/>
      <c r="E834" s="468"/>
    </row>
    <row r="835" spans="2:5" ht="15.75" customHeight="1">
      <c r="B835" s="469"/>
      <c r="C835" s="450"/>
      <c r="D835" s="449"/>
      <c r="E835" s="468"/>
    </row>
    <row r="836" spans="2:5" ht="15.75" customHeight="1">
      <c r="B836" s="469"/>
      <c r="C836" s="450"/>
      <c r="D836" s="449"/>
      <c r="E836" s="468"/>
    </row>
    <row r="837" spans="2:5" ht="15.75" customHeight="1">
      <c r="B837" s="469"/>
      <c r="C837" s="450"/>
      <c r="D837" s="449"/>
      <c r="E837" s="468"/>
    </row>
    <row r="838" spans="2:5" ht="15.75" customHeight="1">
      <c r="B838" s="469"/>
      <c r="C838" s="450"/>
      <c r="D838" s="449"/>
      <c r="E838" s="468"/>
    </row>
    <row r="839" spans="2:5" ht="15.75" customHeight="1">
      <c r="B839" s="469"/>
      <c r="C839" s="450"/>
      <c r="D839" s="449"/>
      <c r="E839" s="468"/>
    </row>
    <row r="840" spans="2:5" ht="15.75" customHeight="1">
      <c r="B840" s="469"/>
      <c r="C840" s="450"/>
      <c r="D840" s="449"/>
      <c r="E840" s="468"/>
    </row>
    <row r="841" spans="2:5" ht="15.75" customHeight="1">
      <c r="B841" s="469"/>
      <c r="C841" s="450"/>
      <c r="D841" s="449"/>
      <c r="E841" s="468"/>
    </row>
    <row r="842" spans="2:5" ht="15.75" customHeight="1">
      <c r="B842" s="469"/>
      <c r="C842" s="450"/>
      <c r="D842" s="449"/>
      <c r="E842" s="468"/>
    </row>
    <row r="843" spans="2:5" ht="15.75" customHeight="1">
      <c r="B843" s="469"/>
      <c r="C843" s="450"/>
      <c r="D843" s="449"/>
      <c r="E843" s="468"/>
    </row>
    <row r="844" spans="2:5" ht="15.75" customHeight="1">
      <c r="B844" s="469"/>
      <c r="C844" s="450"/>
      <c r="D844" s="449"/>
      <c r="E844" s="468"/>
    </row>
    <row r="845" spans="2:5" ht="15.75" customHeight="1">
      <c r="B845" s="469"/>
      <c r="C845" s="450"/>
      <c r="D845" s="449"/>
      <c r="E845" s="468"/>
    </row>
    <row r="846" spans="2:5" ht="15.75" customHeight="1">
      <c r="B846" s="469"/>
      <c r="C846" s="450"/>
      <c r="D846" s="449"/>
      <c r="E846" s="468"/>
    </row>
    <row r="847" spans="2:5" ht="15.75" customHeight="1">
      <c r="B847" s="469"/>
      <c r="C847" s="450"/>
      <c r="D847" s="449"/>
      <c r="E847" s="468"/>
    </row>
    <row r="848" spans="2:5" ht="15.75" customHeight="1">
      <c r="B848" s="469"/>
      <c r="C848" s="450"/>
      <c r="D848" s="449"/>
      <c r="E848" s="468"/>
    </row>
    <row r="849" spans="2:5" ht="15.75" customHeight="1">
      <c r="B849" s="469"/>
      <c r="C849" s="450"/>
      <c r="D849" s="449"/>
      <c r="E849" s="468"/>
    </row>
    <row r="850" spans="2:5" ht="15.75" customHeight="1">
      <c r="B850" s="469"/>
      <c r="C850" s="450"/>
      <c r="D850" s="449"/>
      <c r="E850" s="468"/>
    </row>
    <row r="851" spans="2:5" ht="15.75" customHeight="1">
      <c r="B851" s="469"/>
      <c r="C851" s="450"/>
      <c r="D851" s="449"/>
      <c r="E851" s="468"/>
    </row>
    <row r="852" spans="2:5" ht="15.75" customHeight="1">
      <c r="B852" s="469"/>
      <c r="C852" s="450"/>
      <c r="D852" s="449"/>
      <c r="E852" s="468"/>
    </row>
    <row r="853" spans="2:5" ht="15.75" customHeight="1">
      <c r="B853" s="469"/>
      <c r="C853" s="450"/>
      <c r="D853" s="449"/>
      <c r="E853" s="468"/>
    </row>
    <row r="854" spans="2:5" ht="15.75" customHeight="1">
      <c r="B854" s="469"/>
      <c r="C854" s="450"/>
      <c r="D854" s="449"/>
      <c r="E854" s="468"/>
    </row>
    <row r="855" spans="2:5" ht="15.75" customHeight="1">
      <c r="B855" s="469"/>
      <c r="C855" s="450"/>
      <c r="D855" s="449"/>
      <c r="E855" s="468"/>
    </row>
    <row r="856" spans="2:5" ht="15.75" customHeight="1">
      <c r="B856" s="469"/>
      <c r="C856" s="450"/>
      <c r="D856" s="449"/>
      <c r="E856" s="468"/>
    </row>
    <row r="857" spans="2:5" ht="15.75" customHeight="1">
      <c r="B857" s="469"/>
      <c r="C857" s="450"/>
      <c r="D857" s="449"/>
      <c r="E857" s="468"/>
    </row>
    <row r="858" spans="2:5" ht="15.75" customHeight="1">
      <c r="B858" s="469"/>
      <c r="C858" s="450"/>
      <c r="D858" s="449"/>
      <c r="E858" s="468"/>
    </row>
    <row r="859" spans="2:5" ht="15.75" customHeight="1">
      <c r="B859" s="469"/>
      <c r="C859" s="450"/>
      <c r="D859" s="449"/>
      <c r="E859" s="468"/>
    </row>
    <row r="860" spans="2:5" ht="15.75" customHeight="1">
      <c r="B860" s="469"/>
      <c r="C860" s="450"/>
      <c r="D860" s="449"/>
      <c r="E860" s="468"/>
    </row>
    <row r="861" spans="2:5" ht="15.75" customHeight="1">
      <c r="B861" s="469"/>
      <c r="C861" s="450"/>
      <c r="D861" s="449"/>
      <c r="E861" s="468"/>
    </row>
    <row r="862" spans="2:5" ht="15.75" customHeight="1">
      <c r="B862" s="469"/>
      <c r="C862" s="450"/>
      <c r="D862" s="449"/>
      <c r="E862" s="468"/>
    </row>
    <row r="863" spans="2:5" ht="15.75" customHeight="1">
      <c r="B863" s="469"/>
      <c r="C863" s="450"/>
      <c r="D863" s="449"/>
      <c r="E863" s="468"/>
    </row>
    <row r="864" spans="2:5" ht="15.75" customHeight="1">
      <c r="B864" s="469"/>
      <c r="C864" s="450"/>
      <c r="D864" s="449"/>
      <c r="E864" s="468"/>
    </row>
    <row r="865" spans="2:5" ht="15.75" customHeight="1">
      <c r="B865" s="469"/>
      <c r="C865" s="450"/>
      <c r="D865" s="449"/>
      <c r="E865" s="468"/>
    </row>
    <row r="866" spans="2:5" ht="15.75" customHeight="1">
      <c r="B866" s="469"/>
      <c r="C866" s="450"/>
      <c r="D866" s="449"/>
      <c r="E866" s="468"/>
    </row>
    <row r="867" spans="2:5" ht="15.75" customHeight="1">
      <c r="B867" s="469"/>
      <c r="C867" s="450"/>
      <c r="D867" s="449"/>
      <c r="E867" s="468"/>
    </row>
    <row r="868" spans="2:5" ht="15.75" customHeight="1">
      <c r="B868" s="469"/>
      <c r="C868" s="450"/>
      <c r="D868" s="449"/>
      <c r="E868" s="468"/>
    </row>
    <row r="869" spans="2:5" ht="15.75" customHeight="1">
      <c r="B869" s="469"/>
      <c r="C869" s="450"/>
      <c r="D869" s="449"/>
      <c r="E869" s="468"/>
    </row>
    <row r="870" spans="2:5" ht="15.75" customHeight="1">
      <c r="B870" s="469"/>
      <c r="C870" s="450"/>
      <c r="D870" s="449"/>
      <c r="E870" s="468"/>
    </row>
    <row r="871" spans="2:5" ht="15.75" customHeight="1">
      <c r="B871" s="469"/>
      <c r="C871" s="450"/>
      <c r="D871" s="449"/>
      <c r="E871" s="468"/>
    </row>
    <row r="872" spans="2:5" ht="15.75" customHeight="1">
      <c r="B872" s="469"/>
      <c r="C872" s="450"/>
      <c r="D872" s="449"/>
      <c r="E872" s="468"/>
    </row>
    <row r="873" spans="2:5" ht="15.75" customHeight="1">
      <c r="B873" s="469"/>
      <c r="C873" s="450"/>
      <c r="D873" s="449"/>
      <c r="E873" s="468"/>
    </row>
    <row r="874" spans="2:5" ht="15.75" customHeight="1">
      <c r="B874" s="469"/>
      <c r="C874" s="450"/>
      <c r="D874" s="449"/>
      <c r="E874" s="468"/>
    </row>
    <row r="875" spans="2:5" ht="15.75" customHeight="1">
      <c r="B875" s="469"/>
      <c r="C875" s="450"/>
      <c r="D875" s="449"/>
      <c r="E875" s="468"/>
    </row>
    <row r="876" spans="2:5" ht="15.75" customHeight="1">
      <c r="B876" s="469"/>
      <c r="C876" s="450"/>
      <c r="D876" s="449"/>
      <c r="E876" s="468"/>
    </row>
    <row r="877" spans="2:5" ht="15.75" customHeight="1">
      <c r="B877" s="469"/>
      <c r="C877" s="450"/>
      <c r="D877" s="449"/>
      <c r="E877" s="468"/>
    </row>
    <row r="878" spans="2:5" ht="15.75" customHeight="1">
      <c r="B878" s="469"/>
      <c r="C878" s="450"/>
      <c r="D878" s="449"/>
      <c r="E878" s="468"/>
    </row>
    <row r="879" spans="2:5" ht="15.75" customHeight="1">
      <c r="B879" s="469"/>
      <c r="C879" s="450"/>
      <c r="D879" s="449"/>
      <c r="E879" s="468"/>
    </row>
    <row r="880" spans="2:5" ht="15.75" customHeight="1">
      <c r="B880" s="469"/>
      <c r="C880" s="450"/>
      <c r="D880" s="449"/>
      <c r="E880" s="468"/>
    </row>
    <row r="881" spans="2:5" ht="15.75" customHeight="1">
      <c r="B881" s="469"/>
      <c r="C881" s="450"/>
      <c r="D881" s="449"/>
      <c r="E881" s="468"/>
    </row>
    <row r="882" spans="2:5" ht="15.75" customHeight="1">
      <c r="B882" s="469"/>
      <c r="C882" s="450"/>
      <c r="D882" s="449"/>
      <c r="E882" s="468"/>
    </row>
    <row r="883" spans="2:5" ht="15.75" customHeight="1">
      <c r="B883" s="469"/>
      <c r="C883" s="450"/>
      <c r="D883" s="449"/>
      <c r="E883" s="468"/>
    </row>
    <row r="884" spans="2:5" ht="15.75" customHeight="1">
      <c r="B884" s="469"/>
      <c r="C884" s="450"/>
      <c r="D884" s="449"/>
      <c r="E884" s="468"/>
    </row>
    <row r="885" spans="2:5" ht="15.75" customHeight="1">
      <c r="B885" s="469"/>
      <c r="C885" s="450"/>
      <c r="D885" s="449"/>
      <c r="E885" s="468"/>
    </row>
    <row r="886" spans="2:5" ht="15.75" customHeight="1">
      <c r="B886" s="469"/>
      <c r="C886" s="450"/>
      <c r="D886" s="449"/>
      <c r="E886" s="468"/>
    </row>
    <row r="887" spans="2:5" ht="15.75" customHeight="1">
      <c r="B887" s="469"/>
      <c r="C887" s="450"/>
      <c r="D887" s="449"/>
      <c r="E887" s="468"/>
    </row>
    <row r="888" spans="2:5" ht="15.75" customHeight="1">
      <c r="B888" s="469"/>
      <c r="C888" s="450"/>
      <c r="D888" s="449"/>
      <c r="E888" s="468"/>
    </row>
    <row r="889" spans="2:5" ht="15.75" customHeight="1">
      <c r="B889" s="469"/>
      <c r="C889" s="450"/>
      <c r="D889" s="449"/>
      <c r="E889" s="468"/>
    </row>
    <row r="890" spans="2:5" ht="15.75" customHeight="1">
      <c r="B890" s="469"/>
      <c r="C890" s="450"/>
      <c r="D890" s="449"/>
      <c r="E890" s="468"/>
    </row>
    <row r="891" spans="2:5" ht="15.75" customHeight="1">
      <c r="B891" s="469"/>
      <c r="C891" s="450"/>
      <c r="D891" s="449"/>
      <c r="E891" s="468"/>
    </row>
    <row r="892" spans="2:5" ht="15.75" customHeight="1">
      <c r="B892" s="469"/>
      <c r="C892" s="450"/>
      <c r="D892" s="449"/>
      <c r="E892" s="468"/>
    </row>
    <row r="893" spans="2:5" ht="15.75" customHeight="1">
      <c r="B893" s="469"/>
      <c r="C893" s="450"/>
      <c r="D893" s="449"/>
      <c r="E893" s="468"/>
    </row>
    <row r="894" spans="2:5" ht="15.75" customHeight="1">
      <c r="B894" s="469"/>
      <c r="C894" s="450"/>
      <c r="D894" s="449"/>
      <c r="E894" s="468"/>
    </row>
    <row r="895" spans="2:5" ht="15.75" customHeight="1">
      <c r="B895" s="469"/>
      <c r="C895" s="450"/>
      <c r="D895" s="449"/>
      <c r="E895" s="468"/>
    </row>
    <row r="896" spans="2:5" ht="15.75" customHeight="1">
      <c r="B896" s="469"/>
      <c r="C896" s="450"/>
      <c r="D896" s="449"/>
      <c r="E896" s="468"/>
    </row>
    <row r="897" spans="2:5" ht="15.75" customHeight="1">
      <c r="B897" s="469"/>
      <c r="C897" s="450"/>
      <c r="D897" s="449"/>
      <c r="E897" s="468"/>
    </row>
    <row r="898" spans="2:5" ht="15.75" customHeight="1">
      <c r="B898" s="469"/>
      <c r="C898" s="450"/>
      <c r="D898" s="449"/>
      <c r="E898" s="468"/>
    </row>
    <row r="899" spans="2:5" ht="15.75" customHeight="1">
      <c r="B899" s="469"/>
      <c r="C899" s="450"/>
      <c r="D899" s="449"/>
      <c r="E899" s="468"/>
    </row>
    <row r="900" spans="2:5" ht="15.75" customHeight="1">
      <c r="B900" s="469"/>
      <c r="C900" s="450"/>
      <c r="D900" s="449"/>
      <c r="E900" s="468"/>
    </row>
    <row r="901" spans="2:5" ht="15.75" customHeight="1">
      <c r="B901" s="469"/>
      <c r="C901" s="450"/>
      <c r="D901" s="449"/>
      <c r="E901" s="468"/>
    </row>
    <row r="902" spans="2:5" ht="15.75" customHeight="1">
      <c r="B902" s="469"/>
      <c r="C902" s="450"/>
      <c r="D902" s="449"/>
      <c r="E902" s="468"/>
    </row>
    <row r="903" spans="2:5" ht="15.75" customHeight="1">
      <c r="B903" s="469"/>
      <c r="C903" s="450"/>
      <c r="D903" s="449"/>
      <c r="E903" s="468"/>
    </row>
    <row r="904" spans="2:5" ht="15.75" customHeight="1">
      <c r="B904" s="469"/>
      <c r="C904" s="450"/>
      <c r="D904" s="449"/>
      <c r="E904" s="468"/>
    </row>
    <row r="905" spans="2:5" ht="15.75" customHeight="1">
      <c r="B905" s="469"/>
      <c r="C905" s="450"/>
      <c r="D905" s="449"/>
      <c r="E905" s="468"/>
    </row>
    <row r="906" spans="2:5" ht="15.75" customHeight="1">
      <c r="B906" s="469"/>
      <c r="C906" s="450"/>
      <c r="D906" s="449"/>
      <c r="E906" s="468"/>
    </row>
    <row r="907" spans="2:5" ht="15.75" customHeight="1">
      <c r="B907" s="469"/>
      <c r="C907" s="450"/>
      <c r="D907" s="449"/>
      <c r="E907" s="468"/>
    </row>
    <row r="908" spans="2:5" ht="15.75" customHeight="1">
      <c r="B908" s="469"/>
      <c r="C908" s="450"/>
      <c r="D908" s="449"/>
      <c r="E908" s="468"/>
    </row>
    <row r="909" spans="2:5" ht="15.75" customHeight="1">
      <c r="B909" s="469"/>
      <c r="C909" s="450"/>
      <c r="D909" s="449"/>
      <c r="E909" s="468"/>
    </row>
    <row r="910" spans="2:5" ht="15.75" customHeight="1">
      <c r="B910" s="469"/>
      <c r="C910" s="450"/>
      <c r="D910" s="449"/>
      <c r="E910" s="468"/>
    </row>
    <row r="911" spans="2:5" ht="15.75" customHeight="1">
      <c r="B911" s="469"/>
      <c r="C911" s="450"/>
      <c r="D911" s="449"/>
      <c r="E911" s="468"/>
    </row>
    <row r="912" spans="2:5" ht="15.75" customHeight="1">
      <c r="B912" s="469"/>
      <c r="C912" s="450"/>
      <c r="D912" s="449"/>
      <c r="E912" s="468"/>
    </row>
    <row r="913" spans="2:5" ht="15.75" customHeight="1">
      <c r="B913" s="469"/>
      <c r="C913" s="450"/>
      <c r="D913" s="449"/>
      <c r="E913" s="468"/>
    </row>
    <row r="914" spans="2:5" ht="15.75" customHeight="1">
      <c r="B914" s="469"/>
      <c r="C914" s="450"/>
      <c r="D914" s="449"/>
      <c r="E914" s="468"/>
    </row>
    <row r="915" spans="2:5" ht="15.75" customHeight="1">
      <c r="B915" s="469"/>
      <c r="C915" s="450"/>
      <c r="D915" s="449"/>
      <c r="E915" s="468"/>
    </row>
    <row r="916" spans="2:5" ht="15.75" customHeight="1">
      <c r="B916" s="469"/>
      <c r="C916" s="450"/>
      <c r="D916" s="449"/>
      <c r="E916" s="468"/>
    </row>
    <row r="917" spans="2:5" ht="15.75" customHeight="1">
      <c r="B917" s="469"/>
      <c r="C917" s="450"/>
      <c r="D917" s="449"/>
      <c r="E917" s="468"/>
    </row>
    <row r="918" spans="2:5" ht="15.75" customHeight="1">
      <c r="B918" s="469"/>
      <c r="C918" s="450"/>
      <c r="D918" s="449"/>
      <c r="E918" s="468"/>
    </row>
    <row r="919" spans="2:5" ht="15.75" customHeight="1">
      <c r="B919" s="469"/>
      <c r="C919" s="450"/>
      <c r="D919" s="449"/>
      <c r="E919" s="468"/>
    </row>
    <row r="920" spans="2:5" ht="15.75" customHeight="1">
      <c r="B920" s="469"/>
      <c r="C920" s="450"/>
      <c r="D920" s="449"/>
      <c r="E920" s="468"/>
    </row>
    <row r="921" spans="2:5" ht="15.75" customHeight="1">
      <c r="B921" s="469"/>
      <c r="C921" s="450"/>
      <c r="D921" s="449"/>
      <c r="E921" s="468"/>
    </row>
    <row r="922" spans="2:5" ht="15.75" customHeight="1">
      <c r="B922" s="469"/>
      <c r="C922" s="450"/>
      <c r="D922" s="449"/>
      <c r="E922" s="468"/>
    </row>
    <row r="923" spans="2:5" ht="15.75" customHeight="1">
      <c r="B923" s="469"/>
      <c r="C923" s="450"/>
      <c r="D923" s="449"/>
      <c r="E923" s="468"/>
    </row>
    <row r="924" spans="2:5" ht="15.75" customHeight="1">
      <c r="B924" s="469"/>
      <c r="C924" s="450"/>
      <c r="D924" s="449"/>
      <c r="E924" s="468"/>
    </row>
    <row r="925" spans="2:5" ht="15.75" customHeight="1">
      <c r="B925" s="469"/>
      <c r="C925" s="450"/>
      <c r="D925" s="449"/>
      <c r="E925" s="468"/>
    </row>
    <row r="926" spans="2:5" ht="15.75" customHeight="1">
      <c r="B926" s="469"/>
      <c r="C926" s="450"/>
      <c r="D926" s="449"/>
      <c r="E926" s="468"/>
    </row>
    <row r="927" spans="2:5" ht="15.75" customHeight="1">
      <c r="B927" s="469"/>
      <c r="C927" s="450"/>
      <c r="D927" s="449"/>
      <c r="E927" s="468"/>
    </row>
    <row r="928" spans="2:5" ht="15.75" customHeight="1">
      <c r="B928" s="469"/>
      <c r="C928" s="450"/>
      <c r="D928" s="449"/>
      <c r="E928" s="468"/>
    </row>
    <row r="929" spans="2:5" ht="15.75" customHeight="1">
      <c r="B929" s="469"/>
      <c r="C929" s="450"/>
      <c r="D929" s="449"/>
      <c r="E929" s="468"/>
    </row>
    <row r="930" spans="2:5" ht="15.75" customHeight="1">
      <c r="B930" s="469"/>
      <c r="C930" s="450"/>
      <c r="D930" s="449"/>
      <c r="E930" s="468"/>
    </row>
  </sheetData>
  <mergeCells count="1">
    <mergeCell ref="A2:C4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763A-05D6-614B-B556-629F2186C013}">
  <sheetPr codeName="Sheet27">
    <tabColor theme="5" tint="0.39997558519241921"/>
  </sheetPr>
  <dimension ref="A1:J9"/>
  <sheetViews>
    <sheetView workbookViewId="0"/>
  </sheetViews>
  <sheetFormatPr defaultColWidth="10.85546875" defaultRowHeight="12.75"/>
  <cols>
    <col min="8" max="8" width="6.42578125" bestFit="1" customWidth="1"/>
    <col min="9" max="9" width="30.42578125" bestFit="1" customWidth="1"/>
    <col min="10" max="10" width="18.42578125" bestFit="1" customWidth="1"/>
  </cols>
  <sheetData>
    <row r="1" spans="1:10">
      <c r="A1" t="s">
        <v>44</v>
      </c>
      <c r="B1" t="s">
        <v>45</v>
      </c>
      <c r="C1" t="s">
        <v>46</v>
      </c>
      <c r="D1" t="s">
        <v>47</v>
      </c>
      <c r="E1" t="s">
        <v>275</v>
      </c>
      <c r="F1" t="s">
        <v>1555</v>
      </c>
      <c r="G1" t="s">
        <v>277</v>
      </c>
      <c r="H1" s="289" t="s">
        <v>278</v>
      </c>
      <c r="I1" s="289" t="s">
        <v>279</v>
      </c>
      <c r="J1" s="289" t="s">
        <v>280</v>
      </c>
    </row>
    <row r="2" spans="1:10">
      <c r="A2" t="s">
        <v>1308</v>
      </c>
      <c r="B2" t="s">
        <v>1325</v>
      </c>
      <c r="C2" t="s">
        <v>1326</v>
      </c>
      <c r="D2" s="516">
        <v>14000</v>
      </c>
      <c r="E2" t="s">
        <v>532</v>
      </c>
      <c r="F2" s="517">
        <v>11800</v>
      </c>
      <c r="G2" s="517">
        <v>142.43</v>
      </c>
      <c r="H2" s="289" t="str">
        <f>VLOOKUP(D2,'COA India'!B:E,3,0)</f>
        <v>BS</v>
      </c>
      <c r="I2" s="289" t="str">
        <f>VLOOKUP(D2,'COA India'!B:E,4,0)</f>
        <v>Other accounts receivable</v>
      </c>
      <c r="J2" s="289">
        <f>VLOOKUP(D2,'COA India'!B:F,5,0)</f>
        <v>0</v>
      </c>
    </row>
    <row r="3" spans="1:10">
      <c r="A3" t="s">
        <v>1334</v>
      </c>
      <c r="B3" t="s">
        <v>1352</v>
      </c>
      <c r="C3" t="s">
        <v>1353</v>
      </c>
      <c r="D3" s="516">
        <v>35002</v>
      </c>
      <c r="E3" t="s">
        <v>1556</v>
      </c>
      <c r="F3" s="517">
        <v>-2433088.19</v>
      </c>
      <c r="G3" s="517">
        <v>-29383.119999999999</v>
      </c>
      <c r="H3" s="289" t="str">
        <f>VLOOKUP(D3,'COA India'!B:E,3,0)</f>
        <v>BS</v>
      </c>
      <c r="I3" s="289" t="str">
        <f>VLOOKUP(D3,'COA India'!B:E,4,0)</f>
        <v>Related Party India</v>
      </c>
      <c r="J3" s="289">
        <f>VLOOKUP(D3,'COA India'!B:F,5,0)</f>
        <v>0</v>
      </c>
    </row>
    <row r="4" spans="1:10">
      <c r="A4" t="s">
        <v>1334</v>
      </c>
      <c r="B4" t="s">
        <v>1354</v>
      </c>
      <c r="C4" t="s">
        <v>1356</v>
      </c>
      <c r="D4" s="516">
        <v>36102</v>
      </c>
      <c r="E4" t="s">
        <v>579</v>
      </c>
      <c r="F4" s="517">
        <v>-200000</v>
      </c>
      <c r="G4" s="517">
        <v>-2414</v>
      </c>
      <c r="H4" s="289" t="str">
        <f>VLOOKUP(D4,'COA India'!B:E,3,0)</f>
        <v>BS</v>
      </c>
      <c r="I4" s="289" t="str">
        <f>VLOOKUP(D4,'COA India'!B:E,4,0)</f>
        <v>Other accounts payable</v>
      </c>
      <c r="J4" s="289">
        <f>VLOOKUP(D4,'COA India'!B:F,5,0)</f>
        <v>0</v>
      </c>
    </row>
    <row r="5" spans="1:10">
      <c r="A5" t="s">
        <v>1334</v>
      </c>
      <c r="B5" t="s">
        <v>1357</v>
      </c>
      <c r="C5" t="s">
        <v>1358</v>
      </c>
      <c r="D5" s="516">
        <v>37101</v>
      </c>
      <c r="E5" t="s">
        <v>491</v>
      </c>
      <c r="F5" s="517">
        <v>-1630600</v>
      </c>
      <c r="G5" s="517">
        <v>-19681.349999999999</v>
      </c>
      <c r="H5" s="289" t="str">
        <f>VLOOKUP(D5,'COA India'!B:E,3,0)</f>
        <v>BS</v>
      </c>
      <c r="I5" s="289" t="str">
        <f>VLOOKUP(D5,'COA India'!B:E,4,0)</f>
        <v>Other accounts payable</v>
      </c>
      <c r="J5" s="289">
        <f>VLOOKUP(D5,'COA India'!B:F,5,0)</f>
        <v>0</v>
      </c>
    </row>
    <row r="6" spans="1:10">
      <c r="A6" t="s">
        <v>1391</v>
      </c>
      <c r="B6" t="s">
        <v>1413</v>
      </c>
      <c r="C6" t="s">
        <v>1415</v>
      </c>
      <c r="D6" s="516">
        <v>82110200</v>
      </c>
      <c r="E6" t="s">
        <v>780</v>
      </c>
      <c r="F6" s="517">
        <v>2360000</v>
      </c>
      <c r="G6" s="517">
        <v>30322.73</v>
      </c>
      <c r="H6" s="289" t="str">
        <f>VLOOKUP(D6,'COA India'!B:E,3,0)</f>
        <v>PL</v>
      </c>
      <c r="I6" s="289" t="str">
        <f>VLOOKUP(D6,'COA India'!B:E,4,0)</f>
        <v>Marketing expenses</v>
      </c>
      <c r="J6" s="289" t="str">
        <f>VLOOKUP(D6,'COA India'!B:F,5,0)</f>
        <v xml:space="preserve"> Professional Services</v>
      </c>
    </row>
    <row r="7" spans="1:10">
      <c r="A7" t="s">
        <v>1391</v>
      </c>
      <c r="B7" t="s">
        <v>1425</v>
      </c>
      <c r="C7" t="s">
        <v>1428</v>
      </c>
      <c r="D7" s="516">
        <v>83120201</v>
      </c>
      <c r="E7" t="s">
        <v>909</v>
      </c>
      <c r="F7" s="517">
        <v>1630600</v>
      </c>
      <c r="G7" s="517">
        <v>20000</v>
      </c>
      <c r="H7" s="289" t="str">
        <f>VLOOKUP(D7,'COA India'!B:E,3,0)</f>
        <v>PL</v>
      </c>
      <c r="I7" s="289" t="str">
        <f>VLOOKUP(D7,'COA India'!B:E,4,0)</f>
        <v>General and administrative expenses</v>
      </c>
      <c r="J7" s="289" t="str">
        <f>VLOOKUP(D7,'COA India'!B:F,5,0)</f>
        <v xml:space="preserve"> Professional Services</v>
      </c>
    </row>
    <row r="8" spans="1:10">
      <c r="A8" t="s">
        <v>1391</v>
      </c>
      <c r="B8" t="s">
        <v>1425</v>
      </c>
      <c r="C8" t="s">
        <v>1430</v>
      </c>
      <c r="D8" s="516">
        <v>83200401</v>
      </c>
      <c r="E8" t="s">
        <v>846</v>
      </c>
      <c r="F8" s="517">
        <v>59000</v>
      </c>
      <c r="G8" s="517">
        <v>751.2</v>
      </c>
      <c r="H8" s="289" t="str">
        <f>VLOOKUP(D8,'COA India'!B:E,3,0)</f>
        <v>PL</v>
      </c>
      <c r="I8" s="289" t="str">
        <f>VLOOKUP(D8,'COA India'!B:E,4,0)</f>
        <v>General and administrative expenses</v>
      </c>
      <c r="J8" s="289" t="str">
        <f>VLOOKUP(D8,'COA India'!B:F,5,0)</f>
        <v>Office exp</v>
      </c>
    </row>
    <row r="9" spans="1:10">
      <c r="A9" t="s">
        <v>1446</v>
      </c>
      <c r="B9" t="s">
        <v>1447</v>
      </c>
      <c r="C9" t="s">
        <v>1448</v>
      </c>
      <c r="D9" s="516">
        <v>90201104</v>
      </c>
      <c r="E9" t="s">
        <v>880</v>
      </c>
      <c r="F9" s="517">
        <v>202288.19</v>
      </c>
      <c r="G9" s="517">
        <v>262.11</v>
      </c>
      <c r="H9" s="289" t="str">
        <f>VLOOKUP(D9,'COA India'!B:E,3,0)</f>
        <v>PL</v>
      </c>
      <c r="I9" s="289" t="str">
        <f>VLOOKUP(D9,'COA India'!B:E,4,0)</f>
        <v>Financial expenses, net</v>
      </c>
      <c r="J9" s="289" t="str">
        <f>VLOOKUP(D9,'COA India'!B:F,5,0)</f>
        <v>Financial expenses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7EE5-6D48-394C-A1A4-C9D4D49919E2}">
  <sheetPr codeName="Sheet17">
    <tabColor rgb="FF7030A0"/>
  </sheetPr>
  <dimension ref="A1:D978"/>
  <sheetViews>
    <sheetView topLeftCell="A27" zoomScale="200" zoomScaleNormal="200" workbookViewId="0">
      <selection activeCell="F41" sqref="F41"/>
    </sheetView>
  </sheetViews>
  <sheetFormatPr defaultColWidth="14.42578125" defaultRowHeight="15" customHeight="1" outlineLevelCol="1"/>
  <cols>
    <col min="1" max="1" width="22.85546875" style="240" customWidth="1"/>
    <col min="2" max="2" width="47.85546875" style="240" customWidth="1"/>
    <col min="3" max="3" width="12" style="240" customWidth="1" outlineLevel="1"/>
    <col min="4" max="4" width="15.5703125" style="240" bestFit="1" customWidth="1"/>
    <col min="5" max="5" width="15.140625" style="240" customWidth="1"/>
    <col min="6" max="6" width="25.85546875" style="240" customWidth="1"/>
    <col min="7" max="7" width="24.42578125" style="240" customWidth="1"/>
    <col min="8" max="8" width="26.42578125" style="240" customWidth="1"/>
    <col min="9" max="9" width="11.85546875" style="240" customWidth="1"/>
    <col min="10" max="10" width="18.85546875" style="240" customWidth="1"/>
    <col min="11" max="11" width="10.5703125" style="240" customWidth="1"/>
    <col min="12" max="12" width="12.42578125" style="240" customWidth="1"/>
    <col min="13" max="14" width="9.42578125" style="240" customWidth="1"/>
    <col min="15" max="15" width="9.140625" style="240" customWidth="1"/>
    <col min="16" max="16" width="11" style="240" bestFit="1" customWidth="1"/>
    <col min="17" max="17" width="12.140625" style="240" customWidth="1"/>
    <col min="18" max="18" width="3.5703125" style="240" customWidth="1"/>
    <col min="19" max="19" width="24.5703125" style="240" customWidth="1"/>
    <col min="20" max="20" width="12.5703125" style="240" customWidth="1"/>
    <col min="21" max="26" width="9.140625" style="240" customWidth="1"/>
    <col min="27" max="16384" width="14.42578125" style="240"/>
  </cols>
  <sheetData>
    <row r="1" spans="1:4">
      <c r="A1" s="182">
        <v>44926</v>
      </c>
    </row>
    <row r="2" spans="1:4">
      <c r="A2" s="184" t="s">
        <v>370</v>
      </c>
    </row>
    <row r="3" spans="1:4">
      <c r="A3" s="184" t="s">
        <v>371</v>
      </c>
    </row>
    <row r="4" spans="1:4">
      <c r="A4" s="184" t="s">
        <v>32</v>
      </c>
    </row>
    <row r="5" spans="1:4" ht="12.75"/>
    <row r="6" spans="1:4" ht="12.75"/>
    <row r="7" spans="1:4">
      <c r="B7" s="185" t="s">
        <v>1304</v>
      </c>
    </row>
    <row r="8" spans="1:4">
      <c r="B8" s="185"/>
    </row>
    <row r="9" spans="1:4">
      <c r="B9" s="184" t="s">
        <v>375</v>
      </c>
      <c r="C9" s="250" t="s">
        <v>32</v>
      </c>
      <c r="D9" s="250" t="s">
        <v>405</v>
      </c>
    </row>
    <row r="10" spans="1:4">
      <c r="B10" s="183" t="s">
        <v>389</v>
      </c>
      <c r="C10" s="329">
        <f>'CF WP'!C41</f>
        <v>22353748.317116387</v>
      </c>
      <c r="D10" s="329">
        <f>'CF WP'!D41</f>
        <v>22354</v>
      </c>
    </row>
    <row r="11" spans="1:4">
      <c r="B11" s="183"/>
      <c r="C11" s="251"/>
      <c r="D11" s="251"/>
    </row>
    <row r="12" spans="1:4">
      <c r="B12" s="183" t="s">
        <v>385</v>
      </c>
      <c r="C12" s="329">
        <f>'CF WP'!C44</f>
        <v>215126.76313570148</v>
      </c>
      <c r="D12" s="329">
        <f>'CF WP'!D44</f>
        <v>215</v>
      </c>
    </row>
    <row r="13" spans="1:4">
      <c r="B13" s="183" t="s">
        <v>391</v>
      </c>
      <c r="C13" s="329">
        <f>'CF WP'!C45</f>
        <v>185110.53999999998</v>
      </c>
      <c r="D13" s="329">
        <f>'CF WP'!D45</f>
        <v>185</v>
      </c>
    </row>
    <row r="14" spans="1:4">
      <c r="B14" s="183" t="s">
        <v>392</v>
      </c>
      <c r="C14" s="329">
        <f>'CF WP'!C46</f>
        <v>-1338237.979545672</v>
      </c>
      <c r="D14" s="329">
        <f>'CF WP'!D46</f>
        <v>-1338</v>
      </c>
    </row>
    <row r="15" spans="1:4">
      <c r="B15" s="183" t="s">
        <v>409</v>
      </c>
      <c r="C15" s="329">
        <f>'CF WP'!C47</f>
        <v>731369.93999999983</v>
      </c>
      <c r="D15" s="329">
        <f>'CF WP'!D47</f>
        <v>731</v>
      </c>
    </row>
    <row r="16" spans="1:4">
      <c r="B16" s="184" t="s">
        <v>496</v>
      </c>
      <c r="C16" s="378"/>
      <c r="D16" s="378"/>
    </row>
    <row r="17" spans="2:4">
      <c r="B17" s="183" t="str">
        <f>'CF WP'!B48</f>
        <v>Prepaid expenses and other current assets</v>
      </c>
      <c r="C17" s="329">
        <f>'CF WP'!C48</f>
        <v>-2188067.2539000008</v>
      </c>
      <c r="D17" s="329">
        <f>'CF WP'!D48</f>
        <v>-2188</v>
      </c>
    </row>
    <row r="18" spans="2:4">
      <c r="B18" s="183" t="str">
        <f>'CF WP'!B49</f>
        <v>Account receivable</v>
      </c>
      <c r="C18" s="329">
        <f>'CF WP'!C49</f>
        <v>-1472342.3199999998</v>
      </c>
      <c r="D18" s="329">
        <f>'CF WP'!D49</f>
        <v>-1472</v>
      </c>
    </row>
    <row r="19" spans="2:4">
      <c r="B19" s="183" t="str">
        <f>'CF WP'!B50</f>
        <v>Trade payables change</v>
      </c>
      <c r="C19" s="329">
        <f>'CF WP'!C50</f>
        <v>-4629842.7299999967</v>
      </c>
      <c r="D19" s="329">
        <f>'CF WP'!D50</f>
        <v>-4630</v>
      </c>
    </row>
    <row r="20" spans="2:4">
      <c r="B20" s="183" t="str">
        <f>'CF WP'!B51</f>
        <v>Other accounts payable and accrued expenses</v>
      </c>
      <c r="C20" s="329">
        <f>'CF WP'!C51</f>
        <v>17074812.912533138</v>
      </c>
      <c r="D20" s="329">
        <f>'CF WP'!D51</f>
        <v>17075</v>
      </c>
    </row>
    <row r="21" spans="2:4">
      <c r="B21" s="183" t="str">
        <f>'CF WP'!B52</f>
        <v>Reserve - Wordpay</v>
      </c>
      <c r="C21" s="329">
        <f>'CF WP'!C52</f>
        <v>199999</v>
      </c>
      <c r="D21" s="329">
        <f>'CF WP'!D52</f>
        <v>200</v>
      </c>
    </row>
    <row r="22" spans="2:4">
      <c r="B22" s="183" t="str">
        <f>'CF WP'!B53</f>
        <v>Contract liability change</v>
      </c>
      <c r="C22" s="329">
        <f>'CF WP'!C53</f>
        <v>4931358.4700000007</v>
      </c>
      <c r="D22" s="329">
        <f>'CF WP'!D53</f>
        <v>4931</v>
      </c>
    </row>
    <row r="23" spans="2:4">
      <c r="B23" s="183" t="str">
        <f>'CF WP'!B54</f>
        <v>Receivables for shares issued</v>
      </c>
      <c r="C23" s="329">
        <f>'CF WP'!C54</f>
        <v>0</v>
      </c>
      <c r="D23" s="329">
        <f>'CF WP'!D54</f>
        <v>0</v>
      </c>
    </row>
    <row r="24" spans="2:4">
      <c r="B24" s="183" t="str">
        <f>'CF WP'!B55</f>
        <v>Operating lease ROU assets and liabilities, net</v>
      </c>
      <c r="C24" s="329">
        <f>'CF WP'!C55</f>
        <v>-19203588.229390934</v>
      </c>
      <c r="D24" s="329">
        <f>'CF WP'!D55</f>
        <v>-19204</v>
      </c>
    </row>
    <row r="25" spans="2:4">
      <c r="B25" s="183"/>
      <c r="C25" s="329"/>
      <c r="D25" s="329"/>
    </row>
    <row r="26" spans="2:4">
      <c r="B26" s="183" t="str">
        <f>'CF WP'!B56</f>
        <v>Interest received</v>
      </c>
      <c r="C26" s="329">
        <f>'CF WP'!C56</f>
        <v>0</v>
      </c>
      <c r="D26" s="329">
        <f>'CF WP'!D56</f>
        <v>0</v>
      </c>
    </row>
    <row r="27" spans="2:4">
      <c r="B27" s="183"/>
      <c r="C27" s="416">
        <f>'CF WP'!C57</f>
        <v>-5494300.887167763</v>
      </c>
      <c r="D27" s="416">
        <f>'CF WP'!D57</f>
        <v>-5494</v>
      </c>
    </row>
    <row r="28" spans="2:4" ht="15.75" customHeight="1">
      <c r="B28" s="184"/>
      <c r="C28" s="252"/>
      <c r="D28" s="252"/>
    </row>
    <row r="29" spans="2:4" ht="15.75" customHeight="1">
      <c r="B29" s="184" t="s">
        <v>395</v>
      </c>
      <c r="C29" s="417">
        <f>'CF WP'!C59</f>
        <v>16859447.429948624</v>
      </c>
      <c r="D29" s="417">
        <f>'CF WP'!D59</f>
        <v>16859</v>
      </c>
    </row>
    <row r="30" spans="2:4" ht="15.75" customHeight="1">
      <c r="B30" s="210"/>
      <c r="C30" s="251"/>
      <c r="D30" s="251"/>
    </row>
    <row r="31" spans="2:4" ht="15.75" customHeight="1">
      <c r="B31" s="184" t="s">
        <v>376</v>
      </c>
      <c r="C31" s="417">
        <f>'CF WP'!C61</f>
        <v>0</v>
      </c>
      <c r="D31" s="417">
        <f>'CF WP'!D61</f>
        <v>0</v>
      </c>
    </row>
    <row r="32" spans="2:4" ht="15.75" customHeight="1">
      <c r="B32" s="183" t="s">
        <v>396</v>
      </c>
      <c r="C32" s="418">
        <f>'CF WP'!C62</f>
        <v>-1372173.0931357052</v>
      </c>
      <c r="D32" s="418">
        <f>'CF WP'!D62</f>
        <v>-1372</v>
      </c>
    </row>
    <row r="33" spans="2:4" ht="15.75" customHeight="1">
      <c r="B33" s="183" t="s">
        <v>1681</v>
      </c>
      <c r="C33" s="418">
        <f>'CF WP'!C63</f>
        <v>-3667205.52</v>
      </c>
      <c r="D33" s="418">
        <f>'CF WP'!D63</f>
        <v>-3667</v>
      </c>
    </row>
    <row r="34" spans="2:4" ht="15.75" customHeight="1">
      <c r="B34" s="183" t="s">
        <v>508</v>
      </c>
      <c r="C34" s="419">
        <f>'CF WP'!C64</f>
        <v>-500000</v>
      </c>
      <c r="D34" s="419">
        <f>'CF WP'!D64</f>
        <v>-500</v>
      </c>
    </row>
    <row r="35" spans="2:4" ht="15.75" customHeight="1">
      <c r="B35" s="183"/>
      <c r="C35" s="417">
        <f>'CF WP'!C66</f>
        <v>-5539378.6131357048</v>
      </c>
      <c r="D35" s="417">
        <f>'CF WP'!D66</f>
        <v>-5539</v>
      </c>
    </row>
    <row r="36" spans="2:4" ht="15.75" customHeight="1">
      <c r="B36" s="183"/>
      <c r="C36" s="251"/>
      <c r="D36" s="251"/>
    </row>
    <row r="37" spans="2:4" ht="15.75" customHeight="1">
      <c r="B37" s="184" t="s">
        <v>377</v>
      </c>
      <c r="C37" s="251"/>
      <c r="D37" s="251"/>
    </row>
    <row r="38" spans="2:4" ht="15.75" customHeight="1">
      <c r="B38" s="183"/>
      <c r="C38" s="417"/>
      <c r="D38" s="417"/>
    </row>
    <row r="39" spans="2:4" ht="15.75" customHeight="1">
      <c r="B39" s="183"/>
      <c r="C39" s="417"/>
      <c r="D39" s="417"/>
    </row>
    <row r="40" spans="2:4" ht="15.75" customHeight="1">
      <c r="B40" s="183" t="s">
        <v>404</v>
      </c>
      <c r="C40" s="418">
        <f>'CF WP'!C69</f>
        <v>18743.53</v>
      </c>
      <c r="D40" s="417">
        <f>'CF WP'!D69</f>
        <v>19</v>
      </c>
    </row>
    <row r="41" spans="2:4" ht="15.75" customHeight="1">
      <c r="B41" s="183" t="s">
        <v>398</v>
      </c>
      <c r="C41" s="419">
        <f>'CF WP'!C70</f>
        <v>-2566666.7199999997</v>
      </c>
      <c r="D41" s="419">
        <f>'CF WP'!D70</f>
        <v>-2567</v>
      </c>
    </row>
    <row r="42" spans="2:4" ht="15.75" customHeight="1">
      <c r="B42" s="183"/>
      <c r="C42" s="417">
        <f>'CF WP'!C71</f>
        <v>-2547923.19</v>
      </c>
      <c r="D42" s="417">
        <f>SUM(D38:D41)</f>
        <v>-2548</v>
      </c>
    </row>
    <row r="43" spans="2:4" ht="15.75" customHeight="1"/>
    <row r="44" spans="2:4" ht="15.75" customHeight="1"/>
    <row r="45" spans="2:4" ht="15.75" customHeight="1">
      <c r="B45" s="240" t="s">
        <v>379</v>
      </c>
      <c r="C45" s="417">
        <f>'CF WP'!C74</f>
        <v>8772145.62681292</v>
      </c>
      <c r="D45" s="417">
        <f>'CF WP'!D74</f>
        <v>8772</v>
      </c>
    </row>
    <row r="46" spans="2:4" ht="15.75" customHeight="1">
      <c r="B46" s="240" t="s">
        <v>413</v>
      </c>
      <c r="C46" s="417">
        <f>'CF WP'!C75</f>
        <v>-902714.25</v>
      </c>
      <c r="D46" s="417">
        <f>'CF WP'!D75</f>
        <v>-903</v>
      </c>
    </row>
    <row r="47" spans="2:4" ht="15.75" customHeight="1">
      <c r="B47" s="240" t="s">
        <v>399</v>
      </c>
      <c r="C47" s="419">
        <f>'CF WP'!C76</f>
        <v>48531569.25</v>
      </c>
      <c r="D47" s="419">
        <f>'CF WP'!D76</f>
        <v>48532</v>
      </c>
    </row>
    <row r="48" spans="2:4" ht="15.75" customHeight="1">
      <c r="B48" s="247" t="s">
        <v>400</v>
      </c>
      <c r="C48" s="417">
        <f>'CF WP'!C77</f>
        <v>56401000.62681292</v>
      </c>
      <c r="D48" s="417">
        <f>'CF WP'!D77</f>
        <v>56401</v>
      </c>
    </row>
    <row r="49" spans="2:4" ht="15.75" customHeight="1"/>
    <row r="50" spans="2:4" ht="15.75" customHeight="1">
      <c r="B50" s="247" t="s">
        <v>380</v>
      </c>
      <c r="C50" s="319">
        <f>'CF WP'!C79</f>
        <v>-22067184.63318707</v>
      </c>
      <c r="D50" s="319">
        <f>'CF WP'!C79/1000</f>
        <v>-22067.184633187069</v>
      </c>
    </row>
    <row r="51" spans="2:4" ht="15.75" customHeight="1" thickBot="1">
      <c r="B51" s="247"/>
    </row>
    <row r="52" spans="2:4" ht="15.75" customHeight="1">
      <c r="B52" s="407" t="str">
        <f>'CF WP'!B81</f>
        <v>Shareholders loan</v>
      </c>
      <c r="C52" s="408"/>
      <c r="D52" s="409">
        <f>'CF WP'!C81/1000</f>
        <v>0</v>
      </c>
    </row>
    <row r="53" spans="2:4" ht="15.75" customHeight="1">
      <c r="B53" s="410" t="str">
        <f>'CF WP'!B82</f>
        <v>Interest Paid</v>
      </c>
      <c r="C53" s="411"/>
      <c r="D53" s="412">
        <f>'CF WP'!C82/1000</f>
        <v>-115.34195</v>
      </c>
    </row>
    <row r="54" spans="2:4" ht="15.75" customHeight="1">
      <c r="B54" s="410" t="str">
        <f>'CF WP'!B83</f>
        <v>ASC842 Adoption</v>
      </c>
      <c r="C54" s="411"/>
      <c r="D54" s="412">
        <f>'CF WP'!C83/1000</f>
        <v>19064.115758040592</v>
      </c>
    </row>
    <row r="55" spans="2:4" ht="15.75" customHeight="1" thickBot="1">
      <c r="B55" s="413" t="str">
        <f>'CF WP'!B84</f>
        <v>Tax Paid</v>
      </c>
      <c r="C55" s="414"/>
      <c r="D55" s="415">
        <f>'CF WP'!C84/1000</f>
        <v>-6382.8061600000001</v>
      </c>
    </row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BD73-F78F-AC48-A4E5-762B8F7A3F01}">
  <sheetPr codeName="Sheet16">
    <tabColor rgb="FF7030A0"/>
  </sheetPr>
  <dimension ref="A1:Z1014"/>
  <sheetViews>
    <sheetView topLeftCell="B20" zoomScale="170" zoomScaleNormal="170" workbookViewId="0">
      <selection activeCell="D41" sqref="D41:D55"/>
    </sheetView>
  </sheetViews>
  <sheetFormatPr defaultColWidth="14.42578125" defaultRowHeight="15" customHeight="1"/>
  <cols>
    <col min="1" max="1" width="22.85546875" style="220" customWidth="1"/>
    <col min="2" max="2" width="36.42578125" style="220" customWidth="1"/>
    <col min="3" max="3" width="16.42578125" style="220" customWidth="1"/>
    <col min="4" max="4" width="19.42578125" style="220" customWidth="1"/>
    <col min="5" max="5" width="21" style="220" customWidth="1"/>
    <col min="6" max="6" width="25.85546875" style="220" customWidth="1"/>
    <col min="7" max="7" width="24.42578125" style="220" customWidth="1"/>
    <col min="8" max="8" width="26.42578125" style="220" customWidth="1"/>
    <col min="9" max="9" width="11.85546875" style="220" customWidth="1"/>
    <col min="10" max="10" width="20.42578125" style="220" customWidth="1"/>
    <col min="11" max="11" width="13.5703125" style="220" customWidth="1"/>
    <col min="12" max="12" width="12.42578125" style="220" customWidth="1"/>
    <col min="13" max="13" width="11.42578125" style="220" customWidth="1"/>
    <col min="14" max="14" width="9.42578125" style="220" customWidth="1"/>
    <col min="15" max="15" width="9.140625" style="220" customWidth="1"/>
    <col min="16" max="16" width="11" style="220" bestFit="1" customWidth="1"/>
    <col min="17" max="17" width="12.140625" style="220" customWidth="1"/>
    <col min="18" max="18" width="26.42578125" style="220" customWidth="1"/>
    <col min="19" max="19" width="24.5703125" style="220" customWidth="1"/>
    <col min="20" max="20" width="12.5703125" style="220" customWidth="1"/>
    <col min="21" max="26" width="9.140625" style="220" customWidth="1"/>
    <col min="27" max="16384" width="14.42578125" style="220"/>
  </cols>
  <sheetData>
    <row r="1" spans="1:26">
      <c r="A1" s="182">
        <v>44926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26">
      <c r="A2" s="184" t="s">
        <v>370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>
      <c r="A3" s="184" t="s">
        <v>371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>
      <c r="A4" s="184" t="s">
        <v>32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>
      <c r="A5" s="183"/>
      <c r="B5" s="185" t="s">
        <v>372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>
      <c r="A6" s="183"/>
      <c r="B6" s="183"/>
      <c r="C6" s="183"/>
      <c r="D6" s="791" t="s">
        <v>373</v>
      </c>
      <c r="E6" s="791"/>
      <c r="F6" s="791"/>
      <c r="G6" s="791"/>
      <c r="H6" s="791"/>
      <c r="I6" s="791"/>
      <c r="J6" s="791"/>
      <c r="K6" s="791"/>
      <c r="L6" s="183"/>
      <c r="M6" s="183"/>
      <c r="N6" s="183"/>
      <c r="U6" s="183"/>
      <c r="V6" s="183"/>
      <c r="W6" s="183"/>
      <c r="X6" s="183"/>
      <c r="Y6" s="183"/>
      <c r="Z6" s="183"/>
    </row>
    <row r="7" spans="1:26">
      <c r="A7" s="189" t="s">
        <v>410</v>
      </c>
      <c r="B7" s="187"/>
      <c r="C7" s="187"/>
      <c r="D7" s="188">
        <v>44561</v>
      </c>
      <c r="E7" s="187" t="s">
        <v>374</v>
      </c>
      <c r="F7" s="187" t="s">
        <v>375</v>
      </c>
      <c r="G7" s="187" t="s">
        <v>376</v>
      </c>
      <c r="H7" s="187" t="s">
        <v>377</v>
      </c>
      <c r="I7" s="187" t="s">
        <v>378</v>
      </c>
      <c r="J7" s="187" t="s">
        <v>379</v>
      </c>
      <c r="K7" s="187" t="s">
        <v>411</v>
      </c>
      <c r="L7" s="188">
        <v>44926</v>
      </c>
      <c r="M7" s="189" t="s">
        <v>380</v>
      </c>
      <c r="N7" s="186"/>
      <c r="U7" s="186"/>
      <c r="V7" s="186"/>
      <c r="W7" s="186"/>
      <c r="X7" s="186"/>
      <c r="Y7" s="186"/>
      <c r="Z7" s="186"/>
    </row>
    <row r="8" spans="1:26">
      <c r="A8" s="183"/>
      <c r="B8" s="195" t="s">
        <v>315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83"/>
      <c r="N8" s="183"/>
      <c r="U8" s="183"/>
      <c r="V8" s="183"/>
      <c r="W8" s="183"/>
      <c r="X8" s="183"/>
      <c r="Y8" s="183"/>
      <c r="Z8" s="183"/>
    </row>
    <row r="9" spans="1:26">
      <c r="A9" s="231"/>
      <c r="B9" s="183" t="s">
        <v>381</v>
      </c>
      <c r="C9" s="183"/>
      <c r="D9" s="329">
        <v>48531569.25</v>
      </c>
      <c r="E9" s="183"/>
      <c r="F9" s="183"/>
      <c r="G9" s="183"/>
      <c r="H9" s="183"/>
      <c r="I9" s="183"/>
      <c r="J9" s="202">
        <f>L9-D9-K9</f>
        <v>30839330.25999999</v>
      </c>
      <c r="K9" s="232">
        <f>-C152-C155-C161-C166</f>
        <v>-902714.25</v>
      </c>
      <c r="L9" s="329">
        <f>'BS USD CONS '!K8+'BS USD CONS '!K12</f>
        <v>78468185.25999999</v>
      </c>
      <c r="M9" s="201">
        <f t="shared" ref="M9:M17" si="0">SUM(D9:K9)-L9</f>
        <v>0</v>
      </c>
      <c r="N9" s="183"/>
      <c r="U9" s="183"/>
      <c r="V9" s="183"/>
      <c r="W9" s="183"/>
      <c r="X9" s="183"/>
      <c r="Y9" s="183"/>
      <c r="Z9" s="183"/>
    </row>
    <row r="10" spans="1:26">
      <c r="A10" s="231"/>
      <c r="B10" s="183" t="s">
        <v>51</v>
      </c>
      <c r="C10" s="183"/>
      <c r="D10" s="329">
        <v>1196011.9100000001</v>
      </c>
      <c r="E10" s="183"/>
      <c r="F10" s="740">
        <f>L10-D10-K10</f>
        <v>1472342.3199999998</v>
      </c>
      <c r="G10" s="183"/>
      <c r="H10" s="183"/>
      <c r="I10" s="183"/>
      <c r="J10" s="202"/>
      <c r="K10" s="232">
        <f>-C151</f>
        <v>-115.57999999999993</v>
      </c>
      <c r="L10" s="329">
        <f>'BS USD CONS '!K9</f>
        <v>2668238.65</v>
      </c>
      <c r="M10" s="201">
        <f t="shared" si="0"/>
        <v>0</v>
      </c>
      <c r="N10" s="183"/>
      <c r="U10" s="183"/>
      <c r="V10" s="183"/>
      <c r="W10" s="183"/>
      <c r="X10" s="183"/>
      <c r="Y10" s="183"/>
      <c r="Z10" s="183"/>
    </row>
    <row r="11" spans="1:26">
      <c r="A11" s="231"/>
      <c r="B11" s="183" t="s">
        <v>516</v>
      </c>
      <c r="C11" s="183"/>
      <c r="D11" s="329">
        <v>2484721.0860999986</v>
      </c>
      <c r="E11" s="183"/>
      <c r="F11" s="740">
        <f>L11-D11-K11</f>
        <v>2188067.2539000008</v>
      </c>
      <c r="G11" s="183"/>
      <c r="H11" s="183"/>
      <c r="I11" s="183"/>
      <c r="J11" s="202"/>
      <c r="K11" s="232">
        <f>-C159</f>
        <v>-382951.05999999994</v>
      </c>
      <c r="L11" s="329">
        <f>'BS USD CONS '!K14+'BS USD CONS '!K15</f>
        <v>4289837.2799999993</v>
      </c>
      <c r="M11" s="201">
        <f t="shared" si="0"/>
        <v>0</v>
      </c>
      <c r="N11" s="183"/>
      <c r="U11" s="183"/>
      <c r="V11" s="183"/>
      <c r="W11" s="183"/>
      <c r="X11" s="183"/>
      <c r="Y11" s="183"/>
      <c r="Z11" s="183"/>
    </row>
    <row r="12" spans="1:26">
      <c r="A12" s="231"/>
      <c r="B12" s="183" t="s">
        <v>110</v>
      </c>
      <c r="C12" s="183"/>
      <c r="D12" s="329">
        <v>0</v>
      </c>
      <c r="E12" s="183"/>
      <c r="F12" s="202"/>
      <c r="G12" s="183"/>
      <c r="H12" s="183"/>
      <c r="I12" s="183"/>
      <c r="J12" s="202"/>
      <c r="K12" s="232"/>
      <c r="L12" s="329">
        <f>'BS USD CONS '!K10+'BS USD CONS '!K11</f>
        <v>-0.25</v>
      </c>
      <c r="M12" s="201">
        <f t="shared" si="0"/>
        <v>0.25</v>
      </c>
      <c r="N12" s="183"/>
      <c r="U12" s="183"/>
      <c r="V12" s="183"/>
      <c r="W12" s="183"/>
      <c r="X12" s="183"/>
      <c r="Y12" s="183"/>
      <c r="Z12" s="183"/>
    </row>
    <row r="13" spans="1:26">
      <c r="A13" s="233">
        <v>8</v>
      </c>
      <c r="B13" s="183" t="s">
        <v>472</v>
      </c>
      <c r="C13" s="183"/>
      <c r="D13" s="366">
        <v>409121.67068222899</v>
      </c>
      <c r="E13" s="183"/>
      <c r="F13" s="740">
        <f>L13-I13-D13</f>
        <v>713029.57127717894</v>
      </c>
      <c r="G13" s="234"/>
      <c r="H13" s="183"/>
      <c r="I13" s="234">
        <v>19064115.758040592</v>
      </c>
      <c r="J13" s="202"/>
      <c r="K13" s="236"/>
      <c r="L13" s="366">
        <f>'BS USD CONS '!K21</f>
        <v>20186267</v>
      </c>
      <c r="M13" s="212">
        <f t="shared" si="0"/>
        <v>0</v>
      </c>
      <c r="N13" s="183"/>
      <c r="U13" s="183"/>
      <c r="V13" s="183"/>
      <c r="W13" s="183"/>
      <c r="X13" s="183"/>
      <c r="Y13" s="183"/>
      <c r="Z13" s="183"/>
    </row>
    <row r="14" spans="1:26">
      <c r="A14" s="233">
        <v>1</v>
      </c>
      <c r="B14" s="183" t="s">
        <v>57</v>
      </c>
      <c r="C14" s="183"/>
      <c r="D14" s="329">
        <v>501895.3</v>
      </c>
      <c r="E14" s="183"/>
      <c r="F14" s="740">
        <f>+D93-K14</f>
        <v>-215126.76313570148</v>
      </c>
      <c r="G14" s="740">
        <f>+D91</f>
        <v>1372173.0931357052</v>
      </c>
      <c r="H14" s="183"/>
      <c r="I14" s="366"/>
      <c r="J14" s="183"/>
      <c r="K14" s="232">
        <f>-C156</f>
        <v>133.27000000000001</v>
      </c>
      <c r="L14" s="329">
        <f>'BS USD CONS '!K25</f>
        <v>1659074.9000000001</v>
      </c>
      <c r="M14" s="201">
        <f t="shared" si="0"/>
        <v>3.4924596548080444E-9</v>
      </c>
      <c r="N14" s="234"/>
      <c r="U14" s="183"/>
      <c r="V14" s="183"/>
      <c r="W14" s="183"/>
      <c r="X14" s="183"/>
      <c r="Y14" s="183"/>
      <c r="Z14" s="183"/>
    </row>
    <row r="15" spans="1:26">
      <c r="A15" s="233"/>
      <c r="B15" s="217" t="s">
        <v>54</v>
      </c>
      <c r="C15" s="183"/>
      <c r="D15" s="329">
        <v>939408.95045432821</v>
      </c>
      <c r="E15" s="183"/>
      <c r="F15" s="740">
        <f>L15-D15-K15</f>
        <v>1338237.979545672</v>
      </c>
      <c r="G15" s="202"/>
      <c r="H15" s="183"/>
      <c r="I15" s="183"/>
      <c r="J15" s="183"/>
      <c r="K15" s="232">
        <f>-C154</f>
        <v>-247417.61</v>
      </c>
      <c r="L15" s="366">
        <f>'BS USD CONS '!K23</f>
        <v>2030229.32</v>
      </c>
      <c r="M15" s="201">
        <f t="shared" si="0"/>
        <v>0</v>
      </c>
      <c r="N15" s="183"/>
      <c r="U15" s="183"/>
      <c r="V15" s="183"/>
      <c r="W15" s="183"/>
      <c r="X15" s="183"/>
      <c r="Y15" s="183"/>
      <c r="Z15" s="183"/>
    </row>
    <row r="16" spans="1:26">
      <c r="A16" s="233"/>
      <c r="B16" s="217" t="s">
        <v>1681</v>
      </c>
      <c r="C16" s="183"/>
      <c r="D16" s="329">
        <v>0</v>
      </c>
      <c r="E16" s="183"/>
      <c r="F16" s="212"/>
      <c r="G16" s="401">
        <f>L16-D16</f>
        <v>3667205.52</v>
      </c>
      <c r="H16" s="183"/>
      <c r="I16" s="183"/>
      <c r="J16" s="183"/>
      <c r="K16" s="232"/>
      <c r="L16" s="329">
        <f>'BS USD CONS '!K22</f>
        <v>3667205.52</v>
      </c>
      <c r="M16" s="201">
        <f t="shared" si="0"/>
        <v>0</v>
      </c>
      <c r="N16" s="183"/>
      <c r="U16" s="183"/>
      <c r="V16" s="183"/>
      <c r="W16" s="183"/>
      <c r="X16" s="183"/>
      <c r="Y16" s="183"/>
      <c r="Z16" s="183"/>
    </row>
    <row r="17" spans="1:26">
      <c r="A17" s="233"/>
      <c r="B17" s="183" t="s">
        <v>287</v>
      </c>
      <c r="C17" s="183"/>
      <c r="D17" s="329">
        <v>199999</v>
      </c>
      <c r="E17" s="183"/>
      <c r="F17" s="401">
        <f>L17-D17</f>
        <v>-199999</v>
      </c>
      <c r="G17" s="183"/>
      <c r="H17" s="183"/>
      <c r="I17" s="183"/>
      <c r="J17" s="183"/>
      <c r="K17" s="232"/>
      <c r="L17" s="329">
        <f>'BS USD CONS '!K24</f>
        <v>0</v>
      </c>
      <c r="M17" s="201">
        <f t="shared" si="0"/>
        <v>0</v>
      </c>
      <c r="N17" s="183"/>
      <c r="U17" s="183"/>
      <c r="V17" s="183"/>
      <c r="W17" s="183"/>
      <c r="X17" s="183"/>
      <c r="Y17" s="183"/>
      <c r="Z17" s="183"/>
    </row>
    <row r="18" spans="1:26">
      <c r="A18" s="233"/>
      <c r="B18" s="183"/>
      <c r="C18" s="183"/>
      <c r="D18" s="329"/>
      <c r="E18" s="183"/>
      <c r="F18" s="202"/>
      <c r="G18" s="183"/>
      <c r="H18" s="183"/>
      <c r="I18" s="183"/>
      <c r="J18" s="183"/>
      <c r="K18" s="232"/>
      <c r="L18" s="329"/>
      <c r="M18" s="201"/>
      <c r="N18" s="183"/>
      <c r="U18" s="183"/>
      <c r="V18" s="183"/>
      <c r="W18" s="183"/>
      <c r="X18" s="183"/>
      <c r="Y18" s="183"/>
      <c r="Z18" s="183"/>
    </row>
    <row r="19" spans="1:26">
      <c r="A19" s="233"/>
      <c r="B19" s="195" t="s">
        <v>388</v>
      </c>
      <c r="C19" s="196"/>
      <c r="D19" s="367">
        <v>54262727.167236552</v>
      </c>
      <c r="E19" s="196"/>
      <c r="F19" s="253"/>
      <c r="G19" s="196"/>
      <c r="H19" s="196"/>
      <c r="I19" s="196"/>
      <c r="J19" s="196"/>
      <c r="K19" s="235"/>
      <c r="L19" s="367">
        <f>SUM(L9:L17)</f>
        <v>112969037.67999999</v>
      </c>
      <c r="M19" s="201"/>
      <c r="N19" s="183"/>
      <c r="U19" s="183"/>
      <c r="V19" s="183"/>
      <c r="W19" s="183"/>
      <c r="X19" s="183"/>
      <c r="Y19" s="183"/>
      <c r="Z19" s="183"/>
    </row>
    <row r="20" spans="1:26">
      <c r="A20" s="233"/>
      <c r="B20" s="183" t="s">
        <v>59</v>
      </c>
      <c r="C20" s="183"/>
      <c r="D20" s="365">
        <v>-13433834.719999999</v>
      </c>
      <c r="E20" s="183"/>
      <c r="F20" s="740">
        <f>L20-D20-K20-I20</f>
        <v>4629842.7299999967</v>
      </c>
      <c r="G20" s="183"/>
      <c r="H20" s="183"/>
      <c r="I20" s="234"/>
      <c r="J20" s="183"/>
      <c r="K20" s="232">
        <f>-C160</f>
        <v>51842.580000000089</v>
      </c>
      <c r="L20" s="329">
        <f>'BS USD CONS '!K33</f>
        <v>-8752149.410000002</v>
      </c>
      <c r="M20" s="201">
        <f t="shared" ref="M20:M34" si="1">SUM(D20:K20)-L20</f>
        <v>0</v>
      </c>
      <c r="N20" s="183"/>
      <c r="U20" s="183"/>
      <c r="V20" s="183"/>
      <c r="W20" s="183"/>
      <c r="X20" s="183"/>
      <c r="Y20" s="183"/>
      <c r="Z20" s="183"/>
    </row>
    <row r="21" spans="1:26">
      <c r="A21" s="233"/>
      <c r="B21" s="183" t="s">
        <v>514</v>
      </c>
      <c r="C21" s="183"/>
      <c r="D21" s="329">
        <f>-20587203.3903504-D22</f>
        <v>-18990236.570350401</v>
      </c>
      <c r="E21" s="183"/>
      <c r="F21" s="740">
        <f>L21-D21-K21-I21</f>
        <v>-17074812.912533138</v>
      </c>
      <c r="G21" s="183"/>
      <c r="H21" s="183"/>
      <c r="I21" s="202"/>
      <c r="J21" s="183"/>
      <c r="K21" s="232">
        <f>-C157</f>
        <v>505541.3</v>
      </c>
      <c r="L21" s="329">
        <f>'BS USD CONS '!K34+'BS USD CONS '!K44+'BS USD CONS '!K41+'BS USD CONS '!K37</f>
        <v>-35559508.182883538</v>
      </c>
      <c r="M21" s="201">
        <f t="shared" si="1"/>
        <v>0</v>
      </c>
      <c r="N21" s="183"/>
      <c r="U21" s="183"/>
      <c r="V21" s="183"/>
      <c r="W21" s="183"/>
      <c r="X21" s="183"/>
      <c r="Y21" s="183"/>
      <c r="Z21" s="183"/>
    </row>
    <row r="22" spans="1:26">
      <c r="A22" s="233"/>
      <c r="B22" s="183" t="s">
        <v>1684</v>
      </c>
      <c r="C22" s="183"/>
      <c r="D22" s="329">
        <v>-1596966.82</v>
      </c>
      <c r="E22" s="183"/>
      <c r="F22" s="202"/>
      <c r="G22" s="183"/>
      <c r="H22" s="238"/>
      <c r="I22" s="202"/>
      <c r="J22" s="183"/>
      <c r="K22" s="232">
        <f>-C158</f>
        <v>185609</v>
      </c>
      <c r="L22" s="329">
        <f>'BS USD CONS '!K38</f>
        <v>-1411357.43</v>
      </c>
      <c r="M22" s="201">
        <f>SUM(D22:K22)-L22</f>
        <v>-0.39000000013038516</v>
      </c>
      <c r="N22" s="183"/>
      <c r="U22" s="183"/>
      <c r="V22" s="183"/>
      <c r="W22" s="183"/>
      <c r="X22" s="183"/>
      <c r="Y22" s="183"/>
      <c r="Z22" s="183"/>
    </row>
    <row r="23" spans="1:26">
      <c r="A23" s="233">
        <v>8</v>
      </c>
      <c r="B23" s="183" t="s">
        <v>473</v>
      </c>
      <c r="C23" s="183"/>
      <c r="D23" s="366">
        <v>-385359.68776446173</v>
      </c>
      <c r="E23" s="183"/>
      <c r="F23" s="740">
        <f>L23-I23-D23</f>
        <v>18490558.658113755</v>
      </c>
      <c r="G23" s="234"/>
      <c r="H23" s="183"/>
      <c r="I23" s="234">
        <f>-I13</f>
        <v>-19064115.758040592</v>
      </c>
      <c r="J23" s="202"/>
      <c r="K23" s="236"/>
      <c r="L23" s="366">
        <f>'BS USD CONS '!K39</f>
        <v>-958916.78769129887</v>
      </c>
      <c r="M23" s="212">
        <f t="shared" si="1"/>
        <v>0</v>
      </c>
      <c r="N23" s="183"/>
      <c r="O23" s="736"/>
      <c r="P23" s="736"/>
      <c r="U23" s="183"/>
      <c r="V23" s="183"/>
      <c r="W23" s="183"/>
      <c r="X23" s="183"/>
      <c r="Y23" s="183"/>
      <c r="Z23" s="183"/>
    </row>
    <row r="24" spans="1:26">
      <c r="A24" s="233"/>
      <c r="B24" s="183" t="s">
        <v>170</v>
      </c>
      <c r="C24" s="183"/>
      <c r="D24" s="329">
        <v>-4087657</v>
      </c>
      <c r="E24" s="183"/>
      <c r="F24" s="740">
        <f>L24-D24-K24</f>
        <v>-4931358.4700000007</v>
      </c>
      <c r="G24" s="183"/>
      <c r="H24" s="183"/>
      <c r="I24" s="202"/>
      <c r="J24" s="183"/>
      <c r="K24" s="232">
        <f>-C153</f>
        <v>58702.409999999982</v>
      </c>
      <c r="L24" s="329">
        <f>'BS USD CONS '!K36</f>
        <v>-8960313.0600000005</v>
      </c>
      <c r="M24" s="201">
        <f t="shared" si="1"/>
        <v>0</v>
      </c>
      <c r="N24" s="183"/>
      <c r="U24" s="183"/>
      <c r="V24" s="183"/>
      <c r="W24" s="183"/>
      <c r="X24" s="183"/>
      <c r="Y24" s="183"/>
      <c r="Z24" s="183"/>
    </row>
    <row r="25" spans="1:26">
      <c r="A25" s="233">
        <v>2</v>
      </c>
      <c r="B25" s="183" t="s">
        <v>107</v>
      </c>
      <c r="C25" s="183"/>
      <c r="D25" s="329">
        <v>-2033334</v>
      </c>
      <c r="E25" s="183"/>
      <c r="F25" s="202"/>
      <c r="G25" s="183"/>
      <c r="H25" s="740">
        <f>D103</f>
        <v>2033334</v>
      </c>
      <c r="I25" s="183"/>
      <c r="J25" s="202"/>
      <c r="K25" s="232"/>
      <c r="L25" s="329">
        <v>0</v>
      </c>
      <c r="M25" s="201">
        <f t="shared" si="1"/>
        <v>0</v>
      </c>
      <c r="N25" s="183"/>
      <c r="U25" s="183"/>
      <c r="V25" s="183"/>
      <c r="W25" s="183"/>
      <c r="X25" s="183"/>
      <c r="Y25" s="183"/>
      <c r="Z25" s="183"/>
    </row>
    <row r="26" spans="1:26">
      <c r="A26" s="233">
        <v>3</v>
      </c>
      <c r="B26" s="183" t="s">
        <v>106</v>
      </c>
      <c r="C26" s="183"/>
      <c r="D26" s="366">
        <v>-533332.72</v>
      </c>
      <c r="E26" s="183"/>
      <c r="F26" s="202"/>
      <c r="G26" s="183"/>
      <c r="H26" s="740">
        <f>D114</f>
        <v>533332.72</v>
      </c>
      <c r="I26" s="183"/>
      <c r="J26" s="183"/>
      <c r="K26" s="236"/>
      <c r="L26" s="329">
        <v>0</v>
      </c>
      <c r="M26" s="201">
        <f t="shared" si="1"/>
        <v>0</v>
      </c>
      <c r="N26" s="183"/>
      <c r="U26" s="183"/>
      <c r="V26" s="183"/>
      <c r="W26" s="183"/>
      <c r="X26" s="183"/>
      <c r="Y26" s="183"/>
      <c r="Z26" s="183"/>
    </row>
    <row r="27" spans="1:26">
      <c r="A27" s="233"/>
      <c r="B27" s="218" t="s">
        <v>109</v>
      </c>
      <c r="C27" s="183"/>
      <c r="D27" s="329">
        <v>-500000</v>
      </c>
      <c r="E27" s="183"/>
      <c r="F27" s="202"/>
      <c r="G27" s="743">
        <f>L27-D27-K27-H27</f>
        <v>500000</v>
      </c>
      <c r="H27" s="234"/>
      <c r="I27" s="202"/>
      <c r="J27" s="183"/>
      <c r="K27" s="236"/>
      <c r="L27" s="329">
        <v>0</v>
      </c>
      <c r="M27" s="212">
        <f t="shared" si="1"/>
        <v>0</v>
      </c>
      <c r="N27" s="183"/>
      <c r="U27" s="183"/>
      <c r="V27" s="183"/>
      <c r="W27" s="183"/>
      <c r="X27" s="183"/>
      <c r="Y27" s="183"/>
      <c r="Z27" s="183"/>
    </row>
    <row r="28" spans="1:26">
      <c r="A28" s="233">
        <f>A136</f>
        <v>6</v>
      </c>
      <c r="B28" s="219" t="s">
        <v>111</v>
      </c>
      <c r="C28" s="183"/>
      <c r="D28" s="329">
        <v>-418.91999999999996</v>
      </c>
      <c r="E28" s="183"/>
      <c r="F28" s="202"/>
      <c r="G28" s="202"/>
      <c r="H28" s="744">
        <f>L28-D28-K28</f>
        <v>-271.30000000000007</v>
      </c>
      <c r="J28" s="183"/>
      <c r="K28" s="232"/>
      <c r="L28" s="329">
        <f>'BS USD CONS '!K52</f>
        <v>-690.22</v>
      </c>
      <c r="M28" s="201">
        <f t="shared" si="1"/>
        <v>0</v>
      </c>
      <c r="N28" s="183"/>
      <c r="U28" s="183"/>
      <c r="V28" s="183"/>
      <c r="W28" s="183"/>
      <c r="X28" s="183"/>
      <c r="Y28" s="183"/>
      <c r="Z28" s="183"/>
    </row>
    <row r="29" spans="1:26">
      <c r="A29" s="233"/>
      <c r="B29" s="221" t="s">
        <v>139</v>
      </c>
      <c r="C29" s="183"/>
      <c r="D29" s="329">
        <v>-191</v>
      </c>
      <c r="E29" s="183"/>
      <c r="F29" s="202"/>
      <c r="H29" s="202"/>
      <c r="J29" s="183"/>
      <c r="K29" s="232"/>
      <c r="L29" s="329">
        <f>'BS USD CONS '!K53</f>
        <v>-191</v>
      </c>
      <c r="M29" s="201">
        <f t="shared" si="1"/>
        <v>0</v>
      </c>
      <c r="N29" s="183"/>
      <c r="U29" s="183"/>
      <c r="V29" s="183"/>
      <c r="W29" s="183"/>
      <c r="X29" s="183"/>
      <c r="Y29" s="183"/>
      <c r="Z29" s="183"/>
    </row>
    <row r="30" spans="1:26">
      <c r="A30" s="233"/>
      <c r="B30" s="221" t="s">
        <v>141</v>
      </c>
      <c r="C30" s="183"/>
      <c r="D30" s="329">
        <v>-49.24</v>
      </c>
      <c r="E30" s="183"/>
      <c r="F30" s="202"/>
      <c r="H30" s="202"/>
      <c r="J30" s="183"/>
      <c r="K30" s="232"/>
      <c r="L30" s="329">
        <f>'BS USD CONS '!K54</f>
        <v>-49.24</v>
      </c>
      <c r="M30" s="201">
        <f t="shared" si="1"/>
        <v>0</v>
      </c>
      <c r="N30" s="183"/>
      <c r="U30" s="183"/>
      <c r="V30" s="183"/>
      <c r="W30" s="183"/>
      <c r="X30" s="183"/>
      <c r="Y30" s="183"/>
      <c r="Z30" s="183"/>
    </row>
    <row r="31" spans="1:26" ht="15.75" customHeight="1">
      <c r="A31" s="233">
        <f>A122</f>
        <v>5</v>
      </c>
      <c r="B31" s="183" t="s">
        <v>113</v>
      </c>
      <c r="C31" s="183"/>
      <c r="D31" s="329">
        <v>-8614908.1284866966</v>
      </c>
      <c r="E31" s="183"/>
      <c r="F31" s="740">
        <f>C127+C126</f>
        <v>-185110.53999999998</v>
      </c>
      <c r="G31" s="202"/>
      <c r="H31" s="744">
        <f>C128</f>
        <v>-18472.23</v>
      </c>
      <c r="I31" s="202"/>
      <c r="J31" s="183"/>
      <c r="K31" s="232"/>
      <c r="L31" s="329">
        <f>'BS USD CONS '!K55</f>
        <v>-8818490.5899999999</v>
      </c>
      <c r="M31" s="201">
        <f t="shared" si="1"/>
        <v>-0.3084866963326931</v>
      </c>
      <c r="N31" s="183"/>
      <c r="U31" s="183"/>
      <c r="V31" s="183"/>
      <c r="W31" s="183"/>
      <c r="X31" s="183"/>
      <c r="Y31" s="183"/>
      <c r="Z31" s="183"/>
    </row>
    <row r="32" spans="1:26" ht="15.75" customHeight="1">
      <c r="A32" s="233"/>
      <c r="B32" s="222" t="s">
        <v>143</v>
      </c>
      <c r="C32" s="183"/>
      <c r="D32" s="329">
        <v>0</v>
      </c>
      <c r="E32" s="183"/>
      <c r="F32" s="202"/>
      <c r="G32" s="202"/>
      <c r="H32" s="202"/>
      <c r="I32" s="202"/>
      <c r="J32" s="183"/>
      <c r="K32" s="232"/>
      <c r="L32" s="329">
        <f>'BS USD CONS '!K56</f>
        <v>0</v>
      </c>
      <c r="M32" s="201">
        <f t="shared" si="1"/>
        <v>0</v>
      </c>
      <c r="N32" s="183"/>
      <c r="U32" s="183"/>
      <c r="V32" s="183"/>
      <c r="W32" s="183"/>
      <c r="X32" s="183"/>
      <c r="Y32" s="183"/>
      <c r="Z32" s="183"/>
    </row>
    <row r="33" spans="1:26" ht="15.75" customHeight="1">
      <c r="A33" s="233"/>
      <c r="B33" s="183" t="s">
        <v>142</v>
      </c>
      <c r="C33" s="183"/>
      <c r="D33" s="329">
        <v>-4086439.5706350426</v>
      </c>
      <c r="E33" s="183"/>
      <c r="F33" s="183"/>
      <c r="G33" s="183"/>
      <c r="H33" s="202"/>
      <c r="I33" s="202"/>
      <c r="J33" s="183"/>
      <c r="K33" s="236"/>
      <c r="L33" s="329">
        <f>'BS USD CONS '!K57</f>
        <v>-4082936.5599999996</v>
      </c>
      <c r="M33" s="201">
        <f t="shared" si="1"/>
        <v>-3503.0106350430287</v>
      </c>
      <c r="N33" s="202"/>
      <c r="U33" s="183"/>
      <c r="V33" s="183"/>
      <c r="W33" s="183"/>
      <c r="X33" s="183"/>
      <c r="Y33" s="183"/>
      <c r="Z33" s="183"/>
    </row>
    <row r="34" spans="1:26" ht="15.75" customHeight="1">
      <c r="A34" s="233"/>
      <c r="B34" s="183" t="s">
        <v>144</v>
      </c>
      <c r="C34" s="183"/>
      <c r="D34" s="329"/>
      <c r="E34" s="740">
        <f>L34-K34</f>
        <v>-22353748.317116387</v>
      </c>
      <c r="F34" s="183"/>
      <c r="G34" s="183"/>
      <c r="H34" s="202"/>
      <c r="I34" s="202"/>
      <c r="J34" s="183"/>
      <c r="K34" s="236"/>
      <c r="L34" s="329">
        <f>'BS USD CONS '!K58</f>
        <v>-22353748.317116387</v>
      </c>
      <c r="M34" s="201">
        <f t="shared" si="1"/>
        <v>0</v>
      </c>
      <c r="N34" s="183"/>
      <c r="U34" s="183"/>
      <c r="V34" s="183"/>
      <c r="W34" s="183"/>
      <c r="X34" s="183"/>
      <c r="Y34" s="183"/>
      <c r="Z34" s="183"/>
    </row>
    <row r="35" spans="1:26" ht="15.75" customHeight="1">
      <c r="A35" s="186"/>
      <c r="B35" s="183"/>
      <c r="C35" s="183"/>
      <c r="D35" s="202"/>
      <c r="E35" s="202"/>
      <c r="F35" s="183"/>
      <c r="G35" s="183"/>
      <c r="H35" s="183"/>
      <c r="I35" s="183"/>
      <c r="J35" s="183"/>
      <c r="K35" s="232"/>
      <c r="L35" s="329"/>
      <c r="M35" s="212"/>
      <c r="N35" s="183"/>
      <c r="U35" s="183"/>
      <c r="V35" s="183"/>
      <c r="W35" s="183"/>
      <c r="X35" s="183"/>
      <c r="Y35" s="183"/>
      <c r="Z35" s="183"/>
    </row>
    <row r="36" spans="1:26" ht="15.75" customHeight="1" thickBot="1">
      <c r="A36" s="183"/>
      <c r="B36" s="207"/>
      <c r="C36" s="207"/>
      <c r="D36" s="207">
        <v>-54262728.377236582</v>
      </c>
      <c r="E36" s="237">
        <f t="shared" ref="E36:K36" si="2">SUM(E9:E35)</f>
        <v>-22353748.317116387</v>
      </c>
      <c r="F36" s="237">
        <f t="shared" si="2"/>
        <v>6225670.8271677634</v>
      </c>
      <c r="G36" s="237">
        <f t="shared" si="2"/>
        <v>5539378.6131357048</v>
      </c>
      <c r="H36" s="237">
        <f t="shared" si="2"/>
        <v>2547923.19</v>
      </c>
      <c r="I36" s="237">
        <f t="shared" si="2"/>
        <v>0</v>
      </c>
      <c r="J36" s="237">
        <f t="shared" si="2"/>
        <v>30839330.25999999</v>
      </c>
      <c r="K36" s="741">
        <f t="shared" si="2"/>
        <v>-731369.93999999983</v>
      </c>
      <c r="L36" s="614">
        <f>SUM(L20:L35)</f>
        <v>-90898350.797691226</v>
      </c>
      <c r="M36" s="201">
        <f>SUM(E36:K36)</f>
        <v>22067184.63318707</v>
      </c>
      <c r="N36" s="183"/>
      <c r="U36" s="183"/>
      <c r="V36" s="183"/>
      <c r="W36" s="183"/>
      <c r="X36" s="183"/>
      <c r="Y36" s="183"/>
      <c r="Z36" s="183"/>
    </row>
    <row r="37" spans="1:26" ht="15.75" customHeight="1">
      <c r="A37" s="183"/>
      <c r="B37" s="183"/>
      <c r="C37" s="183"/>
      <c r="D37" s="202">
        <f>+D36+D19</f>
        <v>-1.2100000306963921</v>
      </c>
      <c r="E37" s="183"/>
      <c r="F37" s="183"/>
      <c r="G37" s="183"/>
      <c r="H37" s="183"/>
      <c r="I37" s="183"/>
      <c r="J37" s="183"/>
      <c r="L37" s="329">
        <f>+L36+L19</f>
        <v>22070686.882308766</v>
      </c>
      <c r="M37" s="183"/>
      <c r="N37" s="183"/>
      <c r="U37" s="183"/>
      <c r="V37" s="183"/>
      <c r="W37" s="183"/>
      <c r="X37" s="183"/>
      <c r="Y37" s="183"/>
      <c r="Z37" s="183"/>
    </row>
    <row r="38" spans="1:26" ht="15.75" customHeight="1">
      <c r="A38" s="183"/>
      <c r="B38" s="185" t="s">
        <v>1304</v>
      </c>
      <c r="C38" s="183"/>
      <c r="D38" s="183"/>
      <c r="E38" s="183"/>
      <c r="F38" s="202">
        <f>F36+C57+K36</f>
        <v>0</v>
      </c>
      <c r="G38" s="202">
        <f>G36+C66</f>
        <v>0</v>
      </c>
      <c r="H38" s="202">
        <f>H36+C71</f>
        <v>0</v>
      </c>
      <c r="I38" s="183"/>
      <c r="J38" s="183"/>
      <c r="K38" s="234"/>
      <c r="L38" s="183"/>
      <c r="M38" s="183"/>
      <c r="N38" s="183"/>
      <c r="U38" s="183"/>
      <c r="V38" s="183"/>
      <c r="W38" s="183"/>
      <c r="X38" s="183"/>
      <c r="Y38" s="183"/>
      <c r="Z38" s="183"/>
    </row>
    <row r="39" spans="1:26" ht="15.75" customHeight="1">
      <c r="A39" s="183"/>
      <c r="B39" s="185"/>
      <c r="D39" s="183"/>
      <c r="E39" s="183"/>
      <c r="F39" s="184"/>
      <c r="M39" s="183"/>
      <c r="N39" s="183"/>
      <c r="U39" s="183"/>
      <c r="V39" s="183"/>
      <c r="W39" s="183"/>
      <c r="X39" s="183"/>
      <c r="Y39" s="183"/>
      <c r="Z39" s="183"/>
    </row>
    <row r="40" spans="1:26" ht="15.75" customHeight="1">
      <c r="A40" s="183"/>
      <c r="B40" s="184" t="s">
        <v>375</v>
      </c>
      <c r="C40" s="183"/>
      <c r="D40" s="183"/>
      <c r="E40" s="183"/>
      <c r="F40" s="183"/>
      <c r="G40" s="234">
        <f>D34+D33</f>
        <v>-4086439.5706350426</v>
      </c>
      <c r="H40" s="183"/>
      <c r="I40" s="183"/>
      <c r="J40" s="234"/>
      <c r="K40" s="183"/>
      <c r="M40" s="183"/>
      <c r="N40" s="183"/>
      <c r="U40" s="183"/>
      <c r="V40" s="183"/>
      <c r="W40" s="183"/>
      <c r="X40" s="183"/>
      <c r="Y40" s="183"/>
      <c r="Z40" s="183"/>
    </row>
    <row r="41" spans="1:26" ht="15.75" customHeight="1">
      <c r="A41" s="183"/>
      <c r="B41" s="183" t="s">
        <v>389</v>
      </c>
      <c r="C41" s="202">
        <f>-E34</f>
        <v>22353748.317116387</v>
      </c>
      <c r="D41" s="212">
        <f>+ROUND(C41/1000,0)</f>
        <v>22354</v>
      </c>
      <c r="E41" s="183"/>
      <c r="I41" s="186"/>
      <c r="M41" s="183"/>
      <c r="N41" s="184"/>
      <c r="U41" s="183"/>
      <c r="V41" s="183"/>
      <c r="W41" s="183"/>
      <c r="X41" s="183"/>
      <c r="Y41" s="183"/>
      <c r="Z41" s="183"/>
    </row>
    <row r="42" spans="1:26" ht="15.75" customHeight="1">
      <c r="A42" s="183"/>
      <c r="B42" s="183"/>
      <c r="C42" s="183"/>
      <c r="D42" s="212"/>
      <c r="E42" s="183"/>
      <c r="I42" s="183"/>
      <c r="M42" s="183"/>
      <c r="N42" s="183"/>
      <c r="U42" s="183"/>
      <c r="V42" s="202"/>
      <c r="W42" s="183"/>
      <c r="X42" s="183"/>
      <c r="Y42" s="183"/>
      <c r="Z42" s="183"/>
    </row>
    <row r="43" spans="1:26" ht="15.75" customHeight="1">
      <c r="A43" s="183"/>
      <c r="B43" s="183"/>
      <c r="C43" s="234"/>
      <c r="D43" s="212"/>
      <c r="E43" s="183"/>
      <c r="I43" s="183"/>
      <c r="M43" s="183"/>
      <c r="N43" s="183"/>
      <c r="U43" s="183"/>
      <c r="V43" s="202"/>
      <c r="W43" s="183"/>
      <c r="X43" s="183"/>
      <c r="Y43" s="183"/>
      <c r="Z43" s="183"/>
    </row>
    <row r="44" spans="1:26" ht="15.75" customHeight="1">
      <c r="A44" s="183" t="s">
        <v>390</v>
      </c>
      <c r="B44" s="183" t="s">
        <v>385</v>
      </c>
      <c r="C44" s="740">
        <f>-F14</f>
        <v>215126.76313570148</v>
      </c>
      <c r="D44" s="212">
        <f t="shared" ref="D44" si="3">+ROUND(C44/1000,0)</f>
        <v>215</v>
      </c>
      <c r="E44" s="183"/>
      <c r="I44" s="183"/>
      <c r="M44" s="183"/>
      <c r="U44" s="183"/>
      <c r="V44" s="183"/>
      <c r="W44" s="183"/>
      <c r="X44" s="183"/>
      <c r="Y44" s="183"/>
      <c r="Z44" s="183"/>
    </row>
    <row r="45" spans="1:26" ht="15.75" customHeight="1">
      <c r="A45" s="183" t="s">
        <v>390</v>
      </c>
      <c r="B45" s="183" t="s">
        <v>391</v>
      </c>
      <c r="C45" s="740">
        <f>-SUM(C126:C127)</f>
        <v>185110.53999999998</v>
      </c>
      <c r="D45" s="212">
        <f>+ROUND(C45/1000,0)</f>
        <v>185</v>
      </c>
      <c r="E45" s="183"/>
      <c r="F45" s="239"/>
      <c r="I45" s="183"/>
      <c r="M45" s="183"/>
      <c r="U45" s="183"/>
      <c r="V45" s="183"/>
      <c r="W45" s="183"/>
      <c r="X45" s="183"/>
      <c r="Y45" s="183"/>
      <c r="Z45" s="183"/>
    </row>
    <row r="46" spans="1:26" ht="15.75" customHeight="1">
      <c r="A46" s="183" t="s">
        <v>390</v>
      </c>
      <c r="B46" s="183" t="s">
        <v>392</v>
      </c>
      <c r="C46" s="740">
        <f>-F15</f>
        <v>-1338237.979545672</v>
      </c>
      <c r="D46" s="212">
        <f>+ROUND(C46/1000,0)</f>
        <v>-1338</v>
      </c>
      <c r="E46" s="183"/>
      <c r="F46" s="422">
        <f>SUM(F20:F21)/F36</f>
        <v>-1.998976580680337</v>
      </c>
      <c r="I46" s="183"/>
      <c r="M46" s="183"/>
      <c r="U46" s="183"/>
      <c r="V46" s="183"/>
      <c r="W46" s="183"/>
      <c r="X46" s="183"/>
      <c r="Y46" s="183"/>
      <c r="Z46" s="183"/>
    </row>
    <row r="47" spans="1:26" ht="15.75" customHeight="1">
      <c r="A47" s="183"/>
      <c r="B47" s="220" t="s">
        <v>409</v>
      </c>
      <c r="C47" s="744">
        <f>-K36</f>
        <v>731369.93999999983</v>
      </c>
      <c r="D47" s="212">
        <f>+ROUND(C47/1000,0)</f>
        <v>731</v>
      </c>
      <c r="E47" s="183"/>
      <c r="F47" s="239"/>
      <c r="I47" s="183"/>
      <c r="M47" s="183"/>
      <c r="U47" s="183"/>
      <c r="V47" s="183"/>
      <c r="W47" s="183"/>
      <c r="X47" s="183"/>
      <c r="Y47" s="183"/>
      <c r="Z47" s="183"/>
    </row>
    <row r="48" spans="1:26" ht="15.75" customHeight="1">
      <c r="A48" s="183"/>
      <c r="B48" s="220" t="str">
        <f>B11</f>
        <v>Prepaid expenses and other current assets</v>
      </c>
      <c r="C48" s="742">
        <f>-F11</f>
        <v>-2188067.2539000008</v>
      </c>
      <c r="D48" s="212">
        <f>+ROUND(C48/1000,0)</f>
        <v>-2188</v>
      </c>
      <c r="E48" s="183"/>
      <c r="F48" s="239"/>
      <c r="I48" s="183"/>
      <c r="M48" s="183"/>
      <c r="U48" s="183"/>
      <c r="V48" s="183"/>
      <c r="W48" s="183"/>
      <c r="X48" s="183"/>
      <c r="Y48" s="183"/>
      <c r="Z48" s="183"/>
    </row>
    <row r="49" spans="1:26" ht="15.75" customHeight="1">
      <c r="A49" s="183"/>
      <c r="B49" s="183" t="str">
        <f>B10</f>
        <v>Account receivable</v>
      </c>
      <c r="C49" s="740">
        <f>-F10</f>
        <v>-1472342.3199999998</v>
      </c>
      <c r="D49" s="212">
        <f t="shared" ref="D49:D55" si="4">+ROUND(C49/1000,0)</f>
        <v>-1472</v>
      </c>
      <c r="E49" s="183"/>
      <c r="I49" s="183"/>
      <c r="M49" s="183"/>
      <c r="U49" s="183"/>
      <c r="V49" s="183"/>
      <c r="W49" s="183"/>
      <c r="X49" s="183"/>
      <c r="Y49" s="183"/>
      <c r="Z49" s="183"/>
    </row>
    <row r="50" spans="1:26" ht="15.75" customHeight="1">
      <c r="A50" s="183"/>
      <c r="B50" s="183" t="s">
        <v>393</v>
      </c>
      <c r="C50" s="740">
        <f>-F20</f>
        <v>-4629842.7299999967</v>
      </c>
      <c r="D50" s="212">
        <f t="shared" si="4"/>
        <v>-4630</v>
      </c>
      <c r="E50" s="183"/>
      <c r="I50" s="183"/>
      <c r="M50" s="183"/>
      <c r="U50" s="183"/>
      <c r="V50" s="183"/>
      <c r="W50" s="183"/>
      <c r="X50" s="183"/>
      <c r="Y50" s="183"/>
      <c r="Z50" s="183"/>
    </row>
    <row r="51" spans="1:26" ht="15.75" customHeight="1">
      <c r="A51" s="183"/>
      <c r="B51" s="183" t="str">
        <f>B21</f>
        <v>Other accounts payable and accrued expenses</v>
      </c>
      <c r="C51" s="740">
        <f>-F21</f>
        <v>17074812.912533138</v>
      </c>
      <c r="D51" s="212">
        <f t="shared" si="4"/>
        <v>17075</v>
      </c>
      <c r="E51" s="183"/>
      <c r="I51" s="183"/>
      <c r="M51" s="183"/>
      <c r="U51" s="183"/>
      <c r="V51" s="183"/>
      <c r="W51" s="183"/>
      <c r="X51" s="183"/>
      <c r="Y51" s="183"/>
      <c r="Z51" s="183"/>
    </row>
    <row r="52" spans="1:26" ht="15.75" customHeight="1">
      <c r="A52" s="183"/>
      <c r="B52" s="183" t="s">
        <v>287</v>
      </c>
      <c r="C52" s="740">
        <f>-F17</f>
        <v>199999</v>
      </c>
      <c r="D52" s="212">
        <f t="shared" si="4"/>
        <v>200</v>
      </c>
      <c r="E52" s="183"/>
      <c r="I52" s="183"/>
      <c r="L52" s="241"/>
      <c r="M52" s="183"/>
      <c r="U52" s="183"/>
      <c r="V52" s="183"/>
      <c r="W52" s="183"/>
      <c r="X52" s="183"/>
      <c r="Y52" s="183"/>
      <c r="Z52" s="183"/>
    </row>
    <row r="53" spans="1:26" ht="30.95" customHeight="1">
      <c r="A53" s="183"/>
      <c r="B53" s="183" t="s">
        <v>394</v>
      </c>
      <c r="C53" s="740">
        <f>-F24</f>
        <v>4931358.4700000007</v>
      </c>
      <c r="D53" s="212">
        <f t="shared" si="4"/>
        <v>4931</v>
      </c>
      <c r="E53" s="183"/>
      <c r="I53" s="183"/>
      <c r="L53" s="241"/>
      <c r="M53" s="183"/>
      <c r="U53" s="183"/>
      <c r="V53" s="183"/>
      <c r="W53" s="183"/>
      <c r="X53" s="183"/>
      <c r="Y53" s="183"/>
      <c r="Z53" s="183"/>
    </row>
    <row r="54" spans="1:26" ht="30.95" customHeight="1">
      <c r="A54" s="183"/>
      <c r="B54" s="183" t="str">
        <f>B32</f>
        <v>Receivables for shares issued</v>
      </c>
      <c r="C54" s="740">
        <f>-F32</f>
        <v>0</v>
      </c>
      <c r="D54" s="212">
        <f t="shared" si="4"/>
        <v>0</v>
      </c>
      <c r="E54" s="183"/>
      <c r="I54" s="183"/>
      <c r="L54" s="241"/>
      <c r="M54" s="183"/>
      <c r="U54" s="183"/>
      <c r="V54" s="183"/>
      <c r="W54" s="183"/>
      <c r="X54" s="183"/>
      <c r="Y54" s="183"/>
      <c r="Z54" s="183"/>
    </row>
    <row r="55" spans="1:26" ht="15.75" customHeight="1">
      <c r="A55" s="183"/>
      <c r="B55" s="220" t="s">
        <v>492</v>
      </c>
      <c r="C55" s="742">
        <f>-F13-F23</f>
        <v>-19203588.229390934</v>
      </c>
      <c r="D55" s="212">
        <f t="shared" si="4"/>
        <v>-19204</v>
      </c>
      <c r="E55" s="183"/>
      <c r="I55" s="183"/>
      <c r="L55" s="241"/>
      <c r="M55" s="183"/>
      <c r="U55" s="183"/>
      <c r="V55" s="183"/>
      <c r="W55" s="183"/>
      <c r="X55" s="183"/>
      <c r="Y55" s="183"/>
      <c r="Z55" s="183"/>
    </row>
    <row r="56" spans="1:26" ht="15.75" customHeight="1">
      <c r="A56" s="183"/>
      <c r="B56" s="220" t="s">
        <v>412</v>
      </c>
      <c r="E56" s="183"/>
      <c r="I56" s="183"/>
      <c r="L56" s="241"/>
      <c r="M56" s="183"/>
      <c r="U56" s="183"/>
      <c r="V56" s="183"/>
      <c r="W56" s="183"/>
      <c r="X56" s="183"/>
      <c r="Y56" s="183"/>
      <c r="Z56" s="183"/>
    </row>
    <row r="57" spans="1:26" ht="15.75" customHeight="1">
      <c r="A57" s="183"/>
      <c r="B57" s="183"/>
      <c r="C57" s="740">
        <f>SUM(C43:C56)</f>
        <v>-5494300.887167763</v>
      </c>
      <c r="D57" s="212">
        <f>+ROUND(C57/1000,0)</f>
        <v>-5494</v>
      </c>
      <c r="E57" s="183"/>
      <c r="F57" s="239"/>
      <c r="I57" s="183"/>
      <c r="L57" s="241"/>
      <c r="M57" s="183"/>
      <c r="U57" s="183"/>
      <c r="V57" s="183"/>
      <c r="W57" s="183"/>
      <c r="X57" s="183"/>
      <c r="Y57" s="183"/>
      <c r="Z57" s="183"/>
    </row>
    <row r="58" spans="1:26" ht="15.75" customHeight="1">
      <c r="A58" s="183"/>
      <c r="B58" s="183"/>
      <c r="C58" s="202"/>
      <c r="D58" s="212"/>
      <c r="E58" s="183"/>
      <c r="I58" s="183"/>
      <c r="L58" s="241"/>
      <c r="M58" s="183"/>
      <c r="U58" s="183"/>
      <c r="V58" s="183"/>
      <c r="W58" s="183"/>
      <c r="X58" s="183"/>
      <c r="Y58" s="183"/>
      <c r="Z58" s="183"/>
    </row>
    <row r="59" spans="1:26" ht="30" customHeight="1">
      <c r="A59" s="183"/>
      <c r="B59" s="208" t="s">
        <v>395</v>
      </c>
      <c r="C59" s="202">
        <f>C57+C41</f>
        <v>16859447.429948624</v>
      </c>
      <c r="D59" s="212">
        <f>+ROUND(C59/1000,0)</f>
        <v>16859</v>
      </c>
      <c r="E59" s="183"/>
      <c r="I59" s="183"/>
      <c r="L59" s="241"/>
      <c r="M59" s="183"/>
      <c r="U59" s="183"/>
      <c r="V59" s="183"/>
      <c r="W59" s="183"/>
      <c r="X59" s="183"/>
      <c r="Y59" s="183"/>
      <c r="Z59" s="183"/>
    </row>
    <row r="60" spans="1:26" ht="30" customHeight="1">
      <c r="A60" s="183"/>
      <c r="B60" s="183"/>
      <c r="C60" s="183"/>
      <c r="D60" s="212"/>
      <c r="E60" s="183"/>
      <c r="I60" s="183"/>
      <c r="J60" s="241"/>
      <c r="K60" s="241"/>
      <c r="L60" s="241"/>
      <c r="M60" s="183"/>
      <c r="U60" s="183"/>
      <c r="V60" s="183"/>
      <c r="W60" s="183"/>
      <c r="X60" s="183"/>
      <c r="Y60" s="183"/>
      <c r="Z60" s="183"/>
    </row>
    <row r="61" spans="1:26" ht="15.75" customHeight="1">
      <c r="A61" s="183"/>
      <c r="B61" s="184" t="s">
        <v>376</v>
      </c>
      <c r="C61" s="202"/>
      <c r="D61" s="212"/>
      <c r="E61" s="183"/>
      <c r="I61" s="183"/>
      <c r="J61" s="241"/>
      <c r="K61" s="241"/>
      <c r="L61" s="241"/>
      <c r="M61" s="183"/>
      <c r="U61" s="183"/>
      <c r="V61" s="183"/>
      <c r="W61" s="183"/>
      <c r="X61" s="183"/>
      <c r="Y61" s="183"/>
      <c r="Z61" s="183"/>
    </row>
    <row r="62" spans="1:26" ht="15.75" customHeight="1">
      <c r="A62" s="183"/>
      <c r="B62" s="183" t="s">
        <v>396</v>
      </c>
      <c r="C62" s="740">
        <f>-G14</f>
        <v>-1372173.0931357052</v>
      </c>
      <c r="D62" s="212">
        <f t="shared" ref="D62:D63" si="5">+ROUND(C62/1000,0)</f>
        <v>-1372</v>
      </c>
      <c r="E62" s="183"/>
      <c r="I62" s="183"/>
      <c r="J62" s="241"/>
      <c r="K62" s="241"/>
      <c r="L62" s="241"/>
      <c r="M62" s="183"/>
      <c r="U62" s="183"/>
      <c r="V62" s="183"/>
      <c r="W62" s="183"/>
      <c r="X62" s="183"/>
      <c r="Y62" s="183"/>
      <c r="Z62" s="183"/>
    </row>
    <row r="63" spans="1:26" ht="15.75" customHeight="1">
      <c r="A63" s="183"/>
      <c r="B63" s="183" t="s">
        <v>1681</v>
      </c>
      <c r="C63" s="740">
        <f>-G16</f>
        <v>-3667205.52</v>
      </c>
      <c r="D63" s="212">
        <f t="shared" si="5"/>
        <v>-3667</v>
      </c>
      <c r="E63" s="183"/>
      <c r="I63" s="183"/>
      <c r="J63" s="241"/>
      <c r="K63" s="241"/>
      <c r="L63" s="241"/>
      <c r="M63" s="183"/>
      <c r="U63" s="183"/>
      <c r="V63" s="183"/>
      <c r="W63" s="183"/>
      <c r="X63" s="183"/>
      <c r="Y63" s="183"/>
      <c r="Z63" s="183"/>
    </row>
    <row r="64" spans="1:26" ht="15.75" customHeight="1">
      <c r="A64" s="183"/>
      <c r="B64" s="183" t="s">
        <v>508</v>
      </c>
      <c r="C64" s="740">
        <f>-G27</f>
        <v>-500000</v>
      </c>
      <c r="D64" s="212">
        <f>+ROUND(C64/1000,0)</f>
        <v>-500</v>
      </c>
      <c r="E64" s="183"/>
      <c r="I64" s="183"/>
      <c r="J64" s="241"/>
      <c r="K64" s="241"/>
      <c r="L64" s="241"/>
      <c r="M64" s="183"/>
      <c r="U64" s="183"/>
      <c r="V64" s="183"/>
      <c r="W64" s="183"/>
      <c r="X64" s="183"/>
      <c r="Y64" s="183"/>
      <c r="Z64" s="183"/>
    </row>
    <row r="65" spans="1:26" ht="15.75" customHeight="1">
      <c r="A65" s="183"/>
      <c r="B65"/>
      <c r="C65"/>
      <c r="D65"/>
      <c r="E65" s="183"/>
      <c r="I65" s="183"/>
      <c r="J65" s="241"/>
      <c r="K65" s="241"/>
      <c r="L65" s="241"/>
      <c r="M65" s="183"/>
      <c r="U65" s="183"/>
      <c r="V65" s="183"/>
      <c r="W65" s="183"/>
      <c r="X65" s="183"/>
      <c r="Y65" s="183"/>
      <c r="Z65" s="183"/>
    </row>
    <row r="66" spans="1:26" ht="15.75" customHeight="1">
      <c r="A66" s="183"/>
      <c r="B66" s="183"/>
      <c r="C66" s="202">
        <f>SUM(C62:C65)</f>
        <v>-5539378.6131357048</v>
      </c>
      <c r="D66" s="212">
        <f>+ROUND(C66/1000,0)</f>
        <v>-5539</v>
      </c>
      <c r="E66" s="183"/>
      <c r="I66" s="183"/>
      <c r="L66" s="241"/>
      <c r="M66" s="183"/>
      <c r="U66" s="183"/>
      <c r="V66" s="183"/>
      <c r="W66" s="183"/>
      <c r="X66" s="183"/>
      <c r="Y66" s="183"/>
      <c r="Z66" s="183"/>
    </row>
    <row r="67" spans="1:26" ht="15.75" customHeight="1">
      <c r="A67" s="183"/>
      <c r="B67" s="184" t="s">
        <v>377</v>
      </c>
      <c r="C67" s="202"/>
      <c r="D67" s="212"/>
      <c r="E67" s="183"/>
      <c r="I67" s="183"/>
      <c r="L67" s="241"/>
      <c r="M67" s="183"/>
      <c r="U67" s="183"/>
      <c r="V67" s="183"/>
      <c r="W67" s="183"/>
      <c r="X67" s="183"/>
      <c r="Y67" s="183"/>
      <c r="Z67" s="183"/>
    </row>
    <row r="68" spans="1:26" ht="15.75" customHeight="1">
      <c r="A68" s="183"/>
      <c r="B68" s="184" t="s">
        <v>397</v>
      </c>
      <c r="C68" s="202"/>
      <c r="D68" s="212">
        <f>+ROUND(C68/1000,0)</f>
        <v>0</v>
      </c>
      <c r="E68" s="183"/>
      <c r="I68" s="183"/>
      <c r="J68" s="241"/>
      <c r="K68" s="241"/>
      <c r="L68" s="241"/>
      <c r="M68" s="183"/>
      <c r="T68" s="183"/>
      <c r="U68" s="183"/>
      <c r="V68" s="183"/>
      <c r="W68" s="183"/>
      <c r="X68" s="183"/>
      <c r="Y68" s="183"/>
      <c r="Z68" s="183"/>
    </row>
    <row r="69" spans="1:26" ht="15.75" customHeight="1">
      <c r="A69" s="183"/>
      <c r="B69" s="183" t="str">
        <f>B128</f>
        <v>Options exercised</v>
      </c>
      <c r="C69" s="740">
        <f>-C139-C128</f>
        <v>18743.53</v>
      </c>
      <c r="D69" s="212">
        <f>+ROUND(C69/1000,0)</f>
        <v>19</v>
      </c>
      <c r="E69" s="183"/>
      <c r="I69" s="183"/>
      <c r="M69" s="183"/>
      <c r="T69" s="183"/>
      <c r="U69" s="183"/>
      <c r="V69" s="183"/>
      <c r="W69" s="183"/>
      <c r="X69" s="183"/>
      <c r="Y69" s="183"/>
      <c r="Z69" s="183"/>
    </row>
    <row r="70" spans="1:26" ht="15.75" customHeight="1">
      <c r="A70" s="183"/>
      <c r="B70" s="183" t="s">
        <v>398</v>
      </c>
      <c r="C70" s="740">
        <f>-H26-H25</f>
        <v>-2566666.7199999997</v>
      </c>
      <c r="D70" s="212">
        <f t="shared" ref="D70:D71" si="6">+ROUND(C70/1000,0)</f>
        <v>-2567</v>
      </c>
      <c r="E70" s="183"/>
      <c r="I70" s="183"/>
      <c r="J70" s="183"/>
      <c r="K70" s="183"/>
      <c r="M70" s="183"/>
      <c r="T70" s="183"/>
      <c r="U70" s="183"/>
      <c r="V70" s="183"/>
      <c r="W70" s="183"/>
      <c r="X70" s="183"/>
      <c r="Y70" s="183"/>
      <c r="Z70" s="183"/>
    </row>
    <row r="71" spans="1:26" ht="15.75" customHeight="1">
      <c r="A71" s="183"/>
      <c r="B71" s="183"/>
      <c r="C71" s="202">
        <f>+SUM(C68:C70)</f>
        <v>-2547923.19</v>
      </c>
      <c r="D71" s="212">
        <f t="shared" si="6"/>
        <v>-2548</v>
      </c>
      <c r="E71" s="183"/>
      <c r="I71" s="183"/>
      <c r="J71" s="183"/>
      <c r="K71" s="183"/>
      <c r="M71" s="183"/>
      <c r="T71" s="183"/>
      <c r="U71" s="183"/>
      <c r="V71" s="183"/>
      <c r="W71" s="183"/>
      <c r="X71" s="183"/>
      <c r="Y71" s="183"/>
      <c r="Z71" s="183"/>
    </row>
    <row r="72" spans="1:26" ht="15.75" customHeight="1">
      <c r="A72" s="183"/>
      <c r="B72" s="183"/>
      <c r="C72" s="183"/>
      <c r="D72" s="212"/>
      <c r="E72" s="183"/>
      <c r="I72" s="183"/>
      <c r="J72" s="183"/>
      <c r="K72" s="183"/>
      <c r="M72" s="183"/>
      <c r="T72" s="183"/>
      <c r="U72" s="183"/>
      <c r="V72" s="183"/>
      <c r="W72" s="183"/>
      <c r="X72" s="183"/>
      <c r="Y72" s="183"/>
      <c r="Z72" s="183"/>
    </row>
    <row r="73" spans="1:26" ht="15.75" customHeight="1">
      <c r="A73" s="183"/>
      <c r="B73" s="183"/>
      <c r="C73" s="183"/>
      <c r="D73" s="212"/>
      <c r="E73" s="183"/>
      <c r="I73" s="183"/>
      <c r="J73" s="183"/>
      <c r="K73" s="183"/>
      <c r="M73" s="183"/>
      <c r="T73" s="183"/>
      <c r="U73" s="183"/>
      <c r="V73" s="183"/>
      <c r="W73" s="183"/>
      <c r="X73" s="183"/>
      <c r="Y73" s="183"/>
      <c r="Z73" s="183"/>
    </row>
    <row r="74" spans="1:26" ht="15.75" customHeight="1">
      <c r="A74" s="183"/>
      <c r="B74" s="184" t="s">
        <v>379</v>
      </c>
      <c r="C74" s="202">
        <f>C66+C59+C71</f>
        <v>8772145.62681292</v>
      </c>
      <c r="D74" s="212">
        <f t="shared" ref="D74:D75" si="7">+ROUND(C74/1000,0)</f>
        <v>8772</v>
      </c>
      <c r="E74" s="183"/>
      <c r="I74" s="183"/>
      <c r="J74" s="183"/>
      <c r="K74" s="183"/>
      <c r="M74" s="183"/>
      <c r="T74" s="183"/>
      <c r="U74" s="183"/>
      <c r="V74" s="183"/>
      <c r="W74" s="183"/>
      <c r="X74" s="183"/>
      <c r="Y74" s="183"/>
      <c r="Z74" s="183"/>
    </row>
    <row r="75" spans="1:26" ht="15.75" customHeight="1">
      <c r="A75" s="183"/>
      <c r="B75" s="220" t="s">
        <v>413</v>
      </c>
      <c r="C75" s="238">
        <f>K9</f>
        <v>-902714.25</v>
      </c>
      <c r="D75" s="212">
        <f t="shared" si="7"/>
        <v>-903</v>
      </c>
      <c r="E75" s="183"/>
      <c r="I75" s="183"/>
      <c r="J75" s="183"/>
      <c r="K75" s="183"/>
      <c r="M75" s="183"/>
      <c r="T75" s="183"/>
      <c r="U75" s="183"/>
      <c r="V75" s="183"/>
      <c r="W75" s="183"/>
      <c r="X75" s="183"/>
      <c r="Y75" s="183"/>
      <c r="Z75" s="183"/>
    </row>
    <row r="76" spans="1:26" ht="15.75" customHeight="1">
      <c r="A76" s="183"/>
      <c r="B76" s="184" t="s">
        <v>399</v>
      </c>
      <c r="C76" s="209">
        <f>D9</f>
        <v>48531569.25</v>
      </c>
      <c r="D76" s="212">
        <f>+ROUND(C76/1000,0)</f>
        <v>48532</v>
      </c>
      <c r="E76" s="183"/>
      <c r="I76" s="183"/>
      <c r="J76" s="183"/>
      <c r="K76" s="183"/>
      <c r="M76" s="183"/>
      <c r="T76" s="183"/>
      <c r="U76" s="183"/>
      <c r="V76" s="183"/>
      <c r="W76" s="183"/>
      <c r="X76" s="183"/>
      <c r="Y76" s="183"/>
      <c r="Z76" s="183"/>
    </row>
    <row r="77" spans="1:26" ht="15.75" customHeight="1">
      <c r="A77" s="183"/>
      <c r="B77" s="184" t="s">
        <v>400</v>
      </c>
      <c r="C77" s="202">
        <f>SUM(C74:C76)</f>
        <v>56401000.62681292</v>
      </c>
      <c r="D77" s="212">
        <f>+ROUND(C77/1000,0)</f>
        <v>56401</v>
      </c>
      <c r="E77" s="183"/>
      <c r="I77" s="183"/>
      <c r="J77" s="183"/>
      <c r="K77" s="183"/>
      <c r="M77" s="183"/>
      <c r="T77" s="183"/>
      <c r="U77" s="183"/>
      <c r="V77" s="183"/>
      <c r="W77" s="183"/>
      <c r="X77" s="183"/>
      <c r="Y77" s="183"/>
      <c r="Z77" s="183"/>
    </row>
    <row r="78" spans="1:26" ht="15.75" customHeight="1">
      <c r="A78" s="183"/>
      <c r="B78" s="183"/>
      <c r="C78" s="183"/>
      <c r="D78" s="212"/>
      <c r="E78" s="183"/>
      <c r="I78" s="183"/>
      <c r="M78" s="183"/>
      <c r="T78" s="183"/>
      <c r="U78" s="183"/>
      <c r="V78" s="183"/>
      <c r="W78" s="183"/>
      <c r="X78" s="183"/>
      <c r="Y78" s="183"/>
      <c r="Z78" s="183"/>
    </row>
    <row r="79" spans="1:26" ht="15.75" customHeight="1">
      <c r="A79" s="183"/>
      <c r="B79" s="183" t="s">
        <v>380</v>
      </c>
      <c r="C79" s="202">
        <f>C77-L9</f>
        <v>-22067184.63318707</v>
      </c>
      <c r="D79" s="212"/>
      <c r="E79" s="183"/>
      <c r="I79" s="183"/>
      <c r="M79" s="183"/>
      <c r="T79" s="183"/>
      <c r="U79" s="183"/>
      <c r="V79" s="183"/>
      <c r="W79" s="183"/>
      <c r="X79" s="183"/>
      <c r="Y79" s="183"/>
      <c r="Z79" s="183"/>
    </row>
    <row r="80" spans="1:26" ht="15.75" customHeight="1" thickBot="1">
      <c r="A80" s="183"/>
      <c r="B80" s="183"/>
      <c r="C80" s="202"/>
      <c r="D80" s="212"/>
      <c r="E80" s="183"/>
      <c r="I80" s="183"/>
      <c r="M80" s="183"/>
      <c r="T80" s="183"/>
      <c r="U80" s="183"/>
      <c r="V80" s="183"/>
      <c r="W80" s="183"/>
      <c r="X80" s="183"/>
      <c r="Y80" s="183"/>
      <c r="Z80" s="183"/>
    </row>
    <row r="81" spans="1:26" ht="15.75" customHeight="1">
      <c r="A81" s="183"/>
      <c r="B81" s="392" t="s">
        <v>387</v>
      </c>
      <c r="C81" s="393">
        <f>I20</f>
        <v>0</v>
      </c>
      <c r="D81" s="394">
        <f>C81/1000</f>
        <v>0</v>
      </c>
      <c r="E81" s="183"/>
      <c r="I81" s="183"/>
      <c r="M81" s="183"/>
      <c r="T81" s="183"/>
      <c r="U81" s="183"/>
      <c r="V81" s="183"/>
      <c r="W81" s="183"/>
      <c r="X81" s="183"/>
      <c r="Y81" s="183"/>
      <c r="Z81" s="183"/>
    </row>
    <row r="82" spans="1:26" ht="15.75" customHeight="1">
      <c r="A82" s="183"/>
      <c r="B82" s="398" t="s">
        <v>507</v>
      </c>
      <c r="C82" s="399">
        <f>'P&amp;L LTD  USD'!D114</f>
        <v>-115341.95</v>
      </c>
      <c r="D82" s="400">
        <f>C82/1000</f>
        <v>-115.34195</v>
      </c>
      <c r="E82" s="183"/>
      <c r="I82" s="183"/>
      <c r="M82" s="183"/>
      <c r="T82" s="183"/>
      <c r="U82" s="183"/>
      <c r="V82" s="183"/>
      <c r="W82" s="183"/>
      <c r="X82" s="183"/>
      <c r="Y82" s="183"/>
      <c r="Z82" s="183"/>
    </row>
    <row r="83" spans="1:26" ht="15.75" customHeight="1">
      <c r="A83" s="183"/>
      <c r="B83" s="398" t="s">
        <v>505</v>
      </c>
      <c r="C83" s="399">
        <f>I13</f>
        <v>19064115.758040592</v>
      </c>
      <c r="D83" s="400">
        <f>C83/1000</f>
        <v>19064.115758040592</v>
      </c>
      <c r="E83" s="183"/>
      <c r="I83" s="183"/>
      <c r="M83" s="183"/>
      <c r="T83" s="183"/>
      <c r="U83" s="183"/>
      <c r="V83" s="183"/>
      <c r="W83" s="183"/>
      <c r="X83" s="183"/>
      <c r="Y83" s="183"/>
      <c r="Z83" s="183"/>
    </row>
    <row r="84" spans="1:26" ht="15.75" customHeight="1" thickBot="1">
      <c r="A84" s="183"/>
      <c r="B84" s="395" t="s">
        <v>504</v>
      </c>
      <c r="C84" s="396">
        <f>SUM('TB LTD 12.22'!G38:G42)</f>
        <v>-6382806.1600000001</v>
      </c>
      <c r="D84" s="397">
        <f>C84/1000</f>
        <v>-6382.8061600000001</v>
      </c>
      <c r="E84" s="183"/>
      <c r="I84" s="183"/>
      <c r="M84" s="183"/>
      <c r="T84" s="183"/>
      <c r="U84" s="183"/>
      <c r="V84" s="183"/>
      <c r="W84" s="183"/>
      <c r="X84" s="183"/>
      <c r="Y84" s="183"/>
      <c r="Z84" s="183"/>
    </row>
    <row r="85" spans="1:26" ht="15.75" customHeight="1">
      <c r="A85" s="183"/>
      <c r="B85" s="183"/>
      <c r="C85" s="183"/>
      <c r="D85" s="183"/>
      <c r="E85" s="183"/>
      <c r="I85" s="183"/>
      <c r="J85" s="183"/>
      <c r="K85" s="183"/>
      <c r="M85" s="183"/>
      <c r="T85" s="183"/>
      <c r="U85" s="183"/>
      <c r="V85" s="183"/>
      <c r="W85" s="183"/>
      <c r="X85" s="183"/>
      <c r="Y85" s="183"/>
      <c r="Z85" s="183"/>
    </row>
    <row r="86" spans="1:26" ht="15.75" customHeight="1">
      <c r="A86" s="183"/>
      <c r="B86" s="185" t="s">
        <v>414</v>
      </c>
      <c r="C86" s="183"/>
      <c r="D86" s="183"/>
      <c r="E86" s="183"/>
      <c r="I86" s="183"/>
      <c r="J86" s="183"/>
      <c r="K86" s="183"/>
      <c r="M86" s="183"/>
      <c r="T86" s="183"/>
      <c r="U86" s="183"/>
      <c r="V86" s="183"/>
      <c r="W86" s="183"/>
      <c r="X86" s="183"/>
      <c r="Y86" s="183"/>
      <c r="Z86" s="183"/>
    </row>
    <row r="87" spans="1:26" ht="15.75" customHeight="1" thickBot="1">
      <c r="A87" s="183"/>
      <c r="B87" s="183"/>
      <c r="C87" s="183"/>
      <c r="D87" s="183"/>
      <c r="E87" s="183"/>
      <c r="I87" s="183"/>
      <c r="J87" s="183"/>
      <c r="K87" s="183"/>
      <c r="M87" s="183"/>
      <c r="T87" s="183"/>
      <c r="U87" s="183"/>
      <c r="V87" s="183"/>
      <c r="W87" s="183"/>
      <c r="X87" s="183"/>
      <c r="Y87" s="183"/>
      <c r="Z87" s="183"/>
    </row>
    <row r="88" spans="1:26" ht="15.75" customHeight="1">
      <c r="A88" s="233">
        <f>A14</f>
        <v>1</v>
      </c>
      <c r="B88" s="190" t="s">
        <v>415</v>
      </c>
      <c r="C88" s="191"/>
      <c r="D88" s="192"/>
      <c r="E88" s="183"/>
      <c r="I88" s="183"/>
      <c r="J88" s="183"/>
      <c r="K88" s="183"/>
      <c r="M88" s="183"/>
      <c r="T88" s="183"/>
      <c r="U88" s="183"/>
      <c r="V88" s="183"/>
      <c r="W88" s="183"/>
      <c r="X88" s="183"/>
      <c r="Y88" s="183"/>
      <c r="Z88" s="183"/>
    </row>
    <row r="89" spans="1:26" ht="15.75" customHeight="1">
      <c r="A89" s="233"/>
      <c r="B89" s="197"/>
      <c r="C89" s="183"/>
      <c r="D89" s="198"/>
      <c r="E89" s="183"/>
      <c r="I89" s="183"/>
      <c r="J89" s="183"/>
      <c r="K89" s="183"/>
      <c r="M89" s="183"/>
      <c r="T89" s="183"/>
      <c r="U89" s="183"/>
      <c r="V89" s="183"/>
      <c r="W89" s="183"/>
      <c r="X89" s="183"/>
      <c r="Y89" s="183"/>
      <c r="Z89" s="183"/>
    </row>
    <row r="90" spans="1:26" ht="15.75" customHeight="1">
      <c r="A90" s="233"/>
      <c r="B90" s="197"/>
      <c r="C90" s="184" t="s">
        <v>382</v>
      </c>
      <c r="D90" s="223">
        <f>+D14</f>
        <v>501895.3</v>
      </c>
      <c r="E90" s="183"/>
      <c r="I90" s="183"/>
      <c r="J90" s="183"/>
      <c r="K90" s="183"/>
      <c r="M90" s="183"/>
      <c r="T90" s="183"/>
      <c r="U90" s="183"/>
      <c r="V90" s="183"/>
      <c r="W90" s="183"/>
      <c r="X90" s="183"/>
      <c r="Y90" s="183"/>
      <c r="Z90" s="183"/>
    </row>
    <row r="91" spans="1:26" ht="15.75" customHeight="1">
      <c r="A91" s="233"/>
      <c r="B91" s="197"/>
      <c r="C91" s="184" t="s">
        <v>383</v>
      </c>
      <c r="D91" s="223">
        <f>1371233.290241--939.802894705208</f>
        <v>1372173.0931357052</v>
      </c>
      <c r="E91" s="183"/>
      <c r="I91" s="183"/>
      <c r="J91" s="183"/>
      <c r="K91" s="183"/>
      <c r="M91" s="183"/>
      <c r="T91" s="183"/>
      <c r="U91" s="183"/>
      <c r="V91" s="183"/>
      <c r="W91" s="183"/>
      <c r="X91" s="183"/>
      <c r="Y91" s="183"/>
      <c r="Z91" s="183"/>
    </row>
    <row r="92" spans="1:26" ht="15.75" customHeight="1">
      <c r="A92" s="233"/>
      <c r="B92" s="197"/>
      <c r="C92" s="184" t="s">
        <v>384</v>
      </c>
      <c r="D92" s="223">
        <v>0</v>
      </c>
      <c r="E92" s="183"/>
      <c r="I92" s="183"/>
      <c r="J92" s="183"/>
      <c r="K92" s="183"/>
      <c r="M92" s="183"/>
      <c r="T92" s="183"/>
      <c r="U92" s="183"/>
      <c r="V92" s="183"/>
      <c r="W92" s="183"/>
      <c r="X92" s="183"/>
      <c r="Y92" s="183"/>
      <c r="Z92" s="183"/>
    </row>
    <row r="93" spans="1:26" ht="15.75" customHeight="1">
      <c r="A93" s="233"/>
      <c r="B93" s="203"/>
      <c r="C93" s="184" t="s">
        <v>385</v>
      </c>
      <c r="D93" s="223">
        <v>-214993.49313570149</v>
      </c>
      <c r="E93" s="183"/>
      <c r="F93" s="616">
        <v>-460.56169843341922</v>
      </c>
      <c r="I93" s="183"/>
      <c r="J93" s="183"/>
      <c r="K93" s="183"/>
      <c r="M93" s="183"/>
      <c r="T93" s="183"/>
      <c r="U93" s="183"/>
      <c r="V93" s="183"/>
      <c r="W93" s="183"/>
      <c r="X93" s="183"/>
      <c r="Y93" s="183"/>
      <c r="Z93" s="183"/>
    </row>
    <row r="94" spans="1:26" ht="15.75" customHeight="1">
      <c r="A94" s="233"/>
      <c r="B94" s="203"/>
      <c r="C94" s="184"/>
      <c r="D94" s="223"/>
      <c r="E94" s="183"/>
      <c r="I94" s="183"/>
      <c r="J94" s="183"/>
      <c r="K94" s="183"/>
      <c r="M94" s="183"/>
      <c r="T94" s="183"/>
      <c r="U94" s="183"/>
      <c r="V94" s="183"/>
      <c r="W94" s="183"/>
      <c r="X94" s="183"/>
      <c r="Y94" s="183"/>
      <c r="Z94" s="183"/>
    </row>
    <row r="95" spans="1:26" ht="15.75" customHeight="1">
      <c r="A95" s="233"/>
      <c r="B95" s="197"/>
      <c r="C95" s="184"/>
      <c r="D95" s="224"/>
      <c r="E95" s="183"/>
      <c r="I95" s="183"/>
      <c r="J95" s="183"/>
      <c r="K95" s="183"/>
      <c r="M95" s="183"/>
      <c r="T95" s="183"/>
      <c r="U95" s="183"/>
      <c r="V95" s="183"/>
      <c r="W95" s="183"/>
      <c r="X95" s="183"/>
      <c r="Y95" s="183"/>
      <c r="Z95" s="183"/>
    </row>
    <row r="96" spans="1:26" ht="15.75" customHeight="1">
      <c r="A96" s="233"/>
      <c r="B96" s="203"/>
      <c r="C96" s="184" t="s">
        <v>386</v>
      </c>
      <c r="D96" s="223">
        <f>SUM(D90:D95)</f>
        <v>1659074.9000000039</v>
      </c>
      <c r="E96" s="183"/>
      <c r="I96" s="183"/>
      <c r="J96" s="183"/>
      <c r="K96" s="183"/>
      <c r="M96" s="183"/>
      <c r="T96" s="183"/>
      <c r="U96" s="183"/>
      <c r="V96" s="183"/>
      <c r="W96" s="183"/>
      <c r="X96" s="183"/>
      <c r="Y96" s="183"/>
      <c r="Z96" s="183"/>
    </row>
    <row r="97" spans="1:26" ht="15.75" customHeight="1" thickBot="1">
      <c r="A97" s="233"/>
      <c r="B97" s="204"/>
      <c r="C97" s="205" t="s">
        <v>380</v>
      </c>
      <c r="D97" s="206">
        <f>+D96-L14</f>
        <v>3.7252902984619141E-9</v>
      </c>
      <c r="E97" s="183"/>
      <c r="I97" s="183"/>
      <c r="J97" s="183"/>
      <c r="K97" s="183"/>
      <c r="M97" s="183"/>
      <c r="T97" s="183"/>
      <c r="U97" s="183"/>
      <c r="V97" s="183"/>
      <c r="W97" s="183"/>
      <c r="X97" s="183"/>
      <c r="Y97" s="183"/>
      <c r="Z97" s="183"/>
    </row>
    <row r="98" spans="1:26" ht="15.75" customHeight="1" thickBot="1">
      <c r="A98" s="233"/>
      <c r="B98" s="241"/>
      <c r="C98" s="241"/>
      <c r="D98" s="241"/>
      <c r="E98" s="183"/>
      <c r="I98" s="183"/>
      <c r="J98" s="183"/>
      <c r="K98" s="183"/>
      <c r="M98" s="183"/>
      <c r="T98" s="183"/>
      <c r="U98" s="183"/>
      <c r="V98" s="183"/>
      <c r="W98" s="183"/>
      <c r="X98" s="183"/>
      <c r="Y98" s="183"/>
      <c r="Z98" s="183"/>
    </row>
    <row r="99" spans="1:26" ht="15.75" customHeight="1">
      <c r="A99" s="233">
        <f>A25</f>
        <v>2</v>
      </c>
      <c r="B99" s="193" t="s">
        <v>416</v>
      </c>
      <c r="C99" s="242"/>
      <c r="D99" s="194"/>
      <c r="E99" s="183"/>
      <c r="I99" s="183"/>
      <c r="J99" s="183"/>
      <c r="K99" s="183"/>
      <c r="M99" s="183"/>
      <c r="T99" s="183"/>
      <c r="U99" s="183"/>
      <c r="V99" s="183"/>
      <c r="W99" s="183"/>
      <c r="X99" s="183"/>
      <c r="Y99" s="183"/>
      <c r="Z99" s="183"/>
    </row>
    <row r="100" spans="1:26" ht="15.75" customHeight="1">
      <c r="A100" s="233"/>
      <c r="B100" s="199"/>
      <c r="C100" s="183"/>
      <c r="D100" s="200"/>
      <c r="E100" s="183"/>
      <c r="I100" s="183"/>
      <c r="J100" s="183"/>
      <c r="K100" s="183"/>
      <c r="M100" s="183"/>
      <c r="T100" s="183"/>
      <c r="U100" s="183"/>
      <c r="V100" s="183"/>
      <c r="W100" s="183"/>
      <c r="X100" s="183"/>
      <c r="Y100" s="183"/>
      <c r="Z100" s="183"/>
    </row>
    <row r="101" spans="1:26" ht="15.75" customHeight="1">
      <c r="A101" s="233"/>
      <c r="B101" s="199"/>
      <c r="C101" s="184" t="s">
        <v>382</v>
      </c>
      <c r="D101" s="243">
        <f>D25</f>
        <v>-2033334</v>
      </c>
      <c r="E101" s="183"/>
      <c r="I101" s="183"/>
      <c r="J101" s="183"/>
      <c r="K101" s="183"/>
      <c r="M101" s="183"/>
      <c r="T101" s="183"/>
      <c r="U101" s="183"/>
      <c r="V101" s="183"/>
      <c r="W101" s="183"/>
      <c r="X101" s="183"/>
      <c r="Y101" s="183"/>
      <c r="Z101" s="183"/>
    </row>
    <row r="102" spans="1:26" ht="15.75" customHeight="1">
      <c r="A102" s="233"/>
      <c r="B102" s="199"/>
      <c r="C102" s="184" t="s">
        <v>402</v>
      </c>
      <c r="D102" s="243"/>
      <c r="E102" s="183"/>
      <c r="I102" s="183"/>
      <c r="J102" s="183"/>
      <c r="K102" s="183"/>
      <c r="M102" s="183"/>
      <c r="T102" s="183"/>
      <c r="U102" s="183"/>
      <c r="V102" s="183"/>
      <c r="W102" s="183"/>
      <c r="X102" s="183"/>
      <c r="Y102" s="183"/>
      <c r="Z102" s="183"/>
    </row>
    <row r="103" spans="1:26" ht="15.75" customHeight="1">
      <c r="A103" s="233"/>
      <c r="B103" s="199"/>
      <c r="C103" s="184" t="s">
        <v>403</v>
      </c>
      <c r="D103" s="243">
        <f>-D101</f>
        <v>2033334</v>
      </c>
      <c r="E103" s="183"/>
      <c r="I103" s="183"/>
      <c r="J103" s="183"/>
      <c r="K103" s="183"/>
      <c r="M103" s="183"/>
      <c r="T103" s="183"/>
      <c r="U103" s="183"/>
      <c r="V103" s="183"/>
      <c r="W103" s="183"/>
      <c r="X103" s="183"/>
      <c r="Y103" s="183"/>
      <c r="Z103" s="183"/>
    </row>
    <row r="104" spans="1:26" ht="15.75" customHeight="1">
      <c r="A104" s="233"/>
      <c r="B104" s="226"/>
      <c r="C104" s="248" t="s">
        <v>506</v>
      </c>
      <c r="D104" s="377"/>
      <c r="E104" s="183"/>
      <c r="I104" s="183"/>
      <c r="J104" s="183"/>
      <c r="K104" s="183"/>
      <c r="M104" s="183"/>
      <c r="T104" s="183"/>
      <c r="U104" s="183"/>
      <c r="V104" s="183"/>
      <c r="W104" s="183"/>
      <c r="X104" s="183"/>
      <c r="Y104" s="183"/>
      <c r="Z104" s="183"/>
    </row>
    <row r="105" spans="1:26" ht="15.75" customHeight="1">
      <c r="A105" s="233"/>
      <c r="B105" s="226"/>
      <c r="C105" s="184"/>
      <c r="D105" s="243"/>
      <c r="E105" s="183"/>
      <c r="I105" s="183"/>
      <c r="J105" s="183"/>
      <c r="K105" s="183"/>
      <c r="M105" s="183"/>
      <c r="T105" s="183"/>
      <c r="U105" s="183"/>
      <c r="V105" s="183"/>
      <c r="W105" s="183"/>
      <c r="X105" s="183"/>
      <c r="Y105" s="183"/>
      <c r="Z105" s="183"/>
    </row>
    <row r="106" spans="1:26" ht="15.75" customHeight="1">
      <c r="A106" s="233"/>
      <c r="B106" s="199"/>
      <c r="C106" s="184"/>
      <c r="D106" s="244"/>
      <c r="E106" s="183"/>
      <c r="H106" s="183"/>
      <c r="I106" s="183"/>
      <c r="J106" s="183"/>
      <c r="K106" s="183"/>
      <c r="M106" s="183"/>
      <c r="T106" s="183"/>
      <c r="U106" s="183"/>
      <c r="V106" s="183"/>
      <c r="W106" s="183"/>
      <c r="X106" s="183"/>
      <c r="Y106" s="183"/>
      <c r="Z106" s="183"/>
    </row>
    <row r="107" spans="1:26" ht="15.75" customHeight="1">
      <c r="A107" s="233"/>
      <c r="B107" s="226"/>
      <c r="C107" s="184" t="s">
        <v>386</v>
      </c>
      <c r="D107" s="243">
        <f>SUM(D101:D106)</f>
        <v>0</v>
      </c>
      <c r="E107" s="183"/>
      <c r="H107" s="183"/>
      <c r="I107" s="183"/>
      <c r="J107" s="183"/>
      <c r="K107" s="183"/>
      <c r="M107" s="183"/>
      <c r="T107" s="183"/>
      <c r="U107" s="183"/>
      <c r="V107" s="183"/>
      <c r="W107" s="183"/>
      <c r="X107" s="183"/>
      <c r="Y107" s="183"/>
      <c r="Z107" s="183"/>
    </row>
    <row r="108" spans="1:26" ht="15.75" customHeight="1" thickBot="1">
      <c r="A108" s="233"/>
      <c r="B108" s="227"/>
      <c r="C108" s="245" t="s">
        <v>380</v>
      </c>
      <c r="D108" s="246">
        <f>D107-L25</f>
        <v>0</v>
      </c>
      <c r="E108" s="183"/>
      <c r="H108" s="183"/>
      <c r="I108" s="183"/>
      <c r="J108" s="183"/>
      <c r="K108" s="183"/>
      <c r="M108" s="183"/>
      <c r="T108" s="183"/>
      <c r="U108" s="183"/>
      <c r="V108" s="183"/>
      <c r="W108" s="183"/>
      <c r="X108" s="183"/>
      <c r="Y108" s="183"/>
      <c r="Z108" s="183"/>
    </row>
    <row r="109" spans="1:26" ht="15.75" customHeight="1" thickBot="1">
      <c r="A109" s="233"/>
      <c r="E109" s="183"/>
      <c r="H109" s="183"/>
      <c r="I109" s="183"/>
      <c r="J109" s="183"/>
      <c r="K109" s="183"/>
      <c r="M109" s="183"/>
      <c r="T109" s="183"/>
      <c r="U109" s="183"/>
      <c r="V109" s="183"/>
      <c r="W109" s="183"/>
      <c r="X109" s="183"/>
      <c r="Y109" s="183"/>
      <c r="Z109" s="183"/>
    </row>
    <row r="110" spans="1:26" ht="15.75" customHeight="1">
      <c r="A110" s="233">
        <f>A26</f>
        <v>3</v>
      </c>
      <c r="B110" s="193" t="s">
        <v>417</v>
      </c>
      <c r="C110" s="242"/>
      <c r="D110" s="194"/>
      <c r="E110" s="183"/>
      <c r="H110" s="183"/>
      <c r="I110" s="183"/>
      <c r="J110" s="183"/>
      <c r="K110" s="183"/>
      <c r="M110" s="183"/>
      <c r="T110" s="183"/>
      <c r="U110" s="183"/>
      <c r="V110" s="183"/>
      <c r="W110" s="183"/>
      <c r="X110" s="183"/>
      <c r="Y110" s="183"/>
      <c r="Z110" s="183"/>
    </row>
    <row r="111" spans="1:26" ht="15.75" customHeight="1">
      <c r="A111" s="233"/>
      <c r="B111" s="199"/>
      <c r="C111" s="183"/>
      <c r="D111" s="200"/>
      <c r="E111" s="183"/>
      <c r="H111" s="183"/>
      <c r="I111" s="183"/>
      <c r="J111" s="183"/>
      <c r="K111" s="183"/>
      <c r="M111" s="183"/>
      <c r="T111" s="183"/>
      <c r="U111" s="183"/>
      <c r="V111" s="183"/>
      <c r="W111" s="183"/>
      <c r="X111" s="183"/>
      <c r="Y111" s="183"/>
      <c r="Z111" s="183"/>
    </row>
    <row r="112" spans="1:26" ht="15.75" customHeight="1">
      <c r="A112" s="233"/>
      <c r="B112" s="199"/>
      <c r="C112" s="184" t="s">
        <v>382</v>
      </c>
      <c r="D112" s="243">
        <f>D26</f>
        <v>-533332.72</v>
      </c>
      <c r="E112" s="183"/>
      <c r="H112" s="183"/>
      <c r="I112" s="183"/>
      <c r="J112" s="183"/>
      <c r="K112" s="183"/>
      <c r="M112" s="183"/>
      <c r="T112" s="183"/>
      <c r="U112" s="183"/>
      <c r="V112" s="183"/>
      <c r="W112" s="183"/>
      <c r="X112" s="183"/>
      <c r="Y112" s="183"/>
      <c r="Z112" s="183"/>
    </row>
    <row r="113" spans="1:26" ht="15.75" customHeight="1">
      <c r="A113" s="233"/>
      <c r="B113" s="199"/>
      <c r="C113" s="184" t="s">
        <v>402</v>
      </c>
      <c r="D113" s="243">
        <v>0</v>
      </c>
      <c r="E113" s="183"/>
      <c r="H113" s="183"/>
      <c r="I113" s="183"/>
      <c r="J113" s="183"/>
      <c r="K113" s="183"/>
      <c r="M113" s="183"/>
      <c r="T113" s="183"/>
      <c r="U113" s="183"/>
      <c r="V113" s="183"/>
      <c r="W113" s="183"/>
      <c r="X113" s="183"/>
      <c r="Y113" s="183"/>
      <c r="Z113" s="183"/>
    </row>
    <row r="114" spans="1:26" ht="15.75" customHeight="1">
      <c r="A114" s="233"/>
      <c r="B114" s="199"/>
      <c r="C114" s="247" t="s">
        <v>403</v>
      </c>
      <c r="D114" s="243">
        <f>-D112</f>
        <v>533332.72</v>
      </c>
      <c r="E114" s="183"/>
      <c r="H114" s="183"/>
      <c r="I114" s="183"/>
      <c r="J114" s="183"/>
      <c r="K114" s="183"/>
      <c r="M114" s="183"/>
      <c r="T114" s="183"/>
      <c r="U114" s="183"/>
      <c r="V114" s="183"/>
      <c r="W114" s="183"/>
      <c r="X114" s="183"/>
      <c r="Y114" s="183"/>
      <c r="Z114" s="183"/>
    </row>
    <row r="115" spans="1:26" ht="15.75" customHeight="1">
      <c r="A115" s="233"/>
      <c r="B115" s="226"/>
      <c r="C115" s="247" t="s">
        <v>418</v>
      </c>
      <c r="D115" s="243">
        <v>0</v>
      </c>
      <c r="E115" s="183"/>
      <c r="H115" s="183"/>
      <c r="I115" s="183"/>
      <c r="J115" s="183"/>
      <c r="K115" s="183"/>
      <c r="M115" s="183"/>
      <c r="T115" s="183"/>
      <c r="U115" s="183"/>
      <c r="V115" s="183"/>
      <c r="W115" s="183"/>
      <c r="X115" s="183"/>
      <c r="Y115" s="183"/>
      <c r="Z115" s="183"/>
    </row>
    <row r="116" spans="1:26" ht="15.75" customHeight="1">
      <c r="A116" s="233"/>
      <c r="B116" s="226"/>
      <c r="C116" s="184"/>
      <c r="D116" s="243"/>
      <c r="E116" s="183"/>
      <c r="H116" s="183"/>
      <c r="I116" s="183"/>
      <c r="J116" s="183"/>
      <c r="K116" s="183"/>
      <c r="M116" s="183"/>
      <c r="T116" s="183"/>
      <c r="U116" s="183"/>
      <c r="V116" s="183"/>
      <c r="W116" s="183"/>
      <c r="X116" s="183"/>
      <c r="Y116" s="183"/>
      <c r="Z116" s="183"/>
    </row>
    <row r="117" spans="1:26" ht="15.75" customHeight="1">
      <c r="A117" s="233"/>
      <c r="B117" s="199"/>
      <c r="C117" s="184"/>
      <c r="D117" s="244"/>
      <c r="E117" s="183"/>
      <c r="H117" s="183"/>
      <c r="I117" s="183"/>
      <c r="J117" s="183"/>
      <c r="K117" s="183"/>
      <c r="M117" s="183"/>
      <c r="T117" s="183"/>
      <c r="U117" s="183"/>
      <c r="V117" s="183"/>
      <c r="W117" s="183"/>
      <c r="X117" s="183"/>
      <c r="Y117" s="183"/>
      <c r="Z117" s="183"/>
    </row>
    <row r="118" spans="1:26" ht="15.75" customHeight="1">
      <c r="A118" s="233"/>
      <c r="B118" s="226"/>
      <c r="C118" s="184" t="s">
        <v>386</v>
      </c>
      <c r="D118" s="243">
        <f>SUM(D112:D117)</f>
        <v>0</v>
      </c>
      <c r="E118" s="183"/>
      <c r="H118" s="183"/>
      <c r="I118" s="183"/>
      <c r="J118" s="183"/>
      <c r="K118" s="183"/>
      <c r="M118" s="183"/>
      <c r="T118" s="183"/>
      <c r="U118" s="183"/>
      <c r="V118" s="183"/>
      <c r="W118" s="183"/>
      <c r="X118" s="183"/>
      <c r="Y118" s="183"/>
      <c r="Z118" s="183"/>
    </row>
    <row r="119" spans="1:26" ht="15.75" customHeight="1" thickBot="1">
      <c r="A119" s="233"/>
      <c r="B119" s="227"/>
      <c r="C119" s="245" t="s">
        <v>380</v>
      </c>
      <c r="D119" s="246">
        <f>D118-L26</f>
        <v>0</v>
      </c>
      <c r="E119" s="183"/>
      <c r="F119" s="183"/>
      <c r="G119" s="183"/>
      <c r="H119" s="183"/>
      <c r="I119" s="183"/>
      <c r="J119" s="183"/>
      <c r="K119" s="183"/>
      <c r="M119" s="183"/>
      <c r="T119" s="183"/>
      <c r="U119" s="183"/>
      <c r="V119" s="183"/>
      <c r="W119" s="183"/>
      <c r="X119" s="183"/>
      <c r="Y119" s="183"/>
      <c r="Z119" s="183"/>
    </row>
    <row r="120" spans="1:26" ht="15.75" customHeight="1">
      <c r="A120" s="23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M120" s="183"/>
      <c r="T120" s="183"/>
      <c r="U120" s="183"/>
      <c r="V120" s="183"/>
      <c r="W120" s="183"/>
      <c r="X120" s="183"/>
      <c r="Y120" s="183"/>
      <c r="Z120" s="183"/>
    </row>
    <row r="121" spans="1:26" ht="15.75" customHeight="1" thickBot="1">
      <c r="A121" s="23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M121" s="183"/>
      <c r="T121" s="183"/>
      <c r="U121" s="183"/>
      <c r="V121" s="183"/>
      <c r="W121" s="183"/>
      <c r="X121" s="183"/>
      <c r="Y121" s="183"/>
      <c r="Z121" s="183"/>
    </row>
    <row r="122" spans="1:26" ht="15.75" customHeight="1">
      <c r="A122" s="233">
        <v>5</v>
      </c>
      <c r="B122" s="193" t="s">
        <v>419</v>
      </c>
      <c r="C122" s="194"/>
      <c r="D122" s="183"/>
      <c r="E122" s="183"/>
      <c r="F122" s="183"/>
      <c r="G122" s="183"/>
      <c r="H122" s="183"/>
      <c r="I122" s="183"/>
      <c r="J122" s="183"/>
      <c r="K122" s="183"/>
      <c r="M122" s="183"/>
      <c r="T122" s="183"/>
      <c r="U122" s="183"/>
      <c r="V122" s="183"/>
      <c r="W122" s="183"/>
      <c r="X122" s="183"/>
      <c r="Y122" s="183"/>
      <c r="Z122" s="183"/>
    </row>
    <row r="123" spans="1:26" ht="15.75" customHeight="1">
      <c r="A123" s="233"/>
      <c r="B123" s="199"/>
      <c r="C123" s="200"/>
      <c r="D123" s="183"/>
      <c r="E123" s="183"/>
      <c r="F123" s="183"/>
      <c r="G123" s="183"/>
      <c r="H123" s="183"/>
      <c r="I123" s="183"/>
      <c r="J123" s="183"/>
      <c r="K123" s="183"/>
      <c r="M123" s="183"/>
      <c r="T123" s="183"/>
      <c r="U123" s="183"/>
      <c r="V123" s="183"/>
      <c r="W123" s="183"/>
      <c r="X123" s="183"/>
      <c r="Y123" s="183"/>
      <c r="Z123" s="183"/>
    </row>
    <row r="124" spans="1:26" ht="15.75" customHeight="1">
      <c r="A124" s="233"/>
      <c r="B124" s="226" t="s">
        <v>382</v>
      </c>
      <c r="C124" s="216">
        <f>D31</f>
        <v>-8614908.1284866966</v>
      </c>
      <c r="D124" s="183"/>
      <c r="E124" s="183"/>
      <c r="F124" s="183"/>
      <c r="G124" s="183"/>
      <c r="H124" s="183"/>
      <c r="I124" s="183"/>
      <c r="J124" s="183"/>
      <c r="K124" s="183"/>
      <c r="M124" s="183"/>
      <c r="T124" s="183"/>
      <c r="U124" s="183"/>
      <c r="V124" s="183"/>
      <c r="W124" s="183"/>
      <c r="X124" s="183"/>
      <c r="Y124" s="183"/>
      <c r="Z124" s="183"/>
    </row>
    <row r="125" spans="1:26" ht="15.75" customHeight="1">
      <c r="A125" s="233"/>
      <c r="B125" s="226"/>
      <c r="C125" s="216"/>
      <c r="D125" s="183"/>
      <c r="E125" s="183"/>
      <c r="F125" s="183"/>
      <c r="G125" s="183"/>
      <c r="H125" s="183"/>
      <c r="I125" s="183"/>
      <c r="J125" s="183"/>
      <c r="K125" s="183"/>
      <c r="M125" s="183"/>
      <c r="T125" s="183"/>
      <c r="U125" s="183"/>
      <c r="V125" s="183"/>
      <c r="W125" s="183"/>
      <c r="X125" s="183"/>
      <c r="Y125" s="183"/>
      <c r="Z125" s="183"/>
    </row>
    <row r="126" spans="1:26" ht="15.75" customHeight="1">
      <c r="A126" s="233"/>
      <c r="B126" s="226" t="s">
        <v>1305</v>
      </c>
      <c r="C126" s="216">
        <f>-SUMIF('TB LTD 12.22'!$J:$J,"option expenses ",'TB LTD 12.22'!$G:$G)-'P&amp;L LTD  USD'!E16-'P&amp;L LTD  USD'!E39-'P&amp;L LTD  USD'!E63-'P&amp;L LTD  USD'!E86</f>
        <v>-185110.53999999998</v>
      </c>
      <c r="D126" s="183"/>
      <c r="E126" s="183"/>
      <c r="F126" s="735">
        <v>18472.23</v>
      </c>
      <c r="G126" s="183"/>
      <c r="H126" s="183"/>
      <c r="I126" s="183"/>
      <c r="J126" s="183"/>
      <c r="K126" s="183"/>
      <c r="M126" s="183"/>
      <c r="T126" s="183"/>
      <c r="U126" s="183"/>
      <c r="V126" s="183"/>
      <c r="W126" s="183"/>
      <c r="X126" s="183"/>
      <c r="Y126" s="183"/>
      <c r="Z126" s="183"/>
    </row>
    <row r="127" spans="1:26" ht="15.75" customHeight="1">
      <c r="A127" s="233"/>
      <c r="B127" s="226" t="s">
        <v>1306</v>
      </c>
      <c r="C127" s="216"/>
      <c r="D127" s="183"/>
      <c r="E127" s="183"/>
      <c r="F127" s="183"/>
      <c r="G127" s="183"/>
      <c r="H127" s="183"/>
      <c r="I127" s="183"/>
      <c r="J127" s="183"/>
      <c r="K127" s="183"/>
      <c r="M127" s="183"/>
      <c r="T127" s="183"/>
      <c r="U127" s="183"/>
      <c r="V127" s="183"/>
      <c r="W127" s="183"/>
      <c r="X127" s="183"/>
      <c r="Y127" s="183"/>
      <c r="Z127" s="183"/>
    </row>
    <row r="128" spans="1:26" ht="15.75" customHeight="1">
      <c r="A128" s="233"/>
      <c r="B128" s="226" t="s">
        <v>404</v>
      </c>
      <c r="C128" s="216">
        <v>-18472.23</v>
      </c>
      <c r="D128" s="183"/>
      <c r="E128" s="183"/>
      <c r="F128" s="183"/>
      <c r="G128" s="183"/>
      <c r="H128" s="183"/>
      <c r="I128" s="183"/>
      <c r="J128" s="183"/>
      <c r="K128" s="183"/>
      <c r="M128" s="183"/>
      <c r="T128" s="183"/>
      <c r="U128" s="183"/>
      <c r="V128" s="183"/>
      <c r="W128" s="183"/>
      <c r="X128" s="183"/>
      <c r="Y128" s="183"/>
      <c r="Z128" s="183"/>
    </row>
    <row r="129" spans="1:26" ht="15.75" customHeight="1">
      <c r="A129" s="233"/>
      <c r="B129" s="226"/>
      <c r="C129" s="216"/>
      <c r="D129" s="183"/>
      <c r="E129" s="183"/>
      <c r="F129" s="183"/>
      <c r="G129" s="183"/>
      <c r="H129" s="183"/>
      <c r="I129" s="183"/>
      <c r="J129" s="183"/>
      <c r="K129" s="183"/>
      <c r="M129" s="183"/>
      <c r="T129" s="183"/>
      <c r="U129" s="183"/>
      <c r="V129" s="183"/>
      <c r="W129" s="183"/>
      <c r="X129" s="183"/>
      <c r="Y129" s="183"/>
      <c r="Z129" s="183"/>
    </row>
    <row r="130" spans="1:26" ht="15.75" customHeight="1">
      <c r="A130" s="233"/>
      <c r="B130" s="226"/>
      <c r="C130" s="216"/>
      <c r="D130" s="183"/>
      <c r="E130" s="183"/>
      <c r="F130" s="183"/>
      <c r="G130" s="183"/>
      <c r="H130" s="183"/>
      <c r="I130" s="183"/>
      <c r="J130" s="183"/>
      <c r="K130" s="183"/>
      <c r="M130" s="183"/>
      <c r="T130" s="183"/>
      <c r="U130" s="183"/>
      <c r="V130" s="183"/>
      <c r="W130" s="183"/>
      <c r="X130" s="183"/>
      <c r="Y130" s="183"/>
      <c r="Z130" s="183"/>
    </row>
    <row r="131" spans="1:26" ht="15.75" customHeight="1">
      <c r="A131" s="233"/>
      <c r="B131" s="226"/>
      <c r="C131" s="216"/>
      <c r="D131" s="183"/>
      <c r="E131" s="183"/>
      <c r="F131" s="183"/>
      <c r="G131" s="183"/>
      <c r="H131" s="183"/>
      <c r="I131" s="183"/>
      <c r="J131" s="183"/>
      <c r="K131" s="183"/>
      <c r="M131" s="183"/>
      <c r="T131" s="183"/>
      <c r="U131" s="183"/>
      <c r="V131" s="183"/>
      <c r="W131" s="183"/>
      <c r="X131" s="183"/>
      <c r="Y131" s="183"/>
      <c r="Z131" s="183"/>
    </row>
    <row r="132" spans="1:26" ht="15.75" customHeight="1">
      <c r="A132" s="233"/>
      <c r="B132" s="226"/>
      <c r="C132" s="216"/>
      <c r="D132" s="183"/>
      <c r="E132" s="183"/>
      <c r="F132" s="183"/>
      <c r="G132" s="183"/>
      <c r="H132" s="183"/>
      <c r="I132" s="183"/>
      <c r="J132" s="183"/>
      <c r="K132" s="183"/>
      <c r="M132" s="183"/>
      <c r="T132" s="183"/>
      <c r="U132" s="183"/>
      <c r="V132" s="183"/>
      <c r="W132" s="183"/>
      <c r="X132" s="183"/>
      <c r="Y132" s="183"/>
      <c r="Z132" s="183"/>
    </row>
    <row r="133" spans="1:26" ht="15.75" customHeight="1">
      <c r="A133" s="233"/>
      <c r="B133" s="226" t="s">
        <v>386</v>
      </c>
      <c r="C133" s="216">
        <f>SUM(C124:C131)</f>
        <v>-8818490.8984866962</v>
      </c>
      <c r="D133" s="183"/>
      <c r="E133" s="183"/>
      <c r="F133" s="183"/>
      <c r="G133" s="183"/>
      <c r="H133" s="183"/>
      <c r="I133" s="183"/>
      <c r="J133" s="183"/>
      <c r="K133" s="183"/>
      <c r="M133" s="183"/>
      <c r="T133" s="183"/>
      <c r="U133" s="183"/>
      <c r="V133" s="183"/>
      <c r="W133" s="183"/>
      <c r="X133" s="183"/>
      <c r="Y133" s="183"/>
      <c r="Z133" s="183"/>
    </row>
    <row r="134" spans="1:26" ht="15.75" customHeight="1" thickBot="1">
      <c r="A134" s="233"/>
      <c r="B134" s="227" t="s">
        <v>380</v>
      </c>
      <c r="C134" s="249">
        <f>+C133-L31</f>
        <v>-0.3084866963326931</v>
      </c>
      <c r="D134" s="183"/>
      <c r="E134" s="183"/>
      <c r="F134" s="234"/>
      <c r="G134" s="183"/>
      <c r="H134" s="183"/>
      <c r="I134" s="183"/>
      <c r="J134" s="183"/>
      <c r="K134" s="183"/>
      <c r="M134" s="183"/>
      <c r="T134" s="183"/>
      <c r="U134" s="183"/>
      <c r="V134" s="183"/>
      <c r="W134" s="183"/>
      <c r="X134" s="183"/>
      <c r="Y134" s="183"/>
      <c r="Z134" s="183"/>
    </row>
    <row r="135" spans="1:26" ht="15.75" customHeight="1" thickBot="1">
      <c r="A135" s="233"/>
      <c r="B135" s="241"/>
      <c r="C135" s="241"/>
      <c r="D135" s="183"/>
      <c r="E135" s="183"/>
      <c r="F135" s="183"/>
      <c r="G135" s="183"/>
      <c r="H135" s="183"/>
      <c r="I135" s="183"/>
      <c r="J135" s="183"/>
      <c r="K135" s="183"/>
      <c r="M135" s="183"/>
      <c r="T135" s="183"/>
      <c r="U135" s="183"/>
      <c r="V135" s="183"/>
      <c r="W135" s="183"/>
      <c r="X135" s="183"/>
      <c r="Y135" s="183"/>
      <c r="Z135" s="183"/>
    </row>
    <row r="136" spans="1:26" ht="15.75" customHeight="1">
      <c r="A136" s="233">
        <v>6</v>
      </c>
      <c r="B136" s="193" t="s">
        <v>420</v>
      </c>
      <c r="C136" s="194"/>
      <c r="D136" s="183"/>
      <c r="E136" s="183"/>
      <c r="F136" s="183"/>
      <c r="G136" s="183"/>
      <c r="H136" s="183"/>
      <c r="I136" s="183"/>
      <c r="J136" s="183"/>
      <c r="K136" s="183"/>
      <c r="M136" s="183"/>
      <c r="T136" s="183"/>
      <c r="U136" s="183"/>
      <c r="V136" s="183"/>
      <c r="W136" s="183"/>
      <c r="X136" s="183"/>
      <c r="Y136" s="183"/>
      <c r="Z136" s="183"/>
    </row>
    <row r="137" spans="1:26" ht="15.75" customHeight="1">
      <c r="A137" s="233"/>
      <c r="B137" s="199"/>
      <c r="C137" s="200"/>
      <c r="D137" s="183"/>
      <c r="E137" s="183"/>
      <c r="F137" s="183"/>
      <c r="G137" s="183"/>
      <c r="H137" s="183"/>
      <c r="I137" s="183"/>
      <c r="J137" s="183"/>
      <c r="K137" s="183"/>
      <c r="M137" s="183"/>
      <c r="T137" s="183"/>
      <c r="U137" s="183"/>
      <c r="V137" s="183"/>
      <c r="W137" s="183"/>
      <c r="X137" s="183"/>
      <c r="Y137" s="183"/>
      <c r="Z137" s="183"/>
    </row>
    <row r="138" spans="1:26" ht="15.75" customHeight="1">
      <c r="A138" s="233"/>
      <c r="B138" s="226" t="s">
        <v>382</v>
      </c>
      <c r="C138" s="216">
        <f>D28</f>
        <v>-418.91999999999996</v>
      </c>
      <c r="D138" s="183"/>
      <c r="E138" s="183"/>
      <c r="F138" s="183"/>
      <c r="G138" s="183"/>
      <c r="H138" s="183"/>
      <c r="I138" s="183"/>
      <c r="J138" s="183"/>
      <c r="K138" s="183"/>
      <c r="M138" s="183"/>
      <c r="T138" s="183"/>
      <c r="U138" s="183"/>
      <c r="V138" s="183"/>
      <c r="W138" s="183"/>
      <c r="X138" s="183"/>
      <c r="Y138" s="183"/>
      <c r="Z138" s="183"/>
    </row>
    <row r="139" spans="1:26" ht="15.75" customHeight="1">
      <c r="A139" s="233"/>
      <c r="B139" s="226" t="s">
        <v>404</v>
      </c>
      <c r="C139" s="216">
        <f>H28</f>
        <v>-271.30000000000007</v>
      </c>
      <c r="D139" s="183"/>
      <c r="E139" s="183"/>
      <c r="F139" s="183"/>
      <c r="G139" s="183"/>
      <c r="H139" s="183"/>
      <c r="J139" s="183"/>
      <c r="K139" s="183"/>
      <c r="M139" s="183"/>
      <c r="T139" s="183"/>
      <c r="U139" s="183"/>
      <c r="V139" s="183"/>
      <c r="W139" s="183"/>
      <c r="X139" s="183"/>
      <c r="Y139" s="183"/>
      <c r="Z139" s="183"/>
    </row>
    <row r="140" spans="1:26" ht="15.75" customHeight="1">
      <c r="A140" s="233"/>
      <c r="B140" s="226" t="s">
        <v>386</v>
      </c>
      <c r="C140" s="216">
        <f>SUM(C138:C139)</f>
        <v>-690.22</v>
      </c>
      <c r="D140" s="183"/>
      <c r="E140" s="183"/>
      <c r="F140" s="183"/>
      <c r="G140" s="183"/>
      <c r="H140" s="183"/>
      <c r="I140" s="183"/>
      <c r="J140" s="183"/>
      <c r="K140" s="183"/>
      <c r="M140" s="183"/>
      <c r="T140" s="183"/>
      <c r="U140" s="183"/>
      <c r="V140" s="183"/>
      <c r="W140" s="183"/>
      <c r="X140" s="183"/>
      <c r="Y140" s="183"/>
      <c r="Z140" s="183"/>
    </row>
    <row r="141" spans="1:26" ht="15.75" customHeight="1" thickBot="1">
      <c r="A141" s="233"/>
      <c r="B141" s="227" t="s">
        <v>380</v>
      </c>
      <c r="C141" s="249">
        <f>C140-L28</f>
        <v>0</v>
      </c>
      <c r="D141" s="183"/>
      <c r="E141" s="183"/>
      <c r="F141" s="183"/>
      <c r="G141" s="183"/>
      <c r="H141" s="183"/>
      <c r="I141" s="183"/>
      <c r="J141" s="183"/>
      <c r="K141" s="183"/>
      <c r="M141" s="183"/>
      <c r="T141" s="183"/>
      <c r="U141" s="183"/>
      <c r="V141" s="183"/>
      <c r="W141" s="183"/>
      <c r="X141" s="183"/>
      <c r="Y141" s="183"/>
      <c r="Z141" s="183"/>
    </row>
    <row r="142" spans="1:26" ht="15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M142" s="183"/>
      <c r="T142" s="183"/>
      <c r="U142" s="183"/>
      <c r="V142" s="183"/>
      <c r="W142" s="183"/>
      <c r="X142" s="183"/>
      <c r="Y142" s="183"/>
      <c r="Z142" s="183"/>
    </row>
    <row r="143" spans="1:26" ht="15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M143" s="183"/>
      <c r="T143" s="183"/>
      <c r="U143" s="183"/>
      <c r="V143" s="183"/>
      <c r="W143" s="183"/>
      <c r="X143" s="183"/>
      <c r="Y143" s="183"/>
      <c r="Z143" s="183"/>
    </row>
    <row r="144" spans="1:26" ht="15.75" customHeight="1" thickBo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M144" s="183"/>
      <c r="T144" s="183"/>
      <c r="U144" s="183"/>
      <c r="V144" s="183"/>
      <c r="W144" s="183"/>
      <c r="X144" s="183"/>
      <c r="Y144" s="183"/>
      <c r="Z144" s="183"/>
    </row>
    <row r="145" spans="1:26" ht="15.75" customHeight="1">
      <c r="A145" s="233">
        <v>7</v>
      </c>
      <c r="B145" s="193" t="s">
        <v>418</v>
      </c>
      <c r="C145" s="194"/>
      <c r="D145" s="183"/>
      <c r="E145" s="183"/>
      <c r="F145" s="183"/>
      <c r="G145" s="183"/>
      <c r="H145" s="183"/>
      <c r="I145" s="183"/>
      <c r="J145" s="183"/>
      <c r="K145" s="183"/>
      <c r="M145" s="183"/>
      <c r="T145" s="183"/>
      <c r="U145" s="183"/>
      <c r="V145" s="183"/>
      <c r="W145" s="183"/>
      <c r="X145" s="183"/>
      <c r="Y145" s="183"/>
      <c r="Z145" s="183"/>
    </row>
    <row r="146" spans="1:26" ht="15.75" customHeight="1">
      <c r="A146" s="233"/>
      <c r="B146" s="226"/>
      <c r="C146" s="200"/>
      <c r="D146" s="183"/>
      <c r="E146" s="183"/>
      <c r="F146" s="183"/>
      <c r="G146" s="183"/>
      <c r="H146" s="183"/>
      <c r="I146" s="183"/>
      <c r="J146" s="183"/>
      <c r="K146" s="183"/>
      <c r="M146" s="183"/>
      <c r="T146" s="183"/>
      <c r="U146" s="183"/>
      <c r="V146" s="183"/>
      <c r="W146" s="183"/>
      <c r="X146" s="183"/>
      <c r="Y146" s="183"/>
      <c r="Z146" s="183"/>
    </row>
    <row r="147" spans="1:26" ht="15.75" customHeight="1">
      <c r="A147" s="233"/>
      <c r="B147" s="199"/>
      <c r="C147" s="200"/>
      <c r="D147" s="183"/>
      <c r="E147" s="183"/>
      <c r="F147" s="183"/>
      <c r="G147" s="183"/>
      <c r="H147" s="183"/>
      <c r="I147" s="183"/>
      <c r="J147" s="183"/>
      <c r="K147" s="183"/>
      <c r="M147" s="183"/>
      <c r="T147" s="183"/>
      <c r="U147" s="183"/>
      <c r="V147" s="183"/>
      <c r="W147" s="183"/>
      <c r="X147" s="183"/>
      <c r="Y147" s="183"/>
      <c r="Z147" s="183"/>
    </row>
    <row r="148" spans="1:26" ht="15.75" customHeight="1">
      <c r="A148" s="233"/>
      <c r="B148" s="226" t="s">
        <v>382</v>
      </c>
      <c r="C148" s="374">
        <v>0</v>
      </c>
      <c r="D148" s="183"/>
      <c r="E148" s="183"/>
      <c r="F148" s="183"/>
      <c r="G148" s="183"/>
      <c r="H148" s="183"/>
      <c r="I148" s="183"/>
      <c r="J148" s="183"/>
      <c r="K148" s="183"/>
      <c r="M148" s="183"/>
      <c r="T148" s="183"/>
      <c r="U148" s="183"/>
      <c r="V148" s="183"/>
      <c r="W148" s="183"/>
      <c r="X148" s="183"/>
      <c r="Y148" s="183"/>
      <c r="Z148" s="183"/>
    </row>
    <row r="149" spans="1:26" ht="15.75" customHeight="1">
      <c r="A149" s="233"/>
      <c r="B149" s="226"/>
      <c r="C149" s="374"/>
      <c r="D149" s="183"/>
      <c r="E149" s="183"/>
      <c r="F149" s="183"/>
      <c r="G149" s="183"/>
      <c r="H149" s="183"/>
      <c r="I149" s="183"/>
      <c r="J149" s="183"/>
      <c r="K149" s="183"/>
      <c r="M149" s="183"/>
      <c r="T149" s="183"/>
      <c r="U149" s="183"/>
      <c r="V149" s="183"/>
      <c r="W149" s="183"/>
      <c r="X149" s="183"/>
      <c r="Y149" s="183"/>
      <c r="Z149" s="183"/>
    </row>
    <row r="150" spans="1:26" ht="15.75" customHeight="1">
      <c r="A150" s="233"/>
      <c r="B150" s="388" t="s">
        <v>497</v>
      </c>
      <c r="C150" s="374"/>
      <c r="D150" s="183"/>
      <c r="E150" s="183"/>
      <c r="F150" s="183"/>
      <c r="G150" s="183"/>
      <c r="H150" s="183"/>
      <c r="I150" s="183"/>
      <c r="J150" s="183"/>
      <c r="K150" s="183"/>
      <c r="M150" s="183"/>
      <c r="T150" s="183"/>
      <c r="U150" s="183"/>
      <c r="V150" s="183"/>
      <c r="W150" s="183"/>
      <c r="X150" s="183"/>
      <c r="Y150" s="183"/>
      <c r="Z150" s="183"/>
    </row>
    <row r="151" spans="1:26" ht="15.75" customHeight="1">
      <c r="A151" s="233"/>
      <c r="B151" s="226" t="s">
        <v>51</v>
      </c>
      <c r="C151" s="376">
        <v>115.57999999999993</v>
      </c>
      <c r="D151" s="183"/>
      <c r="E151" s="183"/>
      <c r="F151" s="183"/>
      <c r="G151" s="183"/>
      <c r="H151" s="183"/>
      <c r="I151" s="183"/>
      <c r="J151" s="183"/>
      <c r="K151" s="183"/>
      <c r="M151" s="183"/>
      <c r="T151" s="183"/>
      <c r="U151" s="183"/>
      <c r="V151" s="183"/>
      <c r="W151" s="183"/>
      <c r="X151" s="183"/>
      <c r="Y151" s="183"/>
      <c r="Z151" s="183"/>
    </row>
    <row r="152" spans="1:26" ht="15.75" customHeight="1">
      <c r="A152" s="233"/>
      <c r="B152" s="226" t="s">
        <v>50</v>
      </c>
      <c r="C152" s="376">
        <v>175750.51</v>
      </c>
      <c r="D152" s="183"/>
      <c r="E152" s="183"/>
      <c r="F152" s="183"/>
      <c r="G152" s="183"/>
      <c r="H152" s="183"/>
      <c r="I152" s="183"/>
      <c r="J152" s="183"/>
      <c r="K152" s="183"/>
      <c r="M152" s="183"/>
      <c r="T152" s="183"/>
      <c r="U152" s="183"/>
      <c r="V152" s="183"/>
      <c r="W152" s="183"/>
      <c r="X152" s="183"/>
      <c r="Y152" s="183"/>
      <c r="Z152" s="183"/>
    </row>
    <row r="153" spans="1:26" ht="15.75" customHeight="1">
      <c r="A153" s="233"/>
      <c r="B153" s="226" t="s">
        <v>170</v>
      </c>
      <c r="C153" s="376">
        <v>-58702.409999999982</v>
      </c>
      <c r="D153" s="183"/>
      <c r="E153" s="183"/>
      <c r="F153" s="183"/>
      <c r="G153" s="183"/>
      <c r="H153" s="183"/>
      <c r="I153" s="183"/>
      <c r="J153" s="183"/>
      <c r="K153" s="183"/>
      <c r="M153" s="183"/>
      <c r="T153" s="183"/>
      <c r="U153" s="183"/>
      <c r="V153" s="183"/>
      <c r="W153" s="183"/>
      <c r="X153" s="183"/>
      <c r="Y153" s="183"/>
      <c r="Z153" s="183"/>
    </row>
    <row r="154" spans="1:26" ht="15.75" customHeight="1">
      <c r="A154" s="233"/>
      <c r="B154" s="226" t="s">
        <v>54</v>
      </c>
      <c r="C154" s="376">
        <v>247417.61</v>
      </c>
      <c r="D154" s="183"/>
      <c r="E154" s="183"/>
      <c r="F154" s="183"/>
      <c r="G154" s="183"/>
      <c r="H154" s="183"/>
      <c r="I154" s="183"/>
      <c r="J154" s="183"/>
      <c r="K154" s="183"/>
      <c r="M154" s="183"/>
      <c r="T154" s="183"/>
      <c r="U154" s="183"/>
      <c r="V154" s="183"/>
      <c r="W154" s="183"/>
      <c r="X154" s="183"/>
      <c r="Y154" s="183"/>
      <c r="Z154" s="183"/>
    </row>
    <row r="155" spans="1:26" ht="15.75" customHeight="1">
      <c r="A155" s="233"/>
      <c r="B155" s="226" t="s">
        <v>174</v>
      </c>
      <c r="C155" s="376">
        <v>34425.519999999997</v>
      </c>
      <c r="D155" s="183"/>
      <c r="E155" s="183"/>
      <c r="F155" s="183"/>
      <c r="G155" s="183"/>
      <c r="H155" s="183"/>
      <c r="I155" s="183"/>
      <c r="J155" s="183"/>
      <c r="K155" s="183"/>
      <c r="M155" s="183"/>
      <c r="T155" s="183"/>
      <c r="U155" s="183"/>
      <c r="V155" s="183"/>
      <c r="W155" s="183"/>
      <c r="X155" s="183"/>
      <c r="Y155" s="183"/>
      <c r="Z155" s="183"/>
    </row>
    <row r="156" spans="1:26" ht="15.75" customHeight="1">
      <c r="A156" s="233"/>
      <c r="B156" s="226" t="s">
        <v>57</v>
      </c>
      <c r="C156" s="376">
        <v>-133.27000000000001</v>
      </c>
      <c r="D156" s="183"/>
      <c r="E156" s="183"/>
      <c r="F156" s="183"/>
      <c r="G156" s="183"/>
      <c r="H156" s="183"/>
      <c r="I156" s="183"/>
      <c r="J156" s="183"/>
      <c r="K156" s="183"/>
      <c r="M156" s="183"/>
      <c r="T156" s="183"/>
      <c r="U156" s="183"/>
      <c r="V156" s="183"/>
      <c r="W156" s="183"/>
      <c r="X156" s="183"/>
      <c r="Y156" s="183"/>
      <c r="Z156" s="183"/>
    </row>
    <row r="157" spans="1:26" ht="15.75" customHeight="1">
      <c r="A157" s="233"/>
      <c r="B157" s="226" t="s">
        <v>514</v>
      </c>
      <c r="C157" s="376">
        <v>-505541.3</v>
      </c>
      <c r="D157" s="183"/>
      <c r="E157" s="183"/>
      <c r="F157" s="183"/>
      <c r="G157" s="183"/>
      <c r="H157" s="183"/>
      <c r="I157" s="183"/>
      <c r="J157" s="183"/>
      <c r="K157" s="183"/>
      <c r="M157" s="183"/>
      <c r="T157" s="183"/>
      <c r="U157" s="183"/>
      <c r="V157" s="183"/>
      <c r="W157" s="183"/>
      <c r="X157" s="183"/>
      <c r="Y157" s="183"/>
      <c r="Z157" s="183"/>
    </row>
    <row r="158" spans="1:26" ht="15.75" customHeight="1">
      <c r="A158" s="233"/>
      <c r="B158" s="226" t="str">
        <f>B22</f>
        <v>Warrant Liability</v>
      </c>
      <c r="C158" s="376">
        <v>-185609</v>
      </c>
      <c r="D158" s="183"/>
      <c r="E158" s="183"/>
      <c r="F158" s="183"/>
      <c r="G158" s="183"/>
      <c r="H158" s="183"/>
      <c r="I158" s="183"/>
      <c r="J158" s="183"/>
      <c r="K158" s="183"/>
      <c r="M158" s="183"/>
      <c r="T158" s="183"/>
      <c r="U158" s="183"/>
      <c r="V158" s="183"/>
      <c r="W158" s="183"/>
      <c r="X158" s="183"/>
      <c r="Y158" s="183"/>
      <c r="Z158" s="183"/>
    </row>
    <row r="159" spans="1:26" ht="15.75" customHeight="1">
      <c r="A159" s="233"/>
      <c r="B159" s="226" t="s">
        <v>1607</v>
      </c>
      <c r="C159" s="376">
        <v>382951.05999999994</v>
      </c>
      <c r="D159" s="183"/>
      <c r="E159" s="183"/>
      <c r="F159" s="183"/>
      <c r="G159" s="183"/>
      <c r="H159" s="183"/>
      <c r="I159" s="183"/>
      <c r="J159" s="183"/>
      <c r="K159" s="183"/>
      <c r="M159" s="183"/>
      <c r="T159" s="183"/>
      <c r="U159" s="183"/>
      <c r="V159" s="183"/>
      <c r="W159" s="183"/>
      <c r="X159" s="183"/>
      <c r="Y159" s="183"/>
      <c r="Z159" s="183"/>
    </row>
    <row r="160" spans="1:26" ht="15.75" customHeight="1">
      <c r="A160" s="233"/>
      <c r="B160" s="226" t="s">
        <v>59</v>
      </c>
      <c r="C160" s="376">
        <v>-51842.580000000089</v>
      </c>
      <c r="D160" s="183"/>
      <c r="E160" s="183"/>
      <c r="F160" s="183"/>
      <c r="G160" s="183"/>
      <c r="H160" s="183"/>
      <c r="I160" s="183"/>
      <c r="J160" s="183"/>
      <c r="K160" s="183"/>
      <c r="M160" s="183"/>
      <c r="T160" s="183"/>
      <c r="U160" s="183"/>
      <c r="V160" s="183"/>
      <c r="W160" s="183"/>
      <c r="X160" s="183"/>
      <c r="Y160" s="183"/>
      <c r="Z160" s="183"/>
    </row>
    <row r="161" spans="1:26" ht="15.75" customHeight="1">
      <c r="A161" s="233"/>
      <c r="B161" s="226" t="s">
        <v>163</v>
      </c>
      <c r="C161" s="376">
        <v>50590.409999999996</v>
      </c>
      <c r="D161" s="183"/>
      <c r="E161" s="183"/>
      <c r="F161" s="183"/>
      <c r="G161" s="183"/>
      <c r="H161" s="183"/>
      <c r="I161" s="183"/>
      <c r="J161" s="183"/>
      <c r="K161" s="183"/>
      <c r="M161" s="183"/>
      <c r="T161" s="183"/>
      <c r="U161" s="183"/>
      <c r="V161" s="183"/>
      <c r="W161" s="183"/>
      <c r="X161" s="183"/>
      <c r="Y161" s="183"/>
      <c r="Z161" s="183"/>
    </row>
    <row r="162" spans="1:26" ht="15.75" customHeight="1">
      <c r="A162" s="233"/>
      <c r="B162" s="226"/>
      <c r="C162" s="216"/>
      <c r="D162" s="183"/>
      <c r="E162" s="183"/>
      <c r="F162" s="183"/>
      <c r="G162" s="183"/>
      <c r="H162" s="183"/>
      <c r="I162" s="183"/>
      <c r="J162" s="183"/>
      <c r="K162" s="183"/>
      <c r="M162" s="183"/>
      <c r="T162" s="183"/>
      <c r="U162" s="183"/>
      <c r="V162" s="183"/>
      <c r="W162" s="183"/>
      <c r="X162" s="183"/>
      <c r="Y162" s="183"/>
      <c r="Z162" s="183"/>
    </row>
    <row r="163" spans="1:26" ht="15.75" customHeight="1">
      <c r="A163" s="233"/>
      <c r="B163" s="226"/>
      <c r="C163" s="216"/>
      <c r="D163" s="183"/>
      <c r="E163" s="183"/>
      <c r="F163" s="183"/>
      <c r="G163" s="183"/>
      <c r="H163" s="183"/>
      <c r="I163" s="183"/>
      <c r="J163" s="183"/>
      <c r="K163" s="183"/>
      <c r="M163" s="183"/>
      <c r="T163" s="183"/>
      <c r="U163" s="183"/>
      <c r="V163" s="183"/>
      <c r="W163" s="183"/>
      <c r="X163" s="183"/>
      <c r="Y163" s="183"/>
      <c r="Z163" s="183"/>
    </row>
    <row r="164" spans="1:26" ht="15.75" customHeight="1">
      <c r="A164" s="233"/>
      <c r="B164" s="226"/>
      <c r="C164" s="216"/>
      <c r="D164" s="183"/>
      <c r="E164" s="183"/>
      <c r="F164" s="183"/>
      <c r="G164" s="183"/>
      <c r="H164" s="183"/>
      <c r="I164" s="183"/>
      <c r="J164" s="183"/>
      <c r="K164" s="183"/>
      <c r="M164" s="183"/>
      <c r="T164" s="183"/>
      <c r="U164" s="183"/>
      <c r="V164" s="183"/>
      <c r="W164" s="183"/>
      <c r="X164" s="183"/>
      <c r="Y164" s="183"/>
      <c r="Z164" s="183"/>
    </row>
    <row r="165" spans="1:26" ht="15.75" customHeight="1">
      <c r="A165" s="233"/>
      <c r="B165" s="388" t="s">
        <v>498</v>
      </c>
      <c r="C165" s="216"/>
      <c r="D165" s="183"/>
      <c r="E165" s="183"/>
      <c r="F165" s="183"/>
      <c r="G165" s="183"/>
      <c r="H165" s="183"/>
      <c r="I165" s="183"/>
      <c r="J165" s="183"/>
      <c r="K165" s="183"/>
      <c r="M165" s="183"/>
      <c r="T165" s="183"/>
      <c r="U165" s="183"/>
      <c r="V165" s="183"/>
      <c r="W165" s="183"/>
      <c r="X165" s="183"/>
      <c r="Y165" s="183"/>
      <c r="Z165" s="183"/>
    </row>
    <row r="166" spans="1:26" ht="15.75" customHeight="1">
      <c r="A166" s="233"/>
      <c r="B166" s="226" t="str">
        <f>'P&amp;L INC'!C47</f>
        <v xml:space="preserve">Exchange rate </v>
      </c>
      <c r="C166" s="376">
        <f>'P&amp;L INC'!F47</f>
        <v>641947.81000000006</v>
      </c>
      <c r="D166" s="183"/>
      <c r="E166" s="183"/>
      <c r="F166" s="183"/>
      <c r="G166" s="183"/>
      <c r="H166" s="183"/>
      <c r="I166" s="183"/>
      <c r="J166" s="183"/>
      <c r="K166" s="183"/>
      <c r="M166" s="183"/>
      <c r="T166" s="183"/>
      <c r="U166" s="183"/>
      <c r="V166" s="183"/>
      <c r="W166" s="183"/>
      <c r="X166" s="183"/>
      <c r="Y166" s="183"/>
      <c r="Z166" s="183"/>
    </row>
    <row r="167" spans="1:26" ht="15.75" customHeight="1">
      <c r="A167" s="233"/>
      <c r="B167" s="226"/>
      <c r="C167" s="216"/>
      <c r="D167" s="183"/>
      <c r="E167" s="183"/>
      <c r="F167" s="183"/>
      <c r="G167" s="183"/>
      <c r="H167" s="183"/>
      <c r="I167" s="183"/>
      <c r="J167" s="183"/>
      <c r="K167" s="183"/>
      <c r="M167" s="183"/>
      <c r="T167" s="183"/>
      <c r="U167" s="183"/>
      <c r="V167" s="183"/>
      <c r="W167" s="183"/>
      <c r="X167" s="183"/>
      <c r="Y167" s="183"/>
      <c r="Z167" s="183"/>
    </row>
    <row r="168" spans="1:26" ht="15.75" customHeight="1">
      <c r="A168" s="233"/>
      <c r="B168" s="226"/>
      <c r="C168" s="216"/>
      <c r="D168" s="183"/>
      <c r="E168" s="183"/>
      <c r="F168" s="183"/>
      <c r="G168" s="183"/>
      <c r="H168" s="183"/>
      <c r="I168" s="183"/>
      <c r="J168" s="183"/>
      <c r="K168" s="183"/>
      <c r="M168" s="183"/>
      <c r="T168" s="183"/>
      <c r="U168" s="183"/>
      <c r="V168" s="183"/>
      <c r="W168" s="183"/>
      <c r="X168" s="183"/>
      <c r="Y168" s="183"/>
      <c r="Z168" s="183"/>
    </row>
    <row r="169" spans="1:26" ht="15.75" customHeight="1">
      <c r="A169" s="233"/>
      <c r="B169" s="226"/>
      <c r="C169" s="216"/>
      <c r="D169" s="183"/>
      <c r="E169" s="183"/>
      <c r="F169" s="183"/>
      <c r="G169" s="183"/>
      <c r="H169" s="183"/>
      <c r="I169" s="183"/>
      <c r="J169" s="183"/>
      <c r="K169" s="183"/>
      <c r="M169" s="183"/>
      <c r="T169" s="183"/>
      <c r="U169" s="183"/>
      <c r="V169" s="183"/>
      <c r="W169" s="183"/>
      <c r="X169" s="183"/>
      <c r="Y169" s="183"/>
      <c r="Z169" s="183"/>
    </row>
    <row r="170" spans="1:26" ht="15.75" customHeight="1">
      <c r="A170" s="233"/>
      <c r="B170" s="226"/>
      <c r="C170" s="216"/>
      <c r="D170" s="183"/>
      <c r="E170" s="183"/>
      <c r="F170" s="183"/>
      <c r="G170" s="183"/>
      <c r="H170" s="183"/>
      <c r="I170" s="183"/>
      <c r="J170" s="183"/>
      <c r="K170" s="183"/>
      <c r="M170" s="183"/>
      <c r="T170" s="183"/>
      <c r="U170" s="183"/>
      <c r="V170" s="183"/>
      <c r="W170" s="183"/>
      <c r="X170" s="183"/>
      <c r="Y170" s="183"/>
      <c r="Z170" s="183"/>
    </row>
    <row r="171" spans="1:26" ht="15.75" customHeight="1">
      <c r="A171" s="233"/>
      <c r="B171" s="226"/>
      <c r="C171" s="216"/>
      <c r="D171" s="183"/>
      <c r="E171" s="183"/>
      <c r="F171" s="183"/>
      <c r="G171" s="183"/>
      <c r="H171" s="183"/>
      <c r="I171" s="183"/>
      <c r="J171" s="183"/>
      <c r="K171" s="183"/>
      <c r="M171" s="183"/>
      <c r="T171" s="183"/>
      <c r="U171" s="183"/>
      <c r="V171" s="183"/>
      <c r="W171" s="183"/>
      <c r="X171" s="183"/>
      <c r="Y171" s="183"/>
      <c r="Z171" s="183"/>
    </row>
    <row r="172" spans="1:26" ht="15.75" customHeight="1">
      <c r="A172" s="233"/>
      <c r="B172" s="226"/>
      <c r="C172" s="216"/>
      <c r="D172" s="183"/>
      <c r="E172" s="183"/>
      <c r="F172" s="183"/>
      <c r="G172" s="183"/>
      <c r="H172" s="183"/>
      <c r="I172" s="183"/>
      <c r="J172" s="183"/>
      <c r="K172" s="183"/>
      <c r="M172" s="183"/>
      <c r="T172" s="183"/>
      <c r="U172" s="183"/>
      <c r="V172" s="183"/>
      <c r="W172" s="183"/>
      <c r="X172" s="183"/>
      <c r="Y172" s="183"/>
      <c r="Z172" s="183"/>
    </row>
    <row r="173" spans="1:26" ht="15.75" customHeight="1">
      <c r="A173" s="233"/>
      <c r="B173" s="226"/>
      <c r="C173" s="216"/>
      <c r="D173" s="183"/>
      <c r="E173" s="183"/>
      <c r="F173" s="183"/>
      <c r="G173" s="183"/>
      <c r="H173" s="183"/>
      <c r="I173" s="183"/>
      <c r="J173" s="183"/>
      <c r="K173" s="183"/>
      <c r="M173" s="183"/>
      <c r="T173" s="183"/>
      <c r="U173" s="183"/>
      <c r="V173" s="183"/>
      <c r="W173" s="183"/>
      <c r="X173" s="183"/>
      <c r="Y173" s="183"/>
      <c r="Z173" s="183"/>
    </row>
    <row r="174" spans="1:26" ht="15.75" customHeight="1">
      <c r="A174" s="233"/>
      <c r="B174" s="226" t="s">
        <v>386</v>
      </c>
      <c r="C174" s="216">
        <f>SUM(C148:C172)</f>
        <v>731369.94</v>
      </c>
      <c r="D174" s="183"/>
      <c r="E174" s="234"/>
      <c r="F174" s="183"/>
      <c r="G174" s="183"/>
      <c r="H174" s="183"/>
      <c r="I174" s="183"/>
      <c r="J174" s="183"/>
      <c r="K174" s="183"/>
      <c r="M174" s="183"/>
      <c r="T174" s="183"/>
      <c r="U174" s="183"/>
      <c r="V174" s="183"/>
      <c r="W174" s="183"/>
      <c r="X174" s="183"/>
      <c r="Y174" s="183"/>
      <c r="Z174" s="183"/>
    </row>
    <row r="175" spans="1:26" ht="15.75" customHeight="1" thickBot="1">
      <c r="A175" s="233"/>
      <c r="B175" s="227" t="s">
        <v>380</v>
      </c>
      <c r="C175" s="249">
        <f>K36+C174</f>
        <v>0</v>
      </c>
      <c r="D175" s="183"/>
      <c r="E175" s="183"/>
      <c r="F175" s="183"/>
      <c r="G175" s="183"/>
      <c r="H175" s="183"/>
      <c r="I175" s="183"/>
      <c r="J175" s="183"/>
      <c r="K175" s="183"/>
      <c r="M175" s="183"/>
      <c r="T175" s="183"/>
      <c r="U175" s="183"/>
      <c r="V175" s="183"/>
      <c r="W175" s="183"/>
      <c r="X175" s="183"/>
      <c r="Y175" s="183"/>
      <c r="Z175" s="183"/>
    </row>
    <row r="176" spans="1:26" ht="15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M176" s="183"/>
      <c r="T176" s="183"/>
      <c r="U176" s="183"/>
      <c r="V176" s="183"/>
      <c r="W176" s="183"/>
      <c r="X176" s="183"/>
      <c r="Y176" s="183"/>
      <c r="Z176" s="183"/>
    </row>
    <row r="177" spans="1:26" ht="15.75" customHeight="1" thickBo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M177" s="183"/>
      <c r="T177" s="183"/>
      <c r="U177" s="183"/>
      <c r="V177" s="183"/>
      <c r="W177" s="183"/>
      <c r="X177" s="183"/>
      <c r="Y177" s="183"/>
      <c r="Z177" s="183"/>
    </row>
    <row r="178" spans="1:26" ht="15.75" customHeight="1">
      <c r="A178" s="233">
        <v>8</v>
      </c>
      <c r="B178" s="193" t="s">
        <v>500</v>
      </c>
      <c r="C178" s="194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T178" s="183"/>
      <c r="U178" s="183"/>
      <c r="V178" s="183"/>
      <c r="W178" s="183"/>
      <c r="X178" s="183"/>
      <c r="Y178" s="183"/>
      <c r="Z178" s="183"/>
    </row>
    <row r="179" spans="1:26" ht="15.75" customHeight="1">
      <c r="A179" s="183"/>
      <c r="B179" s="226" t="s">
        <v>501</v>
      </c>
      <c r="C179" s="200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T179" s="183"/>
      <c r="U179" s="183"/>
      <c r="V179" s="183"/>
      <c r="W179" s="183"/>
      <c r="X179" s="183"/>
      <c r="Y179" s="183"/>
      <c r="Z179" s="183"/>
    </row>
    <row r="180" spans="1:26" ht="15.75" customHeight="1">
      <c r="A180" s="183"/>
      <c r="B180" s="226"/>
      <c r="C180" s="200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T180" s="183"/>
      <c r="U180" s="183"/>
      <c r="V180" s="183"/>
      <c r="W180" s="183"/>
      <c r="X180" s="183"/>
      <c r="Y180" s="183"/>
      <c r="Z180" s="183"/>
    </row>
    <row r="181" spans="1:26" ht="15.75" customHeight="1">
      <c r="A181" s="183"/>
      <c r="B181" s="226" t="s">
        <v>382</v>
      </c>
      <c r="C181" s="390">
        <f>D13</f>
        <v>409121.67068222899</v>
      </c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T181" s="183"/>
      <c r="U181" s="183"/>
      <c r="V181" s="183"/>
      <c r="W181" s="183"/>
      <c r="X181" s="183"/>
      <c r="Y181" s="183"/>
      <c r="Z181" s="183"/>
    </row>
    <row r="182" spans="1:26" ht="15.75" customHeight="1">
      <c r="A182" s="183"/>
      <c r="B182" s="226" t="s">
        <v>502</v>
      </c>
      <c r="C182" s="389">
        <f>I13</f>
        <v>19064115.758040592</v>
      </c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spans="1:26" ht="15.75" customHeight="1">
      <c r="A183" s="183"/>
      <c r="B183" s="226" t="s">
        <v>385</v>
      </c>
      <c r="C183" s="389">
        <f>E185</f>
        <v>-564170.08416054188</v>
      </c>
      <c r="D183" s="183"/>
      <c r="E183" s="329">
        <v>183313.19952441746</v>
      </c>
      <c r="F183" s="183" t="s">
        <v>1683</v>
      </c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spans="1:26" ht="15.75" customHeight="1">
      <c r="A184" s="183"/>
      <c r="B184" s="226"/>
      <c r="C184" s="200"/>
      <c r="D184" s="183"/>
      <c r="E184" s="329">
        <v>380856.88463612448</v>
      </c>
      <c r="F184" s="183" t="s">
        <v>1682</v>
      </c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spans="1:26" ht="15.75" customHeight="1">
      <c r="A185" s="183"/>
      <c r="B185" s="226" t="s">
        <v>386</v>
      </c>
      <c r="C185" s="390">
        <f>SUM(C181:C183)</f>
        <v>18909067.344562281</v>
      </c>
      <c r="D185" s="183"/>
      <c r="E185" s="329">
        <f>-SUM(E183:E184)</f>
        <v>-564170.08416054188</v>
      </c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spans="1:26" ht="15.75" customHeight="1">
      <c r="A186" s="183"/>
      <c r="B186" s="226" t="s">
        <v>380</v>
      </c>
      <c r="C186" s="390">
        <f>C185-L13</f>
        <v>-1277199.6554377191</v>
      </c>
      <c r="D186" s="183"/>
      <c r="E186" s="234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spans="1:26" ht="15.75" customHeight="1">
      <c r="A187" s="183"/>
      <c r="B187" s="226"/>
      <c r="C187" s="200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spans="1:26" ht="15.75" customHeight="1">
      <c r="A188" s="183"/>
      <c r="B188" s="226" t="s">
        <v>503</v>
      </c>
      <c r="C188" s="200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spans="1:26" ht="15.75" customHeight="1">
      <c r="A189" s="183"/>
      <c r="B189" s="226"/>
      <c r="C189" s="200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spans="1:26" ht="15.75" customHeight="1">
      <c r="A190" s="183"/>
      <c r="B190" s="226" t="s">
        <v>382</v>
      </c>
      <c r="C190" s="390">
        <f>D23</f>
        <v>-385359.68776446173</v>
      </c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spans="1:26" ht="15.75" customHeight="1">
      <c r="A191" s="183"/>
      <c r="B191" s="226" t="s">
        <v>502</v>
      </c>
      <c r="C191" s="389">
        <f>-C182</f>
        <v>-19064115.758040592</v>
      </c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spans="1:26" ht="15.75" customHeight="1">
      <c r="A192" s="183"/>
      <c r="B192" s="226" t="s">
        <v>403</v>
      </c>
      <c r="C192" s="389">
        <f>690725.904722954+355926.892449614</f>
        <v>1046652.797172568</v>
      </c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spans="1:26" ht="15.75" customHeight="1">
      <c r="A193" s="183"/>
      <c r="B193" s="226" t="s">
        <v>490</v>
      </c>
      <c r="C193" s="389">
        <f>233717.144744074+3167.2100207844</f>
        <v>236884.35476485841</v>
      </c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spans="1:26" ht="15.75" customHeight="1">
      <c r="A194" s="183"/>
      <c r="B194" s="226"/>
      <c r="C194" s="200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spans="1:26" ht="15.75" customHeight="1">
      <c r="A195" s="183"/>
      <c r="B195" s="226" t="s">
        <v>386</v>
      </c>
      <c r="C195" s="390">
        <f>SUM(C190:C193)</f>
        <v>-18165938.293867625</v>
      </c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spans="1:26" ht="15.75" customHeight="1" thickBot="1">
      <c r="A196" s="183"/>
      <c r="B196" s="227" t="s">
        <v>380</v>
      </c>
      <c r="C196" s="391">
        <f>C195-L23</f>
        <v>-17207021.506176326</v>
      </c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spans="1:26" ht="15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spans="1:26" ht="15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spans="1:26" ht="15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spans="1:26" ht="15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spans="1:26" ht="15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spans="1:26" ht="15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spans="1:26" ht="15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spans="1:26" ht="15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spans="1:26" ht="15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spans="1:2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spans="1:26" ht="15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spans="1:26" ht="15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spans="1:26" ht="15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spans="1:26" ht="15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spans="1:26" ht="15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spans="1:26" ht="15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spans="1:26" ht="15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spans="1:26" ht="15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spans="1:26" ht="15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spans="1:26" ht="15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spans="1:26" ht="15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spans="1:26" ht="15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spans="1:26" ht="15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spans="1:26" ht="15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spans="1:26" ht="15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spans="1:26" ht="15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spans="1:26" ht="15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spans="1:26" ht="15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spans="1:26" ht="15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spans="1:26" ht="15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spans="1:26" ht="15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spans="1:26" ht="15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spans="1:26" ht="15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spans="1:26" ht="15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spans="1:26" ht="15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spans="1:26" ht="15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spans="1:26" ht="15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spans="1:26" ht="15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spans="1:26" ht="15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spans="1:26" ht="15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spans="1:26" ht="15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spans="1:26" ht="15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spans="1:26" ht="15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spans="1:26" ht="15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spans="1:26" ht="15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spans="1:26" ht="15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spans="1:26" ht="15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spans="1:26" ht="15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spans="1:26" ht="15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spans="1:26" ht="15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spans="1:26" ht="15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spans="1:26" ht="15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spans="1:26" ht="15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spans="1:26" ht="15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spans="1:26" ht="15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spans="1:26" ht="15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spans="1:26" ht="15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spans="1:26" ht="15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spans="1:26" ht="15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spans="1:26" ht="15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spans="1:26" ht="15.75" customHeight="1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spans="1:26" ht="15.75" customHeight="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spans="1:26" ht="15.75" customHeight="1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spans="1:26" ht="15.75" customHeight="1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spans="1:26" ht="15.75" customHeight="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spans="1:26" ht="15.75" customHeight="1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spans="1:26" ht="15.75" customHeight="1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spans="1:26" ht="15.75" customHeight="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spans="1:26" ht="15.75" customHeight="1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spans="1:26" ht="15.75" customHeight="1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spans="1:26" ht="15.75" customHeight="1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spans="1:26" ht="15.75" customHeight="1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spans="1:26" ht="15.75" customHeight="1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spans="1:26" ht="15.75" customHeight="1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spans="1:26" ht="15.75" customHeight="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spans="1:26" ht="15.75" customHeight="1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spans="1:26" ht="15.75" customHeight="1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spans="1:26" ht="15.75" customHeight="1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spans="1:26" ht="15.75" customHeight="1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spans="1:26" ht="15.75" customHeight="1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spans="1:26" ht="15.75" customHeight="1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spans="1:26" ht="15.75" customHeight="1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spans="1:26" ht="15.75" customHeight="1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spans="1:26" ht="15.75" customHeight="1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spans="1:26" ht="15.75" customHeight="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spans="1:26" ht="15.75" customHeight="1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spans="1:26" ht="15.75" customHeight="1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spans="1:26" ht="15.75" customHeight="1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spans="1:26" ht="15.75" customHeight="1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spans="1:26" ht="15.75" customHeight="1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spans="1:26" ht="15.75" customHeight="1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spans="1:26" ht="15.75" customHeight="1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spans="1:26" ht="15.75" customHeight="1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spans="1:26" ht="15.75" customHeight="1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spans="1:26" ht="15.75" customHeight="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spans="1:26" ht="15.75" customHeight="1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spans="1:26" ht="15.75" customHeight="1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spans="1:26" ht="15.75" customHeight="1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spans="1:26" ht="15.75" customHeight="1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spans="1:26" ht="15.75" customHeight="1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spans="1:26" ht="15.75" customHeight="1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spans="1:26" ht="15.75" customHeight="1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spans="1:26" ht="15.75" customHeight="1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spans="1:26" ht="15.75" customHeight="1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spans="1:26" ht="15.75" customHeight="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spans="1:26" ht="15.75" customHeight="1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spans="1:26" ht="15.75" customHeight="1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spans="1:26" ht="15.75" customHeight="1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spans="1:26" ht="15.75" customHeight="1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spans="1:26" ht="15.75" customHeight="1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spans="1:26" ht="15.75" customHeight="1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spans="1:26" ht="15.75" customHeight="1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spans="1:26" ht="15.75" customHeight="1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spans="1:26" ht="15.75" customHeight="1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spans="1:26" ht="15.75" customHeight="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spans="1:26" ht="15.75" customHeight="1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spans="1:26" ht="15.75" customHeight="1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spans="1:26" ht="15.75" customHeight="1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spans="1:26" ht="15.75" customHeight="1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spans="1:26" ht="15.75" customHeight="1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spans="1:26" ht="15.75" customHeight="1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spans="1:26" ht="15.75" customHeight="1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spans="1:26" ht="15.75" customHeight="1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spans="1:26" ht="15.75" customHeight="1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spans="1:26" ht="15.75" customHeight="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spans="1:26" ht="15.75" customHeight="1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spans="1:26" ht="15.75" customHeight="1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spans="1:26" ht="15.75" customHeight="1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spans="1:26" ht="15.75" customHeight="1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spans="1:26" ht="15.75" customHeight="1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spans="1:26" ht="15.75" customHeight="1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spans="1:26" ht="15.75" customHeight="1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spans="1:26" ht="15.75" customHeight="1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spans="1:26" ht="15.75" customHeight="1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spans="1:26" ht="15.75" customHeight="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spans="1:26" ht="15.75" customHeight="1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spans="1:26" ht="15.75" customHeight="1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spans="1:26" ht="15.75" customHeight="1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spans="1:26" ht="15.75" customHeight="1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spans="1:26" ht="15.75" customHeight="1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spans="1:26" ht="15.75" customHeight="1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spans="1:26" ht="15.75" customHeight="1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spans="1:26" ht="15.75" customHeight="1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spans="1:26" ht="15.75" customHeight="1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spans="1:26" ht="15.75" customHeight="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spans="1:26" ht="15.75" customHeight="1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spans="1:26" ht="15.75" customHeight="1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spans="1:26" ht="15.75" customHeight="1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spans="1:26" ht="15.75" customHeight="1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spans="1:26" ht="15.75" customHeight="1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spans="1:26" ht="15.75" customHeight="1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spans="1:26" ht="15.75" customHeight="1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spans="1:26" ht="15.75" customHeight="1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spans="1:26" ht="15.75" customHeight="1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spans="1:26" ht="15.75" customHeight="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spans="1:26" ht="15.75" customHeight="1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spans="1:26" ht="15.75" customHeight="1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spans="1:26" ht="15.75" customHeight="1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spans="1:26" ht="15.75" customHeight="1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spans="1:26" ht="15.75" customHeight="1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spans="1:26" ht="15.75" customHeight="1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spans="1:26" ht="15.75" customHeight="1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spans="1:26" ht="15.75" customHeight="1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spans="1:26" ht="15.75" customHeight="1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spans="1:26" ht="15.75" customHeight="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spans="1:26" ht="15.75" customHeight="1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spans="1:26" ht="15.75" customHeight="1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spans="1:26" ht="15.75" customHeight="1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spans="1:26" ht="15.75" customHeight="1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spans="1:26" ht="15.75" customHeight="1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spans="1:26" ht="15.75" customHeight="1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spans="1:26" ht="15.75" customHeight="1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spans="1:26" ht="15.75" customHeight="1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spans="1:26" ht="15.75" customHeight="1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spans="1:26" ht="15.75" customHeight="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spans="1:26" ht="15.75" customHeight="1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spans="1:26" ht="15.75" customHeight="1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spans="1:26" ht="15.75" customHeight="1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spans="1:26" ht="15.75" customHeight="1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spans="1:26" ht="15.75" customHeight="1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spans="1:26" ht="15.75" customHeight="1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spans="1:26" ht="15.75" customHeight="1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spans="1:26" ht="15.75" customHeight="1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spans="1:26" ht="15.75" customHeight="1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spans="1:26" ht="15.75" customHeight="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spans="1:26" ht="15.75" customHeight="1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spans="1:26" ht="15.75" customHeight="1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spans="1:26" ht="15.75" customHeight="1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spans="1:26" ht="15.75" customHeight="1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spans="1:26" ht="15.75" customHeight="1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spans="1:26" ht="15.75" customHeight="1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spans="1:26" ht="15.75" customHeight="1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spans="1:26" ht="15.75" customHeight="1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spans="1:26" ht="15.75" customHeight="1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spans="1:26" ht="15.75" customHeight="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spans="1:26" ht="15.75" customHeight="1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spans="1:26" ht="15.75" customHeight="1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spans="1:26" ht="15.75" customHeight="1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spans="1:26" ht="15.75" customHeight="1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spans="1:26" ht="15.75" customHeight="1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spans="1:26" ht="15.75" customHeight="1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spans="1:26" ht="15.75" customHeight="1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spans="1:26" ht="15.75" customHeight="1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spans="1:26" ht="15.75" customHeight="1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spans="1:26" ht="15.75" customHeight="1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spans="1:26" ht="15.75" customHeight="1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spans="1:26" ht="15.75" customHeight="1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spans="1:26" ht="15.75" customHeight="1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spans="1:26" ht="15.75" customHeight="1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spans="1:26" ht="15.75" customHeight="1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spans="1:26" ht="15.75" customHeight="1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spans="1:26" ht="15.75" customHeight="1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spans="1:26" ht="15.75" customHeight="1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spans="1:26" ht="15.75" customHeight="1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spans="1:26" ht="15.75" customHeight="1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spans="1:26" ht="15.75" customHeight="1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spans="1:26" ht="15.75" customHeight="1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spans="1:26" ht="15.75" customHeight="1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spans="1:26" ht="15.75" customHeight="1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spans="1:26" ht="15.75" customHeight="1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spans="1:26" ht="15.75" customHeight="1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spans="1:26" ht="15.75" customHeight="1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spans="1:26" ht="15.75" customHeight="1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spans="1:26" ht="15.75" customHeight="1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spans="1:26" ht="15.75" customHeight="1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spans="1:26" ht="15.75" customHeight="1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spans="1:26" ht="15.75" customHeight="1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spans="1:26" ht="15.75" customHeight="1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spans="1:26" ht="15.75" customHeight="1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spans="1:26" ht="15.75" customHeight="1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spans="1:26" ht="15.75" customHeight="1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spans="1:26" ht="15.75" customHeight="1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spans="1:26" ht="15.75" customHeight="1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spans="1:26" ht="15.75" customHeight="1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spans="1:26" ht="15.75" customHeight="1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spans="1:26" ht="15.75" customHeight="1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spans="1:26" ht="15.75" customHeight="1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spans="1:26" ht="15.75" customHeight="1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spans="1:26" ht="15.75" customHeight="1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spans="1:26" ht="15.75" customHeight="1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spans="1:26" ht="15.75" customHeight="1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spans="1:26" ht="15.75" customHeight="1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spans="1:26" ht="15.75" customHeight="1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spans="1:26" ht="15.75" customHeight="1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spans="1:26" ht="15.75" customHeight="1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spans="1:26" ht="15.75" customHeight="1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spans="1:26" ht="15.75" customHeight="1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spans="1:26" ht="15.75" customHeight="1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spans="1:26" ht="15.75" customHeight="1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spans="1:26" ht="15.75" customHeight="1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spans="1:26" ht="15.75" customHeight="1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spans="1:26" ht="15.75" customHeight="1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spans="1:26" ht="15.75" customHeight="1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spans="1:26" ht="15.75" customHeight="1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spans="1:26" ht="15.75" customHeight="1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spans="1:26" ht="15.75" customHeight="1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spans="1:26" ht="15.75" customHeight="1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spans="1:26" ht="15.75" customHeight="1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spans="1:26" ht="15.75" customHeight="1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spans="1:26" ht="15.75" customHeight="1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spans="1:26" ht="15.75" customHeight="1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spans="1:26" ht="15.75" customHeight="1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spans="1:26" ht="15.75" customHeight="1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spans="1:26" ht="15.75" customHeight="1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spans="1:26" ht="15.75" customHeight="1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spans="1:26" ht="15.75" customHeight="1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spans="1:26" ht="15.75" customHeight="1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spans="1:26" ht="15.75" customHeight="1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spans="1:26" ht="15.75" customHeight="1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spans="1:26" ht="15.75" customHeight="1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spans="1:26" ht="15.75" customHeight="1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spans="1:26" ht="15.75" customHeight="1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spans="1:26" ht="15.75" customHeight="1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spans="1:26" ht="15.75" customHeight="1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spans="1:26" ht="15.75" customHeight="1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spans="1:26" ht="15.75" customHeight="1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spans="1:26" ht="15.75" customHeight="1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spans="1:26" ht="15.75" customHeight="1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spans="1:26" ht="15.75" customHeight="1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spans="1:26" ht="15.75" customHeight="1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spans="1:26" ht="15.75" customHeight="1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spans="1:26" ht="15.75" customHeight="1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spans="1:26" ht="15.75" customHeight="1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spans="1:26" ht="15.75" customHeight="1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spans="1:26" ht="15.75" customHeight="1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spans="1:26" ht="15.75" customHeight="1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spans="1:26" ht="15.75" customHeight="1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spans="1:26" ht="15.75" customHeight="1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spans="1:26" ht="15.75" customHeight="1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spans="1:26" ht="15.75" customHeight="1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spans="1:26" ht="15.75" customHeight="1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spans="1:26" ht="15.75" customHeight="1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spans="1:26" ht="15.75" customHeight="1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spans="1:26" ht="15.75" customHeight="1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spans="1:26" ht="15.75" customHeight="1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spans="1:26" ht="15.75" customHeight="1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spans="1:26" ht="15.75" customHeight="1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spans="1:26" ht="15.75" customHeight="1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spans="1:26" ht="15.75" customHeight="1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spans="1:26" ht="15.75" customHeight="1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spans="1:26" ht="15.75" customHeight="1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spans="1:26" ht="15.75" customHeight="1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spans="1:26" ht="15.75" customHeight="1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spans="1:26" ht="15.75" customHeight="1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spans="1:26" ht="15.75" customHeight="1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spans="1:26" ht="15.75" customHeight="1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spans="1:26" ht="15.75" customHeight="1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spans="1:26" ht="15.75" customHeight="1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spans="1:26" ht="15.75" customHeight="1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spans="1:26" ht="15.75" customHeight="1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spans="1:26" ht="15.75" customHeight="1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spans="1:26" ht="15.75" customHeight="1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spans="1:26" ht="15.75" customHeight="1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spans="1:26" ht="15.75" customHeight="1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spans="1:26" ht="15.75" customHeight="1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spans="1:26" ht="15.75" customHeight="1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spans="1:26" ht="15.75" customHeight="1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spans="1:26" ht="15.75" customHeight="1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spans="1:26" ht="15.75" customHeight="1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spans="1:26" ht="15.75" customHeight="1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spans="1:26" ht="15.75" customHeight="1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spans="1:26" ht="15.75" customHeight="1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spans="1:26" ht="15.75" customHeight="1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spans="1:26" ht="15.75" customHeight="1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spans="1:26" ht="15.75" customHeight="1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spans="1:26" ht="15.75" customHeight="1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spans="1:26" ht="15.75" customHeight="1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spans="1:26" ht="15.75" customHeight="1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spans="1:26" ht="15.75" customHeight="1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spans="1:26" ht="15.75" customHeight="1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spans="1:26" ht="15.75" customHeight="1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spans="1:26" ht="15.75" customHeight="1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spans="1:26" ht="15.75" customHeight="1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spans="1:26" ht="15.75" customHeight="1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spans="1:26" ht="15.75" customHeight="1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spans="1:26" ht="15.75" customHeight="1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spans="1:26" ht="15.75" customHeight="1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spans="1:26" ht="15.75" customHeight="1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spans="1:26" ht="15.75" customHeight="1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spans="1:26" ht="15.75" customHeight="1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spans="1:26" ht="15.75" customHeight="1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spans="1:26" ht="15.75" customHeight="1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spans="1:26" ht="15.75" customHeight="1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spans="1:26" ht="15.75" customHeight="1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spans="1:26" ht="15.75" customHeight="1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spans="1:26" ht="15.75" customHeight="1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spans="1:26" ht="15.75" customHeight="1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spans="1:26" ht="15.75" customHeight="1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spans="1:26" ht="15.75" customHeight="1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spans="1:26" ht="15.75" customHeight="1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spans="1:26" ht="15.75" customHeight="1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spans="1:26" ht="15.75" customHeight="1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spans="1:26" ht="15.75" customHeight="1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spans="1:26" ht="15.75" customHeight="1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spans="1:26" ht="15.75" customHeight="1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spans="1:26" ht="15.75" customHeight="1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spans="1:26" ht="15.75" customHeight="1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spans="1:26" ht="15.75" customHeight="1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spans="1:26" ht="15.75" customHeight="1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spans="1:26" ht="15.75" customHeight="1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spans="1:26" ht="15.75" customHeight="1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spans="1:26" ht="15.75" customHeight="1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spans="1:26" ht="15.75" customHeight="1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spans="1:26" ht="15.75" customHeight="1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spans="1:26" ht="15.75" customHeight="1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spans="1:26" ht="15.75" customHeight="1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spans="1:26" ht="15.75" customHeight="1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spans="1:26" ht="15.75" customHeight="1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spans="1:26" ht="15.75" customHeight="1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spans="1:26" ht="15.75" customHeight="1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spans="1:26" ht="15.75" customHeight="1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spans="1:26" ht="15.75" customHeight="1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spans="1:26" ht="15.75" customHeight="1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spans="1:26" ht="15.75" customHeight="1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spans="1:26" ht="15.75" customHeight="1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spans="1:26" ht="15.75" customHeight="1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spans="1:26" ht="15.75" customHeight="1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spans="1:26" ht="15.75" customHeight="1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spans="1:26" ht="15.75" customHeight="1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spans="1:26" ht="15.75" customHeight="1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spans="1:26" ht="15.75" customHeight="1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spans="1:26" ht="15.75" customHeight="1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spans="1:26" ht="15.75" customHeight="1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spans="1:26" ht="15.75" customHeight="1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spans="1:26" ht="15.75" customHeight="1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spans="1:26" ht="15.75" customHeight="1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spans="1:26" ht="15.75" customHeight="1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spans="1:26" ht="15.75" customHeight="1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spans="1:26" ht="15.75" customHeight="1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spans="1:26" ht="15.75" customHeight="1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spans="1:26" ht="15.75" customHeight="1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spans="1:26" ht="15.75" customHeight="1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spans="1:26" ht="15.75" customHeight="1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spans="1:26" ht="15.75" customHeight="1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spans="1:26" ht="15.75" customHeight="1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spans="1:26" ht="15.75" customHeight="1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spans="1:26" ht="15.75" customHeight="1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spans="1:26" ht="15.75" customHeight="1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spans="1:26" ht="15.75" customHeight="1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spans="1:26" ht="15.75" customHeight="1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spans="1:26" ht="15.75" customHeight="1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spans="1:26" ht="15.75" customHeight="1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spans="1:26" ht="15.75" customHeight="1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spans="1:26" ht="15.75" customHeight="1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spans="1:26" ht="15.75" customHeight="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spans="1:26" ht="15.75" customHeight="1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spans="1:26" ht="15.75" customHeight="1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spans="1:26" ht="15.75" customHeight="1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spans="1:26" ht="15.75" customHeight="1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spans="1:26" ht="15.75" customHeight="1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spans="1:26" ht="15.75" customHeight="1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spans="1:26" ht="15.75" customHeight="1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spans="1:26" ht="15.75" customHeight="1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spans="1:26" ht="15.75" customHeight="1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spans="1:26" ht="15.75" customHeight="1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spans="1:26" ht="15.75" customHeight="1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spans="1:26" ht="15.75" customHeight="1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spans="1:26" ht="15.75" customHeight="1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spans="1:26" ht="15.75" customHeight="1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spans="1:26" ht="15.75" customHeight="1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spans="1:26" ht="15.75" customHeight="1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spans="1:26" ht="15.75" customHeight="1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spans="1:26" ht="15.75" customHeight="1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spans="1:26" ht="15.75" customHeight="1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spans="1:26" ht="15.75" customHeight="1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spans="1:26" ht="15.75" customHeight="1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spans="1:26" ht="15.75" customHeight="1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spans="1:26" ht="15.75" customHeight="1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spans="1:26" ht="15.75" customHeight="1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spans="1:26" ht="15.75" customHeight="1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spans="1:26" ht="15.75" customHeight="1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spans="1:26" ht="15.75" customHeight="1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spans="1:26" ht="15.75" customHeight="1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spans="1:26" ht="15.75" customHeight="1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spans="1:26" ht="15.75" customHeight="1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spans="1:26" ht="15.75" customHeight="1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spans="1:26" ht="15.75" customHeight="1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spans="1:26" ht="15.75" customHeight="1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spans="1:26" ht="15.75" customHeight="1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spans="1:26" ht="15.75" customHeight="1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spans="1:26" ht="15.75" customHeight="1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spans="1:26" ht="15.75" customHeight="1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spans="1:26" ht="15.75" customHeight="1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spans="1:26" ht="15.75" customHeight="1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spans="1:26" ht="15.75" customHeight="1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spans="1:26" ht="15.75" customHeight="1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spans="1:26" ht="15.75" customHeight="1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spans="1:26" ht="15.75" customHeight="1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spans="1:26" ht="15.75" customHeight="1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spans="1:26" ht="15.75" customHeight="1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spans="1:26" ht="15.75" customHeight="1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spans="1:26" ht="15.75" customHeight="1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spans="1:26" ht="15.75" customHeight="1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spans="1:26" ht="15.75" customHeight="1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spans="1:26" ht="15.75" customHeight="1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spans="1:26" ht="15.75" customHeight="1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spans="1:26" ht="15.75" customHeight="1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spans="1:26" ht="15.75" customHeight="1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spans="1:26" ht="15.75" customHeight="1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spans="1:26" ht="15.75" customHeight="1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spans="1:26" ht="15.75" customHeight="1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spans="1:26" ht="15.75" customHeight="1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spans="1:26" ht="15.75" customHeight="1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spans="1:26" ht="15.75" customHeight="1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spans="1:26" ht="15.75" customHeight="1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spans="1:26" ht="15.75" customHeight="1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spans="1:26" ht="15.75" customHeight="1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spans="1:26" ht="15.75" customHeight="1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spans="1:26" ht="15.75" customHeight="1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spans="1:26" ht="15.75" customHeight="1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spans="1:26" ht="15.75" customHeight="1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spans="1:26" ht="15.75" customHeight="1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spans="1:26" ht="15.75" customHeight="1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spans="1:26" ht="15.75" customHeight="1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spans="1:26" ht="15.75" customHeight="1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spans="1:26" ht="15.75" customHeight="1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spans="1:26" ht="15.75" customHeight="1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spans="1:26" ht="15.75" customHeight="1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spans="1:26" ht="15.75" customHeight="1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spans="1:26" ht="15.75" customHeight="1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spans="1:26" ht="15.75" customHeight="1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spans="1:26" ht="15.75" customHeight="1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spans="1:26" ht="15.75" customHeight="1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spans="1:26" ht="15.75" customHeight="1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spans="1:26" ht="15.75" customHeight="1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spans="1:26" ht="15.75" customHeight="1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spans="1:26" ht="15.75" customHeight="1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spans="1:26" ht="15.75" customHeight="1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spans="1:26" ht="15.75" customHeight="1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spans="1:26" ht="15.75" customHeight="1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spans="1:26" ht="15.75" customHeight="1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spans="1:26" ht="15.75" customHeight="1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spans="1:26" ht="15.75" customHeight="1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spans="1:26" ht="15.75" customHeight="1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spans="1:26" ht="15.75" customHeight="1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spans="1:26" ht="15.75" customHeight="1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spans="1:26" ht="15.75" customHeight="1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spans="1:26" ht="15.75" customHeight="1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spans="1:26" ht="15.75" customHeight="1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spans="1:26" ht="15.75" customHeight="1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spans="1:26" ht="15.75" customHeight="1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spans="1:26" ht="15.75" customHeight="1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spans="1:26" ht="15.75" customHeight="1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spans="1:26" ht="15.75" customHeight="1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spans="1:26" ht="15.75" customHeight="1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spans="1:26" ht="15.75" customHeight="1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spans="1:26" ht="15.75" customHeight="1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spans="1:26" ht="15.75" customHeight="1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spans="1:26" ht="15.75" customHeight="1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spans="1:26" ht="15.75" customHeight="1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spans="1:26" ht="15.75" customHeight="1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spans="1:26" ht="15.75" customHeight="1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spans="1:26" ht="15.75" customHeight="1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spans="1:26" ht="15.75" customHeight="1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spans="1:26" ht="15.75" customHeight="1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spans="1:26" ht="15.75" customHeight="1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spans="1:26" ht="15.75" customHeight="1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spans="1:26" ht="15.75" customHeight="1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spans="1:26" ht="15.75" customHeight="1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spans="1:26" ht="15.75" customHeight="1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spans="1:26" ht="15.75" customHeight="1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spans="1:26" ht="15.75" customHeight="1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spans="1:26" ht="15.75" customHeight="1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spans="1:26" ht="15.75" customHeight="1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spans="1:26" ht="15.75" customHeight="1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spans="1:26" ht="15.75" customHeight="1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spans="1:26" ht="15.75" customHeight="1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spans="1:26" ht="15.75" customHeight="1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spans="1:26" ht="15.75" customHeight="1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spans="1:26" ht="15.75" customHeight="1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spans="1:26" ht="15.75" customHeight="1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spans="1:26" ht="15.75" customHeight="1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spans="1:26" ht="15.75" customHeight="1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spans="1:26" ht="15.75" customHeight="1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spans="1:26" ht="15.75" customHeight="1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spans="1:26" ht="15.75" customHeight="1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spans="1:26" ht="15.75" customHeight="1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spans="1:26" ht="15.75" customHeight="1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spans="1:26" ht="15.75" customHeight="1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spans="1:26" ht="15.75" customHeight="1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spans="1:26" ht="15.75" customHeight="1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spans="1:26" ht="15.75" customHeight="1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spans="1:26" ht="15.75" customHeight="1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spans="1:26" ht="15.75" customHeight="1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spans="1:26" ht="15.75" customHeight="1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spans="1:26" ht="15.75" customHeight="1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spans="1:26" ht="15.75" customHeight="1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spans="1:26" ht="15.75" customHeight="1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spans="1:26" ht="15.75" customHeight="1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spans="1:26" ht="15.75" customHeight="1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spans="1:26" ht="15.75" customHeight="1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spans="1:26" ht="15.75" customHeight="1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spans="1:26" ht="15.75" customHeight="1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spans="1:26" ht="15.75" customHeight="1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spans="1:26" ht="15.75" customHeight="1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spans="1:26" ht="15.75" customHeight="1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spans="1:26" ht="15.75" customHeight="1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spans="1:26" ht="15.75" customHeight="1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spans="1:26" ht="15.75" customHeight="1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spans="1:26" ht="15.75" customHeight="1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spans="1:26" ht="15.75" customHeight="1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spans="1:26" ht="15.75" customHeight="1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spans="1:26" ht="15.75" customHeight="1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spans="1:26" ht="15.75" customHeight="1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spans="1:26" ht="15.75" customHeight="1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spans="1:26" ht="15.75" customHeight="1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spans="1:26" ht="15.75" customHeight="1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spans="1:26" ht="15.75" customHeight="1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spans="1:26" ht="15.75" customHeight="1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spans="1:26" ht="15.75" customHeight="1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spans="1:26" ht="15.75" customHeight="1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spans="1:26" ht="15.75" customHeight="1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spans="1:26" ht="15.75" customHeight="1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spans="1:26" ht="15.75" customHeight="1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spans="1:26" ht="15.75" customHeight="1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spans="1:26" ht="15.75" customHeight="1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spans="1:26" ht="15.75" customHeight="1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spans="1:26" ht="15.75" customHeight="1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spans="1:26" ht="15.75" customHeight="1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spans="1:26" ht="15.75" customHeight="1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spans="1:26" ht="15.75" customHeight="1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spans="1:26" ht="15.75" customHeight="1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spans="1:26" ht="15.75" customHeight="1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spans="1:26" ht="15.75" customHeight="1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spans="1:26" ht="15.75" customHeight="1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spans="1:26" ht="15.75" customHeight="1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spans="1:26" ht="15.75" customHeight="1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spans="1:26" ht="15.75" customHeight="1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spans="1:26" ht="15.75" customHeight="1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spans="1:26" ht="15.75" customHeight="1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spans="1:26" ht="15.75" customHeight="1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spans="1:26" ht="15.75" customHeight="1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spans="1:26" ht="15.75" customHeight="1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spans="1:26" ht="15.75" customHeight="1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spans="1:26" ht="15.75" customHeight="1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spans="1:26" ht="15.75" customHeight="1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spans="1:26" ht="15.75" customHeight="1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spans="1:26" ht="15.75" customHeight="1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spans="1:26" ht="15.75" customHeight="1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spans="1:26" ht="15.75" customHeight="1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spans="1:26" ht="15.75" customHeight="1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spans="1:26" ht="15.75" customHeight="1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spans="1:26" ht="15.75" customHeight="1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spans="1:26" ht="15.75" customHeight="1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spans="1:26" ht="15.75" customHeight="1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spans="1:26" ht="15.75" customHeight="1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spans="1:26" ht="15.75" customHeight="1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spans="1:26" ht="15.75" customHeight="1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spans="1:26" ht="15.75" customHeight="1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spans="1:26" ht="15.75" customHeight="1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spans="1:26" ht="15.75" customHeight="1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spans="1:26" ht="15.75" customHeight="1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spans="1:26" ht="15.75" customHeight="1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spans="1:26" ht="15.75" customHeight="1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spans="1:26" ht="15.75" customHeight="1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spans="1:26" ht="15.75" customHeight="1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spans="1:26" ht="15.75" customHeight="1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spans="1:26" ht="15.75" customHeight="1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spans="1:26" ht="15.75" customHeight="1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spans="1:26" ht="15.75" customHeight="1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spans="1:26" ht="15.75" customHeight="1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spans="1:26" ht="15.75" customHeight="1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spans="1:26" ht="15.75" customHeight="1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spans="1:26" ht="15.75" customHeight="1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spans="1:26" ht="15.75" customHeight="1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spans="1:26" ht="15.75" customHeight="1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spans="1:26" ht="15.75" customHeight="1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spans="1:26" ht="15.75" customHeight="1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spans="1:26" ht="15.75" customHeight="1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spans="1:26" ht="15.75" customHeight="1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spans="1:26" ht="15.75" customHeight="1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spans="1:26" ht="15.75" customHeight="1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spans="1:26" ht="15.75" customHeight="1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spans="1:26" ht="15.75" customHeight="1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spans="1:26" ht="15.75" customHeight="1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spans="1:26" ht="15.75" customHeight="1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spans="1:26" ht="15.75" customHeight="1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spans="1:26" ht="15.75" customHeight="1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spans="1:26" ht="15.75" customHeight="1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spans="1:26" ht="15.75" customHeight="1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spans="1:26" ht="15.75" customHeight="1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spans="1:26" ht="15.75" customHeight="1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spans="1:26" ht="15.75" customHeight="1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spans="1:26" ht="15.75" customHeight="1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spans="1:26" ht="15.75" customHeight="1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spans="1:26" ht="15.75" customHeight="1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spans="1:26" ht="15.75" customHeight="1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spans="1:26" ht="15.75" customHeight="1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spans="1:26" ht="15.75" customHeight="1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spans="1:26" ht="15.75" customHeight="1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spans="1:26" ht="15.75" customHeight="1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spans="1:26" ht="15.75" customHeight="1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spans="1:26" ht="15.75" customHeight="1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spans="1:26" ht="15.75" customHeight="1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spans="1:26" ht="15.75" customHeight="1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spans="1:26" ht="15.75" customHeight="1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spans="1:26" ht="15.75" customHeight="1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spans="1:26" ht="15.75" customHeight="1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spans="1:26" ht="15.75" customHeight="1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spans="1:26" ht="15.75" customHeight="1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spans="1:26" ht="15.75" customHeight="1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spans="1:26" ht="15.75" customHeight="1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spans="1:26" ht="15.75" customHeight="1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spans="1:26" ht="15.75" customHeight="1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spans="1:26" ht="15.75" customHeight="1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spans="1:26" ht="15.75" customHeight="1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spans="1:26" ht="15.75" customHeight="1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spans="1:26" ht="15.75" customHeight="1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spans="1:26" ht="15.75" customHeight="1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spans="1:26" ht="15.75" customHeight="1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spans="1:26" ht="15.75" customHeight="1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spans="1:26" ht="15.75" customHeight="1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spans="1:26" ht="15.75" customHeight="1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spans="1:26" ht="15.75" customHeight="1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spans="1:26" ht="15.75" customHeight="1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spans="1:26" ht="15.75" customHeight="1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spans="1:26" ht="15.75" customHeight="1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spans="1:26" ht="15.75" customHeight="1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spans="1:26" ht="15.75" customHeight="1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spans="1:26" ht="15.75" customHeight="1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spans="1:26" ht="15.75" customHeight="1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spans="1:26" ht="15.75" customHeight="1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spans="1:26" ht="15.75" customHeight="1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spans="1:26" ht="15.75" customHeight="1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spans="1:26" ht="15.75" customHeight="1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spans="1:26" ht="15.75" customHeight="1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spans="1:26" ht="15.75" customHeight="1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spans="1:26" ht="15.75" customHeight="1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spans="1:26" ht="15.75" customHeight="1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spans="1:26" ht="15.75" customHeight="1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spans="1:26" ht="15.75" customHeight="1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spans="1:26" ht="15.75" customHeight="1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spans="1:26" ht="15.75" customHeight="1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spans="1:26" ht="15.75" customHeight="1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spans="1:26" ht="15.75" customHeight="1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spans="1:26" ht="15.75" customHeight="1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spans="1:26" ht="15.75" customHeight="1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spans="1:26" ht="15.75" customHeight="1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spans="1:26" ht="15.75" customHeight="1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spans="1:26" ht="15.75" customHeight="1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spans="1:26" ht="15.75" customHeight="1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spans="1:26" ht="15.75" customHeight="1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spans="1:26" ht="15.75" customHeight="1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spans="1:26" ht="15.75" customHeight="1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spans="1:26" ht="15.75" customHeight="1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spans="1:26" ht="15.75" customHeight="1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spans="1:26" ht="15.75" customHeight="1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spans="1:26" ht="15.75" customHeight="1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spans="1:26" ht="15.75" customHeight="1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spans="1:26" ht="15.75" customHeight="1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spans="1:26" ht="15.75" customHeight="1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spans="1:26" ht="15.75" customHeight="1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spans="1:26" ht="15.75" customHeight="1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spans="1:26" ht="15.75" customHeight="1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spans="1:26" ht="15.75" customHeight="1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spans="1:26" ht="15.75" customHeight="1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spans="1:26" ht="15.75" customHeight="1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spans="1:26" ht="15.75" customHeight="1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spans="1:26" ht="15.75" customHeight="1">
      <c r="A915" s="183"/>
      <c r="B915" s="18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spans="1:26" ht="15.75" customHeight="1">
      <c r="A916" s="183"/>
      <c r="B916" s="183"/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spans="1:26" ht="15.75" customHeight="1">
      <c r="A917" s="183"/>
      <c r="B917" s="18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spans="1:26" ht="15.75" customHeight="1">
      <c r="A918" s="183"/>
      <c r="B918" s="183"/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spans="1:26" ht="15.75" customHeight="1">
      <c r="A919" s="183"/>
      <c r="B919" s="183"/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spans="1:26" ht="15.75" customHeight="1">
      <c r="A920" s="183"/>
      <c r="B920" s="183"/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spans="1:26" ht="15.75" customHeight="1">
      <c r="A921" s="183"/>
      <c r="B921" s="183"/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spans="1:26" ht="15.75" customHeight="1">
      <c r="A922" s="183"/>
      <c r="B922" s="183"/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spans="1:26" ht="15.75" customHeight="1">
      <c r="A923" s="183"/>
      <c r="B923" s="183"/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spans="1:26" ht="15.75" customHeight="1">
      <c r="A924" s="183"/>
      <c r="B924" s="183"/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spans="1:26" ht="15.75" customHeight="1">
      <c r="A925" s="183"/>
      <c r="B925" s="183"/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spans="1:26" ht="15.75" customHeight="1">
      <c r="A926" s="183"/>
      <c r="B926" s="183"/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spans="1:26" ht="15.75" customHeight="1">
      <c r="A927" s="183"/>
      <c r="B927" s="183"/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spans="1:26" ht="15.75" customHeight="1">
      <c r="A928" s="183"/>
      <c r="B928" s="183"/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spans="1:26" ht="15.75" customHeight="1">
      <c r="A929" s="183"/>
      <c r="B929" s="183"/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spans="1:26" ht="15.75" customHeight="1">
      <c r="A930" s="183"/>
      <c r="B930" s="183"/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spans="1:26" ht="15.75" customHeight="1">
      <c r="A931" s="183"/>
      <c r="B931" s="18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spans="1:26" ht="15.75" customHeight="1">
      <c r="A932" s="183"/>
      <c r="B932" s="183"/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spans="1:26" ht="15.75" customHeight="1">
      <c r="A933" s="183"/>
      <c r="B933" s="183"/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spans="1:26" ht="15.75" customHeight="1">
      <c r="A934" s="183"/>
      <c r="B934" s="183"/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spans="1:26" ht="15.75" customHeight="1">
      <c r="A935" s="183"/>
      <c r="B935" s="18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spans="1:26" ht="15.75" customHeight="1">
      <c r="A936" s="183"/>
      <c r="B936" s="183"/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spans="1:26" ht="15.75" customHeight="1">
      <c r="A937" s="183"/>
      <c r="B937" s="183"/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spans="1:26" ht="15.75" customHeight="1">
      <c r="A938" s="183"/>
      <c r="B938" s="183"/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spans="1:26" ht="15.75" customHeight="1">
      <c r="A939" s="183"/>
      <c r="B939" s="183"/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spans="1:26" ht="15.75" customHeight="1">
      <c r="A940" s="183"/>
      <c r="B940" s="183"/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spans="1:26" ht="15.75" customHeight="1">
      <c r="A941" s="183"/>
      <c r="B941" s="183"/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spans="1:26" ht="15.75" customHeight="1">
      <c r="A942" s="183"/>
      <c r="B942" s="183"/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spans="1:26" ht="15.75" customHeight="1">
      <c r="A943" s="183"/>
      <c r="B943" s="183"/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spans="1:26" ht="15.75" customHeight="1">
      <c r="A944" s="183"/>
      <c r="B944" s="183"/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spans="1:26" ht="15.75" customHeight="1">
      <c r="A945" s="183"/>
      <c r="B945" s="183"/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spans="1:26" ht="15.75" customHeight="1">
      <c r="A946" s="183"/>
      <c r="B946" s="183"/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spans="1:26" ht="15.75" customHeight="1">
      <c r="A947" s="183"/>
      <c r="B947" s="183"/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spans="1:26" ht="15.75" customHeight="1">
      <c r="A948" s="183"/>
      <c r="B948" s="183"/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spans="1:26" ht="15.75" customHeight="1">
      <c r="A949" s="183"/>
      <c r="B949" s="183"/>
      <c r="C949" s="183"/>
      <c r="D949" s="183"/>
      <c r="E949" s="183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spans="1:26" ht="15.75" customHeight="1">
      <c r="A950" s="183"/>
      <c r="B950" s="183"/>
      <c r="C950" s="183"/>
      <c r="D950" s="183"/>
      <c r="E950" s="183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spans="1:26" ht="15.75" customHeight="1">
      <c r="A951" s="183"/>
      <c r="B951" s="183"/>
      <c r="C951" s="183"/>
      <c r="D951" s="183"/>
      <c r="E951" s="183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spans="1:26" ht="15.75" customHeight="1">
      <c r="A952" s="183"/>
      <c r="B952" s="183"/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spans="1:26" ht="15.75" customHeight="1">
      <c r="A953" s="183"/>
      <c r="B953" s="183"/>
      <c r="C953" s="183"/>
      <c r="D953" s="183"/>
      <c r="E953" s="183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spans="1:26" ht="15.75" customHeight="1">
      <c r="A954" s="183"/>
      <c r="B954" s="183"/>
      <c r="C954" s="183"/>
      <c r="D954" s="183"/>
      <c r="E954" s="183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spans="1:26" ht="15.75" customHeight="1">
      <c r="A955" s="183"/>
      <c r="B955" s="183"/>
      <c r="C955" s="183"/>
      <c r="D955" s="183"/>
      <c r="E955" s="183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spans="1:26" ht="15.75" customHeight="1">
      <c r="A956" s="183"/>
      <c r="B956" s="183"/>
      <c r="C956" s="183"/>
      <c r="D956" s="183"/>
      <c r="E956" s="183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spans="1:26" ht="15.75" customHeight="1">
      <c r="A957" s="183"/>
      <c r="B957" s="183"/>
      <c r="C957" s="183"/>
      <c r="D957" s="183"/>
      <c r="E957" s="183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spans="1:26" ht="15.75" customHeight="1">
      <c r="A958" s="183"/>
      <c r="B958" s="183"/>
      <c r="C958" s="183"/>
      <c r="D958" s="183"/>
      <c r="E958" s="183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spans="1:26" ht="15.75" customHeight="1">
      <c r="A959" s="183"/>
      <c r="B959" s="183"/>
      <c r="C959" s="183"/>
      <c r="D959" s="183"/>
      <c r="E959" s="183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spans="1:26" ht="15.75" customHeight="1">
      <c r="A960" s="183"/>
      <c r="B960" s="183"/>
      <c r="C960" s="183"/>
      <c r="D960" s="183"/>
      <c r="E960" s="183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spans="1:26" ht="15.75" customHeight="1">
      <c r="A961" s="183"/>
      <c r="B961" s="183"/>
      <c r="C961" s="183"/>
      <c r="D961" s="183"/>
      <c r="E961" s="183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spans="1:26" ht="15.75" customHeight="1">
      <c r="A962" s="183"/>
      <c r="B962" s="183"/>
      <c r="C962" s="183"/>
      <c r="D962" s="183"/>
      <c r="E962" s="183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spans="1:26" ht="15.75" customHeight="1">
      <c r="A963" s="183"/>
      <c r="B963" s="183"/>
      <c r="C963" s="183"/>
      <c r="D963" s="183"/>
      <c r="E963" s="183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spans="1:26" ht="15.75" customHeight="1">
      <c r="A964" s="183"/>
      <c r="B964" s="183"/>
      <c r="C964" s="183"/>
      <c r="D964" s="183"/>
      <c r="E964" s="183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spans="1:26" ht="15.75" customHeight="1">
      <c r="A965" s="183"/>
      <c r="B965" s="183"/>
      <c r="C965" s="183"/>
      <c r="D965" s="183"/>
      <c r="E965" s="183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spans="1:26" ht="15.75" customHeight="1">
      <c r="A966" s="183"/>
      <c r="B966" s="183"/>
      <c r="C966" s="183"/>
      <c r="D966" s="183"/>
      <c r="E966" s="183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spans="1:26" ht="15.75" customHeight="1">
      <c r="A967" s="183"/>
      <c r="B967" s="183"/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spans="1:26" ht="15.75" customHeight="1">
      <c r="A968" s="183"/>
      <c r="B968" s="183"/>
      <c r="C968" s="183"/>
      <c r="D968" s="183"/>
      <c r="E968" s="183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spans="1:26" ht="15.75" customHeight="1">
      <c r="A969" s="183"/>
      <c r="B969" s="183"/>
      <c r="C969" s="183"/>
      <c r="D969" s="183"/>
      <c r="E969" s="183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spans="1:26" ht="15.75" customHeight="1">
      <c r="A970" s="183"/>
      <c r="B970" s="183"/>
      <c r="C970" s="183"/>
      <c r="D970" s="183"/>
      <c r="E970" s="183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spans="1:26" ht="15.75" customHeight="1">
      <c r="A971" s="183"/>
      <c r="B971" s="183"/>
      <c r="C971" s="183"/>
      <c r="D971" s="183"/>
      <c r="E971" s="183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spans="1:26" ht="15.75" customHeight="1">
      <c r="A972" s="183"/>
      <c r="B972" s="183"/>
      <c r="C972" s="183"/>
      <c r="D972" s="183"/>
      <c r="E972" s="183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spans="1:26" ht="15.75" customHeight="1">
      <c r="A973" s="183"/>
      <c r="B973" s="183"/>
      <c r="C973" s="183"/>
      <c r="D973" s="183"/>
      <c r="E973" s="183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spans="1:26" ht="15.75" customHeight="1">
      <c r="A974" s="183"/>
      <c r="B974" s="183"/>
      <c r="C974" s="183"/>
      <c r="D974" s="183"/>
      <c r="E974" s="183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spans="1:26" ht="15.75" customHeight="1">
      <c r="A975" s="183"/>
      <c r="B975" s="183"/>
      <c r="C975" s="183"/>
      <c r="D975" s="183"/>
      <c r="E975" s="183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spans="1:26" ht="15.75" customHeight="1">
      <c r="A976" s="183"/>
      <c r="B976" s="183"/>
      <c r="C976" s="183"/>
      <c r="D976" s="183"/>
      <c r="E976" s="183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spans="1:26" ht="15.75" customHeight="1">
      <c r="A977" s="183"/>
      <c r="B977" s="183"/>
      <c r="C977" s="183"/>
      <c r="D977" s="183"/>
      <c r="E977" s="183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spans="1:26" ht="15.75" customHeight="1">
      <c r="A978" s="183"/>
      <c r="B978" s="183"/>
      <c r="C978" s="183"/>
      <c r="D978" s="183"/>
      <c r="E978" s="183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spans="1:26" ht="15.75" customHeight="1">
      <c r="A979" s="183"/>
      <c r="B979" s="183"/>
      <c r="C979" s="183"/>
      <c r="D979" s="183"/>
      <c r="E979" s="183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spans="1:26" ht="15.75" customHeight="1">
      <c r="A980" s="183"/>
      <c r="B980" s="183"/>
      <c r="C980" s="183"/>
      <c r="D980" s="183"/>
      <c r="E980" s="183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spans="1:26" ht="15.75" customHeight="1">
      <c r="A981" s="183"/>
      <c r="B981" s="183"/>
      <c r="C981" s="183"/>
      <c r="D981" s="183"/>
      <c r="E981" s="183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spans="1:26" ht="15.75" customHeight="1">
      <c r="A982" s="183"/>
      <c r="B982" s="183"/>
      <c r="C982" s="183"/>
      <c r="D982" s="183"/>
      <c r="E982" s="183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spans="1:26" ht="15.75" customHeight="1">
      <c r="A983" s="183"/>
      <c r="B983" s="183"/>
      <c r="C983" s="183"/>
      <c r="D983" s="183"/>
      <c r="E983" s="183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spans="1:26" ht="15.75" customHeight="1">
      <c r="A984" s="183"/>
      <c r="B984" s="183"/>
      <c r="C984" s="183"/>
      <c r="D984" s="183"/>
      <c r="E984" s="183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spans="1:26" ht="15.75" customHeight="1">
      <c r="A985" s="183"/>
      <c r="B985" s="183"/>
      <c r="C985" s="183"/>
      <c r="D985" s="183"/>
      <c r="E985" s="183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spans="1:26" ht="15.75" customHeight="1">
      <c r="A986" s="183"/>
      <c r="B986" s="183"/>
      <c r="C986" s="183"/>
      <c r="D986" s="183"/>
      <c r="E986" s="183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spans="1:26" ht="15.75" customHeight="1">
      <c r="A987" s="183"/>
      <c r="B987" s="183"/>
      <c r="C987" s="183"/>
      <c r="D987" s="183"/>
      <c r="E987" s="183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spans="1:26" ht="15.75" customHeight="1">
      <c r="A988" s="183"/>
      <c r="B988" s="183"/>
      <c r="C988" s="183"/>
      <c r="D988" s="183"/>
      <c r="E988" s="183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spans="1:26" ht="15.75" customHeight="1">
      <c r="A989" s="183"/>
      <c r="B989" s="183"/>
      <c r="C989" s="183"/>
      <c r="D989" s="183"/>
      <c r="E989" s="183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spans="1:26" ht="15.75" customHeight="1">
      <c r="A990" s="183"/>
      <c r="B990" s="183"/>
      <c r="C990" s="183"/>
      <c r="D990" s="183"/>
      <c r="E990" s="183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spans="1:26" ht="15.75" customHeight="1">
      <c r="A991" s="183"/>
      <c r="B991" s="183"/>
      <c r="C991" s="183"/>
      <c r="D991" s="183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spans="1:26" ht="15.75" customHeight="1">
      <c r="A992" s="183"/>
      <c r="B992" s="183"/>
      <c r="C992" s="183"/>
      <c r="D992" s="183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spans="1:26" ht="15.75" customHeight="1">
      <c r="A993" s="183"/>
      <c r="B993" s="183"/>
      <c r="C993" s="183"/>
      <c r="D993" s="183"/>
      <c r="E993" s="183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spans="1:26" ht="15.75" customHeight="1">
      <c r="A994" s="183"/>
      <c r="B994" s="183"/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spans="1:26" ht="15.75" customHeight="1">
      <c r="A995" s="183"/>
      <c r="B995" s="183"/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spans="1:26" ht="15.75" customHeight="1">
      <c r="A996" s="183"/>
      <c r="B996" s="183"/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spans="1:26" ht="15.75" customHeight="1">
      <c r="A997" s="183"/>
      <c r="B997" s="183"/>
      <c r="C997" s="183"/>
      <c r="D997" s="183"/>
      <c r="E997" s="183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spans="1:26" ht="15.75" customHeight="1">
      <c r="A998" s="183"/>
      <c r="B998" s="183"/>
      <c r="C998" s="183"/>
      <c r="D998" s="183"/>
      <c r="E998" s="183"/>
      <c r="F998" s="183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spans="1:26" ht="15.75" customHeight="1">
      <c r="A999" s="183"/>
      <c r="B999" s="183"/>
      <c r="C999" s="183"/>
      <c r="D999" s="183"/>
      <c r="E999" s="183"/>
      <c r="F999" s="183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spans="1:26" ht="15.75" customHeight="1">
      <c r="A1000" s="183"/>
      <c r="B1000" s="183"/>
      <c r="C1000" s="183"/>
      <c r="D1000" s="183"/>
      <c r="E1000" s="183"/>
      <c r="F1000" s="183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  <row r="1001" spans="1:26" ht="15.75" customHeight="1">
      <c r="A1001" s="183"/>
      <c r="B1001" s="183"/>
      <c r="C1001" s="183"/>
      <c r="D1001" s="183"/>
      <c r="E1001" s="183"/>
      <c r="F1001" s="183"/>
      <c r="G1001" s="183"/>
      <c r="H1001" s="183"/>
      <c r="I1001" s="183"/>
      <c r="J1001" s="183"/>
      <c r="K1001" s="183"/>
      <c r="L1001" s="183"/>
      <c r="M1001" s="183"/>
      <c r="N1001" s="183"/>
      <c r="O1001" s="183"/>
      <c r="P1001" s="183"/>
      <c r="Q1001" s="183"/>
      <c r="R1001" s="183"/>
      <c r="S1001" s="183"/>
      <c r="T1001" s="183"/>
      <c r="U1001" s="183"/>
      <c r="V1001" s="183"/>
      <c r="W1001" s="183"/>
      <c r="X1001" s="183"/>
      <c r="Y1001" s="183"/>
      <c r="Z1001" s="183"/>
    </row>
    <row r="1002" spans="1:26" ht="15.75" customHeight="1">
      <c r="A1002" s="183"/>
      <c r="B1002" s="183"/>
      <c r="C1002" s="183"/>
      <c r="D1002" s="183"/>
      <c r="E1002" s="183"/>
      <c r="F1002" s="183"/>
      <c r="G1002" s="183"/>
      <c r="H1002" s="183"/>
      <c r="I1002" s="183"/>
      <c r="J1002" s="183"/>
      <c r="K1002" s="183"/>
      <c r="L1002" s="183"/>
      <c r="M1002" s="183"/>
      <c r="N1002" s="183"/>
      <c r="O1002" s="183"/>
      <c r="P1002" s="183"/>
      <c r="Q1002" s="183"/>
      <c r="R1002" s="183"/>
      <c r="S1002" s="183"/>
      <c r="T1002" s="183"/>
      <c r="U1002" s="183"/>
      <c r="V1002" s="183"/>
      <c r="W1002" s="183"/>
      <c r="X1002" s="183"/>
      <c r="Y1002" s="183"/>
      <c r="Z1002" s="183"/>
    </row>
    <row r="1003" spans="1:26" ht="15.75" customHeight="1">
      <c r="A1003" s="183"/>
      <c r="B1003" s="183"/>
      <c r="C1003" s="183"/>
      <c r="D1003" s="183"/>
      <c r="E1003" s="183"/>
      <c r="F1003" s="183"/>
      <c r="G1003" s="183"/>
      <c r="H1003" s="183"/>
      <c r="I1003" s="183"/>
      <c r="J1003" s="183"/>
      <c r="K1003" s="183"/>
      <c r="L1003" s="183"/>
      <c r="M1003" s="183"/>
      <c r="N1003" s="183"/>
      <c r="O1003" s="183"/>
      <c r="P1003" s="183"/>
      <c r="Q1003" s="183"/>
      <c r="R1003" s="183"/>
      <c r="S1003" s="183"/>
      <c r="T1003" s="183"/>
      <c r="U1003" s="183"/>
      <c r="V1003" s="183"/>
      <c r="W1003" s="183"/>
      <c r="X1003" s="183"/>
      <c r="Y1003" s="183"/>
      <c r="Z1003" s="183"/>
    </row>
    <row r="1004" spans="1:26" ht="15.75" customHeight="1">
      <c r="A1004" s="183"/>
      <c r="B1004" s="183"/>
      <c r="C1004" s="183"/>
      <c r="D1004" s="183"/>
      <c r="E1004" s="183"/>
      <c r="F1004" s="183"/>
      <c r="G1004" s="183"/>
      <c r="H1004" s="183"/>
      <c r="I1004" s="183"/>
      <c r="J1004" s="183"/>
      <c r="K1004" s="183"/>
      <c r="L1004" s="183"/>
      <c r="M1004" s="183"/>
      <c r="N1004" s="183"/>
      <c r="O1004" s="183"/>
      <c r="P1004" s="183"/>
      <c r="Q1004" s="183"/>
      <c r="R1004" s="183"/>
      <c r="S1004" s="183"/>
      <c r="T1004" s="183"/>
      <c r="U1004" s="183"/>
      <c r="V1004" s="183"/>
      <c r="W1004" s="183"/>
      <c r="X1004" s="183"/>
      <c r="Y1004" s="183"/>
      <c r="Z1004" s="183"/>
    </row>
    <row r="1005" spans="1:26" ht="15.75" customHeight="1">
      <c r="A1005" s="183"/>
      <c r="B1005" s="183"/>
      <c r="C1005" s="183"/>
      <c r="D1005" s="183"/>
      <c r="E1005" s="183"/>
      <c r="F1005" s="183"/>
      <c r="G1005" s="183"/>
      <c r="H1005" s="183"/>
      <c r="I1005" s="183"/>
      <c r="J1005" s="183"/>
      <c r="K1005" s="183"/>
      <c r="L1005" s="183"/>
      <c r="M1005" s="183"/>
      <c r="N1005" s="183"/>
      <c r="O1005" s="183"/>
      <c r="P1005" s="183"/>
      <c r="Q1005" s="183"/>
      <c r="R1005" s="183"/>
      <c r="S1005" s="183"/>
      <c r="T1005" s="183"/>
      <c r="U1005" s="183"/>
      <c r="V1005" s="183"/>
      <c r="W1005" s="183"/>
      <c r="X1005" s="183"/>
      <c r="Y1005" s="183"/>
      <c r="Z1005" s="183"/>
    </row>
    <row r="1006" spans="1:26" ht="15.75" customHeight="1">
      <c r="A1006" s="183"/>
      <c r="B1006" s="183"/>
      <c r="C1006" s="183"/>
      <c r="D1006" s="183"/>
      <c r="E1006" s="183"/>
      <c r="F1006" s="183"/>
      <c r="G1006" s="183"/>
      <c r="H1006" s="183"/>
      <c r="I1006" s="183"/>
      <c r="J1006" s="183"/>
      <c r="K1006" s="183"/>
      <c r="L1006" s="183"/>
      <c r="M1006" s="183"/>
      <c r="N1006" s="183"/>
      <c r="O1006" s="183"/>
      <c r="P1006" s="183"/>
      <c r="Q1006" s="183"/>
      <c r="R1006" s="183"/>
      <c r="S1006" s="183"/>
      <c r="T1006" s="183"/>
      <c r="U1006" s="183"/>
      <c r="V1006" s="183"/>
      <c r="W1006" s="183"/>
      <c r="X1006" s="183"/>
      <c r="Y1006" s="183"/>
      <c r="Z1006" s="183"/>
    </row>
    <row r="1007" spans="1:26" ht="15.75" customHeight="1">
      <c r="A1007" s="183"/>
      <c r="B1007" s="183"/>
      <c r="C1007" s="183"/>
      <c r="D1007" s="183"/>
      <c r="E1007" s="183"/>
      <c r="F1007" s="183"/>
      <c r="G1007" s="183"/>
      <c r="H1007" s="183"/>
      <c r="I1007" s="183"/>
      <c r="J1007" s="183"/>
      <c r="K1007" s="183"/>
      <c r="L1007" s="183"/>
      <c r="M1007" s="183"/>
      <c r="N1007" s="183"/>
      <c r="O1007" s="183"/>
      <c r="P1007" s="183"/>
      <c r="Q1007" s="183"/>
      <c r="R1007" s="183"/>
      <c r="S1007" s="183"/>
      <c r="T1007" s="183"/>
      <c r="U1007" s="183"/>
      <c r="V1007" s="183"/>
      <c r="W1007" s="183"/>
      <c r="X1007" s="183"/>
      <c r="Y1007" s="183"/>
      <c r="Z1007" s="183"/>
    </row>
    <row r="1008" spans="1:26" ht="15.75" customHeight="1">
      <c r="A1008" s="183"/>
      <c r="B1008" s="183"/>
      <c r="C1008" s="183"/>
      <c r="D1008" s="183"/>
      <c r="E1008" s="183"/>
      <c r="F1008" s="183"/>
      <c r="G1008" s="183"/>
      <c r="H1008" s="183"/>
      <c r="I1008" s="183"/>
      <c r="J1008" s="183"/>
      <c r="K1008" s="183"/>
      <c r="L1008" s="183"/>
      <c r="M1008" s="183"/>
      <c r="N1008" s="183"/>
      <c r="O1008" s="183"/>
      <c r="P1008" s="183"/>
      <c r="Q1008" s="183"/>
      <c r="R1008" s="183"/>
      <c r="S1008" s="183"/>
      <c r="T1008" s="183"/>
      <c r="U1008" s="183"/>
      <c r="V1008" s="183"/>
      <c r="W1008" s="183"/>
      <c r="X1008" s="183"/>
      <c r="Y1008" s="183"/>
      <c r="Z1008" s="183"/>
    </row>
    <row r="1009" spans="1:26" ht="15.75" customHeight="1">
      <c r="A1009" s="183"/>
      <c r="B1009" s="183"/>
      <c r="C1009" s="183"/>
      <c r="D1009" s="183"/>
      <c r="E1009" s="183"/>
      <c r="F1009" s="183"/>
      <c r="G1009" s="183"/>
      <c r="H1009" s="183"/>
      <c r="I1009" s="183"/>
      <c r="J1009" s="183"/>
      <c r="K1009" s="183"/>
      <c r="L1009" s="183"/>
      <c r="M1009" s="183"/>
      <c r="N1009" s="183"/>
      <c r="O1009" s="183"/>
      <c r="P1009" s="183"/>
      <c r="Q1009" s="183"/>
      <c r="R1009" s="183"/>
      <c r="S1009" s="183"/>
      <c r="T1009" s="183"/>
      <c r="U1009" s="183"/>
      <c r="V1009" s="183"/>
      <c r="W1009" s="183"/>
      <c r="X1009" s="183"/>
      <c r="Y1009" s="183"/>
      <c r="Z1009" s="183"/>
    </row>
    <row r="1010" spans="1:26" ht="15.75" customHeight="1">
      <c r="A1010" s="183"/>
      <c r="B1010" s="183"/>
      <c r="C1010" s="183"/>
      <c r="D1010" s="183"/>
      <c r="E1010" s="183"/>
      <c r="F1010" s="183"/>
      <c r="G1010" s="183"/>
      <c r="H1010" s="183"/>
      <c r="I1010" s="183"/>
      <c r="J1010" s="183"/>
      <c r="K1010" s="183"/>
      <c r="L1010" s="183"/>
      <c r="M1010" s="183"/>
      <c r="N1010" s="183"/>
      <c r="O1010" s="183"/>
      <c r="P1010" s="183"/>
      <c r="Q1010" s="183"/>
      <c r="R1010" s="183"/>
      <c r="S1010" s="183"/>
      <c r="T1010" s="183"/>
      <c r="U1010" s="183"/>
      <c r="V1010" s="183"/>
      <c r="W1010" s="183"/>
      <c r="X1010" s="183"/>
      <c r="Y1010" s="183"/>
      <c r="Z1010" s="183"/>
    </row>
    <row r="1011" spans="1:26" ht="15.75" customHeight="1">
      <c r="A1011" s="183"/>
      <c r="B1011" s="183"/>
      <c r="C1011" s="183"/>
      <c r="D1011" s="183"/>
      <c r="E1011" s="183"/>
      <c r="F1011" s="183"/>
      <c r="G1011" s="183"/>
      <c r="H1011" s="183"/>
      <c r="I1011" s="183"/>
      <c r="J1011" s="183"/>
      <c r="K1011" s="183"/>
      <c r="L1011" s="183"/>
      <c r="M1011" s="183"/>
      <c r="N1011" s="183"/>
      <c r="O1011" s="183"/>
      <c r="P1011" s="183"/>
      <c r="Q1011" s="183"/>
      <c r="R1011" s="183"/>
      <c r="S1011" s="183"/>
      <c r="T1011" s="183"/>
      <c r="U1011" s="183"/>
      <c r="V1011" s="183"/>
      <c r="W1011" s="183"/>
      <c r="X1011" s="183"/>
      <c r="Y1011" s="183"/>
      <c r="Z1011" s="183"/>
    </row>
    <row r="1012" spans="1:26" ht="15.75" customHeight="1">
      <c r="A1012" s="183"/>
      <c r="B1012" s="183"/>
      <c r="C1012" s="183"/>
      <c r="D1012" s="183"/>
      <c r="E1012" s="183"/>
      <c r="F1012" s="183"/>
      <c r="G1012" s="183"/>
      <c r="H1012" s="183"/>
      <c r="I1012" s="183"/>
      <c r="J1012" s="183"/>
      <c r="K1012" s="183"/>
      <c r="L1012" s="183"/>
      <c r="M1012" s="183"/>
      <c r="N1012" s="183"/>
      <c r="O1012" s="183"/>
      <c r="P1012" s="183"/>
      <c r="Q1012" s="183"/>
      <c r="R1012" s="183"/>
      <c r="S1012" s="183"/>
      <c r="T1012" s="183"/>
      <c r="U1012" s="183"/>
      <c r="V1012" s="183"/>
      <c r="W1012" s="183"/>
      <c r="X1012" s="183"/>
      <c r="Y1012" s="183"/>
      <c r="Z1012" s="183"/>
    </row>
    <row r="1013" spans="1:26" ht="15.75" customHeight="1">
      <c r="A1013" s="183"/>
      <c r="B1013" s="183"/>
      <c r="C1013" s="183"/>
      <c r="D1013" s="183"/>
      <c r="E1013" s="183"/>
      <c r="F1013" s="183"/>
      <c r="G1013" s="183"/>
      <c r="H1013" s="183"/>
      <c r="I1013" s="183"/>
      <c r="J1013" s="183"/>
      <c r="K1013" s="183"/>
      <c r="L1013" s="183"/>
      <c r="M1013" s="183"/>
      <c r="N1013" s="183"/>
      <c r="O1013" s="183"/>
      <c r="P1013" s="183"/>
      <c r="Q1013" s="183"/>
      <c r="R1013" s="183"/>
      <c r="S1013" s="183"/>
      <c r="T1013" s="183"/>
      <c r="U1013" s="183"/>
      <c r="V1013" s="183"/>
      <c r="W1013" s="183"/>
      <c r="X1013" s="183"/>
      <c r="Y1013" s="183"/>
      <c r="Z1013" s="183"/>
    </row>
    <row r="1014" spans="1:26" ht="15.75" customHeight="1">
      <c r="A1014" s="183"/>
      <c r="B1014" s="183"/>
      <c r="C1014" s="183"/>
      <c r="D1014" s="183"/>
      <c r="E1014" s="183"/>
      <c r="F1014" s="183"/>
      <c r="G1014" s="183"/>
      <c r="H1014" s="183"/>
      <c r="I1014" s="183"/>
      <c r="J1014" s="183"/>
      <c r="K1014" s="183"/>
      <c r="L1014" s="183"/>
      <c r="M1014" s="183"/>
      <c r="N1014" s="183"/>
      <c r="O1014" s="183"/>
      <c r="P1014" s="183"/>
      <c r="Q1014" s="183"/>
      <c r="R1014" s="183"/>
      <c r="S1014" s="183"/>
      <c r="T1014" s="183"/>
      <c r="U1014" s="183"/>
      <c r="V1014" s="183"/>
      <c r="W1014" s="183"/>
      <c r="X1014" s="183"/>
      <c r="Y1014" s="183"/>
      <c r="Z1014" s="183"/>
    </row>
  </sheetData>
  <mergeCells count="1">
    <mergeCell ref="D6:K6"/>
  </mergeCells>
  <pageMargins left="0.7" right="0.7" top="0.75" bottom="0.75" header="0" footer="0"/>
  <pageSetup paperSize="9" orientation="portrait"/>
  <ignoredErrors>
    <ignoredError sqref="C84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78C9-4D3F-414B-AE7C-BABC0EF83503}">
  <sheetPr codeName="Sheet28">
    <tabColor rgb="FF7030A0"/>
  </sheetPr>
  <dimension ref="A1:S55"/>
  <sheetViews>
    <sheetView topLeftCell="B1" zoomScale="160" zoomScaleNormal="160" workbookViewId="0">
      <selection activeCell="I13" sqref="I13"/>
    </sheetView>
  </sheetViews>
  <sheetFormatPr defaultColWidth="10.85546875" defaultRowHeight="12.75"/>
  <cols>
    <col min="1" max="1" width="10.85546875" style="268"/>
    <col min="2" max="2" width="42" style="268" bestFit="1" customWidth="1"/>
    <col min="3" max="3" width="22" style="268" customWidth="1"/>
    <col min="4" max="4" width="13.140625" style="268" bestFit="1" customWidth="1"/>
    <col min="5" max="5" width="19.42578125" style="268" customWidth="1"/>
    <col min="6" max="6" width="12.42578125" style="268" customWidth="1"/>
    <col min="7" max="7" width="21.42578125" style="268" customWidth="1"/>
    <col min="8" max="8" width="28.5703125" style="268" bestFit="1" customWidth="1"/>
    <col min="9" max="9" width="15.85546875" style="268" customWidth="1"/>
    <col min="10" max="10" width="16.5703125" style="268" customWidth="1"/>
    <col min="11" max="16384" width="10.85546875" style="268"/>
  </cols>
  <sheetData>
    <row r="1" spans="1:16">
      <c r="A1" s="267">
        <v>44926</v>
      </c>
    </row>
    <row r="2" spans="1:16">
      <c r="A2" s="269" t="s">
        <v>432</v>
      </c>
    </row>
    <row r="3" spans="1:16" ht="13.5" thickBot="1">
      <c r="A3" s="269" t="s">
        <v>371</v>
      </c>
    </row>
    <row r="4" spans="1:16" ht="13.5" thickBot="1">
      <c r="A4" s="269" t="s">
        <v>32</v>
      </c>
      <c r="B4" s="793" t="s">
        <v>32</v>
      </c>
      <c r="C4" s="794"/>
      <c r="D4" s="794"/>
      <c r="E4" s="794"/>
      <c r="F4" s="794"/>
      <c r="G4" s="794"/>
      <c r="H4" s="794"/>
      <c r="I4" s="794"/>
      <c r="J4" s="795"/>
    </row>
    <row r="5" spans="1:16">
      <c r="C5" s="792" t="s">
        <v>422</v>
      </c>
      <c r="D5" s="792"/>
      <c r="E5" s="792" t="s">
        <v>423</v>
      </c>
      <c r="F5" s="792"/>
    </row>
    <row r="6" spans="1:16">
      <c r="B6" s="270"/>
      <c r="C6" s="271" t="s">
        <v>424</v>
      </c>
      <c r="D6" s="270" t="s">
        <v>425</v>
      </c>
      <c r="E6" s="270" t="s">
        <v>424</v>
      </c>
      <c r="F6" s="270" t="s">
        <v>425</v>
      </c>
      <c r="G6" s="270" t="s">
        <v>426</v>
      </c>
      <c r="H6" s="270" t="s">
        <v>509</v>
      </c>
      <c r="I6" s="270" t="s">
        <v>142</v>
      </c>
      <c r="J6" s="270" t="s">
        <v>427</v>
      </c>
    </row>
    <row r="7" spans="1:16">
      <c r="D7" s="272"/>
      <c r="F7" s="272"/>
    </row>
    <row r="8" spans="1:16">
      <c r="B8" s="273" t="s">
        <v>431</v>
      </c>
      <c r="C8" s="274">
        <v>40926000</v>
      </c>
      <c r="D8" s="275">
        <v>120</v>
      </c>
      <c r="E8" s="276">
        <v>65488458</v>
      </c>
      <c r="F8" s="277">
        <v>157</v>
      </c>
      <c r="G8" s="278">
        <f>8615.0671284867-F8-D8</f>
        <v>8338.0671284867003</v>
      </c>
      <c r="H8" s="278">
        <v>0</v>
      </c>
      <c r="I8" s="278">
        <v>4086.4747206350448</v>
      </c>
      <c r="J8" s="278">
        <v>12701.541849121742</v>
      </c>
      <c r="P8" s="405"/>
    </row>
    <row r="9" spans="1:16">
      <c r="B9" s="268" t="s">
        <v>429</v>
      </c>
      <c r="C9" s="262"/>
      <c r="D9" s="263"/>
      <c r="E9" s="406">
        <v>32812</v>
      </c>
      <c r="F9" s="272"/>
      <c r="G9" s="265">
        <f>-'CF WP'!C128/1000</f>
        <v>18.47223</v>
      </c>
      <c r="H9" s="265"/>
      <c r="I9" s="265"/>
      <c r="J9" s="265">
        <f t="shared" ref="J9:J12" si="0">SUM(G9:I9)</f>
        <v>18.47223</v>
      </c>
      <c r="P9" s="405"/>
    </row>
    <row r="10" spans="1:16">
      <c r="B10" s="268" t="s">
        <v>443</v>
      </c>
      <c r="C10" s="262"/>
      <c r="D10" s="263"/>
      <c r="E10" s="264"/>
      <c r="F10" s="272"/>
      <c r="G10" s="265">
        <f>-('CF WP'!C126+'CF WP'!C127)/1000</f>
        <v>185.11053999999999</v>
      </c>
      <c r="H10" s="265"/>
      <c r="I10" s="265"/>
      <c r="J10" s="265">
        <f>SUM(G10:I10)</f>
        <v>185.11053999999999</v>
      </c>
      <c r="P10" s="385"/>
    </row>
    <row r="11" spans="1:16">
      <c r="B11" s="268" t="s">
        <v>510</v>
      </c>
      <c r="C11" s="262"/>
      <c r="D11" s="263"/>
      <c r="E11" s="264"/>
      <c r="F11" s="272"/>
      <c r="G11" s="265"/>
      <c r="H11" s="265">
        <f>-H8</f>
        <v>0</v>
      </c>
      <c r="I11" s="265"/>
      <c r="J11" s="265">
        <f>SUM(G11:I11)</f>
        <v>0</v>
      </c>
      <c r="P11" s="385"/>
    </row>
    <row r="12" spans="1:16">
      <c r="B12" s="268" t="s">
        <v>430</v>
      </c>
      <c r="C12" s="262"/>
      <c r="D12" s="263"/>
      <c r="E12" s="264"/>
      <c r="F12" s="272"/>
      <c r="G12" s="265"/>
      <c r="H12" s="265"/>
      <c r="I12" s="265">
        <f>-'P&amp;L USD CONS'!N33</f>
        <v>22366.541653616267</v>
      </c>
      <c r="J12" s="265">
        <f t="shared" si="0"/>
        <v>22366.541653616267</v>
      </c>
      <c r="P12" s="385"/>
    </row>
    <row r="13" spans="1:16">
      <c r="B13" s="279" t="s">
        <v>1307</v>
      </c>
      <c r="C13" s="280">
        <f t="shared" ref="C13:G13" si="1">SUM(C8:C12)</f>
        <v>40926000</v>
      </c>
      <c r="D13" s="281">
        <f t="shared" si="1"/>
        <v>120</v>
      </c>
      <c r="E13" s="282">
        <f t="shared" si="1"/>
        <v>65521270</v>
      </c>
      <c r="F13" s="283">
        <f t="shared" si="1"/>
        <v>157</v>
      </c>
      <c r="G13" s="284">
        <f t="shared" si="1"/>
        <v>8541.6498984866994</v>
      </c>
      <c r="H13" s="284">
        <f t="shared" ref="H13" si="2">SUM(H8:H12)</f>
        <v>0</v>
      </c>
      <c r="I13" s="284">
        <f>SUM(I8:I12)</f>
        <v>26453.01637425131</v>
      </c>
      <c r="J13" s="284">
        <f>SUM(G13:I13)+F13+D13</f>
        <v>35271.66627273801</v>
      </c>
      <c r="K13" s="285">
        <f>SUM(J8:J12)-J13</f>
        <v>0</v>
      </c>
      <c r="P13" s="385"/>
    </row>
    <row r="14" spans="1:16">
      <c r="D14" s="272" t="s">
        <v>428</v>
      </c>
      <c r="F14" s="272" t="s">
        <v>428</v>
      </c>
      <c r="G14" s="264">
        <f>-'BS USD CONS '!M55-F13-D13</f>
        <v>8541.4905899999994</v>
      </c>
      <c r="H14" s="264"/>
      <c r="P14" s="385"/>
    </row>
    <row r="15" spans="1:16">
      <c r="G15" s="265">
        <f>G13-G14</f>
        <v>0.15930848669995612</v>
      </c>
      <c r="H15" s="265"/>
      <c r="P15" s="385"/>
    </row>
    <row r="16" spans="1:16">
      <c r="C16" s="384"/>
      <c r="E16" s="385"/>
      <c r="P16" s="385"/>
    </row>
    <row r="17" spans="2:19">
      <c r="C17" s="402"/>
      <c r="E17" s="385"/>
      <c r="P17" s="385"/>
    </row>
    <row r="18" spans="2:19">
      <c r="C18" s="383"/>
      <c r="D18" s="402"/>
      <c r="E18" s="385"/>
      <c r="F18" s="402"/>
      <c r="P18" s="385"/>
      <c r="S18" s="402"/>
    </row>
    <row r="19" spans="2:19">
      <c r="D19" s="402"/>
      <c r="E19" s="385"/>
      <c r="F19" s="403"/>
      <c r="P19" s="385"/>
      <c r="S19" s="402"/>
    </row>
    <row r="20" spans="2:19">
      <c r="C20" s="286"/>
      <c r="D20" s="383"/>
      <c r="E20" s="264"/>
      <c r="F20" s="403"/>
      <c r="P20" s="385"/>
      <c r="S20" s="402"/>
    </row>
    <row r="21" spans="2:19" ht="13.5" thickBot="1">
      <c r="C21" s="404"/>
      <c r="E21" s="264"/>
      <c r="F21" s="266"/>
      <c r="P21" s="385"/>
      <c r="S21" s="402"/>
    </row>
    <row r="22" spans="2:19" ht="13.5" thickBot="1">
      <c r="B22" s="793" t="s">
        <v>495</v>
      </c>
      <c r="C22" s="794"/>
      <c r="D22" s="794"/>
      <c r="E22" s="794"/>
      <c r="F22" s="794"/>
      <c r="G22" s="794"/>
      <c r="H22" s="794"/>
      <c r="I22" s="794"/>
      <c r="J22" s="795"/>
      <c r="P22" s="385"/>
      <c r="S22" s="402"/>
    </row>
    <row r="23" spans="2:19">
      <c r="C23" s="792" t="s">
        <v>422</v>
      </c>
      <c r="D23" s="792"/>
      <c r="E23" s="792" t="s">
        <v>423</v>
      </c>
      <c r="F23" s="792"/>
      <c r="P23" s="385"/>
      <c r="S23" s="385"/>
    </row>
    <row r="24" spans="2:19">
      <c r="B24" s="270"/>
      <c r="C24" s="271" t="s">
        <v>424</v>
      </c>
      <c r="D24" s="270" t="s">
        <v>425</v>
      </c>
      <c r="E24" s="270" t="s">
        <v>424</v>
      </c>
      <c r="F24" s="270" t="s">
        <v>425</v>
      </c>
      <c r="G24" s="270" t="s">
        <v>426</v>
      </c>
      <c r="H24" s="270" t="s">
        <v>509</v>
      </c>
      <c r="I24" s="270" t="s">
        <v>142</v>
      </c>
      <c r="J24" s="270" t="s">
        <v>427</v>
      </c>
      <c r="P24" s="385"/>
    </row>
    <row r="25" spans="2:19">
      <c r="D25" s="272"/>
      <c r="F25" s="272"/>
      <c r="P25" s="385"/>
    </row>
    <row r="26" spans="2:19">
      <c r="B26" s="273" t="s">
        <v>431</v>
      </c>
      <c r="C26" s="274">
        <v>40926000</v>
      </c>
      <c r="D26" s="275">
        <v>409</v>
      </c>
      <c r="E26" s="276">
        <v>65488458</v>
      </c>
      <c r="F26" s="386">
        <v>605</v>
      </c>
      <c r="G26" s="737">
        <f>29146.2402057101-1013</f>
        <v>28133.240205710099</v>
      </c>
      <c r="H26" s="737">
        <v>0</v>
      </c>
      <c r="I26" s="737">
        <v>9699.5922459996873</v>
      </c>
      <c r="J26" s="737">
        <v>38845.832451709779</v>
      </c>
      <c r="P26" s="385"/>
    </row>
    <row r="27" spans="2:19">
      <c r="B27" s="268" t="s">
        <v>429</v>
      </c>
      <c r="C27" s="262"/>
      <c r="D27" s="263"/>
      <c r="E27" s="406">
        <f>E9</f>
        <v>32812</v>
      </c>
      <c r="F27" s="272"/>
      <c r="G27" s="385">
        <f>59499.05/1000</f>
        <v>59.499050000000004</v>
      </c>
      <c r="H27" s="385"/>
      <c r="I27" s="385"/>
      <c r="J27" s="385">
        <f t="shared" ref="J27:J30" si="3">SUM(G27:I27)</f>
        <v>59.499050000000004</v>
      </c>
      <c r="P27" s="385"/>
    </row>
    <row r="28" spans="2:19">
      <c r="B28" s="268" t="s">
        <v>443</v>
      </c>
      <c r="C28" s="262"/>
      <c r="D28" s="263"/>
      <c r="E28" s="264"/>
      <c r="F28" s="272"/>
      <c r="G28" s="385">
        <f>('P&amp;L LTD  USD'!L16+'P&amp;L LTD  USD'!L39+'P&amp;L LTD  USD'!L63+'P&amp;L LTD  USD'!L86)/1000</f>
        <v>581.95502999999997</v>
      </c>
      <c r="H28" s="385"/>
      <c r="I28" s="385"/>
      <c r="J28" s="385">
        <f t="shared" si="3"/>
        <v>581.95502999999997</v>
      </c>
      <c r="P28" s="385"/>
    </row>
    <row r="29" spans="2:19">
      <c r="B29" s="268" t="s">
        <v>510</v>
      </c>
      <c r="C29" s="262"/>
      <c r="D29" s="263"/>
      <c r="E29" s="264"/>
      <c r="F29" s="272"/>
      <c r="G29" s="385"/>
      <c r="H29" s="385">
        <f>-H26</f>
        <v>0</v>
      </c>
      <c r="I29" s="385"/>
      <c r="J29" s="385">
        <f t="shared" si="3"/>
        <v>0</v>
      </c>
      <c r="P29" s="385"/>
    </row>
    <row r="30" spans="2:19">
      <c r="B30" s="268" t="s">
        <v>430</v>
      </c>
      <c r="C30" s="262"/>
      <c r="D30" s="263"/>
      <c r="E30" s="264"/>
      <c r="F30" s="272"/>
      <c r="G30" s="385"/>
      <c r="H30" s="385"/>
      <c r="I30" s="385">
        <f>-'BS LTD USD '!K60/1000</f>
        <v>83994.360627818518</v>
      </c>
      <c r="J30" s="385">
        <f t="shared" si="3"/>
        <v>83994.360627818518</v>
      </c>
      <c r="P30" s="385"/>
    </row>
    <row r="31" spans="2:19">
      <c r="B31" s="279" t="s">
        <v>1307</v>
      </c>
      <c r="C31" s="280">
        <f t="shared" ref="C31:I31" si="4">SUM(C26:C30)</f>
        <v>40926000</v>
      </c>
      <c r="D31" s="281">
        <f t="shared" si="4"/>
        <v>409</v>
      </c>
      <c r="E31" s="282">
        <f t="shared" si="4"/>
        <v>65521270</v>
      </c>
      <c r="F31" s="281">
        <f t="shared" si="4"/>
        <v>605</v>
      </c>
      <c r="G31" s="738">
        <f>SUM(G26:G30)</f>
        <v>28774.694285710098</v>
      </c>
      <c r="H31" s="738">
        <v>0</v>
      </c>
      <c r="I31" s="738">
        <f t="shared" si="4"/>
        <v>93693.952873818198</v>
      </c>
      <c r="J31" s="738">
        <f>SUM(F31:I31)+D31</f>
        <v>123482.64715952829</v>
      </c>
      <c r="P31" s="385"/>
    </row>
    <row r="32" spans="2:19">
      <c r="D32" s="272" t="s">
        <v>428</v>
      </c>
      <c r="F32" s="272" t="s">
        <v>428</v>
      </c>
      <c r="G32" s="739">
        <f>-('BS LTD USD '!K57)/1000-F31-D31</f>
        <v>28773.73998000002</v>
      </c>
      <c r="H32" s="634">
        <f>-'BS LTD USD '!L57/1000</f>
        <v>-3.3778728543157658E-3</v>
      </c>
      <c r="I32" s="633"/>
      <c r="J32" s="633">
        <f>SUM(J26:J30)-J31</f>
        <v>-1</v>
      </c>
      <c r="P32" s="385"/>
    </row>
    <row r="33" spans="3:10">
      <c r="G33" s="385">
        <f>G31-G32</f>
        <v>0.95430571007818799</v>
      </c>
      <c r="H33" s="633">
        <f>H31-H32</f>
        <v>3.3778728543157658E-3</v>
      </c>
      <c r="I33" s="633"/>
      <c r="J33" s="633"/>
    </row>
    <row r="34" spans="3:10">
      <c r="C34" s="384">
        <f>C26/500</f>
        <v>81852</v>
      </c>
      <c r="F34" s="266"/>
    </row>
    <row r="35" spans="3:10">
      <c r="F35" s="266"/>
    </row>
    <row r="36" spans="3:10">
      <c r="F36" s="266"/>
    </row>
    <row r="37" spans="3:10">
      <c r="F37" s="266"/>
    </row>
    <row r="38" spans="3:10">
      <c r="F38" s="266"/>
    </row>
    <row r="39" spans="3:10">
      <c r="F39" s="266"/>
    </row>
    <row r="40" spans="3:10">
      <c r="F40" s="266"/>
    </row>
    <row r="41" spans="3:10">
      <c r="F41" s="266"/>
    </row>
    <row r="42" spans="3:10">
      <c r="F42" s="266"/>
    </row>
    <row r="43" spans="3:10">
      <c r="F43" s="266"/>
    </row>
    <row r="44" spans="3:10">
      <c r="C44" s="385"/>
      <c r="F44" s="266"/>
    </row>
    <row r="45" spans="3:10">
      <c r="C45" s="385"/>
      <c r="F45" s="266"/>
    </row>
    <row r="46" spans="3:10">
      <c r="C46" s="385"/>
      <c r="D46" s="384"/>
      <c r="F46" s="266"/>
    </row>
    <row r="47" spans="3:10">
      <c r="C47" s="385"/>
    </row>
    <row r="48" spans="3:10">
      <c r="C48" s="385"/>
    </row>
    <row r="49" spans="3:3">
      <c r="C49" s="385"/>
    </row>
    <row r="50" spans="3:3">
      <c r="C50" s="385"/>
    </row>
    <row r="51" spans="3:3">
      <c r="C51" s="385"/>
    </row>
    <row r="52" spans="3:3">
      <c r="C52" s="385"/>
    </row>
    <row r="53" spans="3:3">
      <c r="C53" s="385"/>
    </row>
    <row r="54" spans="3:3">
      <c r="C54" s="385"/>
    </row>
    <row r="55" spans="3:3">
      <c r="C55" s="385"/>
    </row>
  </sheetData>
  <mergeCells count="6">
    <mergeCell ref="C5:D5"/>
    <mergeCell ref="E5:F5"/>
    <mergeCell ref="B4:J4"/>
    <mergeCell ref="C23:D23"/>
    <mergeCell ref="E23:F23"/>
    <mergeCell ref="B22:J2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00B0F0"/>
  </sheetPr>
  <dimension ref="A1:Z1001"/>
  <sheetViews>
    <sheetView topLeftCell="A12" workbookViewId="0"/>
  </sheetViews>
  <sheetFormatPr defaultColWidth="12.5703125" defaultRowHeight="15" customHeight="1"/>
  <cols>
    <col min="1" max="1" width="10.5703125" customWidth="1"/>
    <col min="2" max="2" width="74.85546875" customWidth="1"/>
    <col min="3" max="3" width="16.85546875" customWidth="1"/>
    <col min="4" max="4" width="16.42578125" customWidth="1"/>
    <col min="5" max="6" width="17.5703125" customWidth="1"/>
    <col min="7" max="7" width="17.42578125" customWidth="1"/>
    <col min="8" max="9" width="33.42578125" customWidth="1"/>
    <col min="10" max="10" width="16.42578125" hidden="1" customWidth="1"/>
    <col min="11" max="11" width="17.42578125" hidden="1" customWidth="1"/>
    <col min="12" max="12" width="49.85546875" hidden="1" customWidth="1"/>
    <col min="13" max="13" width="10.5703125" customWidth="1"/>
    <col min="14" max="14" width="24.42578125" customWidth="1"/>
    <col min="15" max="26" width="10.5703125" customWidth="1"/>
  </cols>
  <sheetData>
    <row r="1" spans="1:26" ht="12.75" hidden="1" customHeight="1">
      <c r="B1" s="121"/>
      <c r="C1" s="122">
        <v>2018</v>
      </c>
      <c r="D1" s="122">
        <v>2019</v>
      </c>
      <c r="E1" s="122">
        <v>2020</v>
      </c>
      <c r="F1" s="122"/>
      <c r="G1" s="122">
        <v>2021</v>
      </c>
      <c r="H1" s="122"/>
      <c r="I1" s="122"/>
      <c r="J1" s="121"/>
      <c r="K1" s="121"/>
      <c r="L1" s="121"/>
    </row>
    <row r="2" spans="1:26" ht="12.75" hidden="1" customHeight="1">
      <c r="B2" s="121" t="s">
        <v>322</v>
      </c>
      <c r="C2" s="121"/>
      <c r="D2" s="123">
        <f t="shared" ref="D2:E2" si="0">+C5</f>
        <v>299492.05819355196</v>
      </c>
      <c r="E2" s="123">
        <f t="shared" si="0"/>
        <v>1188415.0487953194</v>
      </c>
      <c r="F2" s="123"/>
      <c r="G2" s="123">
        <f>+E5</f>
        <v>2792019.9707177794</v>
      </c>
      <c r="H2" s="123"/>
      <c r="I2" s="123"/>
      <c r="J2" s="121"/>
      <c r="K2" s="121"/>
      <c r="L2" s="121"/>
    </row>
    <row r="3" spans="1:26" ht="12.75" hidden="1" customHeight="1">
      <c r="B3" s="121" t="s">
        <v>323</v>
      </c>
      <c r="C3" s="121"/>
      <c r="D3" s="121"/>
      <c r="E3" s="123">
        <f>2173604.92192246-570000</f>
        <v>1603604.9219224602</v>
      </c>
      <c r="F3" s="123"/>
      <c r="G3" s="123">
        <f>-4850953*4</f>
        <v>-19403812</v>
      </c>
      <c r="H3" s="123"/>
      <c r="I3" s="123"/>
      <c r="J3" s="121"/>
      <c r="K3" s="121"/>
      <c r="L3" s="121"/>
    </row>
    <row r="4" spans="1:26" ht="12.75" hidden="1" customHeight="1">
      <c r="B4" s="121" t="s">
        <v>324</v>
      </c>
      <c r="C4" s="123">
        <f>1076644/3.5949</f>
        <v>299492.05819355196</v>
      </c>
      <c r="D4" s="123">
        <f>3168566/3.5645</f>
        <v>888922.99060176744</v>
      </c>
      <c r="E4" s="121"/>
      <c r="F4" s="121"/>
      <c r="G4" s="121"/>
      <c r="H4" s="121"/>
      <c r="I4" s="121"/>
      <c r="J4" s="121"/>
      <c r="K4" s="121"/>
      <c r="L4" s="121"/>
    </row>
    <row r="5" spans="1:26" ht="12.75" hidden="1" customHeight="1">
      <c r="B5" s="124" t="s">
        <v>325</v>
      </c>
      <c r="C5" s="125">
        <f t="shared" ref="C5:E5" si="1">+SUM(C2:C4)</f>
        <v>299492.05819355196</v>
      </c>
      <c r="D5" s="125">
        <f t="shared" si="1"/>
        <v>1188415.0487953194</v>
      </c>
      <c r="E5" s="125">
        <f t="shared" si="1"/>
        <v>2792019.9707177794</v>
      </c>
      <c r="F5" s="125"/>
      <c r="G5" s="125">
        <f>+SUM(G2:G4)</f>
        <v>-16611792.02928222</v>
      </c>
      <c r="H5" s="123"/>
      <c r="I5" s="123"/>
      <c r="J5" s="121"/>
      <c r="K5" s="121"/>
      <c r="L5" s="121"/>
    </row>
    <row r="6" spans="1:26" ht="12.75" hidden="1" customHeight="1"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</row>
    <row r="7" spans="1:26" ht="12.75" hidden="1" customHeight="1">
      <c r="B7" s="121"/>
      <c r="C7" s="121"/>
      <c r="D7" s="121"/>
      <c r="E7" s="121" t="s">
        <v>326</v>
      </c>
      <c r="F7" s="121"/>
      <c r="G7" s="121"/>
      <c r="H7" s="121"/>
      <c r="I7" s="121"/>
      <c r="J7" s="121"/>
      <c r="K7" s="121"/>
      <c r="L7" s="121"/>
    </row>
    <row r="8" spans="1:26" ht="12.75" hidden="1" customHeight="1"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</row>
    <row r="9" spans="1:26" ht="12.75" hidden="1" customHeight="1"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</row>
    <row r="10" spans="1:26" ht="12.75" hidden="1" customHeight="1">
      <c r="B10" s="126" t="s">
        <v>327</v>
      </c>
      <c r="C10" s="126"/>
      <c r="D10" s="121"/>
      <c r="E10" s="121"/>
      <c r="F10" s="121"/>
      <c r="G10" s="121"/>
      <c r="H10" s="121"/>
      <c r="I10" s="121"/>
      <c r="J10" s="121"/>
      <c r="K10" s="121"/>
      <c r="L10" s="121"/>
    </row>
    <row r="11" spans="1:26" ht="12.75" hidden="1" customHeight="1">
      <c r="B11" s="126"/>
      <c r="C11" s="126"/>
      <c r="D11" s="121"/>
      <c r="E11" s="121"/>
      <c r="F11" s="121"/>
      <c r="G11" s="121"/>
      <c r="H11" s="121"/>
      <c r="I11" s="121"/>
      <c r="J11" s="121"/>
      <c r="K11" s="121"/>
      <c r="L11" s="121"/>
    </row>
    <row r="12" spans="1:26" ht="12.75" customHeight="1">
      <c r="B12" s="126" t="s">
        <v>328</v>
      </c>
      <c r="C12" s="122">
        <v>2018</v>
      </c>
      <c r="D12" s="122">
        <v>2019</v>
      </c>
      <c r="E12" s="122">
        <v>2020</v>
      </c>
      <c r="F12" s="122">
        <v>2021</v>
      </c>
      <c r="G12" s="127"/>
      <c r="I12" s="128"/>
      <c r="J12" s="121"/>
      <c r="K12" s="121"/>
      <c r="L12" s="121"/>
    </row>
    <row r="13" spans="1:26" ht="12.75" customHeight="1">
      <c r="B13" s="121" t="s">
        <v>145</v>
      </c>
      <c r="C13" s="179">
        <v>0</v>
      </c>
      <c r="D13" s="179">
        <v>3088948</v>
      </c>
      <c r="E13" s="179">
        <v>38427000</v>
      </c>
      <c r="F13" s="179">
        <f>-'P&amp;L LTD  USD'!L10</f>
        <v>1129793400.9900002</v>
      </c>
      <c r="G13" s="123"/>
      <c r="H13" s="128"/>
      <c r="I13" s="123"/>
      <c r="J13" s="123"/>
      <c r="K13" s="129" t="s">
        <v>329</v>
      </c>
      <c r="L13" s="121"/>
    </row>
    <row r="14" spans="1:26" ht="12.75" customHeight="1">
      <c r="A14" s="121"/>
      <c r="B14" s="121" t="s">
        <v>330</v>
      </c>
      <c r="C14" s="86">
        <v>723182</v>
      </c>
      <c r="D14" s="179">
        <v>2469703</v>
      </c>
      <c r="E14" s="179">
        <v>7715000</v>
      </c>
      <c r="F14" s="179">
        <f>'P&amp;L LTD  USD'!L35</f>
        <v>70597716.310000017</v>
      </c>
      <c r="G14" s="123"/>
      <c r="H14" s="123"/>
      <c r="I14" s="123"/>
      <c r="J14" s="123">
        <f>I13*0.07</f>
        <v>0</v>
      </c>
      <c r="K14" s="130">
        <f>J14-I14</f>
        <v>0</v>
      </c>
      <c r="L14" s="121"/>
      <c r="M14" s="121"/>
      <c r="N14" s="229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21"/>
      <c r="B15" s="121" t="s">
        <v>331</v>
      </c>
      <c r="C15" s="131"/>
      <c r="D15" s="131">
        <f>+D14/D13</f>
        <v>0.79952883635464245</v>
      </c>
      <c r="E15" s="131">
        <f>+E14/E13</f>
        <v>0.20077029172196634</v>
      </c>
      <c r="F15" s="132">
        <f>+F14/F13</f>
        <v>6.248727975233135E-2</v>
      </c>
      <c r="G15" s="133"/>
      <c r="H15" s="133"/>
      <c r="I15" s="133"/>
      <c r="J15" s="134"/>
      <c r="K15" s="130"/>
      <c r="L15" s="121"/>
      <c r="M15" s="121"/>
      <c r="N15" s="230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21"/>
      <c r="B16" s="121" t="s">
        <v>332</v>
      </c>
      <c r="C16" s="2"/>
      <c r="D16" s="131"/>
      <c r="E16" s="131">
        <f>+AVERAGE(C14:E14)/AVERAGE(C13:E13)</f>
        <v>0.26273963441711601</v>
      </c>
      <c r="F16" s="132">
        <f>+AVERAGE(C14:E14)/AVERAGE(C13:E13)</f>
        <v>0.26273963441711601</v>
      </c>
      <c r="G16" s="135"/>
      <c r="H16" s="131"/>
      <c r="I16" s="135"/>
      <c r="J16" s="121"/>
      <c r="K16" s="136" t="e">
        <f>J14/I13</f>
        <v>#DIV/0!</v>
      </c>
      <c r="L16" s="121"/>
      <c r="M16" s="121"/>
      <c r="N16" s="228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21"/>
      <c r="B17" s="121" t="s">
        <v>406</v>
      </c>
      <c r="C17" s="121"/>
      <c r="D17" s="180"/>
      <c r="E17" s="137"/>
      <c r="F17" s="180">
        <f>AVERAGE(C13:E13)*0.07</f>
        <v>968705.45333333348</v>
      </c>
      <c r="G17" s="180">
        <f>AVERAGE(F13)*0.07</f>
        <v>79085538.069300026</v>
      </c>
      <c r="H17" s="135"/>
      <c r="I17" s="135"/>
      <c r="J17" s="121"/>
      <c r="K17" s="123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 thickBot="1">
      <c r="A18" s="121"/>
      <c r="B18" s="121" t="s">
        <v>407</v>
      </c>
      <c r="C18" s="121"/>
      <c r="D18" s="131"/>
      <c r="E18" s="137"/>
      <c r="F18" s="180">
        <f>AVERAGE(C14:E14)</f>
        <v>3635961.6666666665</v>
      </c>
      <c r="G18" s="180">
        <f>AVERAGE(F14)</f>
        <v>70597716.310000017</v>
      </c>
      <c r="H18" s="131"/>
      <c r="I18" s="131"/>
      <c r="J18" s="135">
        <f>+G18/0.04</f>
        <v>1764942907.7500005</v>
      </c>
      <c r="K18" s="121" t="s">
        <v>335</v>
      </c>
      <c r="L18" s="121" t="s">
        <v>336</v>
      </c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8" customHeight="1" thickBot="1">
      <c r="A19" s="121"/>
      <c r="B19" s="121" t="s">
        <v>408</v>
      </c>
      <c r="C19" s="121"/>
      <c r="D19" s="121"/>
      <c r="E19" s="121"/>
      <c r="F19" s="180">
        <f>F17-F18</f>
        <v>-2667256.2133333329</v>
      </c>
      <c r="G19" s="180">
        <f>G17-G18</f>
        <v>8487821.7593000084</v>
      </c>
      <c r="H19" s="423">
        <f>G19</f>
        <v>8487821.7593000084</v>
      </c>
      <c r="I19" s="140" t="s">
        <v>337</v>
      </c>
      <c r="J19" s="121"/>
      <c r="K19" s="121" t="s">
        <v>338</v>
      </c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21"/>
      <c r="B20" s="121"/>
      <c r="C20" s="121"/>
      <c r="D20" s="121"/>
      <c r="E20" s="121"/>
      <c r="F20" s="180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21"/>
      <c r="B21" s="121"/>
      <c r="C21" s="121"/>
      <c r="D21" s="121"/>
      <c r="E21" s="121"/>
      <c r="F21" s="138"/>
      <c r="G21" s="14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21"/>
      <c r="B22" s="121" t="s">
        <v>339</v>
      </c>
      <c r="C22" s="123">
        <v>500000</v>
      </c>
      <c r="D22" s="121"/>
      <c r="E22" s="123">
        <v>5748600</v>
      </c>
      <c r="F22" s="123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21"/>
      <c r="B23" s="121" t="s">
        <v>340</v>
      </c>
      <c r="C23" s="121">
        <v>3.5949</v>
      </c>
      <c r="D23" s="121">
        <v>3.5644999999999998</v>
      </c>
      <c r="E23" s="121">
        <v>3.4424000000000001</v>
      </c>
      <c r="F23" s="121"/>
      <c r="G23" s="121">
        <v>3.2549000000000001</v>
      </c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21"/>
      <c r="B24" s="142" t="s">
        <v>341</v>
      </c>
      <c r="C24" s="143">
        <f>+C22*C23</f>
        <v>1797450</v>
      </c>
      <c r="D24" s="121"/>
      <c r="E24" s="143">
        <f>+E22*E23</f>
        <v>19788980.640000001</v>
      </c>
      <c r="F24" s="143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44">
        <v>993</v>
      </c>
      <c r="L25" s="145" t="s">
        <v>342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21"/>
      <c r="B26" s="121" t="s">
        <v>343</v>
      </c>
      <c r="C26" s="121">
        <v>0</v>
      </c>
      <c r="D26" s="121">
        <v>0</v>
      </c>
      <c r="E26" s="131">
        <f>+E13/D13-1</f>
        <v>11.440157620005257</v>
      </c>
      <c r="F26" s="131"/>
      <c r="G26" s="131"/>
      <c r="H26" s="131"/>
      <c r="I26" s="131"/>
      <c r="J26" s="121"/>
      <c r="K26" s="146">
        <v>-181</v>
      </c>
      <c r="L26" s="147" t="s">
        <v>344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48">
        <f>-(150+86)/3.25</f>
        <v>-72.615384615384613</v>
      </c>
      <c r="L27" s="147" t="s">
        <v>345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21"/>
      <c r="B28" s="142" t="s">
        <v>346</v>
      </c>
      <c r="C28" s="121"/>
      <c r="D28" s="121"/>
      <c r="E28" s="121"/>
      <c r="F28" s="121"/>
      <c r="G28" s="121"/>
      <c r="H28" s="121"/>
      <c r="I28" s="121"/>
      <c r="J28" s="121"/>
      <c r="K28" s="146"/>
      <c r="L28" s="147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21"/>
      <c r="B29" s="121" t="s">
        <v>347</v>
      </c>
      <c r="C29" s="121">
        <v>3</v>
      </c>
      <c r="D29" s="121">
        <v>13</v>
      </c>
      <c r="E29" s="121">
        <v>33</v>
      </c>
      <c r="F29" s="121"/>
      <c r="G29" s="121">
        <v>67</v>
      </c>
      <c r="H29" s="121">
        <v>13</v>
      </c>
      <c r="I29" s="121">
        <f t="shared" ref="I29:I38" si="2">G29+H29</f>
        <v>80</v>
      </c>
      <c r="J29" s="121"/>
      <c r="K29" s="149">
        <f>K25+K26+K27</f>
        <v>739.38461538461536</v>
      </c>
      <c r="L29" s="150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21"/>
      <c r="B30" s="121" t="s">
        <v>348</v>
      </c>
      <c r="C30" s="121">
        <v>0</v>
      </c>
      <c r="D30" s="131">
        <f t="shared" ref="D30:E30" si="3">+D29/C29-1</f>
        <v>3.333333333333333</v>
      </c>
      <c r="E30" s="131">
        <f t="shared" si="3"/>
        <v>1.5384615384615383</v>
      </c>
      <c r="F30" s="131"/>
      <c r="G30" s="131">
        <f>+G29/E29-1</f>
        <v>1.0303030303030303</v>
      </c>
      <c r="H30" s="131"/>
      <c r="I30" s="131">
        <f t="shared" si="2"/>
        <v>1.0303030303030303</v>
      </c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2.75" customHeight="1">
      <c r="A31" s="121"/>
      <c r="B31" s="121"/>
      <c r="C31" s="121"/>
      <c r="D31" s="121"/>
      <c r="E31" s="121"/>
      <c r="F31" s="121"/>
      <c r="G31" s="121"/>
      <c r="H31" s="121"/>
      <c r="I31" s="121">
        <f t="shared" si="2"/>
        <v>0</v>
      </c>
      <c r="J31" s="121"/>
      <c r="K31" s="144"/>
      <c r="L31" s="145" t="s">
        <v>349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21"/>
      <c r="B32" s="142" t="s">
        <v>350</v>
      </c>
      <c r="C32" s="121"/>
      <c r="D32" s="121"/>
      <c r="E32" s="121"/>
      <c r="F32" s="121"/>
      <c r="G32" s="121"/>
      <c r="H32" s="121"/>
      <c r="I32" s="121">
        <f t="shared" si="2"/>
        <v>0</v>
      </c>
      <c r="J32" s="121"/>
      <c r="K32" s="151">
        <v>3461</v>
      </c>
      <c r="L32" s="147" t="s">
        <v>351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hidden="1" customHeight="1">
      <c r="A33" s="121"/>
      <c r="B33" s="121" t="s">
        <v>352</v>
      </c>
      <c r="C33" s="123">
        <f>(330825+326191)/C23</f>
        <v>182763.35920331581</v>
      </c>
      <c r="D33" s="123">
        <f>449059+791642/$D$23</f>
        <v>671149.61579464166</v>
      </c>
      <c r="E33" s="123">
        <v>1527152</v>
      </c>
      <c r="F33" s="123"/>
      <c r="G33" s="123">
        <v>5994309</v>
      </c>
      <c r="H33" s="123"/>
      <c r="I33" s="123">
        <f t="shared" si="2"/>
        <v>5994309</v>
      </c>
      <c r="J33" s="121"/>
      <c r="K33" s="146"/>
      <c r="L33" s="147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21"/>
      <c r="B34" s="121" t="s">
        <v>353</v>
      </c>
      <c r="C34" s="152">
        <v>2</v>
      </c>
      <c r="D34" s="152">
        <v>9</v>
      </c>
      <c r="E34" s="152">
        <v>23</v>
      </c>
      <c r="F34" s="152"/>
      <c r="G34" s="152">
        <v>40</v>
      </c>
      <c r="H34" s="152">
        <v>6</v>
      </c>
      <c r="I34" s="152">
        <f t="shared" si="2"/>
        <v>46</v>
      </c>
      <c r="J34" s="152"/>
      <c r="K34" s="151">
        <f>651*5</f>
        <v>3255</v>
      </c>
      <c r="L34" s="147" t="s">
        <v>354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hidden="1" customHeight="1">
      <c r="A35" s="121"/>
      <c r="B35" s="121" t="s">
        <v>355</v>
      </c>
      <c r="C35" s="123">
        <f>+(142534+73203)+C33</f>
        <v>398500.35920331581</v>
      </c>
      <c r="D35" s="123">
        <f>958816+791642/$D$23+358000/$D$23</f>
        <v>1281341.4593912191</v>
      </c>
      <c r="E35" s="123">
        <v>2005609</v>
      </c>
      <c r="F35" s="123"/>
      <c r="G35" s="123">
        <v>9020946.9696969725</v>
      </c>
      <c r="H35" s="123"/>
      <c r="I35" s="123">
        <f t="shared" si="2"/>
        <v>9020946.9696969725</v>
      </c>
      <c r="J35" s="121"/>
      <c r="K35" s="146"/>
      <c r="L35" s="147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21"/>
      <c r="B36" s="121" t="s">
        <v>356</v>
      </c>
      <c r="C36" s="152">
        <f t="shared" ref="C36:E36" si="4">+C29</f>
        <v>3</v>
      </c>
      <c r="D36" s="152">
        <f t="shared" si="4"/>
        <v>13</v>
      </c>
      <c r="E36" s="152">
        <f t="shared" si="4"/>
        <v>33</v>
      </c>
      <c r="F36" s="152"/>
      <c r="G36" s="152">
        <f>+G29</f>
        <v>67</v>
      </c>
      <c r="H36" s="152">
        <v>13</v>
      </c>
      <c r="I36" s="152">
        <f t="shared" si="2"/>
        <v>80</v>
      </c>
      <c r="J36" s="121"/>
      <c r="K36" s="146"/>
      <c r="L36" s="147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hidden="1" customHeight="1">
      <c r="A37" s="121"/>
      <c r="B37" s="121" t="s">
        <v>357</v>
      </c>
      <c r="C37" s="131">
        <f t="shared" ref="C37:E37" si="5">+C33/C35</f>
        <v>0.45862784055878231</v>
      </c>
      <c r="D37" s="131">
        <f t="shared" si="5"/>
        <v>0.5237867009419277</v>
      </c>
      <c r="E37" s="131">
        <f t="shared" si="5"/>
        <v>0.76144054000555439</v>
      </c>
      <c r="F37" s="131"/>
      <c r="G37" s="131">
        <f t="shared" ref="G37:G38" si="6">+G33/G35</f>
        <v>0.66448777718525465</v>
      </c>
      <c r="H37" s="131"/>
      <c r="I37" s="131">
        <f t="shared" si="2"/>
        <v>0.66448777718525465</v>
      </c>
      <c r="J37" s="121"/>
      <c r="K37" s="146"/>
      <c r="L37" s="147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 thickBot="1">
      <c r="A38" s="121"/>
      <c r="B38" s="121" t="s">
        <v>358</v>
      </c>
      <c r="C38" s="131">
        <f t="shared" ref="C38:E38" si="7">+C34/C36</f>
        <v>0.66666666666666663</v>
      </c>
      <c r="D38" s="131">
        <f t="shared" si="7"/>
        <v>0.69230769230769229</v>
      </c>
      <c r="E38" s="131">
        <f t="shared" si="7"/>
        <v>0.69696969696969702</v>
      </c>
      <c r="F38" s="131"/>
      <c r="G38" s="131">
        <f t="shared" si="6"/>
        <v>0.59701492537313428</v>
      </c>
      <c r="H38" s="131">
        <f>+H34/H36</f>
        <v>0.46153846153846156</v>
      </c>
      <c r="I38" s="131">
        <f t="shared" si="2"/>
        <v>1.058553386911596</v>
      </c>
      <c r="J38" s="121"/>
      <c r="K38" s="153">
        <f>K32+K34</f>
        <v>6716</v>
      </c>
      <c r="L38" s="150" t="s">
        <v>359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1" t="s">
        <v>360</v>
      </c>
      <c r="C40" s="154">
        <v>0.16</v>
      </c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1" t="s">
        <v>361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1" t="s">
        <v>362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/>
    <row r="44" spans="1:26" ht="12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 ht="12.75" hidden="1" customHeight="1">
      <c r="A45" s="121"/>
      <c r="B45" s="121"/>
      <c r="C45" s="121">
        <v>3.597</v>
      </c>
      <c r="D45" s="121">
        <v>3.5642999999999998</v>
      </c>
      <c r="E45" s="121">
        <v>3.4367000000000001</v>
      </c>
      <c r="F45" s="121"/>
      <c r="G45" s="121">
        <v>3.5882000000000001</v>
      </c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hidden="1" customHeight="1">
      <c r="A46" s="121"/>
      <c r="B46" s="126" t="s">
        <v>328</v>
      </c>
      <c r="C46" s="122">
        <v>2018</v>
      </c>
      <c r="D46" s="122">
        <v>2019</v>
      </c>
      <c r="E46" s="122">
        <v>2020</v>
      </c>
      <c r="F46" s="122"/>
      <c r="G46" s="122" t="s">
        <v>363</v>
      </c>
      <c r="H46" s="156" t="s">
        <v>364</v>
      </c>
      <c r="I46" s="156" t="s">
        <v>365</v>
      </c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hidden="1" customHeight="1">
      <c r="A47" s="121"/>
      <c r="B47" s="121" t="s">
        <v>145</v>
      </c>
      <c r="C47" s="123"/>
      <c r="D47" s="86">
        <f>D13*D45</f>
        <v>11009937.3564</v>
      </c>
      <c r="E47" s="86">
        <f>E13*3.4367</f>
        <v>132062070.90000001</v>
      </c>
      <c r="F47" s="86"/>
      <c r="G47" s="86">
        <f>G13*3.4367</f>
        <v>0</v>
      </c>
      <c r="H47" s="157">
        <f>17500000*3*G45</f>
        <v>188380500</v>
      </c>
      <c r="I47" s="158">
        <f t="shared" ref="I47:I48" si="8">G47+H47</f>
        <v>188380500</v>
      </c>
      <c r="J47" s="123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hidden="1" customHeight="1">
      <c r="A48" s="121"/>
      <c r="B48" s="121" t="s">
        <v>330</v>
      </c>
      <c r="C48" s="86">
        <f>C14*C45</f>
        <v>2601285.6540000001</v>
      </c>
      <c r="D48" s="86">
        <f>D14*D45</f>
        <v>8802762.4028999992</v>
      </c>
      <c r="E48" s="86">
        <f>E14*E45</f>
        <v>26514140.5</v>
      </c>
      <c r="F48" s="86"/>
      <c r="G48" s="86">
        <f>G14*G45</f>
        <v>0</v>
      </c>
      <c r="H48" s="157">
        <f>(993000-200000)*3*G45</f>
        <v>8536327.8000000007</v>
      </c>
      <c r="I48" s="158">
        <f t="shared" si="8"/>
        <v>8536327.8000000007</v>
      </c>
      <c r="J48" s="123"/>
      <c r="K48" s="134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hidden="1" customHeight="1">
      <c r="A49" s="121"/>
      <c r="B49" s="121" t="s">
        <v>331</v>
      </c>
      <c r="C49" s="131"/>
      <c r="D49" s="131">
        <f t="shared" ref="D49:E49" si="9">+D48/D47</f>
        <v>0.79952883635464234</v>
      </c>
      <c r="E49" s="131">
        <f t="shared" si="9"/>
        <v>0.20077029172196631</v>
      </c>
      <c r="F49" s="131"/>
      <c r="G49" s="131" t="e">
        <f t="shared" ref="G49:I49" si="10">+G48/G47</f>
        <v>#DIV/0!</v>
      </c>
      <c r="H49" s="131">
        <f t="shared" si="10"/>
        <v>4.5314285714285717E-2</v>
      </c>
      <c r="I49" s="131">
        <f t="shared" si="10"/>
        <v>4.5314285714285717E-2</v>
      </c>
      <c r="J49" s="134"/>
      <c r="K49" s="134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hidden="1" customHeight="1">
      <c r="A50" s="121"/>
      <c r="B50" s="121" t="s">
        <v>332</v>
      </c>
      <c r="C50" s="131"/>
      <c r="D50" s="131"/>
      <c r="E50" s="131">
        <f>+AVERAGE(C48:E48)/AVERAGE(C47:E47)</f>
        <v>0.17668580094272823</v>
      </c>
      <c r="F50" s="131"/>
      <c r="G50" s="131">
        <f t="shared" ref="G50:H50" si="11">+AVERAGE(D48:G48)/AVERAGE(D47:G47)</f>
        <v>0.24684704809349156</v>
      </c>
      <c r="H50" s="131">
        <f t="shared" si="11"/>
        <v>0.10938143518683147</v>
      </c>
      <c r="I50" s="131">
        <f>+AVERAGE(G48:I48)/AVERAGE(G47:I47)</f>
        <v>4.5314285714285717E-2</v>
      </c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hidden="1" customHeight="1">
      <c r="A51" s="121"/>
      <c r="B51" s="121" t="s">
        <v>333</v>
      </c>
      <c r="C51" s="121"/>
      <c r="D51" s="131"/>
      <c r="E51" s="137"/>
      <c r="F51" s="137"/>
      <c r="G51" s="135">
        <f t="shared" ref="G51:H51" si="12">0.07*SUM(D47:G47)-SUM(D48:G48)</f>
        <v>-25301862.324951991</v>
      </c>
      <c r="H51" s="135">
        <f t="shared" si="12"/>
        <v>-12619488.336999997</v>
      </c>
      <c r="I51" s="135"/>
      <c r="J51" s="121"/>
      <c r="K51" s="123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hidden="1" customHeight="1">
      <c r="A52" s="121"/>
      <c r="B52" s="121"/>
      <c r="C52" s="121"/>
      <c r="D52" s="131"/>
      <c r="E52" s="137"/>
      <c r="F52" s="137"/>
      <c r="G52" s="135"/>
      <c r="H52" s="135"/>
      <c r="I52" s="135"/>
      <c r="J52" s="135">
        <f>+G51/0.04</f>
        <v>-632546558.1237998</v>
      </c>
      <c r="K52" s="121" t="s">
        <v>335</v>
      </c>
      <c r="L52" s="121" t="s">
        <v>336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hidden="1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 t="s">
        <v>338</v>
      </c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hidden="1" customHeight="1">
      <c r="A54" s="121"/>
      <c r="B54" s="121" t="s">
        <v>339</v>
      </c>
      <c r="C54" s="123">
        <v>500000</v>
      </c>
      <c r="D54" s="121"/>
      <c r="E54" s="123">
        <v>5748600</v>
      </c>
      <c r="F54" s="123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hidden="1" customHeight="1">
      <c r="A55" s="121"/>
      <c r="B55" s="121" t="s">
        <v>340</v>
      </c>
      <c r="C55" s="121">
        <v>3.5949</v>
      </c>
      <c r="D55" s="121">
        <v>3.5644999999999998</v>
      </c>
      <c r="E55" s="121">
        <v>3.4424000000000001</v>
      </c>
      <c r="F55" s="121"/>
      <c r="G55" s="121">
        <v>3.2549000000000001</v>
      </c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hidden="1" customHeight="1">
      <c r="A56" s="121"/>
      <c r="B56" s="142" t="s">
        <v>341</v>
      </c>
      <c r="C56" s="143">
        <f>+C54*C55</f>
        <v>1797450</v>
      </c>
      <c r="D56" s="121"/>
      <c r="E56" s="143">
        <f>+E54*E55</f>
        <v>19788980.640000001</v>
      </c>
      <c r="F56" s="143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hidden="1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hidden="1" customHeight="1">
      <c r="A58" s="121"/>
      <c r="B58" s="121" t="s">
        <v>343</v>
      </c>
      <c r="C58" s="121">
        <v>0</v>
      </c>
      <c r="D58" s="121">
        <v>0</v>
      </c>
      <c r="E58" s="131">
        <f>+E47/D47-1</f>
        <v>10.994806748217622</v>
      </c>
      <c r="F58" s="131"/>
      <c r="G58" s="131">
        <f>+G47/E47-1</f>
        <v>-1</v>
      </c>
      <c r="H58" s="131"/>
      <c r="I58" s="13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hidden="1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hidden="1" customHeight="1">
      <c r="A60" s="121"/>
      <c r="B60" s="142" t="s">
        <v>346</v>
      </c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hidden="1" customHeight="1">
      <c r="A61" s="121"/>
      <c r="B61" s="121" t="s">
        <v>347</v>
      </c>
      <c r="C61" s="121">
        <v>3</v>
      </c>
      <c r="D61" s="121">
        <v>13</v>
      </c>
      <c r="E61" s="121">
        <v>33</v>
      </c>
      <c r="F61" s="121"/>
      <c r="G61" s="121">
        <v>67</v>
      </c>
      <c r="H61" s="121">
        <v>13</v>
      </c>
      <c r="I61" s="121">
        <f t="shared" ref="I61:I70" si="13">G61+H61</f>
        <v>80</v>
      </c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hidden="1" customHeight="1">
      <c r="A62" s="121"/>
      <c r="B62" s="121" t="s">
        <v>348</v>
      </c>
      <c r="C62" s="121">
        <v>0</v>
      </c>
      <c r="D62" s="131">
        <f t="shared" ref="D62:E62" si="14">+D61/C61-1</f>
        <v>3.333333333333333</v>
      </c>
      <c r="E62" s="131">
        <f t="shared" si="14"/>
        <v>1.5384615384615383</v>
      </c>
      <c r="F62" s="131"/>
      <c r="G62" s="131">
        <f>+G61/E61-1</f>
        <v>1.0303030303030303</v>
      </c>
      <c r="H62" s="131"/>
      <c r="I62" s="131">
        <f t="shared" si="13"/>
        <v>1.0303030303030303</v>
      </c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hidden="1" customHeight="1">
      <c r="A63" s="121"/>
      <c r="B63" s="121"/>
      <c r="C63" s="121"/>
      <c r="D63" s="121"/>
      <c r="E63" s="121"/>
      <c r="F63" s="121"/>
      <c r="G63" s="121"/>
      <c r="H63" s="121"/>
      <c r="I63" s="121">
        <f t="shared" si="13"/>
        <v>0</v>
      </c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hidden="1" customHeight="1">
      <c r="A64" s="121"/>
      <c r="B64" s="142" t="s">
        <v>350</v>
      </c>
      <c r="C64" s="121"/>
      <c r="D64" s="121"/>
      <c r="E64" s="121"/>
      <c r="F64" s="121"/>
      <c r="G64" s="121"/>
      <c r="H64" s="121"/>
      <c r="I64" s="121">
        <f t="shared" si="13"/>
        <v>0</v>
      </c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hidden="1" customHeight="1">
      <c r="A65" s="121"/>
      <c r="B65" s="121" t="s">
        <v>352</v>
      </c>
      <c r="C65" s="123">
        <f>(330825+326191)/C55</f>
        <v>182763.35920331581</v>
      </c>
      <c r="D65" s="123">
        <f>449059+791642/$D$23</f>
        <v>671149.61579464166</v>
      </c>
      <c r="E65" s="123">
        <v>1527152</v>
      </c>
      <c r="F65" s="123"/>
      <c r="G65" s="123">
        <v>5994309</v>
      </c>
      <c r="H65" s="123"/>
      <c r="I65" s="123">
        <f t="shared" si="13"/>
        <v>5994309</v>
      </c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hidden="1" customHeight="1">
      <c r="A66" s="121"/>
      <c r="B66" s="121" t="s">
        <v>353</v>
      </c>
      <c r="C66" s="152">
        <v>2</v>
      </c>
      <c r="D66" s="152">
        <v>9</v>
      </c>
      <c r="E66" s="152">
        <v>23</v>
      </c>
      <c r="F66" s="152"/>
      <c r="G66" s="152">
        <v>40</v>
      </c>
      <c r="H66" s="152">
        <v>6</v>
      </c>
      <c r="I66" s="152">
        <f t="shared" si="13"/>
        <v>46</v>
      </c>
      <c r="J66" s="152"/>
      <c r="K66" s="13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hidden="1" customHeight="1">
      <c r="A67" s="121"/>
      <c r="B67" s="121" t="s">
        <v>355</v>
      </c>
      <c r="C67" s="123">
        <f>+(142534+73203)+C65</f>
        <v>398500.35920331581</v>
      </c>
      <c r="D67" s="123">
        <f>958816+791642/$D$23+358000/$D$23</f>
        <v>1281341.4593912191</v>
      </c>
      <c r="E67" s="123">
        <v>2005609</v>
      </c>
      <c r="F67" s="123"/>
      <c r="G67" s="123">
        <v>9020946.9696969725</v>
      </c>
      <c r="H67" s="123"/>
      <c r="I67" s="123">
        <f t="shared" si="13"/>
        <v>9020946.9696969725</v>
      </c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hidden="1" customHeight="1">
      <c r="A68" s="121"/>
      <c r="B68" s="121" t="s">
        <v>356</v>
      </c>
      <c r="C68" s="152">
        <f t="shared" ref="C68:E68" si="15">+C61</f>
        <v>3</v>
      </c>
      <c r="D68" s="152">
        <f t="shared" si="15"/>
        <v>13</v>
      </c>
      <c r="E68" s="152">
        <f t="shared" si="15"/>
        <v>33</v>
      </c>
      <c r="F68" s="152"/>
      <c r="G68" s="152">
        <f>+G61</f>
        <v>67</v>
      </c>
      <c r="H68" s="152">
        <v>13</v>
      </c>
      <c r="I68" s="152">
        <f t="shared" si="13"/>
        <v>80</v>
      </c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hidden="1" customHeight="1">
      <c r="A69" s="121"/>
      <c r="B69" s="121" t="s">
        <v>357</v>
      </c>
      <c r="C69" s="131">
        <f t="shared" ref="C69:E69" si="16">+C65/C67</f>
        <v>0.45862784055878231</v>
      </c>
      <c r="D69" s="131">
        <f t="shared" si="16"/>
        <v>0.5237867009419277</v>
      </c>
      <c r="E69" s="131">
        <f t="shared" si="16"/>
        <v>0.76144054000555439</v>
      </c>
      <c r="F69" s="131"/>
      <c r="G69" s="131">
        <f t="shared" ref="G69:G70" si="17">+G65/G67</f>
        <v>0.66448777718525465</v>
      </c>
      <c r="H69" s="131"/>
      <c r="I69" s="131">
        <f t="shared" si="13"/>
        <v>0.66448777718525465</v>
      </c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hidden="1" customHeight="1">
      <c r="A70" s="121"/>
      <c r="B70" s="121" t="s">
        <v>358</v>
      </c>
      <c r="C70" s="131">
        <f t="shared" ref="C70:E70" si="18">+C66/C68</f>
        <v>0.66666666666666663</v>
      </c>
      <c r="D70" s="131">
        <f t="shared" si="18"/>
        <v>0.69230769230769229</v>
      </c>
      <c r="E70" s="131">
        <f t="shared" si="18"/>
        <v>0.69696969696969702</v>
      </c>
      <c r="F70" s="131"/>
      <c r="G70" s="131">
        <f t="shared" si="17"/>
        <v>0.59701492537313428</v>
      </c>
      <c r="H70" s="131">
        <f>+H66/H68</f>
        <v>0.46153846153846156</v>
      </c>
      <c r="I70" s="131">
        <f t="shared" si="13"/>
        <v>1.058553386911596</v>
      </c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hidden="1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hidden="1" customHeight="1">
      <c r="A72" s="121"/>
      <c r="B72" s="121" t="s">
        <v>360</v>
      </c>
      <c r="C72" s="154">
        <v>0.16</v>
      </c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hidden="1" customHeight="1">
      <c r="A73" s="121"/>
      <c r="B73" s="121" t="s">
        <v>361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hidden="1" customHeight="1">
      <c r="A74" s="121"/>
      <c r="B74" s="121" t="s">
        <v>362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hidden="1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hidden="1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/>
    <row r="79" spans="1:26" ht="12.75" customHeight="1">
      <c r="I79" s="2"/>
      <c r="J79" s="2"/>
      <c r="K79" s="2"/>
      <c r="L79" s="2"/>
    </row>
    <row r="80" spans="1:26" ht="12.75" customHeight="1">
      <c r="I80" s="2"/>
      <c r="J80" s="2"/>
      <c r="K80" s="2"/>
      <c r="L80" s="2"/>
    </row>
    <row r="81" spans="9:12" ht="12.75" customHeight="1">
      <c r="I81" s="2"/>
      <c r="J81" s="54"/>
      <c r="K81" s="2"/>
      <c r="L81" s="2"/>
    </row>
    <row r="82" spans="9:12" ht="12.75" customHeight="1">
      <c r="I82" s="2"/>
      <c r="J82" s="54"/>
      <c r="K82" s="2"/>
      <c r="L82" s="2"/>
    </row>
    <row r="83" spans="9:12" ht="12.75" customHeight="1">
      <c r="I83" s="2"/>
      <c r="J83" s="54"/>
      <c r="K83" s="2"/>
      <c r="L83" s="2"/>
    </row>
    <row r="84" spans="9:12" ht="12.75" customHeight="1">
      <c r="I84" s="2"/>
      <c r="J84" s="54"/>
      <c r="K84" s="2"/>
      <c r="L84" s="2"/>
    </row>
    <row r="85" spans="9:12" ht="12.75" customHeight="1">
      <c r="I85" s="2"/>
      <c r="J85" s="54"/>
      <c r="K85" s="2"/>
      <c r="L85" s="2"/>
    </row>
    <row r="86" spans="9:12" ht="12.75" customHeight="1">
      <c r="I86" s="2"/>
      <c r="J86" s="54"/>
      <c r="K86" s="2"/>
      <c r="L86" s="2"/>
    </row>
    <row r="87" spans="9:12" ht="12.75" customHeight="1">
      <c r="I87" s="2"/>
      <c r="J87" s="54"/>
      <c r="K87" s="2"/>
      <c r="L87" s="2"/>
    </row>
    <row r="88" spans="9:12" ht="12.75" customHeight="1">
      <c r="I88" s="2"/>
      <c r="J88" s="54"/>
      <c r="K88" s="2"/>
      <c r="L88" s="2"/>
    </row>
    <row r="89" spans="9:12" ht="12.75" customHeight="1">
      <c r="I89" s="2"/>
      <c r="J89" s="2"/>
      <c r="K89" s="2"/>
      <c r="L89" s="2"/>
    </row>
    <row r="90" spans="9:12" ht="12.75" customHeight="1">
      <c r="I90" s="2"/>
      <c r="J90" s="54"/>
      <c r="K90" s="2"/>
      <c r="L90" s="2"/>
    </row>
    <row r="91" spans="9:12" ht="12.75" customHeight="1">
      <c r="I91" s="2"/>
      <c r="J91" s="2"/>
      <c r="K91" s="2"/>
      <c r="L91" s="2"/>
    </row>
    <row r="92" spans="9:12" ht="12.75" customHeight="1">
      <c r="I92" s="2"/>
      <c r="J92" s="2"/>
      <c r="K92" s="2"/>
      <c r="L92" s="2"/>
    </row>
    <row r="93" spans="9:12" ht="12.75" customHeight="1">
      <c r="I93" s="2"/>
      <c r="J93" s="2"/>
      <c r="K93" s="2"/>
      <c r="L93" s="2"/>
    </row>
    <row r="94" spans="9:12" ht="12.75" customHeight="1">
      <c r="I94" s="2"/>
      <c r="J94" s="2"/>
      <c r="K94" s="2"/>
      <c r="L94" s="2"/>
    </row>
    <row r="95" spans="9:12" ht="12.75" customHeight="1"/>
    <row r="96" spans="9:1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C15:E15 E16:F16">
    <cfRule type="cellIs" dxfId="29" priority="1" operator="lessThan">
      <formula>0.07</formula>
    </cfRule>
  </conditionalFormatting>
  <conditionalFormatting sqref="C15:E15 E16:F16">
    <cfRule type="cellIs" dxfId="28" priority="2" operator="lessThan">
      <formula>0.0001</formula>
    </cfRule>
  </conditionalFormatting>
  <conditionalFormatting sqref="C26:I26">
    <cfRule type="cellIs" dxfId="27" priority="3" operator="greaterThan">
      <formula>0.25</formula>
    </cfRule>
  </conditionalFormatting>
  <conditionalFormatting sqref="C26:I26">
    <cfRule type="cellIs" dxfId="26" priority="4" operator="greaterThan">
      <formula>0.25</formula>
    </cfRule>
  </conditionalFormatting>
  <conditionalFormatting sqref="C24 E24:F24">
    <cfRule type="cellIs" dxfId="25" priority="5" operator="lessThan">
      <formula>8000000</formula>
    </cfRule>
  </conditionalFormatting>
  <conditionalFormatting sqref="C24 E24:F24">
    <cfRule type="cellIs" dxfId="24" priority="6" operator="greaterThan">
      <formula>8000000</formula>
    </cfRule>
  </conditionalFormatting>
  <conditionalFormatting sqref="G29:H29 J29">
    <cfRule type="cellIs" dxfId="23" priority="7" operator="greaterThan">
      <formula>49</formula>
    </cfRule>
  </conditionalFormatting>
  <conditionalFormatting sqref="C30:H30">
    <cfRule type="cellIs" dxfId="22" priority="8" operator="greaterThan">
      <formula>0.25</formula>
    </cfRule>
  </conditionalFormatting>
  <conditionalFormatting sqref="C37:H38">
    <cfRule type="cellIs" dxfId="21" priority="9" operator="greaterThan">
      <formula>0.2</formula>
    </cfRule>
  </conditionalFormatting>
  <conditionalFormatting sqref="K16">
    <cfRule type="cellIs" dxfId="20" priority="10" operator="lessThan">
      <formula>0.07</formula>
    </cfRule>
  </conditionalFormatting>
  <conditionalFormatting sqref="K16">
    <cfRule type="cellIs" dxfId="19" priority="11" operator="lessThan">
      <formula>0.0001</formula>
    </cfRule>
  </conditionalFormatting>
  <conditionalFormatting sqref="I29">
    <cfRule type="cellIs" dxfId="18" priority="12" operator="greaterThan">
      <formula>49</formula>
    </cfRule>
  </conditionalFormatting>
  <conditionalFormatting sqref="I30">
    <cfRule type="cellIs" dxfId="17" priority="13" operator="greaterThan">
      <formula>0.25</formula>
    </cfRule>
  </conditionalFormatting>
  <conditionalFormatting sqref="I37:I38">
    <cfRule type="cellIs" dxfId="16" priority="14" operator="greaterThan">
      <formula>0.2</formula>
    </cfRule>
  </conditionalFormatting>
  <conditionalFormatting sqref="D49:G49 E50:G50">
    <cfRule type="cellIs" dxfId="15" priority="15" operator="lessThan">
      <formula>0.07</formula>
    </cfRule>
  </conditionalFormatting>
  <conditionalFormatting sqref="D49:G49 E50:G50">
    <cfRule type="cellIs" dxfId="14" priority="16" operator="lessThan">
      <formula>0.0001</formula>
    </cfRule>
  </conditionalFormatting>
  <conditionalFormatting sqref="C58:I58">
    <cfRule type="cellIs" dxfId="13" priority="17" operator="greaterThan">
      <formula>0.25</formula>
    </cfRule>
  </conditionalFormatting>
  <conditionalFormatting sqref="C58:I58">
    <cfRule type="cellIs" dxfId="12" priority="18" operator="greaterThan">
      <formula>0.25</formula>
    </cfRule>
  </conditionalFormatting>
  <conditionalFormatting sqref="C56 E56:F56">
    <cfRule type="cellIs" dxfId="11" priority="19" operator="lessThan">
      <formula>8000000</formula>
    </cfRule>
  </conditionalFormatting>
  <conditionalFormatting sqref="C56 E56:F56">
    <cfRule type="cellIs" dxfId="10" priority="20" operator="greaterThan">
      <formula>8000000</formula>
    </cfRule>
  </conditionalFormatting>
  <conditionalFormatting sqref="G61:H61 J61">
    <cfRule type="cellIs" dxfId="9" priority="21" operator="greaterThan">
      <formula>49</formula>
    </cfRule>
  </conditionalFormatting>
  <conditionalFormatting sqref="C62:H62">
    <cfRule type="cellIs" dxfId="8" priority="22" operator="greaterThan">
      <formula>0.25</formula>
    </cfRule>
  </conditionalFormatting>
  <conditionalFormatting sqref="C69:H70">
    <cfRule type="cellIs" dxfId="7" priority="23" operator="greaterThan">
      <formula>0.2</formula>
    </cfRule>
  </conditionalFormatting>
  <conditionalFormatting sqref="H49:I50">
    <cfRule type="cellIs" dxfId="6" priority="24" operator="lessThan">
      <formula>0.07</formula>
    </cfRule>
  </conditionalFormatting>
  <conditionalFormatting sqref="H49:I50">
    <cfRule type="cellIs" dxfId="5" priority="25" operator="lessThan">
      <formula>0.0001</formula>
    </cfRule>
  </conditionalFormatting>
  <conditionalFormatting sqref="I61">
    <cfRule type="cellIs" dxfId="4" priority="26" operator="greaterThan">
      <formula>49</formula>
    </cfRule>
  </conditionalFormatting>
  <conditionalFormatting sqref="I62">
    <cfRule type="cellIs" dxfId="3" priority="27" operator="greaterThan">
      <formula>0.25</formula>
    </cfRule>
  </conditionalFormatting>
  <conditionalFormatting sqref="I69:I70">
    <cfRule type="cellIs" dxfId="2" priority="28" operator="greaterThan">
      <formula>0.2</formula>
    </cfRule>
  </conditionalFormatting>
  <conditionalFormatting sqref="F15">
    <cfRule type="cellIs" dxfId="1" priority="29" operator="lessThan">
      <formula>0.07</formula>
    </cfRule>
  </conditionalFormatting>
  <conditionalFormatting sqref="F15">
    <cfRule type="cellIs" dxfId="0" priority="30" operator="lessThan">
      <formula>0.0001</formula>
    </cfRule>
  </conditionalFormatting>
  <pageMargins left="0.7" right="0.7" top="0.75" bottom="0.75" header="0" footer="0"/>
  <pageSetup orientation="landscape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afdf70-76d9-40b4-b77c-b159082189ce">
      <Terms xmlns="http://schemas.microsoft.com/office/infopath/2007/PartnerControls"/>
    </lcf76f155ced4ddcb4097134ff3c332f>
    <TaxCatchAll xmlns="7fb697db-589b-47c2-9e96-f521f6b7bc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880ADB7B902745BB3EF451E496D12F" ma:contentTypeVersion="17" ma:contentTypeDescription="Create a new document." ma:contentTypeScope="" ma:versionID="c92716620f2b3d7bc7248f76a8c2974b">
  <xsd:schema xmlns:xsd="http://www.w3.org/2001/XMLSchema" xmlns:xs="http://www.w3.org/2001/XMLSchema" xmlns:p="http://schemas.microsoft.com/office/2006/metadata/properties" xmlns:ns2="7fafdf70-76d9-40b4-b77c-b159082189ce" xmlns:ns3="7fb697db-589b-47c2-9e96-f521f6b7bc88" targetNamespace="http://schemas.microsoft.com/office/2006/metadata/properties" ma:root="true" ma:fieldsID="eac12138e9cdfd559af2bc6bb61ea657" ns2:_="" ns3:_="">
    <xsd:import namespace="7fafdf70-76d9-40b4-b77c-b159082189ce"/>
    <xsd:import namespace="7fb697db-589b-47c2-9e96-f521f6b7bc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fdf70-76d9-40b4-b77c-b159082189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697db-589b-47c2-9e96-f521f6b7bc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9d6e8b9-af7b-431e-a4ce-7d87a859fa5e}" ma:internalName="TaxCatchAll" ma:showField="CatchAllData" ma:web="7fb697db-589b-47c2-9e96-f521f6b7bc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9F464-DDB8-4840-BE98-409BE37F64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95940A-31B2-40A9-B468-466765AF86B3}">
  <ds:schemaRefs>
    <ds:schemaRef ds:uri="http://purl.org/dc/elements/1.1/"/>
    <ds:schemaRef ds:uri="http://schemas.microsoft.com/office/2006/metadata/properties"/>
    <ds:schemaRef ds:uri="7fafdf70-76d9-40b4-b77c-b159082189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fb697db-589b-47c2-9e96-f521f6b7bc8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B1CE08D-D151-4EFD-AC19-38EEA7D001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fdf70-76d9-40b4-b77c-b159082189ce"/>
    <ds:schemaRef ds:uri="7fb697db-589b-47c2-9e96-f521f6b7bc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974999</vt:lpwstr>
  </property>
  <property fmtid="{D5CDD505-2E9C-101B-9397-08002B2CF9AE}" pid="4" name="OptimizationTime">
    <vt:lpwstr>20240527_1034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דוח התאמה למס</vt:lpstr>
      <vt:lpstr>Income WP</vt:lpstr>
      <vt:lpstr>Exp By type</vt:lpstr>
      <vt:lpstr>Summary </vt:lpstr>
      <vt:lpstr>FS</vt:lpstr>
      <vt:lpstr>FS Notes</vt:lpstr>
      <vt:lpstr>BS USD CONS </vt:lpstr>
      <vt:lpstr>P&amp;L USD CONS</vt:lpstr>
      <vt:lpstr>COA LTD</vt:lpstr>
      <vt:lpstr>FS Notes ILS</vt:lpstr>
      <vt:lpstr>BS LTD USD </vt:lpstr>
      <vt:lpstr>P&amp;L LTD  USD</vt:lpstr>
      <vt:lpstr>TB LTD 12.22</vt:lpstr>
      <vt:lpstr>AJE 2022</vt:lpstr>
      <vt:lpstr>COA INC</vt:lpstr>
      <vt:lpstr>BS INC</vt:lpstr>
      <vt:lpstr>P&amp;L INC</vt:lpstr>
      <vt:lpstr>TB INC 12.22</vt:lpstr>
      <vt:lpstr>Tech Plant Check</vt:lpstr>
      <vt:lpstr>R&amp;D 20A</vt:lpstr>
      <vt:lpstr>COA India</vt:lpstr>
      <vt:lpstr>BS India</vt:lpstr>
      <vt:lpstr>P&amp;L India</vt:lpstr>
      <vt:lpstr>TB India 12.22</vt:lpstr>
      <vt:lpstr>CF FS</vt:lpstr>
      <vt:lpstr>CF WP</vt:lpstr>
      <vt:lpstr>Changes in equity</vt:lpstr>
      <vt:lpstr>Tech Plant Check ILS</vt:lpstr>
      <vt:lpstr>'BS INC'!Print_Area</vt:lpstr>
      <vt:lpstr>'BS India'!Print_Area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עדית ארד</dc:creator>
  <cp:lastModifiedBy>Eliya Kapulsky</cp:lastModifiedBy>
  <dcterms:created xsi:type="dcterms:W3CDTF">2016-10-19T11:41:04Z</dcterms:created>
  <dcterms:modified xsi:type="dcterms:W3CDTF">2024-05-27T07:34:30Z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0x0101009D880ADB7B902745BB3EF451E496D12F</vt:lpwstr>
  </property>
  <property fmtid="{D5CDD505-2E9C-101B-9397-08002B2CF9AE}" pid="5" name="MediaServiceImageTags">
    <vt:lpwstr/>
  </property>
</Properties>
</file>