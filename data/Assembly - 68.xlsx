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mitiga.sharepoint.com/sites/ExternalFinance/Shared Documents/Mitiga Security Inc/NC Comp backup/Finance - Nimrod comp/Audit/2021/Consolidation file/"/>
    </mc:Choice>
  </mc:AlternateContent>
  <xr:revisionPtr revIDLastSave="18" documentId="8_{998DFBEE-E800-4646-84D9-5B49FAD9B9BC}" xr6:coauthVersionLast="47" xr6:coauthVersionMax="47" xr10:uidLastSave="{EF58A9AC-C32F-5146-B7E2-56249433F084}"/>
  <bookViews>
    <workbookView xWindow="14000" yWindow="-22540" windowWidth="40960" windowHeight="22540" tabRatio="1000" activeTab="9" xr2:uid="{00000000-000D-0000-FFFF-FFFF00000000}"/>
  </bookViews>
  <sheets>
    <sheet name="HARKAVA " sheetId="2" r:id="rId1"/>
    <sheet name="intercompany" sheetId="37" state="hidden" r:id="rId2"/>
    <sheet name="budget" sheetId="45" r:id="rId3"/>
    <sheet name="BS" sheetId="9" r:id="rId4"/>
    <sheet name="PL" sheetId="10" r:id="rId5"/>
    <sheet name="CF" sheetId="42" r:id="rId6"/>
    <sheet name="details" sheetId="43" state="hidden" r:id="rId7"/>
    <sheet name="cash flows" sheetId="44" r:id="rId8"/>
    <sheet name="TB Mitiga LTD" sheetId="7" r:id="rId9"/>
    <sheet name="Adj Entries Ltd" sheetId="3" r:id="rId10"/>
    <sheet name="codes Ltd" sheetId="8" r:id="rId11"/>
    <sheet name="TB US" sheetId="35" r:id="rId12"/>
    <sheet name="Adj. entries US" sheetId="41" r:id="rId13"/>
    <sheet name="codes US" sheetId="36" r:id="rId14"/>
    <sheet name="TB UK" sheetId="20" r:id="rId15"/>
    <sheet name="codes UK" sheetId="22" r:id="rId16"/>
    <sheet name="Adj. Entries UK" sheetId="21" r:id="rId17"/>
    <sheet name="TB security" sheetId="31" r:id="rId18"/>
    <sheet name="Adj. Entries security" sheetId="39" r:id="rId19"/>
    <sheet name="codes security" sheetId="32" r:id="rId20"/>
  </sheets>
  <externalReferences>
    <externalReference r:id="rId21"/>
    <externalReference r:id="rId22"/>
    <externalReference r:id="rId23"/>
    <externalReference r:id="rId24"/>
    <externalReference r:id="rId25"/>
    <externalReference r:id="rId26"/>
  </externalReferences>
  <definedNames>
    <definedName name="_xlnm._FilterDatabase" localSheetId="9" hidden="1">'Adj Entries Ltd'!$A$3:$M$249</definedName>
    <definedName name="_xlnm._FilterDatabase" localSheetId="10" hidden="1">'codes Ltd'!$A$1:$C$270</definedName>
    <definedName name="_xlnm._FilterDatabase" localSheetId="19" hidden="1">'codes security'!$A$1:$C$140</definedName>
    <definedName name="_xlnm._FilterDatabase" localSheetId="15" hidden="1">'codes UK'!$A$1:$C$140</definedName>
    <definedName name="_xlnm._FilterDatabase" localSheetId="13" hidden="1">'codes US'!$A$1:$C$19</definedName>
    <definedName name="_xlnm._FilterDatabase" localSheetId="8" hidden="1">'TB Mitiga LTD'!$A$1:$F$237</definedName>
    <definedName name="_xlnm._FilterDatabase" localSheetId="17" hidden="1">'TB security'!$A$1:$D$130</definedName>
    <definedName name="_xlnm._FilterDatabase" localSheetId="14" hidden="1">'TB UK'!$A$1:$F$103</definedName>
    <definedName name="_xlnm._FilterDatabase" localSheetId="11" hidden="1">'TB US'!$A$1:$F$19</definedName>
    <definedName name="Actuals" localSheetId="18">#REF!</definedName>
    <definedName name="Actuals" localSheetId="11">#REF!</definedName>
    <definedName name="Actuals">#REF!</definedName>
    <definedName name="Capital_Gains_Taxes" localSheetId="18">#REF!</definedName>
    <definedName name="Capital_Gains_Taxes" localSheetId="11">#REF!</definedName>
    <definedName name="Capital_Gains_Taxes">#REF!</definedName>
    <definedName name="codes">[1]קליטה!#REF!</definedName>
    <definedName name="Company_Scenarios" localSheetId="18">#REF!</definedName>
    <definedName name="Company_Scenarios" localSheetId="11">#REF!</definedName>
    <definedName name="Company_Scenarios">#REF!</definedName>
    <definedName name="Currency" localSheetId="18">#REF!</definedName>
    <definedName name="Currency" localSheetId="11">#REF!</definedName>
    <definedName name="Currency">#REF!</definedName>
    <definedName name="Days_per_Year">365</definedName>
    <definedName name="Deployment_Scenarios" localSheetId="18">#REF!</definedName>
    <definedName name="Deployment_Scenarios" localSheetId="11">#REF!</definedName>
    <definedName name="Deployment_Scenarios">#REF!</definedName>
    <definedName name="Dividend_Tax" localSheetId="18">#REF!</definedName>
    <definedName name="Dividend_Tax" localSheetId="11">#REF!</definedName>
    <definedName name="Dividend_Tax">#REF!</definedName>
    <definedName name="Exchange_Rate_to_USD" localSheetId="18">#REF!</definedName>
    <definedName name="Exchange_Rate_to_USD" localSheetId="11">#REF!</definedName>
    <definedName name="Exchange_Rate_to_USD">#REF!</definedName>
    <definedName name="Fiscal_Year_Ending" localSheetId="18">#REF!</definedName>
    <definedName name="Fiscal_Year_Ending" localSheetId="11">#REF!</definedName>
    <definedName name="Fiscal_Year_Ending">#REF!</definedName>
    <definedName name="h">#REF!</definedName>
    <definedName name="Helpline">'[2]Debt Capex'!$AF$71:$AM$71</definedName>
    <definedName name="IQ_EXPENSE_CODE_" hidden="1">100</definedName>
    <definedName name="mbm">[1]קליטה!#REF!</definedName>
    <definedName name="mbmtuam">[1]קליטה!#REF!</definedName>
    <definedName name="mbnom">[1]קליטה!#REF!</definedName>
    <definedName name="Name" localSheetId="18">#REF!</definedName>
    <definedName name="Name" localSheetId="11">#REF!</definedName>
    <definedName name="Name">#REF!</definedName>
    <definedName name="NPV_Correction" localSheetId="18">#REF!</definedName>
    <definedName name="NPV_Correction" localSheetId="11">#REF!</definedName>
    <definedName name="NPV_Correction">#REF!</definedName>
    <definedName name="Operating_Deployment_Scenario" localSheetId="18">#REF!</definedName>
    <definedName name="Operating_Deployment_Scenario" localSheetId="11">#REF!</definedName>
    <definedName name="Operating_Deployment_Scenario">#REF!</definedName>
    <definedName name="Operating_Scenario" localSheetId="18">#REF!</definedName>
    <definedName name="Operating_Scenario" localSheetId="11">#REF!</definedName>
    <definedName name="Operating_Scenario">#REF!</definedName>
    <definedName name="pncodes">'[1]פקודות נוספות'!#REF!</definedName>
    <definedName name="pnmtuam">'[1]פקודות נוספות'!#REF!</definedName>
    <definedName name="pnnom">'[1]פקודות נוספות'!#REF!</definedName>
    <definedName name="_xlnm.Print_Area" localSheetId="9">'Adj Entries Ltd'!$A$1:$I$77</definedName>
    <definedName name="_xlnm.Print_Area" localSheetId="18">'Adj. Entries security'!$A$1:$G$13</definedName>
    <definedName name="_xlnm.Print_Area" localSheetId="16">'Adj. Entries UK'!$A$1:$I$12</definedName>
    <definedName name="_xlnm.Print_Area" localSheetId="3">BS!$B$1:$U$31</definedName>
    <definedName name="_xlnm.Print_Area" localSheetId="2">budget!$B$4:$I$199</definedName>
    <definedName name="_xlnm.Print_Area" localSheetId="7">'cash flows'!$A$2:$K$16</definedName>
    <definedName name="_xlnm.Print_Area" localSheetId="5">CF!$A$1:$T$31</definedName>
    <definedName name="_xlnm.Print_Area" localSheetId="0">'HARKAVA '!$A$1:$Y$114</definedName>
    <definedName name="_xlnm.Print_Area" localSheetId="4">PL!$B$1:$AQ$46</definedName>
    <definedName name="_xlnm.Print_Area" localSheetId="8">'TB Mitiga LTD'!$A$1:$F$54</definedName>
    <definedName name="_xlnm.Print_Area" localSheetId="11">'TB US'!$A$1:$F$56</definedName>
    <definedName name="_xlnm.Print_Titles" localSheetId="9">'Adj Entries Ltd'!$1:$3</definedName>
    <definedName name="_xlnm.Print_Titles" localSheetId="0">'HARKAVA '!$A:$B</definedName>
    <definedName name="Projection_Period" localSheetId="18">#REF!</definedName>
    <definedName name="Projection_Period" localSheetId="11">#REF!</definedName>
    <definedName name="Projection_Period">#REF!</definedName>
    <definedName name="Selected_Scenario" localSheetId="18">#REF!</definedName>
    <definedName name="Selected_Scenario" localSheetId="11">#REF!</definedName>
    <definedName name="Selected_Scenario">#REF!</definedName>
    <definedName name="Selected_ScenarioDV" localSheetId="18">#REF!</definedName>
    <definedName name="Selected_ScenarioDV" localSheetId="11">#REF!</definedName>
    <definedName name="Selected_ScenarioDV">#REF!</definedName>
    <definedName name="STV_Investment_Date" localSheetId="18">#REF!</definedName>
    <definedName name="STV_Investment_Date" localSheetId="11">#REF!</definedName>
    <definedName name="STV_Investment_Date">#REF!</definedName>
    <definedName name="Units" localSheetId="18">#REF!</definedName>
    <definedName name="Units" localSheetId="11">#REF!</definedName>
    <definedName name="Units">#REF!</definedName>
    <definedName name="WACC" localSheetId="18">#REF!</definedName>
    <definedName name="WACC" localSheetId="11">#REF!</definedName>
    <definedName name="WACC">#REF!</definedName>
    <definedName name="ws">'[1]גליון החישובים'!#REF!</definedName>
    <definedName name="חי">[3]קליטה!#REF!</definedName>
  </definedNames>
  <calcPr calcId="191028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4" i="3" l="1"/>
  <c r="G65" i="3"/>
  <c r="E65" i="3"/>
  <c r="H62" i="3"/>
  <c r="H61" i="3"/>
  <c r="F61" i="3"/>
  <c r="G62" i="3" s="1"/>
  <c r="D61" i="3"/>
  <c r="E62" i="3" s="1"/>
  <c r="H59" i="3" l="1"/>
  <c r="G59" i="3"/>
  <c r="H58" i="3"/>
  <c r="G56" i="3"/>
  <c r="E56" i="3"/>
  <c r="F53" i="3"/>
  <c r="G52" i="3"/>
  <c r="G42" i="3"/>
  <c r="F41" i="3"/>
  <c r="G39" i="3"/>
  <c r="F38" i="3"/>
  <c r="F29" i="3"/>
  <c r="G32" i="3"/>
  <c r="G31" i="3"/>
  <c r="G30" i="3"/>
  <c r="G23" i="3"/>
  <c r="G24" i="3"/>
  <c r="G25" i="3"/>
  <c r="G26" i="3"/>
  <c r="G22" i="3"/>
  <c r="F21" i="3"/>
  <c r="F20" i="3"/>
  <c r="F19" i="3"/>
  <c r="F18" i="3"/>
  <c r="F17" i="3"/>
  <c r="G15" i="3"/>
  <c r="G14" i="3"/>
  <c r="F13" i="3"/>
  <c r="F12" i="3"/>
  <c r="G10" i="3"/>
  <c r="F8" i="3"/>
  <c r="F7" i="3"/>
  <c r="F6" i="3"/>
  <c r="F5" i="3"/>
  <c r="D55" i="3" l="1"/>
  <c r="F55" i="3"/>
  <c r="BB7" i="2"/>
  <c r="BB8" i="2"/>
  <c r="BB9" i="2"/>
  <c r="BB10" i="2"/>
  <c r="BB12" i="2"/>
  <c r="BB13" i="2"/>
  <c r="BB14" i="2"/>
  <c r="BB15" i="2"/>
  <c r="BB16" i="2"/>
  <c r="BB17" i="2"/>
  <c r="BB18" i="2"/>
  <c r="BB19" i="2"/>
  <c r="BB20" i="2"/>
  <c r="BB21" i="2"/>
  <c r="BB22" i="2"/>
  <c r="BB23" i="2"/>
  <c r="BB25" i="2"/>
  <c r="BB26" i="2"/>
  <c r="BB27" i="2"/>
  <c r="BB29" i="2"/>
  <c r="BB30" i="2"/>
  <c r="BB31" i="2"/>
  <c r="BB32" i="2"/>
  <c r="BB33" i="2"/>
  <c r="BB35" i="2"/>
  <c r="BB36" i="2"/>
  <c r="BB37" i="2"/>
  <c r="BB38" i="2"/>
  <c r="BB39" i="2"/>
  <c r="BB40" i="2"/>
  <c r="BB41" i="2"/>
  <c r="BB42" i="2"/>
  <c r="BB43" i="2"/>
  <c r="BB44" i="2"/>
  <c r="BB45" i="2"/>
  <c r="BB46" i="2"/>
  <c r="BB47" i="2"/>
  <c r="BB48" i="2"/>
  <c r="BB49" i="2"/>
  <c r="BB51" i="2"/>
  <c r="BB52" i="2"/>
  <c r="BB53" i="2"/>
  <c r="BB54" i="2"/>
  <c r="BB55" i="2"/>
  <c r="BB56" i="2"/>
  <c r="BB57" i="2"/>
  <c r="BB60" i="2"/>
  <c r="BB61" i="2"/>
  <c r="BB62" i="2"/>
  <c r="BB63" i="2"/>
  <c r="BB65" i="2"/>
  <c r="BB66" i="2"/>
  <c r="BB67" i="2"/>
  <c r="BB68" i="2"/>
  <c r="BB69" i="2"/>
  <c r="BB70" i="2"/>
  <c r="BB71" i="2"/>
  <c r="BB72" i="2"/>
  <c r="BB73" i="2"/>
  <c r="BB74" i="2"/>
  <c r="BB75" i="2"/>
  <c r="BB76" i="2"/>
  <c r="BB77" i="2"/>
  <c r="BB78" i="2"/>
  <c r="BB79" i="2"/>
  <c r="BB80" i="2"/>
  <c r="BB81" i="2"/>
  <c r="BB82" i="2"/>
  <c r="BB83" i="2"/>
  <c r="BB84" i="2"/>
  <c r="BB85" i="2"/>
  <c r="BB87" i="2"/>
  <c r="BB88" i="2"/>
  <c r="BB89" i="2"/>
  <c r="BB90" i="2"/>
  <c r="BB91" i="2"/>
  <c r="BB92" i="2"/>
  <c r="BB93" i="2"/>
  <c r="BB94" i="2"/>
  <c r="BB95" i="2"/>
  <c r="BB96" i="2"/>
  <c r="BB97" i="2"/>
  <c r="BB98" i="2"/>
  <c r="BB99" i="2"/>
  <c r="BB100" i="2"/>
  <c r="BB101" i="2"/>
  <c r="BB102" i="2"/>
  <c r="BB103" i="2"/>
  <c r="BB104" i="2"/>
  <c r="BB105" i="2"/>
  <c r="BB106" i="2"/>
  <c r="BB107" i="2"/>
  <c r="BB108" i="2"/>
  <c r="BB109" i="2"/>
  <c r="BB110" i="2"/>
  <c r="BB112" i="2"/>
  <c r="BB113" i="2"/>
  <c r="BB6" i="2"/>
  <c r="Y15" i="10"/>
  <c r="I15" i="10"/>
  <c r="F15" i="10"/>
  <c r="D38" i="3"/>
  <c r="D12" i="39"/>
  <c r="D4" i="41" l="1"/>
  <c r="BA29" i="2" l="1"/>
  <c r="BA30" i="2"/>
  <c r="BA31" i="2"/>
  <c r="AZ29" i="2"/>
  <c r="AZ30" i="2"/>
  <c r="AZ31" i="2"/>
  <c r="AY29" i="2"/>
  <c r="AY30" i="2"/>
  <c r="AY31" i="2"/>
  <c r="A22" i="20" l="1"/>
  <c r="F22" i="20"/>
  <c r="A130" i="31" l="1"/>
  <c r="E42" i="3" l="1"/>
  <c r="E39" i="3"/>
  <c r="E13" i="39"/>
  <c r="E10" i="39"/>
  <c r="D9" i="21"/>
  <c r="E5" i="41"/>
  <c r="E42" i="39" l="1"/>
  <c r="E41" i="39"/>
  <c r="E40" i="39"/>
  <c r="E39" i="39"/>
  <c r="E38" i="39"/>
  <c r="F34" i="39"/>
  <c r="F35" i="39"/>
  <c r="F36" i="39"/>
  <c r="F37" i="39"/>
  <c r="F38" i="39"/>
  <c r="F39" i="39"/>
  <c r="F40" i="39"/>
  <c r="F41" i="39"/>
  <c r="F42" i="39"/>
  <c r="E24" i="21"/>
  <c r="E23" i="21"/>
  <c r="E22" i="21"/>
  <c r="E21" i="21"/>
  <c r="E20" i="21"/>
  <c r="H15" i="21"/>
  <c r="H16" i="21"/>
  <c r="H17" i="21"/>
  <c r="H18" i="21"/>
  <c r="H19" i="21"/>
  <c r="H25" i="3"/>
  <c r="H24" i="3"/>
  <c r="H23" i="3"/>
  <c r="H22" i="3"/>
  <c r="H21" i="3"/>
  <c r="H20" i="3"/>
  <c r="H19" i="3"/>
  <c r="H18" i="3"/>
  <c r="E26" i="3"/>
  <c r="E25" i="3"/>
  <c r="E24" i="3"/>
  <c r="E23" i="3"/>
  <c r="E22" i="3"/>
  <c r="F175" i="7" l="1"/>
  <c r="F176" i="7"/>
  <c r="A175" i="7"/>
  <c r="A64" i="7"/>
  <c r="A65" i="7"/>
  <c r="A66" i="7"/>
  <c r="F64" i="7"/>
  <c r="F65" i="7"/>
  <c r="F66" i="7"/>
  <c r="F51" i="7"/>
  <c r="A51" i="7"/>
  <c r="F44" i="7"/>
  <c r="A44" i="7"/>
  <c r="Q11" i="42" l="1"/>
  <c r="N29" i="42"/>
  <c r="F22" i="44"/>
  <c r="F21" i="44" l="1"/>
  <c r="AY35" i="10" l="1"/>
  <c r="AY33" i="10" l="1"/>
  <c r="AY29" i="10"/>
  <c r="AY25" i="10"/>
  <c r="AY18" i="10"/>
  <c r="AY17" i="10"/>
  <c r="AY20" i="10" s="1"/>
  <c r="AY9" i="10"/>
  <c r="AY34" i="10" s="1"/>
  <c r="AY10" i="10"/>
  <c r="AY12" i="10" s="1"/>
  <c r="AY30" i="10" l="1"/>
  <c r="AY38" i="10"/>
  <c r="AV27" i="9"/>
  <c r="AV26" i="9"/>
  <c r="AV28" i="9" s="1"/>
  <c r="AV21" i="9"/>
  <c r="AV24" i="9" s="1"/>
  <c r="AU17" i="9"/>
  <c r="AX16" i="9" l="1"/>
  <c r="AX18" i="9" s="1"/>
  <c r="BA12" i="9"/>
  <c r="BA13" i="9"/>
  <c r="BA14" i="9" s="1"/>
  <c r="AX17" i="9" l="1"/>
  <c r="AX19" i="9" s="1"/>
  <c r="AV11" i="9" l="1"/>
  <c r="AV12" i="9" s="1"/>
  <c r="X111" i="2" l="1"/>
  <c r="BB111" i="2" s="1"/>
  <c r="H42" i="3"/>
  <c r="H8" i="21" l="1"/>
  <c r="AJ60" i="10" l="1"/>
  <c r="E32" i="3" l="1"/>
  <c r="H32" i="3"/>
  <c r="E31" i="3"/>
  <c r="E30" i="3"/>
  <c r="D29" i="3" s="1"/>
  <c r="E47" i="3" l="1"/>
  <c r="E45" i="3"/>
  <c r="F46" i="3"/>
  <c r="H45" i="3"/>
  <c r="H46" i="3"/>
  <c r="H47" i="3"/>
  <c r="D46" i="3" l="1"/>
  <c r="E52" i="3"/>
  <c r="A221" i="7" l="1"/>
  <c r="A222" i="7"/>
  <c r="A223" i="7"/>
  <c r="A224" i="7"/>
  <c r="A225" i="7"/>
  <c r="A226" i="7"/>
  <c r="A227" i="7"/>
  <c r="A228" i="7"/>
  <c r="A229" i="7"/>
  <c r="A230" i="7"/>
  <c r="A231" i="7"/>
  <c r="A232" i="7"/>
  <c r="A233" i="7"/>
  <c r="A234" i="7"/>
  <c r="A235" i="7"/>
  <c r="A236" i="7"/>
  <c r="A237" i="7"/>
  <c r="F221" i="7"/>
  <c r="F222" i="7"/>
  <c r="F223" i="7"/>
  <c r="F224" i="7"/>
  <c r="F225" i="7"/>
  <c r="F226" i="7"/>
  <c r="F227" i="7"/>
  <c r="F228" i="7"/>
  <c r="F229" i="7"/>
  <c r="F230" i="7"/>
  <c r="F231" i="7"/>
  <c r="F232" i="7"/>
  <c r="F233" i="7"/>
  <c r="F234" i="7"/>
  <c r="F235" i="7"/>
  <c r="F236" i="7"/>
  <c r="F237" i="7"/>
  <c r="A99" i="20" l="1"/>
  <c r="A100" i="20"/>
  <c r="A101" i="20"/>
  <c r="A102" i="20"/>
  <c r="A103" i="20"/>
  <c r="F99" i="20"/>
  <c r="F100" i="20"/>
  <c r="F101" i="20"/>
  <c r="F102" i="20"/>
  <c r="F103" i="20"/>
  <c r="F26" i="39" l="1"/>
  <c r="D19" i="39" l="1"/>
  <c r="A120" i="31" l="1"/>
  <c r="A121" i="31"/>
  <c r="A122" i="31"/>
  <c r="A123" i="31"/>
  <c r="A124" i="31"/>
  <c r="A125" i="31"/>
  <c r="A126" i="31"/>
  <c r="A127" i="31"/>
  <c r="A128" i="31"/>
  <c r="A129" i="31"/>
  <c r="AO5" i="10" l="1"/>
  <c r="AL44" i="10"/>
  <c r="AL38" i="10"/>
  <c r="AL37" i="10"/>
  <c r="AL36" i="10"/>
  <c r="AL35" i="10"/>
  <c r="AL34" i="10"/>
  <c r="AL33" i="10"/>
  <c r="AL29" i="10"/>
  <c r="AL28" i="10"/>
  <c r="AL27" i="10"/>
  <c r="AL26" i="10"/>
  <c r="AL25" i="10"/>
  <c r="AL21" i="10"/>
  <c r="AL20" i="10"/>
  <c r="AL19" i="10"/>
  <c r="AL18" i="10"/>
  <c r="AL17" i="10"/>
  <c r="AL11" i="10"/>
  <c r="AL10" i="10"/>
  <c r="AL9" i="10"/>
  <c r="AL8" i="10"/>
  <c r="BA9" i="10" l="1"/>
  <c r="BA34" i="10"/>
  <c r="BB52" i="10"/>
  <c r="AB58" i="10"/>
  <c r="P37" i="9"/>
  <c r="P21" i="9"/>
  <c r="P9" i="9"/>
  <c r="P15" i="9" s="1"/>
  <c r="AD41" i="10"/>
  <c r="AB41" i="10"/>
  <c r="J18" i="42"/>
  <c r="S11" i="42"/>
  <c r="AF21" i="9" l="1"/>
  <c r="AF10" i="9"/>
  <c r="AF9" i="9"/>
  <c r="AF8" i="9"/>
  <c r="AF7" i="9"/>
  <c r="AF6" i="9"/>
  <c r="AF5" i="9"/>
  <c r="AF4" i="9"/>
  <c r="AE11" i="9"/>
  <c r="AF11" i="9" l="1"/>
  <c r="AB43" i="10"/>
  <c r="AB45" i="10" s="1"/>
  <c r="BA35" i="10"/>
  <c r="BA26" i="10"/>
  <c r="AF20" i="9" l="1"/>
  <c r="BA18" i="10"/>
  <c r="BA20" i="10" s="1"/>
  <c r="BB53" i="10"/>
  <c r="AF28" i="9" s="1"/>
  <c r="BA10" i="10"/>
  <c r="BA27" i="10" s="1"/>
  <c r="J36" i="42" l="1"/>
  <c r="R41" i="10"/>
  <c r="U11" i="42"/>
  <c r="Y47" i="10" l="1"/>
  <c r="AL5" i="10" l="1"/>
  <c r="F212" i="7" l="1"/>
  <c r="F213" i="7"/>
  <c r="F214" i="7"/>
  <c r="F215" i="7"/>
  <c r="F216" i="7"/>
  <c r="F217" i="7"/>
  <c r="F218" i="7"/>
  <c r="F219" i="7"/>
  <c r="F220" i="7"/>
  <c r="A212" i="7"/>
  <c r="A213" i="7"/>
  <c r="A214" i="7"/>
  <c r="A215" i="7"/>
  <c r="A216" i="7"/>
  <c r="A217" i="7"/>
  <c r="A218" i="7"/>
  <c r="A219" i="7"/>
  <c r="A220" i="7"/>
  <c r="A88" i="20" l="1"/>
  <c r="A89" i="20"/>
  <c r="A90" i="20"/>
  <c r="A91" i="20"/>
  <c r="A92" i="20"/>
  <c r="A93" i="20"/>
  <c r="A94" i="20"/>
  <c r="A95" i="20"/>
  <c r="A96" i="20"/>
  <c r="A97" i="20"/>
  <c r="A98" i="20"/>
  <c r="F88" i="20"/>
  <c r="F89" i="20"/>
  <c r="F90" i="20"/>
  <c r="F91" i="20"/>
  <c r="F92" i="20"/>
  <c r="F93" i="20"/>
  <c r="F94" i="20"/>
  <c r="F95" i="20"/>
  <c r="F96" i="20"/>
  <c r="F97" i="20"/>
  <c r="F98" i="20"/>
  <c r="A112" i="31" l="1"/>
  <c r="A113" i="31"/>
  <c r="A114" i="31"/>
  <c r="A115" i="31"/>
  <c r="A116" i="31"/>
  <c r="A117" i="31"/>
  <c r="A118" i="31"/>
  <c r="A119" i="31"/>
  <c r="P38" i="9"/>
  <c r="P39" i="9" s="1"/>
  <c r="F20" i="44" l="1"/>
  <c r="E6" i="39" l="1"/>
  <c r="Y60" i="10" l="1"/>
  <c r="A198" i="7" l="1"/>
  <c r="A199" i="7"/>
  <c r="A200" i="7"/>
  <c r="A201" i="7"/>
  <c r="A202" i="7"/>
  <c r="A203" i="7"/>
  <c r="A204" i="7"/>
  <c r="A205" i="7"/>
  <c r="A206" i="7"/>
  <c r="A207" i="7"/>
  <c r="A208" i="7"/>
  <c r="A209" i="7"/>
  <c r="A210" i="7"/>
  <c r="A211" i="7"/>
  <c r="F198" i="7"/>
  <c r="F199" i="7"/>
  <c r="F200" i="7"/>
  <c r="F201" i="7"/>
  <c r="F202" i="7"/>
  <c r="F203" i="7"/>
  <c r="F204" i="7"/>
  <c r="F205" i="7"/>
  <c r="F206" i="7"/>
  <c r="F207" i="7"/>
  <c r="F208" i="7"/>
  <c r="F209" i="7"/>
  <c r="F210" i="7"/>
  <c r="F211" i="7"/>
  <c r="A84" i="20" l="1"/>
  <c r="A85" i="20"/>
  <c r="A86" i="20"/>
  <c r="A87" i="20"/>
  <c r="F84" i="20"/>
  <c r="F85" i="20"/>
  <c r="F86" i="20"/>
  <c r="F87" i="20"/>
  <c r="A104" i="31" l="1"/>
  <c r="A105" i="31"/>
  <c r="A106" i="31"/>
  <c r="A107" i="31"/>
  <c r="A108" i="31"/>
  <c r="A109" i="31"/>
  <c r="A110" i="31"/>
  <c r="A111" i="31"/>
  <c r="AL22" i="10" l="1"/>
  <c r="Y5" i="10"/>
  <c r="AL30" i="10" l="1"/>
  <c r="AL39" i="10"/>
  <c r="AL12" i="10"/>
  <c r="AL14" i="10" l="1"/>
  <c r="AL43" i="10" s="1"/>
  <c r="AL45" i="10" s="1"/>
  <c r="AL41" i="10"/>
  <c r="BM7" i="10"/>
  <c r="BM5" i="10"/>
  <c r="BM8" i="10" l="1"/>
  <c r="L38" i="10"/>
  <c r="L19" i="10"/>
  <c r="BW44" i="10" l="1"/>
  <c r="BW38" i="10"/>
  <c r="BW37" i="10"/>
  <c r="BW36" i="10"/>
  <c r="BW35" i="10"/>
  <c r="BW34" i="10"/>
  <c r="BW33" i="10"/>
  <c r="BW28" i="10"/>
  <c r="BW27" i="10"/>
  <c r="BW26" i="10"/>
  <c r="BW25" i="10"/>
  <c r="BW21" i="10"/>
  <c r="BW20" i="10"/>
  <c r="BW19" i="10"/>
  <c r="BW18" i="10"/>
  <c r="BW17" i="10"/>
  <c r="BW11" i="10"/>
  <c r="BW10" i="10"/>
  <c r="BW9" i="10"/>
  <c r="BW8" i="10"/>
  <c r="BW5" i="10"/>
  <c r="CC44" i="10"/>
  <c r="CC34" i="10"/>
  <c r="CC28" i="10"/>
  <c r="CC26" i="10"/>
  <c r="CC20" i="10"/>
  <c r="CC18" i="10"/>
  <c r="CC9" i="10"/>
  <c r="CC5" i="10"/>
  <c r="CB44" i="10"/>
  <c r="CB38" i="10"/>
  <c r="CB37" i="10"/>
  <c r="CB36" i="10"/>
  <c r="CB35" i="10"/>
  <c r="CB34" i="10"/>
  <c r="CB33" i="10"/>
  <c r="CB29" i="10"/>
  <c r="CB28" i="10"/>
  <c r="CB27" i="10"/>
  <c r="CB26" i="10"/>
  <c r="CB21" i="10"/>
  <c r="CB20" i="10"/>
  <c r="CB19" i="10"/>
  <c r="CB18" i="10"/>
  <c r="CB17" i="10"/>
  <c r="CB11" i="10"/>
  <c r="CB10" i="10"/>
  <c r="CB9" i="10"/>
  <c r="CB5" i="10"/>
  <c r="BZ44" i="10"/>
  <c r="BZ34" i="10"/>
  <c r="BZ28" i="10"/>
  <c r="BZ20" i="10"/>
  <c r="BZ18" i="10"/>
  <c r="BZ5" i="10"/>
  <c r="BY9" i="10"/>
  <c r="BY10" i="10"/>
  <c r="BY11" i="10"/>
  <c r="BY17" i="10"/>
  <c r="BY18" i="10"/>
  <c r="BY19" i="10"/>
  <c r="BY20" i="10"/>
  <c r="BY21" i="10"/>
  <c r="BY25" i="10"/>
  <c r="BY26" i="10"/>
  <c r="BY27" i="10"/>
  <c r="BY28" i="10"/>
  <c r="BY33" i="10"/>
  <c r="BY34" i="10"/>
  <c r="BY35" i="10"/>
  <c r="BY36" i="10"/>
  <c r="BY37" i="10"/>
  <c r="BY38" i="10"/>
  <c r="BY44" i="10"/>
  <c r="BY8" i="10"/>
  <c r="BY5" i="10"/>
  <c r="I47" i="10"/>
  <c r="F47" i="10"/>
  <c r="I60" i="10"/>
  <c r="F60" i="10"/>
  <c r="H37" i="9" l="1"/>
  <c r="F37" i="9"/>
  <c r="AQ3" i="10" l="1"/>
  <c r="I32" i="9" l="1"/>
  <c r="D26" i="42" l="1"/>
  <c r="F26" i="42"/>
  <c r="D22" i="42"/>
  <c r="F22" i="42"/>
  <c r="F18" i="42"/>
  <c r="H29" i="42"/>
  <c r="H26" i="42"/>
  <c r="H22" i="42"/>
  <c r="H18" i="42"/>
  <c r="H18" i="9"/>
  <c r="F34" i="42" l="1"/>
  <c r="H34" i="42"/>
  <c r="BL54" i="10"/>
  <c r="H28" i="42"/>
  <c r="H30" i="42" s="1"/>
  <c r="F28" i="42"/>
  <c r="BL60" i="10"/>
  <c r="BL66" i="10"/>
  <c r="Q29" i="42" l="1"/>
  <c r="BI28" i="10"/>
  <c r="BI20" i="10"/>
  <c r="Y55" i="45" l="1"/>
  <c r="Y54" i="45"/>
  <c r="Y53" i="45"/>
  <c r="Y52" i="45"/>
  <c r="Y51" i="45"/>
  <c r="Y50" i="45"/>
  <c r="Y49" i="45"/>
  <c r="Y48" i="45"/>
  <c r="Y47" i="45"/>
  <c r="Y46" i="45"/>
  <c r="Y42" i="45"/>
  <c r="Y41" i="45"/>
  <c r="Y39" i="45"/>
  <c r="AO37" i="10" s="1"/>
  <c r="Y38" i="45"/>
  <c r="Y37" i="45"/>
  <c r="Y36" i="45"/>
  <c r="Y34" i="45"/>
  <c r="Y33" i="45"/>
  <c r="Y31" i="45"/>
  <c r="Y30" i="45"/>
  <c r="Y29" i="45"/>
  <c r="AO34" i="10"/>
  <c r="AO26" i="10"/>
  <c r="AO18" i="10"/>
  <c r="AO9" i="10"/>
  <c r="V8" i="10"/>
  <c r="Y89" i="45"/>
  <c r="Y63" i="45"/>
  <c r="Y62" i="45"/>
  <c r="Y61" i="45"/>
  <c r="Y101" i="45"/>
  <c r="Y100" i="45"/>
  <c r="AO20" i="10" s="1"/>
  <c r="Y99" i="45"/>
  <c r="Y98" i="45"/>
  <c r="Y97" i="45"/>
  <c r="Y66" i="45"/>
  <c r="Y75" i="45"/>
  <c r="Y74" i="45"/>
  <c r="Y73" i="45"/>
  <c r="Y72" i="45"/>
  <c r="Y87" i="45"/>
  <c r="Y85" i="45"/>
  <c r="Y82" i="45"/>
  <c r="Y81" i="45"/>
  <c r="Y193" i="45"/>
  <c r="Y192" i="45"/>
  <c r="Y191" i="45"/>
  <c r="Y190" i="45"/>
  <c r="Y189" i="45"/>
  <c r="Y187" i="45"/>
  <c r="Y186" i="45"/>
  <c r="Y185" i="45"/>
  <c r="Y172" i="45"/>
  <c r="X183" i="45"/>
  <c r="W183" i="45"/>
  <c r="V183" i="45"/>
  <c r="Y178" i="45"/>
  <c r="Y180" i="45"/>
  <c r="Y174" i="45"/>
  <c r="Y170" i="45"/>
  <c r="Y168" i="45"/>
  <c r="Y166" i="45"/>
  <c r="Y165" i="45"/>
  <c r="Y164" i="45"/>
  <c r="Y163" i="45"/>
  <c r="Y162" i="45"/>
  <c r="Y161" i="45"/>
  <c r="Y160" i="45"/>
  <c r="Y159" i="45"/>
  <c r="Y155" i="45"/>
  <c r="Y154" i="45"/>
  <c r="Y153" i="45"/>
  <c r="Y152" i="45"/>
  <c r="Y151" i="45"/>
  <c r="Y150" i="45"/>
  <c r="Y149" i="45"/>
  <c r="Y110" i="45"/>
  <c r="Y109" i="45"/>
  <c r="Y108" i="45"/>
  <c r="Y107" i="45"/>
  <c r="X136" i="45"/>
  <c r="W136" i="45"/>
  <c r="V136" i="45"/>
  <c r="Y133" i="45"/>
  <c r="Y131" i="45"/>
  <c r="Y130" i="45"/>
  <c r="Y128" i="45"/>
  <c r="Y126" i="45"/>
  <c r="Y124" i="45"/>
  <c r="Y123" i="45"/>
  <c r="Y122" i="45"/>
  <c r="Y121" i="45"/>
  <c r="Y120" i="45"/>
  <c r="Y119" i="45"/>
  <c r="Y118" i="45"/>
  <c r="Y117" i="45"/>
  <c r="Y116" i="45"/>
  <c r="Y115" i="45"/>
  <c r="Y114" i="45"/>
  <c r="Y145" i="45"/>
  <c r="Y144" i="45"/>
  <c r="Y139" i="45"/>
  <c r="Y140" i="45"/>
  <c r="Y141" i="45"/>
  <c r="Y142" i="45"/>
  <c r="Y138" i="45"/>
  <c r="Y103" i="45"/>
  <c r="Y23" i="45"/>
  <c r="Y21" i="45"/>
  <c r="Y19" i="45"/>
  <c r="Y12" i="45"/>
  <c r="Y13" i="45"/>
  <c r="Y14" i="45"/>
  <c r="Y15" i="45"/>
  <c r="Y11" i="45"/>
  <c r="AO8" i="10" l="1"/>
  <c r="AO29" i="10"/>
  <c r="AO19" i="10"/>
  <c r="AO35" i="10"/>
  <c r="Y57" i="45"/>
  <c r="AO36" i="10"/>
  <c r="AO25" i="10"/>
  <c r="AO17" i="10"/>
  <c r="Y27" i="45"/>
  <c r="Y58" i="45" s="1"/>
  <c r="AO33" i="10"/>
  <c r="AO38" i="10"/>
  <c r="Y69" i="45"/>
  <c r="AO21" i="10"/>
  <c r="AO27" i="10"/>
  <c r="AO28" i="10"/>
  <c r="AO11" i="10"/>
  <c r="AO10" i="10"/>
  <c r="Y183" i="45"/>
  <c r="Y195" i="45"/>
  <c r="Y93" i="45"/>
  <c r="Y76" i="45"/>
  <c r="Y102" i="45"/>
  <c r="Y136" i="45"/>
  <c r="Y196" i="45" l="1"/>
  <c r="AO39" i="10"/>
  <c r="AO22" i="10"/>
  <c r="Y77" i="45"/>
  <c r="AO12" i="10"/>
  <c r="AO30" i="10"/>
  <c r="AO41" i="10" l="1"/>
  <c r="Y199" i="45"/>
  <c r="AO14" i="10"/>
  <c r="P39" i="10"/>
  <c r="P30" i="10"/>
  <c r="P22" i="10"/>
  <c r="P12" i="10"/>
  <c r="P14" i="10" l="1"/>
  <c r="P41" i="10"/>
  <c r="AO43" i="10"/>
  <c r="P43" i="10"/>
  <c r="P45" i="10" s="1"/>
  <c r="Z5" i="10"/>
  <c r="CI5" i="10" s="1"/>
  <c r="AR5" i="10" l="1"/>
  <c r="CF5" i="10"/>
  <c r="I25" i="10"/>
  <c r="CB25" i="10" s="1"/>
  <c r="I8" i="10"/>
  <c r="CB8" i="10" s="1"/>
  <c r="F8" i="44" l="1"/>
  <c r="N21" i="42" s="1"/>
  <c r="Q21" i="42" s="1"/>
  <c r="F24" i="44"/>
  <c r="F23" i="44"/>
  <c r="F25" i="44" s="1"/>
  <c r="S21" i="42" l="1"/>
  <c r="Q22" i="42"/>
  <c r="E8" i="44"/>
  <c r="N9" i="42" s="1"/>
  <c r="Q9" i="42" s="1"/>
  <c r="U21" i="42"/>
  <c r="U22" i="42" s="1"/>
  <c r="N22" i="42"/>
  <c r="P132" i="45"/>
  <c r="P129" i="45"/>
  <c r="P127" i="45"/>
  <c r="P125" i="45"/>
  <c r="P121" i="45"/>
  <c r="P113" i="45"/>
  <c r="P112" i="45"/>
  <c r="P111" i="45"/>
  <c r="U9" i="42" l="1"/>
  <c r="S9" i="42"/>
  <c r="E10" i="3"/>
  <c r="F3" i="7" l="1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F35" i="7"/>
  <c r="F36" i="7"/>
  <c r="F37" i="7"/>
  <c r="F38" i="7"/>
  <c r="F39" i="7"/>
  <c r="F40" i="7"/>
  <c r="F41" i="7"/>
  <c r="F42" i="7"/>
  <c r="F43" i="7"/>
  <c r="F45" i="7"/>
  <c r="F46" i="7"/>
  <c r="F47" i="7"/>
  <c r="F48" i="7"/>
  <c r="F49" i="7"/>
  <c r="F50" i="7"/>
  <c r="F52" i="7"/>
  <c r="F53" i="7"/>
  <c r="F54" i="7"/>
  <c r="F55" i="7"/>
  <c r="F56" i="7"/>
  <c r="F57" i="7"/>
  <c r="F58" i="7"/>
  <c r="F59" i="7"/>
  <c r="F60" i="7"/>
  <c r="F61" i="7"/>
  <c r="F62" i="7"/>
  <c r="F63" i="7"/>
  <c r="F67" i="7"/>
  <c r="F68" i="7"/>
  <c r="F69" i="7"/>
  <c r="F70" i="7"/>
  <c r="F71" i="7"/>
  <c r="F72" i="7"/>
  <c r="F73" i="7"/>
  <c r="F74" i="7"/>
  <c r="F75" i="7"/>
  <c r="F76" i="7"/>
  <c r="F77" i="7"/>
  <c r="F78" i="7"/>
  <c r="F79" i="7"/>
  <c r="F80" i="7"/>
  <c r="F81" i="7"/>
  <c r="F82" i="7"/>
  <c r="F83" i="7"/>
  <c r="F84" i="7"/>
  <c r="F85" i="7"/>
  <c r="F86" i="7"/>
  <c r="F87" i="7"/>
  <c r="F88" i="7"/>
  <c r="F89" i="7"/>
  <c r="F90" i="7"/>
  <c r="F91" i="7"/>
  <c r="F92" i="7"/>
  <c r="F93" i="7"/>
  <c r="F94" i="7"/>
  <c r="F95" i="7"/>
  <c r="F96" i="7"/>
  <c r="F97" i="7"/>
  <c r="F98" i="7"/>
  <c r="F99" i="7"/>
  <c r="F100" i="7"/>
  <c r="F101" i="7"/>
  <c r="F102" i="7"/>
  <c r="F103" i="7"/>
  <c r="F104" i="7"/>
  <c r="F105" i="7"/>
  <c r="F106" i="7"/>
  <c r="F107" i="7"/>
  <c r="F108" i="7"/>
  <c r="F109" i="7"/>
  <c r="F110" i="7"/>
  <c r="F111" i="7"/>
  <c r="F112" i="7"/>
  <c r="F113" i="7"/>
  <c r="F114" i="7"/>
  <c r="F115" i="7"/>
  <c r="F116" i="7"/>
  <c r="F117" i="7"/>
  <c r="F118" i="7"/>
  <c r="F119" i="7"/>
  <c r="F120" i="7"/>
  <c r="F121" i="7"/>
  <c r="F122" i="7"/>
  <c r="F123" i="7"/>
  <c r="F124" i="7"/>
  <c r="F125" i="7"/>
  <c r="F126" i="7"/>
  <c r="F127" i="7"/>
  <c r="F128" i="7"/>
  <c r="F129" i="7"/>
  <c r="F130" i="7"/>
  <c r="F131" i="7"/>
  <c r="F132" i="7"/>
  <c r="F133" i="7"/>
  <c r="F134" i="7"/>
  <c r="F135" i="7"/>
  <c r="F136" i="7"/>
  <c r="F137" i="7"/>
  <c r="F138" i="7"/>
  <c r="F139" i="7"/>
  <c r="F140" i="7"/>
  <c r="F141" i="7"/>
  <c r="F142" i="7"/>
  <c r="F143" i="7"/>
  <c r="F144" i="7"/>
  <c r="F145" i="7"/>
  <c r="F146" i="7"/>
  <c r="F147" i="7"/>
  <c r="F148" i="7"/>
  <c r="F149" i="7"/>
  <c r="F150" i="7"/>
  <c r="F151" i="7"/>
  <c r="F152" i="7"/>
  <c r="F153" i="7"/>
  <c r="F154" i="7"/>
  <c r="F155" i="7"/>
  <c r="F156" i="7"/>
  <c r="F157" i="7"/>
  <c r="F158" i="7"/>
  <c r="F159" i="7"/>
  <c r="F160" i="7"/>
  <c r="F161" i="7"/>
  <c r="F162" i="7"/>
  <c r="F163" i="7"/>
  <c r="F164" i="7"/>
  <c r="F165" i="7"/>
  <c r="F166" i="7"/>
  <c r="F167" i="7"/>
  <c r="F168" i="7"/>
  <c r="F169" i="7"/>
  <c r="F170" i="7"/>
  <c r="F171" i="7"/>
  <c r="F172" i="7"/>
  <c r="F173" i="7"/>
  <c r="F174" i="7"/>
  <c r="F177" i="7"/>
  <c r="F178" i="7"/>
  <c r="F179" i="7"/>
  <c r="F180" i="7"/>
  <c r="F181" i="7"/>
  <c r="F182" i="7"/>
  <c r="F183" i="7"/>
  <c r="F184" i="7"/>
  <c r="F185" i="7"/>
  <c r="F186" i="7"/>
  <c r="F187" i="7"/>
  <c r="F188" i="7"/>
  <c r="F189" i="7"/>
  <c r="F190" i="7"/>
  <c r="F191" i="7"/>
  <c r="F192" i="7"/>
  <c r="F193" i="7"/>
  <c r="F194" i="7"/>
  <c r="F195" i="7"/>
  <c r="F196" i="7"/>
  <c r="F197" i="7"/>
  <c r="F2" i="7"/>
  <c r="A95" i="31" l="1"/>
  <c r="A96" i="31"/>
  <c r="A97" i="31"/>
  <c r="A98" i="31"/>
  <c r="A99" i="31"/>
  <c r="A100" i="31"/>
  <c r="A101" i="31"/>
  <c r="A102" i="31"/>
  <c r="A103" i="31"/>
  <c r="A82" i="20" l="1"/>
  <c r="A83" i="20"/>
  <c r="F83" i="20"/>
  <c r="F82" i="20"/>
  <c r="F3" i="20"/>
  <c r="F4" i="20"/>
  <c r="F5" i="20"/>
  <c r="F6" i="20"/>
  <c r="F7" i="20"/>
  <c r="F8" i="20"/>
  <c r="F9" i="20"/>
  <c r="F10" i="20"/>
  <c r="F11" i="20"/>
  <c r="F12" i="20"/>
  <c r="F13" i="20"/>
  <c r="F14" i="20"/>
  <c r="F15" i="20"/>
  <c r="F16" i="20"/>
  <c r="F17" i="20"/>
  <c r="F18" i="20"/>
  <c r="F19" i="20"/>
  <c r="F20" i="20"/>
  <c r="F21" i="20"/>
  <c r="F23" i="20"/>
  <c r="F24" i="20"/>
  <c r="F25" i="20"/>
  <c r="F26" i="20"/>
  <c r="F27" i="20"/>
  <c r="F28" i="20"/>
  <c r="F29" i="20"/>
  <c r="F30" i="20"/>
  <c r="F31" i="20"/>
  <c r="F32" i="20"/>
  <c r="F33" i="20"/>
  <c r="F34" i="20"/>
  <c r="F35" i="20"/>
  <c r="F36" i="20"/>
  <c r="F37" i="20"/>
  <c r="F38" i="20"/>
  <c r="F39" i="20"/>
  <c r="F40" i="20"/>
  <c r="F41" i="20"/>
  <c r="F42" i="20"/>
  <c r="F43" i="20"/>
  <c r="F44" i="20"/>
  <c r="F45" i="20"/>
  <c r="F46" i="20"/>
  <c r="F47" i="20"/>
  <c r="F48" i="20"/>
  <c r="F49" i="20"/>
  <c r="F50" i="20"/>
  <c r="F51" i="20"/>
  <c r="F52" i="20"/>
  <c r="F53" i="20"/>
  <c r="F54" i="20"/>
  <c r="F55" i="20"/>
  <c r="F56" i="20"/>
  <c r="F57" i="20"/>
  <c r="F58" i="20"/>
  <c r="F59" i="20"/>
  <c r="F60" i="20"/>
  <c r="F61" i="20"/>
  <c r="F62" i="20"/>
  <c r="F63" i="20"/>
  <c r="F64" i="20"/>
  <c r="F65" i="20"/>
  <c r="F66" i="20"/>
  <c r="F67" i="20"/>
  <c r="F68" i="20"/>
  <c r="F69" i="20"/>
  <c r="F70" i="20"/>
  <c r="F71" i="20"/>
  <c r="F72" i="20"/>
  <c r="F73" i="20"/>
  <c r="F74" i="20"/>
  <c r="F75" i="20"/>
  <c r="F76" i="20"/>
  <c r="F77" i="20"/>
  <c r="F78" i="20"/>
  <c r="F79" i="20"/>
  <c r="F80" i="20"/>
  <c r="F81" i="20"/>
  <c r="F2" i="20"/>
  <c r="V38" i="10" l="1"/>
  <c r="Z38" i="10" s="1"/>
  <c r="CF38" i="10" s="1"/>
  <c r="V37" i="10"/>
  <c r="Z37" i="10" s="1"/>
  <c r="CF37" i="10" s="1"/>
  <c r="V36" i="10"/>
  <c r="Z36" i="10" s="1"/>
  <c r="CF36" i="10" s="1"/>
  <c r="V35" i="10"/>
  <c r="Z35" i="10" s="1"/>
  <c r="CF35" i="10" s="1"/>
  <c r="V34" i="10"/>
  <c r="V33" i="10"/>
  <c r="Z33" i="10" s="1"/>
  <c r="CF33" i="10" s="1"/>
  <c r="V29" i="10"/>
  <c r="Z29" i="10" s="1"/>
  <c r="CF29" i="10" s="1"/>
  <c r="V28" i="10"/>
  <c r="V27" i="10"/>
  <c r="Z27" i="10" s="1"/>
  <c r="CF27" i="10" s="1"/>
  <c r="V26" i="10"/>
  <c r="Z26" i="10" s="1"/>
  <c r="CF26" i="10" s="1"/>
  <c r="V21" i="10"/>
  <c r="Z21" i="10" s="1"/>
  <c r="CF21" i="10" s="1"/>
  <c r="V20" i="10"/>
  <c r="V19" i="10"/>
  <c r="Z19" i="10" s="1"/>
  <c r="CF19" i="10" s="1"/>
  <c r="V18" i="10"/>
  <c r="V17" i="10"/>
  <c r="Z17" i="10" s="1"/>
  <c r="CF17" i="10" s="1"/>
  <c r="V11" i="10"/>
  <c r="Z11" i="10" s="1"/>
  <c r="CF11" i="10" s="1"/>
  <c r="V10" i="10"/>
  <c r="Z10" i="10" s="1"/>
  <c r="CF10" i="10" s="1"/>
  <c r="V9" i="10"/>
  <c r="Z9" i="10" s="1"/>
  <c r="CF9" i="10" s="1"/>
  <c r="Z8" i="10"/>
  <c r="CF8" i="10" s="1"/>
  <c r="Q45" i="10"/>
  <c r="R43" i="10"/>
  <c r="R45" i="10" s="1"/>
  <c r="Z20" i="10" l="1"/>
  <c r="CI20" i="10" s="1"/>
  <c r="Z34" i="10"/>
  <c r="CI34" i="10" s="1"/>
  <c r="Z18" i="10"/>
  <c r="CI18" i="10" s="1"/>
  <c r="Z12" i="10"/>
  <c r="CF12" i="10" s="1"/>
  <c r="Z28" i="10"/>
  <c r="CI28" i="10" s="1"/>
  <c r="T193" i="45"/>
  <c r="T192" i="45"/>
  <c r="T191" i="45"/>
  <c r="T190" i="45"/>
  <c r="T189" i="45"/>
  <c r="T187" i="45"/>
  <c r="T186" i="45"/>
  <c r="T185" i="45"/>
  <c r="T174" i="45"/>
  <c r="T170" i="45"/>
  <c r="T168" i="45"/>
  <c r="T166" i="45"/>
  <c r="T165" i="45"/>
  <c r="T164" i="45"/>
  <c r="T163" i="45"/>
  <c r="T162" i="45"/>
  <c r="T161" i="45"/>
  <c r="T160" i="45"/>
  <c r="T159" i="45"/>
  <c r="T155" i="45"/>
  <c r="T154" i="45"/>
  <c r="T153" i="45"/>
  <c r="T149" i="45"/>
  <c r="T142" i="45"/>
  <c r="T141" i="45"/>
  <c r="T140" i="45"/>
  <c r="T139" i="45"/>
  <c r="T138" i="45"/>
  <c r="T131" i="45"/>
  <c r="T130" i="45"/>
  <c r="T128" i="45"/>
  <c r="T126" i="45"/>
  <c r="T124" i="45"/>
  <c r="T123" i="45"/>
  <c r="T122" i="45"/>
  <c r="T121" i="45"/>
  <c r="T120" i="45"/>
  <c r="T119" i="45"/>
  <c r="T118" i="45"/>
  <c r="T117" i="45"/>
  <c r="T116" i="45"/>
  <c r="T115" i="45"/>
  <c r="T114" i="45"/>
  <c r="T110" i="45"/>
  <c r="T109" i="45"/>
  <c r="T108" i="45"/>
  <c r="T107" i="45"/>
  <c r="T101" i="45"/>
  <c r="T100" i="45"/>
  <c r="T99" i="45"/>
  <c r="T98" i="45"/>
  <c r="T97" i="45"/>
  <c r="T87" i="45"/>
  <c r="T85" i="45"/>
  <c r="T82" i="45"/>
  <c r="T81" i="45"/>
  <c r="T75" i="45"/>
  <c r="T74" i="45"/>
  <c r="T73" i="45"/>
  <c r="T72" i="45"/>
  <c r="T66" i="45"/>
  <c r="T63" i="45"/>
  <c r="T62" i="45"/>
  <c r="T61" i="45"/>
  <c r="T55" i="45"/>
  <c r="T54" i="45"/>
  <c r="T53" i="45"/>
  <c r="T52" i="45"/>
  <c r="T51" i="45"/>
  <c r="T50" i="45"/>
  <c r="T49" i="45"/>
  <c r="T48" i="45"/>
  <c r="T47" i="45"/>
  <c r="T46" i="45"/>
  <c r="T42" i="45"/>
  <c r="T41" i="45"/>
  <c r="T39" i="45"/>
  <c r="T38" i="45"/>
  <c r="T37" i="45"/>
  <c r="T36" i="45"/>
  <c r="T34" i="45"/>
  <c r="T33" i="45"/>
  <c r="T31" i="45"/>
  <c r="T30" i="45"/>
  <c r="T29" i="45"/>
  <c r="T23" i="45"/>
  <c r="T21" i="45"/>
  <c r="T19" i="45"/>
  <c r="T15" i="45"/>
  <c r="T14" i="45"/>
  <c r="T13" i="45"/>
  <c r="T12" i="45"/>
  <c r="T11" i="45"/>
  <c r="P11" i="45"/>
  <c r="S195" i="45"/>
  <c r="S144" i="45"/>
  <c r="S136" i="45"/>
  <c r="S102" i="45"/>
  <c r="S93" i="45"/>
  <c r="S76" i="45"/>
  <c r="S69" i="45"/>
  <c r="S57" i="45"/>
  <c r="S27" i="45"/>
  <c r="R76" i="45"/>
  <c r="R27" i="45"/>
  <c r="AR18" i="10" l="1"/>
  <c r="CF18" i="10"/>
  <c r="AR34" i="10"/>
  <c r="CF34" i="10"/>
  <c r="AR20" i="10"/>
  <c r="CF20" i="10"/>
  <c r="AR28" i="10"/>
  <c r="CF28" i="10"/>
  <c r="Z14" i="10"/>
  <c r="CF14" i="10" s="1"/>
  <c r="S77" i="45"/>
  <c r="T93" i="45"/>
  <c r="S145" i="45"/>
  <c r="Z22" i="10"/>
  <c r="CF22" i="10" s="1"/>
  <c r="Z39" i="10"/>
  <c r="CF39" i="10" s="1"/>
  <c r="T69" i="45"/>
  <c r="S103" i="45"/>
  <c r="T76" i="45"/>
  <c r="T102" i="45"/>
  <c r="T144" i="45"/>
  <c r="S58" i="45"/>
  <c r="T195" i="45"/>
  <c r="T57" i="45"/>
  <c r="T27" i="45"/>
  <c r="T103" i="45" l="1"/>
  <c r="T77" i="45"/>
  <c r="T58" i="45"/>
  <c r="R69" i="45"/>
  <c r="Q69" i="45"/>
  <c r="Q27" i="45"/>
  <c r="R57" i="45"/>
  <c r="Q57" i="45"/>
  <c r="R93" i="45"/>
  <c r="R102" i="45"/>
  <c r="R136" i="45"/>
  <c r="R144" i="45"/>
  <c r="R180" i="45"/>
  <c r="R195" i="45"/>
  <c r="R183" i="45" l="1"/>
  <c r="R196" i="45" s="1"/>
  <c r="R103" i="45"/>
  <c r="R58" i="45"/>
  <c r="Q58" i="45"/>
  <c r="R145" i="45"/>
  <c r="R77" i="45"/>
  <c r="R199" i="45" l="1"/>
  <c r="N39" i="10"/>
  <c r="N30" i="10"/>
  <c r="N22" i="10"/>
  <c r="N12" i="10"/>
  <c r="N14" i="10" l="1"/>
  <c r="N43" i="10" s="1"/>
  <c r="N45" i="10" s="1"/>
  <c r="N41" i="10"/>
  <c r="L39" i="10"/>
  <c r="L30" i="10"/>
  <c r="L22" i="10"/>
  <c r="L12" i="10"/>
  <c r="L14" i="10" l="1"/>
  <c r="L43" i="10" s="1"/>
  <c r="L45" i="10" s="1"/>
  <c r="L41" i="10"/>
  <c r="J21" i="9"/>
  <c r="J9" i="9" l="1"/>
  <c r="J29" i="9" l="1"/>
  <c r="J30" i="9" s="1"/>
  <c r="J15" i="9"/>
  <c r="H35" i="3" l="1"/>
  <c r="E20" i="39" l="1"/>
  <c r="A197" i="7"/>
  <c r="A196" i="7"/>
  <c r="A195" i="7"/>
  <c r="A194" i="7"/>
  <c r="A193" i="7"/>
  <c r="A192" i="7"/>
  <c r="A191" i="7"/>
  <c r="A190" i="7"/>
  <c r="A189" i="7"/>
  <c r="A188" i="7"/>
  <c r="A187" i="7"/>
  <c r="A186" i="7"/>
  <c r="A185" i="7"/>
  <c r="A184" i="7"/>
  <c r="A94" i="31" l="1"/>
  <c r="A93" i="31"/>
  <c r="A92" i="31"/>
  <c r="A91" i="31"/>
  <c r="A90" i="31"/>
  <c r="A89" i="31"/>
  <c r="A88" i="31"/>
  <c r="A87" i="31"/>
  <c r="A86" i="31"/>
  <c r="A85" i="31"/>
  <c r="A84" i="31"/>
  <c r="A83" i="31"/>
  <c r="A82" i="31"/>
  <c r="A81" i="31"/>
  <c r="A80" i="31"/>
  <c r="A79" i="31"/>
  <c r="A78" i="31"/>
  <c r="A76" i="31"/>
  <c r="A75" i="20"/>
  <c r="A76" i="20"/>
  <c r="A77" i="20"/>
  <c r="A78" i="20"/>
  <c r="A79" i="20"/>
  <c r="A80" i="20"/>
  <c r="A81" i="20"/>
  <c r="Q195" i="45" l="1"/>
  <c r="Q144" i="45"/>
  <c r="Q102" i="45"/>
  <c r="Q93" i="45"/>
  <c r="Q76" i="45"/>
  <c r="Q77" i="45" s="1"/>
  <c r="V44" i="10"/>
  <c r="Z44" i="10" s="1"/>
  <c r="CF44" i="10" s="1"/>
  <c r="AO44" i="10" l="1"/>
  <c r="Q103" i="45"/>
  <c r="V39" i="10"/>
  <c r="V22" i="10"/>
  <c r="AO45" i="10" l="1"/>
  <c r="AR44" i="10"/>
  <c r="H29" i="9"/>
  <c r="H21" i="9"/>
  <c r="H9" i="9"/>
  <c r="H15" i="9" s="1"/>
  <c r="H30" i="9" l="1"/>
  <c r="H32" i="9" s="1"/>
  <c r="B34" i="3" l="1"/>
  <c r="A77" i="31" l="1"/>
  <c r="A75" i="31"/>
  <c r="A74" i="31"/>
  <c r="A73" i="31"/>
  <c r="A72" i="31"/>
  <c r="A71" i="31"/>
  <c r="A70" i="31"/>
  <c r="G12" i="21" l="1"/>
  <c r="E12" i="21"/>
  <c r="K80" i="2" l="1"/>
  <c r="K73" i="2"/>
  <c r="G26" i="10" l="1"/>
  <c r="CI26" i="10" s="1"/>
  <c r="G9" i="10"/>
  <c r="CI9" i="10" s="1"/>
  <c r="CI44" i="10"/>
  <c r="AR9" i="10" l="1"/>
  <c r="BZ9" i="10"/>
  <c r="AR26" i="10"/>
  <c r="BZ26" i="10"/>
  <c r="P194" i="45"/>
  <c r="P193" i="45"/>
  <c r="P191" i="45"/>
  <c r="P189" i="45"/>
  <c r="P188" i="45"/>
  <c r="P175" i="45"/>
  <c r="P173" i="45"/>
  <c r="P172" i="45"/>
  <c r="P171" i="45"/>
  <c r="P169" i="45"/>
  <c r="P167" i="45"/>
  <c r="P143" i="45"/>
  <c r="P142" i="45"/>
  <c r="J10" i="10" s="1"/>
  <c r="CC10" i="10" s="1"/>
  <c r="P141" i="45"/>
  <c r="P101" i="45"/>
  <c r="P100" i="45"/>
  <c r="P84" i="45"/>
  <c r="P83" i="45"/>
  <c r="P75" i="45"/>
  <c r="P67" i="45"/>
  <c r="P66" i="45"/>
  <c r="P65" i="45"/>
  <c r="P64" i="45"/>
  <c r="P55" i="45"/>
  <c r="P49" i="45"/>
  <c r="P45" i="45"/>
  <c r="P44" i="45"/>
  <c r="P43" i="45"/>
  <c r="P41" i="45"/>
  <c r="P40" i="45"/>
  <c r="P38" i="45"/>
  <c r="P37" i="45"/>
  <c r="P36" i="45"/>
  <c r="P35" i="45"/>
  <c r="P33" i="45"/>
  <c r="P32" i="45"/>
  <c r="P25" i="45"/>
  <c r="P18" i="45"/>
  <c r="P17" i="45"/>
  <c r="P16" i="45"/>
  <c r="L23" i="45"/>
  <c r="L22" i="45"/>
  <c r="L19" i="45"/>
  <c r="L18" i="45"/>
  <c r="L17" i="45"/>
  <c r="L16" i="45"/>
  <c r="L11" i="45"/>
  <c r="L28" i="45"/>
  <c r="L32" i="45"/>
  <c r="L33" i="45"/>
  <c r="L35" i="45"/>
  <c r="L36" i="45"/>
  <c r="L37" i="45"/>
  <c r="L38" i="45"/>
  <c r="L39" i="45"/>
  <c r="G37" i="10" s="1"/>
  <c r="L40" i="45"/>
  <c r="L41" i="45"/>
  <c r="L43" i="45"/>
  <c r="L44" i="45"/>
  <c r="L45" i="45"/>
  <c r="L49" i="45"/>
  <c r="L54" i="45"/>
  <c r="L55" i="45"/>
  <c r="L56" i="45"/>
  <c r="L59" i="45"/>
  <c r="L60" i="45"/>
  <c r="L61" i="45"/>
  <c r="L64" i="45"/>
  <c r="L65" i="45"/>
  <c r="L66" i="45"/>
  <c r="L67" i="45"/>
  <c r="L70" i="45"/>
  <c r="L71" i="45"/>
  <c r="L75" i="45"/>
  <c r="L78" i="45"/>
  <c r="L79" i="45"/>
  <c r="L80" i="45"/>
  <c r="L83" i="45"/>
  <c r="L84" i="45"/>
  <c r="L86" i="45"/>
  <c r="L87" i="45"/>
  <c r="L88" i="45"/>
  <c r="L89" i="45"/>
  <c r="L90" i="45"/>
  <c r="L91" i="45"/>
  <c r="L94" i="45"/>
  <c r="L95" i="45"/>
  <c r="L96" i="45"/>
  <c r="L100" i="45"/>
  <c r="L101" i="45"/>
  <c r="L104" i="45"/>
  <c r="L105" i="45"/>
  <c r="L106" i="45"/>
  <c r="L108" i="45"/>
  <c r="L109" i="45"/>
  <c r="L111" i="45"/>
  <c r="L112" i="45"/>
  <c r="L113" i="45"/>
  <c r="L119" i="45"/>
  <c r="L121" i="45"/>
  <c r="L122" i="45"/>
  <c r="L125" i="45"/>
  <c r="L127" i="45"/>
  <c r="L129" i="45"/>
  <c r="L132" i="45"/>
  <c r="L134" i="45"/>
  <c r="L137" i="45"/>
  <c r="L141" i="45"/>
  <c r="L142" i="45"/>
  <c r="G10" i="10" s="1"/>
  <c r="L143" i="45"/>
  <c r="L146" i="45"/>
  <c r="L147" i="45"/>
  <c r="L148" i="45"/>
  <c r="L150" i="45"/>
  <c r="L154" i="45"/>
  <c r="L155" i="45"/>
  <c r="L156" i="45"/>
  <c r="L157" i="45"/>
  <c r="L158" i="45"/>
  <c r="L161" i="45"/>
  <c r="L167" i="45"/>
  <c r="L168" i="45"/>
  <c r="L169" i="45"/>
  <c r="L170" i="45"/>
  <c r="L171" i="45"/>
  <c r="L172" i="45"/>
  <c r="L173" i="45"/>
  <c r="L175" i="45"/>
  <c r="L177" i="45"/>
  <c r="L178" i="45"/>
  <c r="L179" i="45"/>
  <c r="L181" i="45"/>
  <c r="L184" i="45"/>
  <c r="L188" i="45"/>
  <c r="L191" i="45"/>
  <c r="L192" i="45"/>
  <c r="L193" i="45"/>
  <c r="L194" i="45"/>
  <c r="L197" i="45"/>
  <c r="L198" i="45"/>
  <c r="O192" i="45"/>
  <c r="P192" i="45" s="1"/>
  <c r="M190" i="45"/>
  <c r="P190" i="45" s="1"/>
  <c r="I190" i="45"/>
  <c r="L190" i="45" s="1"/>
  <c r="J189" i="45"/>
  <c r="E187" i="45"/>
  <c r="O176" i="45"/>
  <c r="N176" i="45"/>
  <c r="M176" i="45"/>
  <c r="K176" i="45"/>
  <c r="J176" i="45"/>
  <c r="I176" i="45"/>
  <c r="O174" i="45"/>
  <c r="N174" i="45"/>
  <c r="M174" i="45"/>
  <c r="K174" i="45"/>
  <c r="J174" i="45"/>
  <c r="I174" i="45"/>
  <c r="O170" i="45"/>
  <c r="N170" i="45"/>
  <c r="O168" i="45"/>
  <c r="P168" i="45" s="1"/>
  <c r="O166" i="45"/>
  <c r="N166" i="45"/>
  <c r="M166" i="45"/>
  <c r="K166" i="45"/>
  <c r="J166" i="45"/>
  <c r="I166" i="45"/>
  <c r="E165" i="45"/>
  <c r="J165" i="45" s="1"/>
  <c r="E164" i="45"/>
  <c r="M164" i="45" s="1"/>
  <c r="E163" i="45"/>
  <c r="M163" i="45" s="1"/>
  <c r="P163" i="45" s="1"/>
  <c r="E162" i="45"/>
  <c r="E161" i="45"/>
  <c r="N161" i="45" s="1"/>
  <c r="E160" i="45"/>
  <c r="J160" i="45" s="1"/>
  <c r="E159" i="45"/>
  <c r="I159" i="45" s="1"/>
  <c r="E155" i="45"/>
  <c r="E154" i="45"/>
  <c r="E153" i="45"/>
  <c r="E152" i="45"/>
  <c r="E151" i="45"/>
  <c r="E150" i="45"/>
  <c r="E149" i="45"/>
  <c r="D133" i="45"/>
  <c r="E133" i="45" s="1"/>
  <c r="F131" i="45"/>
  <c r="E131" i="45"/>
  <c r="E130" i="45"/>
  <c r="N130" i="45" s="1"/>
  <c r="O128" i="45"/>
  <c r="N128" i="45"/>
  <c r="M128" i="45"/>
  <c r="K128" i="45"/>
  <c r="J128" i="45"/>
  <c r="I128" i="45"/>
  <c r="O126" i="45"/>
  <c r="N126" i="45"/>
  <c r="M126" i="45"/>
  <c r="K126" i="45"/>
  <c r="J126" i="45"/>
  <c r="I126" i="45"/>
  <c r="E124" i="45"/>
  <c r="E123" i="45"/>
  <c r="E122" i="45"/>
  <c r="N122" i="45" s="1"/>
  <c r="E121" i="45"/>
  <c r="E120" i="45"/>
  <c r="N120" i="45" s="1"/>
  <c r="E119" i="45"/>
  <c r="E118" i="45"/>
  <c r="I118" i="45" s="1"/>
  <c r="J118" i="45" s="1"/>
  <c r="K118" i="45" s="1"/>
  <c r="M118" i="45" s="1"/>
  <c r="D117" i="45"/>
  <c r="E117" i="45" s="1"/>
  <c r="I117" i="45" s="1"/>
  <c r="E116" i="45"/>
  <c r="I116" i="45" s="1"/>
  <c r="E115" i="45"/>
  <c r="I115" i="45" s="1"/>
  <c r="J114" i="45"/>
  <c r="K114" i="45" s="1"/>
  <c r="M114" i="45" s="1"/>
  <c r="E114" i="45"/>
  <c r="E110" i="45"/>
  <c r="N110" i="45" s="1"/>
  <c r="E109" i="45"/>
  <c r="O109" i="45" s="1"/>
  <c r="E108" i="45"/>
  <c r="O108" i="45" s="1"/>
  <c r="P108" i="45" s="1"/>
  <c r="E107" i="45"/>
  <c r="E89" i="45"/>
  <c r="E87" i="45"/>
  <c r="E85" i="45"/>
  <c r="E82" i="45"/>
  <c r="I82" i="45" s="1"/>
  <c r="I81" i="45"/>
  <c r="E81" i="45"/>
  <c r="E80" i="45"/>
  <c r="J63" i="45"/>
  <c r="K63" i="45" s="1"/>
  <c r="M63" i="45" s="1"/>
  <c r="N63" i="45" s="1"/>
  <c r="O63" i="45" s="1"/>
  <c r="E63" i="45"/>
  <c r="E62" i="45"/>
  <c r="E61" i="45"/>
  <c r="O53" i="45"/>
  <c r="N53" i="45"/>
  <c r="M53" i="45"/>
  <c r="K53" i="45"/>
  <c r="J53" i="45"/>
  <c r="I53" i="45"/>
  <c r="O52" i="45"/>
  <c r="N52" i="45"/>
  <c r="M52" i="45"/>
  <c r="K52" i="45"/>
  <c r="J52" i="45"/>
  <c r="I52" i="45"/>
  <c r="E51" i="45"/>
  <c r="I51" i="45" s="1"/>
  <c r="J51" i="45" s="1"/>
  <c r="K51" i="45" s="1"/>
  <c r="M51" i="45" s="1"/>
  <c r="N51" i="45" s="1"/>
  <c r="O51" i="45" s="1"/>
  <c r="E50" i="45"/>
  <c r="E49" i="45"/>
  <c r="O48" i="45"/>
  <c r="N48" i="45"/>
  <c r="M48" i="45"/>
  <c r="K48" i="45"/>
  <c r="J48" i="45"/>
  <c r="I48" i="45"/>
  <c r="I47" i="45"/>
  <c r="J47" i="45" s="1"/>
  <c r="K47" i="45" s="1"/>
  <c r="M47" i="45" s="1"/>
  <c r="N47" i="45" s="1"/>
  <c r="O47" i="45" s="1"/>
  <c r="E46" i="45"/>
  <c r="O46" i="45" s="1"/>
  <c r="J42" i="45"/>
  <c r="K42" i="45" s="1"/>
  <c r="M42" i="45" s="1"/>
  <c r="N42" i="45" s="1"/>
  <c r="O42" i="45" s="1"/>
  <c r="O39" i="45"/>
  <c r="N39" i="45"/>
  <c r="M39" i="45"/>
  <c r="O34" i="45"/>
  <c r="N34" i="45"/>
  <c r="M34" i="45"/>
  <c r="K34" i="45"/>
  <c r="L34" i="45" s="1"/>
  <c r="P23" i="45"/>
  <c r="J21" i="45"/>
  <c r="K21" i="45" s="1"/>
  <c r="N19" i="45"/>
  <c r="O19" i="45" s="1"/>
  <c r="E16" i="45"/>
  <c r="J15" i="45"/>
  <c r="K15" i="45" s="1"/>
  <c r="M15" i="45" s="1"/>
  <c r="N15" i="45" s="1"/>
  <c r="O15" i="45" s="1"/>
  <c r="I15" i="45"/>
  <c r="E15" i="45"/>
  <c r="O14" i="45"/>
  <c r="J14" i="45"/>
  <c r="K14" i="45" s="1"/>
  <c r="M14" i="45" s="1"/>
  <c r="N14" i="45" s="1"/>
  <c r="E14" i="45"/>
  <c r="E13" i="45"/>
  <c r="I12" i="45"/>
  <c r="E12" i="45"/>
  <c r="E11" i="45"/>
  <c r="BZ10" i="10" l="1"/>
  <c r="CI10" i="10"/>
  <c r="BZ37" i="10"/>
  <c r="S152" i="45"/>
  <c r="T152" i="45" s="1"/>
  <c r="M150" i="45"/>
  <c r="S150" i="45"/>
  <c r="S151" i="45"/>
  <c r="T151" i="45" s="1"/>
  <c r="AR10" i="10"/>
  <c r="N114" i="45"/>
  <c r="O114" i="45" s="1"/>
  <c r="P114" i="45"/>
  <c r="P128" i="45"/>
  <c r="P126" i="45"/>
  <c r="G19" i="10"/>
  <c r="J19" i="10"/>
  <c r="CC19" i="10" s="1"/>
  <c r="Q133" i="45"/>
  <c r="P39" i="45"/>
  <c r="J37" i="10" s="1"/>
  <c r="CI37" i="10" s="1"/>
  <c r="L48" i="45"/>
  <c r="L52" i="45"/>
  <c r="P52" i="45"/>
  <c r="P53" i="45"/>
  <c r="L126" i="45"/>
  <c r="L128" i="45"/>
  <c r="L166" i="45"/>
  <c r="P174" i="45"/>
  <c r="P176" i="45"/>
  <c r="J27" i="10"/>
  <c r="CC27" i="10" s="1"/>
  <c r="P34" i="45"/>
  <c r="P48" i="45"/>
  <c r="P166" i="45"/>
  <c r="P170" i="45"/>
  <c r="L53" i="45"/>
  <c r="L174" i="45"/>
  <c r="L176" i="45"/>
  <c r="L42" i="45"/>
  <c r="L21" i="45"/>
  <c r="P14" i="45"/>
  <c r="P19" i="45"/>
  <c r="P42" i="45"/>
  <c r="P47" i="45"/>
  <c r="G27" i="10"/>
  <c r="L14" i="45"/>
  <c r="P63" i="45"/>
  <c r="L15" i="45"/>
  <c r="P15" i="45"/>
  <c r="P51" i="45"/>
  <c r="L63" i="45"/>
  <c r="I151" i="45"/>
  <c r="L118" i="45"/>
  <c r="L114" i="45"/>
  <c r="L51" i="45"/>
  <c r="L47" i="45"/>
  <c r="K189" i="45"/>
  <c r="L189" i="45" s="1"/>
  <c r="M109" i="45"/>
  <c r="K130" i="45"/>
  <c r="L130" i="45" s="1"/>
  <c r="N151" i="45"/>
  <c r="J159" i="45"/>
  <c r="K159" i="45" s="1"/>
  <c r="M159" i="45" s="1"/>
  <c r="I160" i="45"/>
  <c r="K163" i="45"/>
  <c r="L163" i="45" s="1"/>
  <c r="N82" i="45"/>
  <c r="K110" i="45"/>
  <c r="N118" i="45"/>
  <c r="O118" i="45" s="1"/>
  <c r="K120" i="45"/>
  <c r="I92" i="45"/>
  <c r="I98" i="45" s="1"/>
  <c r="I110" i="45"/>
  <c r="I120" i="45"/>
  <c r="K160" i="45"/>
  <c r="M160" i="45" s="1"/>
  <c r="I107" i="45"/>
  <c r="I13" i="45"/>
  <c r="J12" i="45"/>
  <c r="M21" i="45"/>
  <c r="I46" i="45"/>
  <c r="K46" i="45"/>
  <c r="N46" i="45"/>
  <c r="J50" i="45"/>
  <c r="M50" i="45"/>
  <c r="O50" i="45"/>
  <c r="O61" i="45"/>
  <c r="I62" i="45"/>
  <c r="I68" i="45" s="1"/>
  <c r="K62" i="45"/>
  <c r="K68" i="45" s="1"/>
  <c r="J81" i="45"/>
  <c r="J82" i="45"/>
  <c r="K82" i="45" s="1"/>
  <c r="M82" i="45"/>
  <c r="I85" i="45"/>
  <c r="N85" i="45"/>
  <c r="J46" i="45"/>
  <c r="M46" i="45"/>
  <c r="I50" i="45"/>
  <c r="K50" i="45"/>
  <c r="N50" i="45"/>
  <c r="N61" i="45"/>
  <c r="J62" i="45"/>
  <c r="J68" i="45" s="1"/>
  <c r="M62" i="45"/>
  <c r="M85" i="45"/>
  <c r="J116" i="45"/>
  <c r="K116" i="45" s="1"/>
  <c r="M116" i="45" s="1"/>
  <c r="J117" i="45"/>
  <c r="K117" i="45" s="1"/>
  <c r="M117" i="45" s="1"/>
  <c r="N109" i="45"/>
  <c r="J110" i="45"/>
  <c r="M110" i="45"/>
  <c r="O110" i="45"/>
  <c r="J115" i="45"/>
  <c r="K115" i="45" s="1"/>
  <c r="M115" i="45" s="1"/>
  <c r="N119" i="45"/>
  <c r="J120" i="45"/>
  <c r="M120" i="45"/>
  <c r="O120" i="45"/>
  <c r="O123" i="45"/>
  <c r="M123" i="45"/>
  <c r="J123" i="45"/>
  <c r="N123" i="45"/>
  <c r="K123" i="45"/>
  <c r="O133" i="45"/>
  <c r="O180" i="45" s="1"/>
  <c r="M133" i="45"/>
  <c r="J133" i="45"/>
  <c r="J180" i="45" s="1"/>
  <c r="N133" i="45"/>
  <c r="N180" i="45" s="1"/>
  <c r="K133" i="45"/>
  <c r="K180" i="45" s="1"/>
  <c r="I133" i="45"/>
  <c r="O119" i="45"/>
  <c r="J124" i="45"/>
  <c r="M124" i="45"/>
  <c r="O124" i="45"/>
  <c r="I131" i="45"/>
  <c r="K131" i="45"/>
  <c r="N131" i="45"/>
  <c r="J152" i="45"/>
  <c r="M152" i="45"/>
  <c r="N153" i="45"/>
  <c r="K153" i="45"/>
  <c r="I153" i="45"/>
  <c r="M153" i="45"/>
  <c r="O122" i="45"/>
  <c r="P122" i="45" s="1"/>
  <c r="I124" i="45"/>
  <c r="N124" i="45"/>
  <c r="M130" i="45"/>
  <c r="O130" i="45"/>
  <c r="J131" i="45"/>
  <c r="M131" i="45"/>
  <c r="O131" i="45"/>
  <c r="N150" i="45"/>
  <c r="J151" i="45"/>
  <c r="M151" i="45"/>
  <c r="I152" i="45"/>
  <c r="N152" i="45"/>
  <c r="J153" i="45"/>
  <c r="O161" i="45"/>
  <c r="M161" i="45"/>
  <c r="J162" i="45"/>
  <c r="M162" i="45"/>
  <c r="O162" i="45"/>
  <c r="I162" i="45"/>
  <c r="K162" i="45"/>
  <c r="N162" i="45"/>
  <c r="N164" i="45"/>
  <c r="K164" i="45"/>
  <c r="I164" i="45"/>
  <c r="O164" i="45"/>
  <c r="J164" i="45"/>
  <c r="K165" i="45"/>
  <c r="M165" i="45" s="1"/>
  <c r="BZ27" i="10" l="1"/>
  <c r="CI27" i="10"/>
  <c r="BZ19" i="10"/>
  <c r="CI19" i="10"/>
  <c r="O150" i="45"/>
  <c r="P150" i="45" s="1"/>
  <c r="CC37" i="10"/>
  <c r="K152" i="45"/>
  <c r="L152" i="45" s="1"/>
  <c r="K151" i="45"/>
  <c r="L151" i="45" s="1"/>
  <c r="O152" i="45"/>
  <c r="P152" i="45" s="1"/>
  <c r="O151" i="45"/>
  <c r="P151" i="45" s="1"/>
  <c r="V25" i="10"/>
  <c r="T150" i="45"/>
  <c r="S183" i="45"/>
  <c r="S196" i="45" s="1"/>
  <c r="S199" i="45" s="1"/>
  <c r="AR19" i="10"/>
  <c r="AR27" i="10"/>
  <c r="AR37" i="10"/>
  <c r="P130" i="45"/>
  <c r="P120" i="45"/>
  <c r="P119" i="45"/>
  <c r="P131" i="45"/>
  <c r="P124" i="45"/>
  <c r="P123" i="45"/>
  <c r="P133" i="45"/>
  <c r="P118" i="45"/>
  <c r="P110" i="45"/>
  <c r="P109" i="45"/>
  <c r="O68" i="45"/>
  <c r="O69" i="45"/>
  <c r="Q180" i="45"/>
  <c r="T133" i="45"/>
  <c r="T136" i="45" s="1"/>
  <c r="T145" i="45" s="1"/>
  <c r="Q136" i="45"/>
  <c r="Q145" i="45" s="1"/>
  <c r="V12" i="10"/>
  <c r="L50" i="45"/>
  <c r="P50" i="45"/>
  <c r="I26" i="45"/>
  <c r="I31" i="45" s="1"/>
  <c r="P46" i="45"/>
  <c r="P164" i="45"/>
  <c r="O82" i="45"/>
  <c r="O92" i="45" s="1"/>
  <c r="O98" i="45" s="1"/>
  <c r="N160" i="45"/>
  <c r="O160" i="45" s="1"/>
  <c r="N165" i="45"/>
  <c r="O165" i="45" s="1"/>
  <c r="L162" i="45"/>
  <c r="P162" i="45"/>
  <c r="P161" i="45"/>
  <c r="P153" i="45"/>
  <c r="M180" i="45"/>
  <c r="P180" i="45" s="1"/>
  <c r="N117" i="45"/>
  <c r="O117" i="45" s="1"/>
  <c r="L68" i="45"/>
  <c r="L120" i="45"/>
  <c r="N159" i="45"/>
  <c r="O159" i="45" s="1"/>
  <c r="N115" i="45"/>
  <c r="O115" i="45" s="1"/>
  <c r="N116" i="45"/>
  <c r="O116" i="45" s="1"/>
  <c r="M68" i="45"/>
  <c r="P61" i="45"/>
  <c r="P21" i="45"/>
  <c r="K124" i="45"/>
  <c r="L124" i="45" s="1"/>
  <c r="I180" i="45"/>
  <c r="L133" i="45"/>
  <c r="L180" i="45" s="1"/>
  <c r="L123" i="45"/>
  <c r="I93" i="45"/>
  <c r="L85" i="45"/>
  <c r="L46" i="45"/>
  <c r="G35" i="10" s="1"/>
  <c r="L159" i="45"/>
  <c r="L117" i="45"/>
  <c r="L82" i="45"/>
  <c r="L164" i="45"/>
  <c r="L153" i="45"/>
  <c r="L131" i="45"/>
  <c r="L62" i="45"/>
  <c r="I97" i="45"/>
  <c r="I99" i="45"/>
  <c r="L110" i="45"/>
  <c r="L160" i="45"/>
  <c r="L165" i="45"/>
  <c r="L116" i="45"/>
  <c r="L115" i="45"/>
  <c r="O85" i="45"/>
  <c r="I135" i="45"/>
  <c r="I140" i="45" s="1"/>
  <c r="J182" i="45"/>
  <c r="M182" i="45"/>
  <c r="J69" i="45"/>
  <c r="K81" i="45"/>
  <c r="L81" i="45" s="1"/>
  <c r="J93" i="45"/>
  <c r="J92" i="45"/>
  <c r="I69" i="45"/>
  <c r="J107" i="45"/>
  <c r="K12" i="45"/>
  <c r="L12" i="45" s="1"/>
  <c r="I182" i="45"/>
  <c r="I136" i="45"/>
  <c r="M69" i="45"/>
  <c r="N62" i="45"/>
  <c r="N69" i="45" s="1"/>
  <c r="K69" i="45"/>
  <c r="I149" i="45"/>
  <c r="J13" i="45"/>
  <c r="J26" i="45" s="1"/>
  <c r="I27" i="45"/>
  <c r="V14" i="10" l="1"/>
  <c r="K182" i="45"/>
  <c r="K187" i="45" s="1"/>
  <c r="BZ35" i="10"/>
  <c r="Z25" i="10"/>
  <c r="V30" i="10"/>
  <c r="V41" i="10" s="1"/>
  <c r="P115" i="45"/>
  <c r="P117" i="45"/>
  <c r="P116" i="45"/>
  <c r="Q183" i="45"/>
  <c r="Q196" i="45" s="1"/>
  <c r="Q199" i="45" s="1"/>
  <c r="T180" i="45"/>
  <c r="T183" i="45" s="1"/>
  <c r="T196" i="45" s="1"/>
  <c r="T199" i="45" s="1"/>
  <c r="O97" i="45"/>
  <c r="I30" i="45"/>
  <c r="I29" i="45"/>
  <c r="O93" i="45"/>
  <c r="I138" i="45"/>
  <c r="I102" i="45"/>
  <c r="I103" i="45" s="1"/>
  <c r="O182" i="45"/>
  <c r="O186" i="45" s="1"/>
  <c r="G17" i="10"/>
  <c r="O99" i="45"/>
  <c r="N182" i="45"/>
  <c r="N186" i="45" s="1"/>
  <c r="P160" i="45"/>
  <c r="P82" i="45"/>
  <c r="L69" i="45"/>
  <c r="P159" i="45"/>
  <c r="P85" i="45"/>
  <c r="P165" i="45"/>
  <c r="N68" i="45"/>
  <c r="P68" i="45" s="1"/>
  <c r="P62" i="45"/>
  <c r="P69" i="45" s="1"/>
  <c r="I183" i="45"/>
  <c r="I139" i="45"/>
  <c r="J31" i="45"/>
  <c r="J30" i="45"/>
  <c r="J29" i="45"/>
  <c r="K74" i="45"/>
  <c r="K73" i="45"/>
  <c r="K72" i="45"/>
  <c r="M74" i="45"/>
  <c r="M73" i="45"/>
  <c r="M72" i="45"/>
  <c r="I74" i="45"/>
  <c r="I73" i="45"/>
  <c r="I72" i="45"/>
  <c r="J99" i="45"/>
  <c r="J98" i="45"/>
  <c r="J97" i="45"/>
  <c r="K93" i="45"/>
  <c r="L93" i="45" s="1"/>
  <c r="K92" i="45"/>
  <c r="L92" i="45" s="1"/>
  <c r="M81" i="45"/>
  <c r="J74" i="45"/>
  <c r="J73" i="45"/>
  <c r="J72" i="45"/>
  <c r="J187" i="45"/>
  <c r="J185" i="45"/>
  <c r="J186" i="45"/>
  <c r="J149" i="45"/>
  <c r="J183" i="45" s="1"/>
  <c r="K13" i="45"/>
  <c r="L13" i="45" s="1"/>
  <c r="J27" i="45"/>
  <c r="I187" i="45"/>
  <c r="I186" i="45"/>
  <c r="I185" i="45"/>
  <c r="I7" i="45"/>
  <c r="K107" i="45"/>
  <c r="L107" i="45" s="1"/>
  <c r="G8" i="10" s="1"/>
  <c r="M12" i="45"/>
  <c r="J135" i="45"/>
  <c r="J136" i="45"/>
  <c r="O74" i="45"/>
  <c r="O73" i="45"/>
  <c r="O72" i="45"/>
  <c r="M187" i="45"/>
  <c r="M186" i="45"/>
  <c r="M185" i="45"/>
  <c r="L182" i="45" l="1"/>
  <c r="K186" i="45"/>
  <c r="K185" i="45"/>
  <c r="BZ8" i="10"/>
  <c r="BZ17" i="10"/>
  <c r="V43" i="10"/>
  <c r="V45" i="10" s="1"/>
  <c r="Z30" i="10"/>
  <c r="CF30" i="10" s="1"/>
  <c r="CF25" i="10"/>
  <c r="K27" i="45"/>
  <c r="K26" i="45"/>
  <c r="K31" i="45" s="1"/>
  <c r="L31" i="45" s="1"/>
  <c r="G36" i="10" s="1"/>
  <c r="O102" i="45"/>
  <c r="O103" i="45" s="1"/>
  <c r="N185" i="45"/>
  <c r="I57" i="45"/>
  <c r="I58" i="45" s="1"/>
  <c r="L185" i="45"/>
  <c r="N187" i="45"/>
  <c r="O187" i="45"/>
  <c r="O185" i="45"/>
  <c r="L186" i="45"/>
  <c r="N72" i="45"/>
  <c r="P72" i="45" s="1"/>
  <c r="G33" i="10"/>
  <c r="L27" i="45"/>
  <c r="P186" i="45"/>
  <c r="N74" i="45"/>
  <c r="P74" i="45" s="1"/>
  <c r="J57" i="45"/>
  <c r="J58" i="45" s="1"/>
  <c r="N73" i="45"/>
  <c r="P73" i="45" s="1"/>
  <c r="J76" i="45"/>
  <c r="J77" i="45" s="1"/>
  <c r="L73" i="45"/>
  <c r="L72" i="45"/>
  <c r="L74" i="45"/>
  <c r="I144" i="45"/>
  <c r="L187" i="45"/>
  <c r="O76" i="45"/>
  <c r="O77" i="45" s="1"/>
  <c r="M76" i="45"/>
  <c r="M77" i="45" s="1"/>
  <c r="K76" i="45"/>
  <c r="K77" i="45" s="1"/>
  <c r="M195" i="45"/>
  <c r="J140" i="45"/>
  <c r="J139" i="45"/>
  <c r="J138" i="45"/>
  <c r="M107" i="45"/>
  <c r="N12" i="45"/>
  <c r="K135" i="45"/>
  <c r="L135" i="45" s="1"/>
  <c r="K136" i="45"/>
  <c r="L136" i="45" s="1"/>
  <c r="I195" i="45"/>
  <c r="J7" i="45"/>
  <c r="J195" i="45"/>
  <c r="J196" i="45" s="1"/>
  <c r="K99" i="45"/>
  <c r="L99" i="45" s="1"/>
  <c r="K98" i="45"/>
  <c r="L98" i="45" s="1"/>
  <c r="K97" i="45"/>
  <c r="J102" i="45"/>
  <c r="I76" i="45"/>
  <c r="K149" i="45"/>
  <c r="M13" i="45"/>
  <c r="N81" i="45"/>
  <c r="P81" i="45" s="1"/>
  <c r="M92" i="45"/>
  <c r="M93" i="45"/>
  <c r="K195" i="45" l="1"/>
  <c r="Z43" i="10"/>
  <c r="CF43" i="10" s="1"/>
  <c r="BZ33" i="10"/>
  <c r="BZ36" i="10"/>
  <c r="Z41" i="10"/>
  <c r="CF41" i="10" s="1"/>
  <c r="Z45" i="10"/>
  <c r="CF45" i="10" s="1"/>
  <c r="K183" i="45"/>
  <c r="L183" i="45" s="1"/>
  <c r="N195" i="45"/>
  <c r="P187" i="45"/>
  <c r="K29" i="45"/>
  <c r="L29" i="45" s="1"/>
  <c r="K30" i="45"/>
  <c r="L30" i="45" s="1"/>
  <c r="P185" i="45"/>
  <c r="L195" i="45"/>
  <c r="O195" i="45"/>
  <c r="P93" i="45"/>
  <c r="J17" i="10"/>
  <c r="CI17" i="10" s="1"/>
  <c r="M27" i="45"/>
  <c r="N76" i="45"/>
  <c r="N77" i="45" s="1"/>
  <c r="G29" i="10"/>
  <c r="P76" i="45"/>
  <c r="P77" i="45" s="1"/>
  <c r="J103" i="45"/>
  <c r="I145" i="45"/>
  <c r="I77" i="45"/>
  <c r="L77" i="45" s="1"/>
  <c r="L76" i="45"/>
  <c r="K102" i="45"/>
  <c r="K103" i="45" s="1"/>
  <c r="L149" i="45"/>
  <c r="G25" i="10" s="1"/>
  <c r="L97" i="45"/>
  <c r="G21" i="10" s="1"/>
  <c r="I196" i="45"/>
  <c r="J144" i="45"/>
  <c r="J145" i="45" s="1"/>
  <c r="M99" i="45"/>
  <c r="M98" i="45"/>
  <c r="M97" i="45"/>
  <c r="M149" i="45"/>
  <c r="N13" i="45"/>
  <c r="N26" i="45" s="1"/>
  <c r="K140" i="45"/>
  <c r="L140" i="45" s="1"/>
  <c r="K139" i="45"/>
  <c r="L139" i="45" s="1"/>
  <c r="K138" i="45"/>
  <c r="L138" i="45" s="1"/>
  <c r="K7" i="45"/>
  <c r="N107" i="45"/>
  <c r="O12" i="45"/>
  <c r="M135" i="45"/>
  <c r="M136" i="45"/>
  <c r="N92" i="45"/>
  <c r="N93" i="45"/>
  <c r="M26" i="45"/>
  <c r="K196" i="45" l="1"/>
  <c r="BZ25" i="10"/>
  <c r="BZ21" i="10"/>
  <c r="BZ29" i="10"/>
  <c r="AR17" i="10"/>
  <c r="CC17" i="10"/>
  <c r="L196" i="45"/>
  <c r="J199" i="45"/>
  <c r="J29" i="10"/>
  <c r="CI29" i="10" s="1"/>
  <c r="P195" i="45"/>
  <c r="G38" i="10"/>
  <c r="K57" i="45"/>
  <c r="L57" i="45" s="1"/>
  <c r="L58" i="45" s="1"/>
  <c r="N27" i="45"/>
  <c r="M183" i="45"/>
  <c r="M196" i="45" s="1"/>
  <c r="P12" i="45"/>
  <c r="G11" i="10"/>
  <c r="G22" i="10"/>
  <c r="BZ22" i="10" s="1"/>
  <c r="L102" i="45"/>
  <c r="G30" i="10"/>
  <c r="BZ30" i="10" s="1"/>
  <c r="I199" i="45"/>
  <c r="L103" i="45"/>
  <c r="N99" i="45"/>
  <c r="P99" i="45" s="1"/>
  <c r="N98" i="45"/>
  <c r="P98" i="45" s="1"/>
  <c r="N97" i="45"/>
  <c r="P97" i="45" s="1"/>
  <c r="M31" i="45"/>
  <c r="M30" i="45"/>
  <c r="M29" i="45"/>
  <c r="M140" i="45"/>
  <c r="M139" i="45"/>
  <c r="M138" i="45"/>
  <c r="M7" i="45"/>
  <c r="M54" i="45" s="1"/>
  <c r="O107" i="45"/>
  <c r="P107" i="45" s="1"/>
  <c r="J8" i="10" s="1"/>
  <c r="CI8" i="10" s="1"/>
  <c r="N135" i="45"/>
  <c r="N136" i="45"/>
  <c r="K144" i="45"/>
  <c r="K145" i="45" s="1"/>
  <c r="L145" i="45" s="1"/>
  <c r="M102" i="45"/>
  <c r="N149" i="45"/>
  <c r="N183" i="45" s="1"/>
  <c r="N196" i="45" s="1"/>
  <c r="O13" i="45"/>
  <c r="O149" i="45" s="1"/>
  <c r="O183" i="45" s="1"/>
  <c r="O196" i="45" s="1"/>
  <c r="BZ38" i="10" l="1"/>
  <c r="BZ11" i="10"/>
  <c r="AR8" i="10"/>
  <c r="CC8" i="10"/>
  <c r="CC29" i="10"/>
  <c r="AR29" i="10"/>
  <c r="G39" i="10"/>
  <c r="BZ39" i="10" s="1"/>
  <c r="K58" i="45"/>
  <c r="K199" i="45" s="1"/>
  <c r="G12" i="10"/>
  <c r="BZ12" i="10" s="1"/>
  <c r="P102" i="45"/>
  <c r="P136" i="45"/>
  <c r="P13" i="45"/>
  <c r="P27" i="45" s="1"/>
  <c r="P149" i="45"/>
  <c r="P183" i="45" s="1"/>
  <c r="O27" i="45"/>
  <c r="M103" i="45"/>
  <c r="J21" i="10"/>
  <c r="CI21" i="10" s="1"/>
  <c r="L144" i="45"/>
  <c r="M144" i="45"/>
  <c r="L199" i="45"/>
  <c r="M57" i="45"/>
  <c r="M58" i="45" s="1"/>
  <c r="N140" i="45"/>
  <c r="N139" i="45"/>
  <c r="N138" i="45"/>
  <c r="N7" i="45"/>
  <c r="N57" i="45" s="1"/>
  <c r="N58" i="45" s="1"/>
  <c r="O26" i="45"/>
  <c r="N102" i="45"/>
  <c r="N103" i="45" s="1"/>
  <c r="O135" i="45"/>
  <c r="O136" i="45"/>
  <c r="AR21" i="10" l="1"/>
  <c r="AR22" i="10" s="1"/>
  <c r="CC21" i="10"/>
  <c r="G41" i="10"/>
  <c r="BZ41" i="10" s="1"/>
  <c r="CI22" i="10"/>
  <c r="G14" i="10"/>
  <c r="J33" i="10"/>
  <c r="CI33" i="10" s="1"/>
  <c r="P196" i="45"/>
  <c r="J25" i="10"/>
  <c r="CI25" i="10" s="1"/>
  <c r="M145" i="45"/>
  <c r="M199" i="45" s="1"/>
  <c r="P103" i="45"/>
  <c r="J22" i="10"/>
  <c r="CC22" i="10" s="1"/>
  <c r="P31" i="45"/>
  <c r="J36" i="10" s="1"/>
  <c r="CI36" i="10" s="1"/>
  <c r="P30" i="45"/>
  <c r="P29" i="45"/>
  <c r="N144" i="45"/>
  <c r="N145" i="45" s="1"/>
  <c r="N199" i="45" s="1"/>
  <c r="O140" i="45"/>
  <c r="P140" i="45" s="1"/>
  <c r="O139" i="45"/>
  <c r="P139" i="45" s="1"/>
  <c r="O138" i="45"/>
  <c r="P138" i="45" s="1"/>
  <c r="O7" i="45"/>
  <c r="AR25" i="10" l="1"/>
  <c r="AR30" i="10" s="1"/>
  <c r="CC25" i="10"/>
  <c r="AR36" i="10"/>
  <c r="CC36" i="10"/>
  <c r="AR33" i="10"/>
  <c r="CC33" i="10"/>
  <c r="G43" i="10"/>
  <c r="BZ43" i="10" s="1"/>
  <c r="BZ14" i="10"/>
  <c r="CI30" i="10"/>
  <c r="P144" i="45"/>
  <c r="J30" i="10"/>
  <c r="CC30" i="10" s="1"/>
  <c r="J11" i="10"/>
  <c r="CI11" i="10" s="1"/>
  <c r="J38" i="10"/>
  <c r="CI38" i="10" s="1"/>
  <c r="O144" i="45"/>
  <c r="O145" i="45" s="1"/>
  <c r="AR11" i="10" l="1"/>
  <c r="AR12" i="10" s="1"/>
  <c r="CC11" i="10"/>
  <c r="G45" i="10"/>
  <c r="BZ45" i="10" s="1"/>
  <c r="AR38" i="10"/>
  <c r="CC38" i="10"/>
  <c r="CI12" i="10"/>
  <c r="J12" i="10"/>
  <c r="CC12" i="10" s="1"/>
  <c r="O57" i="45"/>
  <c r="O58" i="45" s="1"/>
  <c r="O199" i="45" s="1"/>
  <c r="P54" i="45"/>
  <c r="P145" i="45"/>
  <c r="AR14" i="10" l="1"/>
  <c r="L201" i="45"/>
  <c r="CI14" i="10"/>
  <c r="J14" i="10"/>
  <c r="CC14" i="10" s="1"/>
  <c r="J35" i="10"/>
  <c r="P57" i="45"/>
  <c r="P58" i="45" s="1"/>
  <c r="P199" i="45" s="1"/>
  <c r="CC35" i="10" l="1"/>
  <c r="CI35" i="10"/>
  <c r="CI39" i="10" s="1"/>
  <c r="AR35" i="10"/>
  <c r="AR39" i="10" s="1"/>
  <c r="AR41" i="10" s="1"/>
  <c r="J39" i="10"/>
  <c r="J41" i="10" l="1"/>
  <c r="CC41" i="10" s="1"/>
  <c r="CC39" i="10"/>
  <c r="CI43" i="10"/>
  <c r="CI45" i="10" s="1"/>
  <c r="CI41" i="10"/>
  <c r="AR43" i="10"/>
  <c r="AR45" i="10" s="1"/>
  <c r="J43" i="10"/>
  <c r="CC43" i="10" s="1"/>
  <c r="F29" i="10"/>
  <c r="BY29" i="10" s="1"/>
  <c r="J45" i="10" l="1"/>
  <c r="CC45" i="10" s="1"/>
  <c r="F20" i="9"/>
  <c r="F29" i="9"/>
  <c r="F9" i="9"/>
  <c r="F21" i="9" l="1"/>
  <c r="F30" i="9" s="1"/>
  <c r="F15" i="9"/>
  <c r="B26" i="42"/>
  <c r="F32" i="9" l="1"/>
  <c r="B22" i="42"/>
  <c r="B18" i="42"/>
  <c r="D29" i="10"/>
  <c r="D39" i="10"/>
  <c r="BW39" i="10" s="1"/>
  <c r="D22" i="10"/>
  <c r="BW22" i="10" s="1"/>
  <c r="D12" i="10"/>
  <c r="BW12" i="10" s="1"/>
  <c r="D9" i="9"/>
  <c r="D15" i="9" s="1"/>
  <c r="D29" i="9"/>
  <c r="D20" i="9"/>
  <c r="D21" i="9" s="1"/>
  <c r="D30" i="10" l="1"/>
  <c r="BW30" i="10" s="1"/>
  <c r="BW29" i="10"/>
  <c r="B34" i="42"/>
  <c r="D14" i="10"/>
  <c r="D30" i="9"/>
  <c r="D32" i="9" s="1"/>
  <c r="B28" i="42"/>
  <c r="B30" i="42" s="1"/>
  <c r="U29" i="42" s="1"/>
  <c r="D41" i="10" l="1"/>
  <c r="B36" i="42" s="1"/>
  <c r="D43" i="10"/>
  <c r="D45" i="10" s="1"/>
  <c r="BW45" i="10" s="1"/>
  <c r="BW14" i="10"/>
  <c r="S29" i="42"/>
  <c r="D29" i="42"/>
  <c r="D17" i="42"/>
  <c r="BW41" i="10" l="1"/>
  <c r="BW43" i="10"/>
  <c r="D18" i="42"/>
  <c r="D34" i="42" s="1"/>
  <c r="D28" i="42" l="1"/>
  <c r="F12" i="10"/>
  <c r="F30" i="10"/>
  <c r="BY30" i="10" s="1"/>
  <c r="F22" i="10"/>
  <c r="BY22" i="10" s="1"/>
  <c r="F39" i="10"/>
  <c r="BY39" i="10" s="1"/>
  <c r="D30" i="42" l="1"/>
  <c r="F29" i="42" s="1"/>
  <c r="F53" i="10"/>
  <c r="F56" i="10" s="1"/>
  <c r="F57" i="10" s="1"/>
  <c r="F59" i="10" s="1"/>
  <c r="F61" i="10" s="1"/>
  <c r="BY12" i="10"/>
  <c r="F41" i="10"/>
  <c r="D36" i="42" s="1"/>
  <c r="F14" i="10"/>
  <c r="BY41" i="10" l="1"/>
  <c r="F43" i="10"/>
  <c r="BY14" i="10"/>
  <c r="C11" i="44"/>
  <c r="F45" i="10" l="1"/>
  <c r="BY45" i="10" s="1"/>
  <c r="BY43" i="10"/>
  <c r="I16" i="44"/>
  <c r="H16" i="44"/>
  <c r="F16" i="44"/>
  <c r="C16" i="44"/>
  <c r="J8" i="44"/>
  <c r="J5" i="44"/>
  <c r="J4" i="44"/>
  <c r="F38" i="9" l="1"/>
  <c r="F39" i="9" s="1"/>
  <c r="F48" i="10"/>
  <c r="E5" i="21" l="1"/>
  <c r="H6" i="3"/>
  <c r="F7" i="39" l="1"/>
  <c r="I2" i="39" l="1"/>
  <c r="A51" i="20" l="1"/>
  <c r="A48" i="20"/>
  <c r="A58" i="20"/>
  <c r="A59" i="20"/>
  <c r="A72" i="20"/>
  <c r="A29" i="20"/>
  <c r="A33" i="20"/>
  <c r="A42" i="20"/>
  <c r="A36" i="20"/>
  <c r="A43" i="20"/>
  <c r="A38" i="20"/>
  <c r="A70" i="20"/>
  <c r="A74" i="20"/>
  <c r="A53" i="31"/>
  <c r="A54" i="31"/>
  <c r="A42" i="31"/>
  <c r="A36" i="31"/>
  <c r="A43" i="31"/>
  <c r="A44" i="31"/>
  <c r="A46" i="31"/>
  <c r="A47" i="31"/>
  <c r="A35" i="31"/>
  <c r="A49" i="31"/>
  <c r="A41" i="31"/>
  <c r="A23" i="31"/>
  <c r="A45" i="31"/>
  <c r="A28" i="31"/>
  <c r="A29" i="31"/>
  <c r="A30" i="31"/>
  <c r="A52" i="31"/>
  <c r="A55" i="31"/>
  <c r="A56" i="31"/>
  <c r="A66" i="31"/>
  <c r="A34" i="31"/>
  <c r="A37" i="31"/>
  <c r="A38" i="31"/>
  <c r="A39" i="31"/>
  <c r="A40" i="31"/>
  <c r="A48" i="31"/>
  <c r="A10" i="35"/>
  <c r="B183" i="8"/>
  <c r="B186" i="8"/>
  <c r="B190" i="8"/>
  <c r="B191" i="8"/>
  <c r="B192" i="8"/>
  <c r="B193" i="8"/>
  <c r="B194" i="8"/>
  <c r="B195" i="8"/>
  <c r="B196" i="8"/>
  <c r="B197" i="8"/>
  <c r="B200" i="8"/>
  <c r="B201" i="8"/>
  <c r="A160" i="7"/>
  <c r="A162" i="7"/>
  <c r="A161" i="7"/>
  <c r="A104" i="7"/>
  <c r="A103" i="7"/>
  <c r="A155" i="7"/>
  <c r="A154" i="7"/>
  <c r="A153" i="7"/>
  <c r="A139" i="7"/>
  <c r="A138" i="7"/>
  <c r="A137" i="7"/>
  <c r="A129" i="7"/>
  <c r="A152" i="7"/>
  <c r="A151" i="7"/>
  <c r="A159" i="7"/>
  <c r="B35" i="43" l="1"/>
  <c r="B33" i="43"/>
  <c r="B27" i="43"/>
  <c r="B6" i="43"/>
  <c r="B8" i="43" s="1"/>
  <c r="B37" i="43" l="1"/>
  <c r="A50" i="31" l="1"/>
  <c r="A51" i="31"/>
  <c r="A35" i="20"/>
  <c r="A34" i="20"/>
  <c r="H9" i="3"/>
  <c r="A58" i="31" l="1"/>
  <c r="A59" i="31"/>
  <c r="A60" i="31"/>
  <c r="A61" i="31"/>
  <c r="A62" i="31"/>
  <c r="A63" i="31"/>
  <c r="A64" i="31"/>
  <c r="A65" i="31"/>
  <c r="A33" i="31"/>
  <c r="A69" i="31"/>
  <c r="A15" i="31"/>
  <c r="A16" i="31"/>
  <c r="A17" i="31"/>
  <c r="A18" i="31"/>
  <c r="A20" i="31"/>
  <c r="A21" i="31"/>
  <c r="A22" i="31"/>
  <c r="G2" i="41"/>
  <c r="B19" i="36" l="1"/>
  <c r="B18" i="36"/>
  <c r="H22" i="21" l="1"/>
  <c r="A120" i="7" l="1"/>
  <c r="A164" i="7"/>
  <c r="A134" i="7"/>
  <c r="H27" i="3" l="1"/>
  <c r="H15" i="3"/>
  <c r="A165" i="7"/>
  <c r="S22" i="42" l="1"/>
  <c r="H15" i="37" l="1"/>
  <c r="H17" i="37" s="1"/>
  <c r="B71" i="41"/>
  <c r="B70" i="41"/>
  <c r="B69" i="41"/>
  <c r="B68" i="41"/>
  <c r="B67" i="41"/>
  <c r="B66" i="41"/>
  <c r="B65" i="41"/>
  <c r="B64" i="41"/>
  <c r="B63" i="41"/>
  <c r="B62" i="41"/>
  <c r="B61" i="41"/>
  <c r="B60" i="41"/>
  <c r="B59" i="41"/>
  <c r="B58" i="41"/>
  <c r="B57" i="41"/>
  <c r="B56" i="41"/>
  <c r="B55" i="41"/>
  <c r="B54" i="41"/>
  <c r="B53" i="41"/>
  <c r="B52" i="41"/>
  <c r="B51" i="41"/>
  <c r="B50" i="41"/>
  <c r="B49" i="41"/>
  <c r="B48" i="41"/>
  <c r="B47" i="41"/>
  <c r="B46" i="41"/>
  <c r="B45" i="41"/>
  <c r="B44" i="41"/>
  <c r="F31" i="41"/>
  <c r="F30" i="41"/>
  <c r="F29" i="41"/>
  <c r="F28" i="41"/>
  <c r="F27" i="41"/>
  <c r="F26" i="41"/>
  <c r="F25" i="41"/>
  <c r="F24" i="41"/>
  <c r="F23" i="41"/>
  <c r="F22" i="41"/>
  <c r="F21" i="41"/>
  <c r="F20" i="41"/>
  <c r="F19" i="41"/>
  <c r="F18" i="41"/>
  <c r="F17" i="41"/>
  <c r="F16" i="41"/>
  <c r="F15" i="41"/>
  <c r="F14" i="41"/>
  <c r="F12" i="41"/>
  <c r="F11" i="41"/>
  <c r="F9" i="41"/>
  <c r="F7" i="41"/>
  <c r="F6" i="41"/>
  <c r="F5" i="41"/>
  <c r="F4" i="41"/>
  <c r="J85" i="2" l="1"/>
  <c r="I23" i="2"/>
  <c r="I6" i="2"/>
  <c r="I27" i="2"/>
  <c r="I25" i="2"/>
  <c r="I21" i="2"/>
  <c r="I19" i="2"/>
  <c r="I17" i="2"/>
  <c r="I15" i="2"/>
  <c r="I13" i="2"/>
  <c r="I11" i="2"/>
  <c r="I9" i="2"/>
  <c r="I32" i="2"/>
  <c r="I36" i="2"/>
  <c r="I40" i="2"/>
  <c r="I44" i="2"/>
  <c r="I48" i="2"/>
  <c r="I52" i="2"/>
  <c r="I56" i="2"/>
  <c r="I65" i="2"/>
  <c r="I70" i="2"/>
  <c r="I75" i="2"/>
  <c r="I79" i="2"/>
  <c r="I84" i="2"/>
  <c r="I88" i="2"/>
  <c r="I92" i="2"/>
  <c r="I96" i="2"/>
  <c r="I100" i="2"/>
  <c r="I104" i="2"/>
  <c r="I108" i="2"/>
  <c r="I112" i="2"/>
  <c r="J25" i="2"/>
  <c r="J21" i="2"/>
  <c r="J17" i="2"/>
  <c r="J13" i="2"/>
  <c r="J9" i="2"/>
  <c r="J33" i="2"/>
  <c r="J37" i="2"/>
  <c r="J41" i="2"/>
  <c r="J45" i="2"/>
  <c r="J49" i="2"/>
  <c r="J53" i="2"/>
  <c r="J57" i="2"/>
  <c r="J66" i="2"/>
  <c r="J71" i="2"/>
  <c r="J76" i="2"/>
  <c r="J81" i="2"/>
  <c r="J112" i="2"/>
  <c r="J110" i="2"/>
  <c r="J108" i="2"/>
  <c r="J106" i="2"/>
  <c r="J104" i="2"/>
  <c r="J102" i="2"/>
  <c r="J100" i="2"/>
  <c r="J98" i="2"/>
  <c r="J96" i="2"/>
  <c r="J94" i="2"/>
  <c r="J92" i="2"/>
  <c r="J90" i="2"/>
  <c r="J88" i="2"/>
  <c r="J86" i="2"/>
  <c r="J84" i="2"/>
  <c r="J82" i="2"/>
  <c r="J79" i="2"/>
  <c r="J77" i="2"/>
  <c r="J75" i="2"/>
  <c r="J72" i="2"/>
  <c r="J70" i="2"/>
  <c r="J68" i="2"/>
  <c r="J65" i="2"/>
  <c r="J63" i="2"/>
  <c r="J56" i="2"/>
  <c r="J54" i="2"/>
  <c r="J52" i="2"/>
  <c r="J50" i="2"/>
  <c r="J48" i="2"/>
  <c r="J46" i="2"/>
  <c r="J44" i="2"/>
  <c r="J42" i="2"/>
  <c r="J40" i="2"/>
  <c r="J38" i="2"/>
  <c r="J36" i="2"/>
  <c r="J34" i="2"/>
  <c r="J32" i="2"/>
  <c r="J8" i="2"/>
  <c r="J10" i="2"/>
  <c r="J12" i="2"/>
  <c r="J14" i="2"/>
  <c r="J16" i="2"/>
  <c r="J18" i="2"/>
  <c r="J20" i="2"/>
  <c r="J22" i="2"/>
  <c r="J24" i="2"/>
  <c r="J26" i="2"/>
  <c r="I113" i="2"/>
  <c r="I111" i="2"/>
  <c r="I109" i="2"/>
  <c r="I107" i="2"/>
  <c r="I105" i="2"/>
  <c r="I103" i="2"/>
  <c r="I101" i="2"/>
  <c r="I99" i="2"/>
  <c r="I97" i="2"/>
  <c r="I95" i="2"/>
  <c r="I93" i="2"/>
  <c r="I91" i="2"/>
  <c r="I89" i="2"/>
  <c r="I87" i="2"/>
  <c r="I85" i="2"/>
  <c r="I83" i="2"/>
  <c r="I81" i="2"/>
  <c r="I78" i="2"/>
  <c r="I76" i="2"/>
  <c r="I74" i="2"/>
  <c r="I71" i="2"/>
  <c r="I69" i="2"/>
  <c r="I66" i="2"/>
  <c r="I64" i="2"/>
  <c r="I57" i="2"/>
  <c r="I55" i="2"/>
  <c r="I53" i="2"/>
  <c r="I51" i="2"/>
  <c r="I49" i="2"/>
  <c r="I47" i="2"/>
  <c r="I45" i="2"/>
  <c r="I43" i="2"/>
  <c r="I41" i="2"/>
  <c r="I39" i="2"/>
  <c r="I37" i="2"/>
  <c r="I35" i="2"/>
  <c r="I33" i="2"/>
  <c r="I7" i="2"/>
  <c r="J113" i="2"/>
  <c r="J111" i="2"/>
  <c r="J109" i="2"/>
  <c r="J107" i="2"/>
  <c r="J105" i="2"/>
  <c r="J103" i="2"/>
  <c r="J101" i="2"/>
  <c r="J99" i="2"/>
  <c r="J97" i="2"/>
  <c r="J95" i="2"/>
  <c r="J93" i="2"/>
  <c r="J91" i="2"/>
  <c r="J89" i="2"/>
  <c r="J87" i="2"/>
  <c r="J6" i="2"/>
  <c r="I26" i="2"/>
  <c r="I24" i="2"/>
  <c r="I22" i="2"/>
  <c r="I20" i="2"/>
  <c r="I18" i="2"/>
  <c r="I16" i="2"/>
  <c r="I14" i="2"/>
  <c r="I12" i="2"/>
  <c r="I10" i="2"/>
  <c r="I8" i="2"/>
  <c r="I34" i="2"/>
  <c r="I38" i="2"/>
  <c r="I42" i="2"/>
  <c r="I46" i="2"/>
  <c r="I50" i="2"/>
  <c r="I54" i="2"/>
  <c r="I63" i="2"/>
  <c r="I68" i="2"/>
  <c r="I72" i="2"/>
  <c r="I77" i="2"/>
  <c r="I82" i="2"/>
  <c r="I86" i="2"/>
  <c r="I90" i="2"/>
  <c r="I94" i="2"/>
  <c r="I98" i="2"/>
  <c r="I102" i="2"/>
  <c r="I106" i="2"/>
  <c r="I110" i="2"/>
  <c r="J27" i="2"/>
  <c r="J23" i="2"/>
  <c r="J19" i="2"/>
  <c r="J15" i="2"/>
  <c r="J11" i="2"/>
  <c r="J7" i="2"/>
  <c r="J35" i="2"/>
  <c r="J39" i="2"/>
  <c r="J43" i="2"/>
  <c r="J47" i="2"/>
  <c r="J51" i="2"/>
  <c r="J55" i="2"/>
  <c r="J64" i="2"/>
  <c r="J69" i="2"/>
  <c r="J74" i="2"/>
  <c r="J78" i="2"/>
  <c r="J83" i="2"/>
  <c r="B9" i="39"/>
  <c r="F6" i="39" l="1"/>
  <c r="F8" i="39"/>
  <c r="B73" i="39"/>
  <c r="B72" i="39"/>
  <c r="B71" i="39"/>
  <c r="B70" i="39"/>
  <c r="B69" i="39"/>
  <c r="B68" i="39"/>
  <c r="B67" i="39"/>
  <c r="B66" i="39"/>
  <c r="B65" i="39"/>
  <c r="B64" i="39"/>
  <c r="B63" i="39"/>
  <c r="B62" i="39"/>
  <c r="B61" i="39"/>
  <c r="B60" i="39"/>
  <c r="B59" i="39"/>
  <c r="B58" i="39"/>
  <c r="B57" i="39"/>
  <c r="B56" i="39"/>
  <c r="B55" i="39"/>
  <c r="B54" i="39"/>
  <c r="B53" i="39"/>
  <c r="B52" i="39"/>
  <c r="B51" i="39"/>
  <c r="B50" i="39"/>
  <c r="B49" i="39"/>
  <c r="B48" i="39"/>
  <c r="B47" i="39"/>
  <c r="B46" i="39"/>
  <c r="T67" i="2" s="1"/>
  <c r="F33" i="39"/>
  <c r="F32" i="39"/>
  <c r="F31" i="39"/>
  <c r="F30" i="39"/>
  <c r="F29" i="39"/>
  <c r="F28" i="39"/>
  <c r="F27" i="39"/>
  <c r="F25" i="39"/>
  <c r="F24" i="39"/>
  <c r="F23" i="39"/>
  <c r="F22" i="39"/>
  <c r="F21" i="39"/>
  <c r="F20" i="39"/>
  <c r="F19" i="39"/>
  <c r="F18" i="39"/>
  <c r="F17" i="39"/>
  <c r="F16" i="39"/>
  <c r="F15" i="39"/>
  <c r="F13" i="39"/>
  <c r="F12" i="39"/>
  <c r="F10" i="39"/>
  <c r="F9" i="39"/>
  <c r="F5" i="39"/>
  <c r="F4" i="39"/>
  <c r="H44" i="3"/>
  <c r="H48" i="3"/>
  <c r="H49" i="3"/>
  <c r="H50" i="3"/>
  <c r="H51" i="3"/>
  <c r="H52" i="3"/>
  <c r="H53" i="3"/>
  <c r="H54" i="3"/>
  <c r="H55" i="3"/>
  <c r="H56" i="3"/>
  <c r="H57" i="3"/>
  <c r="H60" i="3"/>
  <c r="H63" i="3"/>
  <c r="H64" i="3"/>
  <c r="H65" i="3"/>
  <c r="H66" i="3"/>
  <c r="H67" i="3"/>
  <c r="H68" i="3"/>
  <c r="H69" i="3"/>
  <c r="H70" i="3"/>
  <c r="H71" i="3"/>
  <c r="H16" i="3"/>
  <c r="H28" i="3"/>
  <c r="H29" i="3"/>
  <c r="H30" i="3"/>
  <c r="H31" i="3"/>
  <c r="H34" i="3"/>
  <c r="H36" i="3"/>
  <c r="H37" i="3"/>
  <c r="H38" i="3"/>
  <c r="H39" i="3"/>
  <c r="H40" i="3"/>
  <c r="H41" i="3"/>
  <c r="H7" i="3"/>
  <c r="H8" i="3"/>
  <c r="H10" i="3"/>
  <c r="H11" i="3"/>
  <c r="H12" i="3"/>
  <c r="H5" i="3"/>
  <c r="S73" i="2" l="1"/>
  <c r="S80" i="2"/>
  <c r="T73" i="2"/>
  <c r="T80" i="2"/>
  <c r="S97" i="2"/>
  <c r="S93" i="2"/>
  <c r="S89" i="2"/>
  <c r="S84" i="2"/>
  <c r="S82" i="2"/>
  <c r="S79" i="2"/>
  <c r="S77" i="2"/>
  <c r="S70" i="2"/>
  <c r="S68" i="2"/>
  <c r="S101" i="2"/>
  <c r="S99" i="2"/>
  <c r="S95" i="2"/>
  <c r="S91" i="2"/>
  <c r="S87" i="2"/>
  <c r="S75" i="2"/>
  <c r="S72" i="2"/>
  <c r="S65" i="2"/>
  <c r="T112" i="2"/>
  <c r="S103" i="2"/>
  <c r="S105" i="2"/>
  <c r="S107" i="2"/>
  <c r="S109" i="2"/>
  <c r="S111" i="2"/>
  <c r="S113" i="2"/>
  <c r="S27" i="2"/>
  <c r="S25" i="2"/>
  <c r="S23" i="2"/>
  <c r="S21" i="2"/>
  <c r="S19" i="2"/>
  <c r="S17" i="2"/>
  <c r="S15" i="2"/>
  <c r="S13" i="2"/>
  <c r="S11" i="2"/>
  <c r="S9" i="2"/>
  <c r="S7" i="2"/>
  <c r="S33" i="2"/>
  <c r="S35" i="2"/>
  <c r="S37" i="2"/>
  <c r="S39" i="2"/>
  <c r="S41" i="2"/>
  <c r="S43" i="2"/>
  <c r="S45" i="2"/>
  <c r="S47" i="2"/>
  <c r="S49" i="2"/>
  <c r="S51" i="2"/>
  <c r="S53" i="2"/>
  <c r="S55" i="2"/>
  <c r="S57" i="2"/>
  <c r="T6" i="2"/>
  <c r="T26" i="2"/>
  <c r="T24" i="2"/>
  <c r="T22" i="2"/>
  <c r="T20" i="2"/>
  <c r="T18" i="2"/>
  <c r="T16" i="2"/>
  <c r="T14" i="2"/>
  <c r="T12" i="2"/>
  <c r="T10" i="2"/>
  <c r="T8" i="2"/>
  <c r="T32" i="2"/>
  <c r="T34" i="2"/>
  <c r="T36" i="2"/>
  <c r="T38" i="2"/>
  <c r="T40" i="2"/>
  <c r="T42" i="2"/>
  <c r="T44" i="2"/>
  <c r="T46" i="2"/>
  <c r="T48" i="2"/>
  <c r="T50" i="2"/>
  <c r="T52" i="2"/>
  <c r="T54" i="2"/>
  <c r="T56" i="2"/>
  <c r="T63" i="2"/>
  <c r="T66" i="2"/>
  <c r="T69" i="2"/>
  <c r="T71" i="2"/>
  <c r="T74" i="2"/>
  <c r="T76" i="2"/>
  <c r="T78" i="2"/>
  <c r="T81" i="2"/>
  <c r="T83" i="2"/>
  <c r="T85" i="2"/>
  <c r="T88" i="2"/>
  <c r="T90" i="2"/>
  <c r="T92" i="2"/>
  <c r="T94" i="2"/>
  <c r="T96" i="2"/>
  <c r="T98" i="2"/>
  <c r="T100" i="2"/>
  <c r="T102" i="2"/>
  <c r="T104" i="2"/>
  <c r="T106" i="2"/>
  <c r="T108" i="2"/>
  <c r="T110" i="2"/>
  <c r="T86" i="2"/>
  <c r="S86" i="2"/>
  <c r="S64" i="2"/>
  <c r="T64" i="2"/>
  <c r="S66" i="2"/>
  <c r="S69" i="2"/>
  <c r="S71" i="2"/>
  <c r="S74" i="2"/>
  <c r="S76" i="2"/>
  <c r="S78" i="2"/>
  <c r="S81" i="2"/>
  <c r="S83" i="2"/>
  <c r="S85" i="2"/>
  <c r="S88" i="2"/>
  <c r="S90" i="2"/>
  <c r="S92" i="2"/>
  <c r="S94" i="2"/>
  <c r="S96" i="2"/>
  <c r="S98" i="2"/>
  <c r="S100" i="2"/>
  <c r="S102" i="2"/>
  <c r="S104" i="2"/>
  <c r="S106" i="2"/>
  <c r="S108" i="2"/>
  <c r="S110" i="2"/>
  <c r="S112" i="2"/>
  <c r="S6" i="2"/>
  <c r="S26" i="2"/>
  <c r="S24" i="2"/>
  <c r="S22" i="2"/>
  <c r="S20" i="2"/>
  <c r="S18" i="2"/>
  <c r="S16" i="2"/>
  <c r="S14" i="2"/>
  <c r="S12" i="2"/>
  <c r="S10" i="2"/>
  <c r="S8" i="2"/>
  <c r="S32" i="2"/>
  <c r="S34" i="2"/>
  <c r="S36" i="2"/>
  <c r="S38" i="2"/>
  <c r="S40" i="2"/>
  <c r="S42" i="2"/>
  <c r="S44" i="2"/>
  <c r="S46" i="2"/>
  <c r="S48" i="2"/>
  <c r="S50" i="2"/>
  <c r="S52" i="2"/>
  <c r="S54" i="2"/>
  <c r="S56" i="2"/>
  <c r="S63" i="2"/>
  <c r="T27" i="2"/>
  <c r="T25" i="2"/>
  <c r="T23" i="2"/>
  <c r="T21" i="2"/>
  <c r="T19" i="2"/>
  <c r="T17" i="2"/>
  <c r="T15" i="2"/>
  <c r="T13" i="2"/>
  <c r="T11" i="2"/>
  <c r="T9" i="2"/>
  <c r="T7" i="2"/>
  <c r="T33" i="2"/>
  <c r="T35" i="2"/>
  <c r="T37" i="2"/>
  <c r="T39" i="2"/>
  <c r="T41" i="2"/>
  <c r="T43" i="2"/>
  <c r="T45" i="2"/>
  <c r="T47" i="2"/>
  <c r="T49" i="2"/>
  <c r="T51" i="2"/>
  <c r="T53" i="2"/>
  <c r="T55" i="2"/>
  <c r="T57" i="2"/>
  <c r="T65" i="2"/>
  <c r="T68" i="2"/>
  <c r="T70" i="2"/>
  <c r="T72" i="2"/>
  <c r="T75" i="2"/>
  <c r="T77" i="2"/>
  <c r="T79" i="2"/>
  <c r="T82" i="2"/>
  <c r="T84" i="2"/>
  <c r="T87" i="2"/>
  <c r="T89" i="2"/>
  <c r="T91" i="2"/>
  <c r="T93" i="2"/>
  <c r="T95" i="2"/>
  <c r="T97" i="2"/>
  <c r="T99" i="2"/>
  <c r="T101" i="2"/>
  <c r="T103" i="2"/>
  <c r="T105" i="2"/>
  <c r="T107" i="2"/>
  <c r="T109" i="2"/>
  <c r="T111" i="2"/>
  <c r="T113" i="2"/>
  <c r="A12" i="31" l="1"/>
  <c r="A8" i="31"/>
  <c r="A57" i="31"/>
  <c r="A41" i="20" l="1"/>
  <c r="C4" i="37" l="1"/>
  <c r="C6" i="37" s="1"/>
  <c r="D3" i="37"/>
  <c r="F3" i="37" s="1"/>
  <c r="F5" i="37"/>
  <c r="F2" i="37"/>
  <c r="E6" i="37"/>
  <c r="B6" i="37"/>
  <c r="D6" i="37" l="1"/>
  <c r="F4" i="37"/>
  <c r="F6" i="37" s="1"/>
  <c r="A118" i="7" l="1"/>
  <c r="A46" i="20" l="1"/>
  <c r="A50" i="20"/>
  <c r="A40" i="20"/>
  <c r="A39" i="20"/>
  <c r="A56" i="20"/>
  <c r="B21" i="32"/>
  <c r="B20" i="32"/>
  <c r="B19" i="32"/>
  <c r="B18" i="32"/>
  <c r="B17" i="32"/>
  <c r="B16" i="32"/>
  <c r="B15" i="32"/>
  <c r="B14" i="32"/>
  <c r="B13" i="32"/>
  <c r="B12" i="32"/>
  <c r="B11" i="32"/>
  <c r="B10" i="32"/>
  <c r="B9" i="32"/>
  <c r="B8" i="32"/>
  <c r="B7" i="32"/>
  <c r="B6" i="32"/>
  <c r="B5" i="32"/>
  <c r="B4" i="32"/>
  <c r="B3" i="32"/>
  <c r="B2" i="32"/>
  <c r="J114" i="2"/>
  <c r="J58" i="2" s="1"/>
  <c r="J59" i="2" s="1"/>
  <c r="I114" i="2"/>
  <c r="I58" i="2" s="1"/>
  <c r="I59" i="2" s="1"/>
  <c r="J28" i="2"/>
  <c r="I28" i="2"/>
  <c r="A3" i="35"/>
  <c r="A5" i="35"/>
  <c r="A2" i="35"/>
  <c r="A4" i="35"/>
  <c r="A11" i="35"/>
  <c r="A8" i="35"/>
  <c r="A9" i="35"/>
  <c r="A6" i="35"/>
  <c r="A7" i="35"/>
  <c r="B15" i="36"/>
  <c r="B14" i="36"/>
  <c r="B13" i="36"/>
  <c r="B12" i="36"/>
  <c r="B11" i="36"/>
  <c r="B10" i="36"/>
  <c r="B9" i="36"/>
  <c r="B8" i="36"/>
  <c r="B7" i="36"/>
  <c r="B6" i="36"/>
  <c r="B5" i="36"/>
  <c r="B4" i="36"/>
  <c r="B3" i="36"/>
  <c r="B2" i="36"/>
  <c r="H64" i="2" l="1"/>
  <c r="K64" i="2" s="1"/>
  <c r="H66" i="2"/>
  <c r="H86" i="2"/>
  <c r="K86" i="2" s="1"/>
  <c r="H65" i="2"/>
  <c r="J1" i="2"/>
  <c r="I1" i="2"/>
  <c r="H113" i="2"/>
  <c r="K113" i="2" s="1"/>
  <c r="H111" i="2"/>
  <c r="K111" i="2" s="1"/>
  <c r="H109" i="2"/>
  <c r="K109" i="2" s="1"/>
  <c r="H107" i="2"/>
  <c r="K107" i="2" s="1"/>
  <c r="H105" i="2"/>
  <c r="K105" i="2" s="1"/>
  <c r="H103" i="2"/>
  <c r="K103" i="2" s="1"/>
  <c r="H101" i="2"/>
  <c r="K101" i="2" s="1"/>
  <c r="H99" i="2"/>
  <c r="K99" i="2" s="1"/>
  <c r="H97" i="2"/>
  <c r="K97" i="2" s="1"/>
  <c r="H95" i="2"/>
  <c r="K95" i="2" s="1"/>
  <c r="H93" i="2"/>
  <c r="K93" i="2" s="1"/>
  <c r="H91" i="2"/>
  <c r="K91" i="2" s="1"/>
  <c r="H89" i="2"/>
  <c r="K89" i="2" s="1"/>
  <c r="H87" i="2"/>
  <c r="K87" i="2" s="1"/>
  <c r="H84" i="2"/>
  <c r="K84" i="2" s="1"/>
  <c r="H82" i="2"/>
  <c r="K82" i="2" s="1"/>
  <c r="H79" i="2"/>
  <c r="K79" i="2" s="1"/>
  <c r="H77" i="2"/>
  <c r="K77" i="2" s="1"/>
  <c r="H75" i="2"/>
  <c r="K75" i="2" s="1"/>
  <c r="H72" i="2"/>
  <c r="K72" i="2" s="1"/>
  <c r="H69" i="2"/>
  <c r="K69" i="2" s="1"/>
  <c r="H57" i="2"/>
  <c r="K57" i="2" s="1"/>
  <c r="H55" i="2"/>
  <c r="K55" i="2" s="1"/>
  <c r="H53" i="2"/>
  <c r="K53" i="2" s="1"/>
  <c r="H51" i="2"/>
  <c r="K51" i="2" s="1"/>
  <c r="H49" i="2"/>
  <c r="K49" i="2" s="1"/>
  <c r="H47" i="2"/>
  <c r="K47" i="2" s="1"/>
  <c r="H45" i="2"/>
  <c r="K45" i="2" s="1"/>
  <c r="H43" i="2"/>
  <c r="K43" i="2" s="1"/>
  <c r="H41" i="2"/>
  <c r="K41" i="2" s="1"/>
  <c r="H39" i="2"/>
  <c r="K39" i="2" s="1"/>
  <c r="H37" i="2"/>
  <c r="K37" i="2" s="1"/>
  <c r="H35" i="2"/>
  <c r="K35" i="2" s="1"/>
  <c r="H33" i="2"/>
  <c r="K33" i="2" s="1"/>
  <c r="H7" i="2"/>
  <c r="K7" i="2" s="1"/>
  <c r="H9" i="2"/>
  <c r="K9" i="2" s="1"/>
  <c r="H11" i="2"/>
  <c r="K11" i="2" s="1"/>
  <c r="H6" i="2"/>
  <c r="H26" i="2"/>
  <c r="K26" i="2" s="1"/>
  <c r="H24" i="2"/>
  <c r="K24" i="2" s="1"/>
  <c r="H22" i="2"/>
  <c r="K22" i="2" s="1"/>
  <c r="H20" i="2"/>
  <c r="K20" i="2" s="1"/>
  <c r="H18" i="2"/>
  <c r="K18" i="2" s="1"/>
  <c r="H16" i="2"/>
  <c r="K16" i="2" s="1"/>
  <c r="H14" i="2"/>
  <c r="K14" i="2" s="1"/>
  <c r="H12" i="2"/>
  <c r="K12" i="2" s="1"/>
  <c r="H10" i="2"/>
  <c r="K10" i="2" s="1"/>
  <c r="H32" i="2"/>
  <c r="K32" i="2" s="1"/>
  <c r="H36" i="2"/>
  <c r="K36" i="2" s="1"/>
  <c r="H40" i="2"/>
  <c r="K40" i="2" s="1"/>
  <c r="H44" i="2"/>
  <c r="K44" i="2" s="1"/>
  <c r="H48" i="2"/>
  <c r="K48" i="2" s="1"/>
  <c r="H52" i="2"/>
  <c r="K52" i="2" s="1"/>
  <c r="H56" i="2"/>
  <c r="K56" i="2" s="1"/>
  <c r="H68" i="2"/>
  <c r="K68" i="2" s="1"/>
  <c r="H74" i="2"/>
  <c r="K74" i="2" s="1"/>
  <c r="H78" i="2"/>
  <c r="K78" i="2" s="1"/>
  <c r="H83" i="2"/>
  <c r="K83" i="2" s="1"/>
  <c r="H88" i="2"/>
  <c r="K88" i="2" s="1"/>
  <c r="H92" i="2"/>
  <c r="K92" i="2" s="1"/>
  <c r="H96" i="2"/>
  <c r="K96" i="2" s="1"/>
  <c r="H100" i="2"/>
  <c r="K100" i="2" s="1"/>
  <c r="H104" i="2"/>
  <c r="K104" i="2" s="1"/>
  <c r="H108" i="2"/>
  <c r="K108" i="2" s="1"/>
  <c r="H112" i="2"/>
  <c r="K112" i="2" s="1"/>
  <c r="H27" i="2"/>
  <c r="K27" i="2" s="1"/>
  <c r="H25" i="2"/>
  <c r="K25" i="2" s="1"/>
  <c r="H23" i="2"/>
  <c r="K23" i="2" s="1"/>
  <c r="H21" i="2"/>
  <c r="K21" i="2" s="1"/>
  <c r="H19" i="2"/>
  <c r="K19" i="2" s="1"/>
  <c r="H17" i="2"/>
  <c r="K17" i="2" s="1"/>
  <c r="H15" i="2"/>
  <c r="K15" i="2" s="1"/>
  <c r="H13" i="2"/>
  <c r="K13" i="2" s="1"/>
  <c r="H8" i="2"/>
  <c r="K8" i="2" s="1"/>
  <c r="H34" i="2"/>
  <c r="K34" i="2" s="1"/>
  <c r="H38" i="2"/>
  <c r="K38" i="2" s="1"/>
  <c r="H42" i="2"/>
  <c r="K42" i="2" s="1"/>
  <c r="H46" i="2"/>
  <c r="K46" i="2" s="1"/>
  <c r="H50" i="2"/>
  <c r="K50" i="2" s="1"/>
  <c r="H54" i="2"/>
  <c r="K54" i="2" s="1"/>
  <c r="H63" i="2"/>
  <c r="K63" i="2" s="1"/>
  <c r="H70" i="2"/>
  <c r="K70" i="2" s="1"/>
  <c r="H76" i="2"/>
  <c r="K76" i="2" s="1"/>
  <c r="H81" i="2"/>
  <c r="K81" i="2" s="1"/>
  <c r="H85" i="2"/>
  <c r="K85" i="2" s="1"/>
  <c r="H90" i="2"/>
  <c r="K90" i="2" s="1"/>
  <c r="H94" i="2"/>
  <c r="K94" i="2" s="1"/>
  <c r="H98" i="2"/>
  <c r="K98" i="2" s="1"/>
  <c r="H102" i="2"/>
  <c r="K102" i="2" s="1"/>
  <c r="H106" i="2"/>
  <c r="K106" i="2" s="1"/>
  <c r="H110" i="2"/>
  <c r="K110" i="2" s="1"/>
  <c r="H114" i="2" l="1"/>
  <c r="H58" i="2" s="1"/>
  <c r="H59" i="2" s="1"/>
  <c r="K65" i="2"/>
  <c r="K114" i="2" s="1"/>
  <c r="K58" i="2" s="1"/>
  <c r="K59" i="2" s="1"/>
  <c r="K6" i="2"/>
  <c r="K28" i="2" s="1"/>
  <c r="H28" i="2"/>
  <c r="K1" i="2" l="1"/>
  <c r="H1" i="2"/>
  <c r="A156" i="7" l="1"/>
  <c r="A98" i="7"/>
  <c r="A169" i="7"/>
  <c r="A176" i="7"/>
  <c r="A84" i="7"/>
  <c r="A177" i="7"/>
  <c r="A55" i="7"/>
  <c r="A54" i="7"/>
  <c r="A166" i="7"/>
  <c r="A174" i="7"/>
  <c r="A83" i="7"/>
  <c r="A81" i="7"/>
  <c r="A77" i="7"/>
  <c r="E80" i="2" l="1"/>
  <c r="D80" i="2"/>
  <c r="D67" i="2"/>
  <c r="E67" i="2"/>
  <c r="D73" i="2"/>
  <c r="E73" i="2"/>
  <c r="H11" i="21"/>
  <c r="H26" i="3" l="1"/>
  <c r="H17" i="3"/>
  <c r="H14" i="3"/>
  <c r="H13" i="3" l="1"/>
  <c r="E86" i="2"/>
  <c r="E64" i="2"/>
  <c r="D86" i="2"/>
  <c r="D64" i="2"/>
  <c r="E71" i="2"/>
  <c r="D71" i="2"/>
  <c r="E66" i="2"/>
  <c r="D66" i="2"/>
  <c r="B96" i="22"/>
  <c r="B98" i="22"/>
  <c r="B94" i="22"/>
  <c r="B95" i="22"/>
  <c r="B91" i="22"/>
  <c r="B54" i="22"/>
  <c r="B52" i="22"/>
  <c r="B83" i="22"/>
  <c r="B59" i="22"/>
  <c r="B58" i="22"/>
  <c r="B53" i="22"/>
  <c r="B78" i="22"/>
  <c r="B76" i="22"/>
  <c r="B75" i="22"/>
  <c r="B74" i="22"/>
  <c r="B73" i="22"/>
  <c r="B50" i="22"/>
  <c r="B64" i="22"/>
  <c r="B55" i="22"/>
  <c r="B51" i="22"/>
  <c r="B47" i="22"/>
  <c r="B46" i="22"/>
  <c r="B61" i="22"/>
  <c r="B57" i="22"/>
  <c r="B48" i="22"/>
  <c r="B45" i="22"/>
  <c r="B90" i="22"/>
  <c r="B89" i="22"/>
  <c r="B88" i="22"/>
  <c r="B87" i="22"/>
  <c r="B42" i="22"/>
  <c r="B41" i="22"/>
  <c r="B97" i="22"/>
  <c r="B35" i="22"/>
  <c r="B33" i="22"/>
  <c r="B32" i="22"/>
  <c r="B26" i="22"/>
  <c r="B25" i="22"/>
  <c r="B24" i="22"/>
  <c r="B23" i="22"/>
  <c r="B22" i="22"/>
  <c r="B30" i="22"/>
  <c r="B29" i="22"/>
  <c r="B28" i="22"/>
  <c r="B16" i="22"/>
  <c r="B15" i="22"/>
  <c r="B10" i="22"/>
  <c r="B20" i="22"/>
  <c r="B19" i="22"/>
  <c r="B18" i="22"/>
  <c r="B17" i="22"/>
  <c r="B14" i="22"/>
  <c r="B12" i="22"/>
  <c r="B39" i="22"/>
  <c r="B8" i="22"/>
  <c r="B7" i="22"/>
  <c r="B6" i="22"/>
  <c r="B4" i="22"/>
  <c r="B2" i="22"/>
  <c r="A71" i="20"/>
  <c r="A45" i="20"/>
  <c r="A53" i="20"/>
  <c r="A54" i="20"/>
  <c r="A55" i="20"/>
  <c r="A68" i="20"/>
  <c r="A69" i="20"/>
  <c r="A47" i="20"/>
  <c r="A52" i="20"/>
  <c r="A37" i="20"/>
  <c r="A49" i="20"/>
  <c r="A60" i="20"/>
  <c r="A64" i="20"/>
  <c r="A57" i="20"/>
  <c r="A30" i="20"/>
  <c r="A65" i="20"/>
  <c r="A19" i="20"/>
  <c r="A32" i="20"/>
  <c r="A73" i="20"/>
  <c r="A12" i="20"/>
  <c r="A27" i="20"/>
  <c r="A28" i="20"/>
  <c r="B131" i="8" l="1"/>
  <c r="B228" i="8"/>
  <c r="B202" i="8"/>
  <c r="B204" i="8"/>
  <c r="B203" i="8"/>
  <c r="B173" i="8"/>
  <c r="B179" i="8"/>
  <c r="B178" i="8"/>
  <c r="B177" i="8"/>
  <c r="B176" i="8"/>
  <c r="B175" i="8"/>
  <c r="B174" i="8"/>
  <c r="B169" i="8"/>
  <c r="B172" i="8"/>
  <c r="B171" i="8"/>
  <c r="B165" i="8"/>
  <c r="B168" i="8"/>
  <c r="B167" i="8"/>
  <c r="B166" i="8"/>
  <c r="B164" i="8"/>
  <c r="B117" i="8"/>
  <c r="B115" i="8"/>
  <c r="B114" i="8"/>
  <c r="B113" i="8"/>
  <c r="B111" i="8"/>
  <c r="B104" i="8"/>
  <c r="B103" i="8"/>
  <c r="B102" i="8"/>
  <c r="B122" i="8"/>
  <c r="B158" i="8"/>
  <c r="B157" i="8"/>
  <c r="B156" i="8"/>
  <c r="B155" i="8"/>
  <c r="B110" i="8"/>
  <c r="B138" i="8"/>
  <c r="B137" i="8"/>
  <c r="B135" i="8"/>
  <c r="B134" i="8"/>
  <c r="B133" i="8"/>
  <c r="B118" i="8"/>
  <c r="B123" i="8"/>
  <c r="B120" i="8"/>
  <c r="B119" i="8"/>
  <c r="B132" i="8"/>
  <c r="B126" i="8"/>
  <c r="B125" i="8"/>
  <c r="B124" i="8"/>
  <c r="B121" i="8"/>
  <c r="B107" i="8"/>
  <c r="B130" i="8"/>
  <c r="B128" i="8"/>
  <c r="B108" i="8"/>
  <c r="B106" i="8"/>
  <c r="B109" i="8"/>
  <c r="B136" i="8"/>
  <c r="B127" i="8"/>
  <c r="B150" i="8"/>
  <c r="B149" i="8"/>
  <c r="B148" i="8"/>
  <c r="B147" i="8"/>
  <c r="B146" i="8"/>
  <c r="B145" i="8"/>
  <c r="B144" i="8"/>
  <c r="B143" i="8"/>
  <c r="B101" i="8"/>
  <c r="B100" i="8"/>
  <c r="B227" i="8"/>
  <c r="B225" i="8"/>
  <c r="B224" i="8"/>
  <c r="B223" i="8"/>
  <c r="B222" i="8"/>
  <c r="B221" i="8"/>
  <c r="B220" i="8"/>
  <c r="B219" i="8"/>
  <c r="B218" i="8"/>
  <c r="B217" i="8"/>
  <c r="B216" i="8"/>
  <c r="B215" i="8"/>
  <c r="B214" i="8"/>
  <c r="B213" i="8"/>
  <c r="B212" i="8"/>
  <c r="B211" i="8"/>
  <c r="B210" i="8"/>
  <c r="B209" i="8"/>
  <c r="B208" i="8"/>
  <c r="B207" i="8"/>
  <c r="B206" i="8"/>
  <c r="B205" i="8"/>
  <c r="B112" i="8"/>
  <c r="B65" i="8"/>
  <c r="B64" i="8"/>
  <c r="B63" i="8"/>
  <c r="B62" i="8"/>
  <c r="B10" i="8"/>
  <c r="B8" i="8"/>
  <c r="B80" i="8"/>
  <c r="B79" i="8"/>
  <c r="B77" i="8"/>
  <c r="B76" i="8"/>
  <c r="B75" i="8"/>
  <c r="B74" i="8"/>
  <c r="B36" i="8"/>
  <c r="B34" i="8"/>
  <c r="B33" i="8"/>
  <c r="B32" i="8"/>
  <c r="B29" i="8"/>
  <c r="B28" i="8"/>
  <c r="B26" i="8"/>
  <c r="B24" i="8"/>
  <c r="B20" i="8"/>
  <c r="B42" i="8"/>
  <c r="B41" i="8"/>
  <c r="B40" i="8"/>
  <c r="B39" i="8"/>
  <c r="B38" i="8"/>
  <c r="B37" i="8"/>
  <c r="B35" i="8"/>
  <c r="B31" i="8"/>
  <c r="B30" i="8"/>
  <c r="B25" i="8"/>
  <c r="B23" i="8"/>
  <c r="B21" i="8"/>
  <c r="B19" i="8"/>
  <c r="B18" i="8"/>
  <c r="B17" i="8"/>
  <c r="B16" i="8"/>
  <c r="B15" i="8"/>
  <c r="B14" i="8"/>
  <c r="B13" i="8"/>
  <c r="B92" i="8"/>
  <c r="B94" i="8"/>
  <c r="B86" i="8"/>
  <c r="B85" i="8"/>
  <c r="B84" i="8"/>
  <c r="B73" i="8"/>
  <c r="B72" i="8"/>
  <c r="B71" i="8"/>
  <c r="B70" i="8"/>
  <c r="B69" i="8"/>
  <c r="B68" i="8"/>
  <c r="B67" i="8"/>
  <c r="B60" i="8"/>
  <c r="B59" i="8"/>
  <c r="B7" i="8"/>
  <c r="B6" i="8"/>
  <c r="B5" i="8"/>
  <c r="B4" i="8"/>
  <c r="B3" i="8"/>
  <c r="B2" i="8"/>
  <c r="A122" i="7"/>
  <c r="A181" i="7"/>
  <c r="A92" i="7"/>
  <c r="A40" i="7"/>
  <c r="A42" i="7"/>
  <c r="A76" i="7"/>
  <c r="A43" i="7"/>
  <c r="A13" i="7"/>
  <c r="A73" i="7"/>
  <c r="A87" i="7"/>
  <c r="A90" i="7"/>
  <c r="A12" i="7"/>
  <c r="A183" i="7"/>
  <c r="A99" i="7"/>
  <c r="A105" i="7"/>
  <c r="A173" i="7"/>
  <c r="A179" i="7"/>
  <c r="A94" i="7"/>
  <c r="A80" i="7"/>
  <c r="A114" i="7"/>
  <c r="A7" i="7"/>
  <c r="A79" i="7"/>
  <c r="A96" i="7"/>
  <c r="A107" i="7"/>
  <c r="A112" i="7"/>
  <c r="A145" i="7"/>
  <c r="A88" i="7"/>
  <c r="A133" i="7"/>
  <c r="A128" i="7"/>
  <c r="A143" i="7"/>
  <c r="A144" i="7"/>
  <c r="A106" i="7"/>
  <c r="A37" i="7"/>
  <c r="A36" i="7"/>
  <c r="A9" i="7"/>
  <c r="A110" i="7"/>
  <c r="A74" i="7"/>
  <c r="A109" i="7"/>
  <c r="A10" i="7"/>
  <c r="A113" i="7"/>
  <c r="A142" i="7"/>
  <c r="A115" i="7"/>
  <c r="A124" i="7"/>
  <c r="A111" i="7"/>
  <c r="A82" i="7"/>
  <c r="A116" i="7"/>
  <c r="A102" i="7"/>
  <c r="A163" i="7"/>
  <c r="A75" i="7"/>
  <c r="A56" i="7"/>
  <c r="A2" i="31" l="1"/>
  <c r="A67" i="31"/>
  <c r="A13" i="31"/>
  <c r="A14" i="31"/>
  <c r="A19" i="31"/>
  <c r="A24" i="31"/>
  <c r="A25" i="31"/>
  <c r="A26" i="31"/>
  <c r="A27" i="31"/>
  <c r="A31" i="31"/>
  <c r="A32" i="31"/>
  <c r="A4" i="31"/>
  <c r="A5" i="31"/>
  <c r="A7" i="31"/>
  <c r="A3" i="31"/>
  <c r="A6" i="31"/>
  <c r="A9" i="31"/>
  <c r="A10" i="31"/>
  <c r="A11" i="31"/>
  <c r="A68" i="31"/>
  <c r="R71" i="2" l="1"/>
  <c r="U71" i="2" s="1"/>
  <c r="BA71" i="2" s="1"/>
  <c r="R66" i="2"/>
  <c r="U66" i="2" s="1"/>
  <c r="BA66" i="2" s="1"/>
  <c r="R67" i="2"/>
  <c r="U67" i="2" s="1"/>
  <c r="BA67" i="2" s="1"/>
  <c r="R80" i="2"/>
  <c r="U80" i="2" s="1"/>
  <c r="BA80" i="2" s="1"/>
  <c r="R73" i="2"/>
  <c r="U73" i="2" s="1"/>
  <c r="BA73" i="2" s="1"/>
  <c r="R86" i="2"/>
  <c r="U86" i="2" s="1"/>
  <c r="BA86" i="2" s="1"/>
  <c r="R64" i="2"/>
  <c r="U64" i="2" s="1"/>
  <c r="BA64" i="2" s="1"/>
  <c r="A72" i="7"/>
  <c r="A140" i="7"/>
  <c r="A24" i="7"/>
  <c r="A63" i="7"/>
  <c r="A149" i="7"/>
  <c r="A11" i="7"/>
  <c r="A141" i="7"/>
  <c r="A167" i="7"/>
  <c r="A71" i="7"/>
  <c r="A182" i="7"/>
  <c r="A117" i="7"/>
  <c r="A170" i="7"/>
  <c r="A172" i="7"/>
  <c r="A57" i="7"/>
  <c r="A97" i="7"/>
  <c r="A3" i="7"/>
  <c r="A4" i="7"/>
  <c r="A5" i="7"/>
  <c r="A6" i="7"/>
  <c r="A45" i="7"/>
  <c r="A27" i="7"/>
  <c r="A16" i="7"/>
  <c r="A39" i="7"/>
  <c r="A46" i="7"/>
  <c r="A47" i="7"/>
  <c r="A49" i="7"/>
  <c r="A52" i="7"/>
  <c r="A91" i="7"/>
  <c r="A135" i="7"/>
  <c r="A14" i="7"/>
  <c r="A15" i="7"/>
  <c r="A18" i="7"/>
  <c r="A19" i="7"/>
  <c r="A26" i="7"/>
  <c r="A29" i="7"/>
  <c r="A31" i="7"/>
  <c r="A58" i="7"/>
  <c r="A146" i="7"/>
  <c r="A34" i="7"/>
  <c r="A17" i="7"/>
  <c r="A101" i="7"/>
  <c r="A121" i="7"/>
  <c r="A35" i="7"/>
  <c r="A38" i="7"/>
  <c r="A48" i="7"/>
  <c r="A61" i="7"/>
  <c r="A30" i="7"/>
  <c r="A60" i="7"/>
  <c r="A147" i="7"/>
  <c r="A148" i="7"/>
  <c r="A32" i="7"/>
  <c r="A33" i="7"/>
  <c r="A53" i="7"/>
  <c r="A100" i="7"/>
  <c r="A50" i="7"/>
  <c r="A59" i="7"/>
  <c r="A23" i="7"/>
  <c r="A67" i="7"/>
  <c r="A28" i="7"/>
  <c r="A150" i="7"/>
  <c r="A20" i="7"/>
  <c r="A21" i="7"/>
  <c r="A22" i="7"/>
  <c r="A25" i="7"/>
  <c r="A8" i="7"/>
  <c r="A95" i="7"/>
  <c r="A108" i="7"/>
  <c r="A78" i="7"/>
  <c r="A89" i="7"/>
  <c r="A126" i="7"/>
  <c r="A130" i="7"/>
  <c r="A178" i="7"/>
  <c r="A127" i="7"/>
  <c r="A168" i="7"/>
  <c r="A171" i="7"/>
  <c r="A136" i="7"/>
  <c r="A62" i="7"/>
  <c r="A119" i="7"/>
  <c r="A123" i="7"/>
  <c r="A125" i="7"/>
  <c r="A85" i="7"/>
  <c r="A131" i="7"/>
  <c r="A132" i="7"/>
  <c r="A70" i="7"/>
  <c r="A68" i="7"/>
  <c r="A69" i="7"/>
  <c r="A86" i="7"/>
  <c r="A157" i="7"/>
  <c r="A180" i="7"/>
  <c r="A41" i="7"/>
  <c r="A93" i="7"/>
  <c r="A158" i="7"/>
  <c r="R113" i="2" l="1"/>
  <c r="R112" i="2"/>
  <c r="R111" i="2"/>
  <c r="R110" i="2"/>
  <c r="R109" i="2"/>
  <c r="R108" i="2"/>
  <c r="R107" i="2"/>
  <c r="R106" i="2"/>
  <c r="R105" i="2"/>
  <c r="R104" i="2"/>
  <c r="R103" i="2"/>
  <c r="R102" i="2"/>
  <c r="R101" i="2"/>
  <c r="R100" i="2"/>
  <c r="R99" i="2"/>
  <c r="R98" i="2"/>
  <c r="R97" i="2"/>
  <c r="R96" i="2"/>
  <c r="R95" i="2"/>
  <c r="R94" i="2"/>
  <c r="R93" i="2"/>
  <c r="R92" i="2"/>
  <c r="R91" i="2"/>
  <c r="R90" i="2"/>
  <c r="R89" i="2"/>
  <c r="R88" i="2"/>
  <c r="R87" i="2"/>
  <c r="R85" i="2"/>
  <c r="R84" i="2"/>
  <c r="R83" i="2"/>
  <c r="R82" i="2"/>
  <c r="R81" i="2"/>
  <c r="R79" i="2"/>
  <c r="R78" i="2"/>
  <c r="R77" i="2"/>
  <c r="R76" i="2"/>
  <c r="R75" i="2"/>
  <c r="R74" i="2"/>
  <c r="R72" i="2"/>
  <c r="R70" i="2"/>
  <c r="R69" i="2"/>
  <c r="R68" i="2"/>
  <c r="R65" i="2"/>
  <c r="R63" i="2"/>
  <c r="R57" i="2"/>
  <c r="R56" i="2"/>
  <c r="R55" i="2"/>
  <c r="R54" i="2"/>
  <c r="R53" i="2"/>
  <c r="R52" i="2"/>
  <c r="R51" i="2"/>
  <c r="R50" i="2"/>
  <c r="R49" i="2"/>
  <c r="R48" i="2"/>
  <c r="R47" i="2"/>
  <c r="R46" i="2"/>
  <c r="R45" i="2"/>
  <c r="R44" i="2"/>
  <c r="R43" i="2"/>
  <c r="R42" i="2"/>
  <c r="R41" i="2"/>
  <c r="R40" i="2"/>
  <c r="R39" i="2"/>
  <c r="R38" i="2"/>
  <c r="R37" i="2"/>
  <c r="R36" i="2"/>
  <c r="R35" i="2"/>
  <c r="R34" i="2"/>
  <c r="R33" i="2"/>
  <c r="R32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6" i="2"/>
  <c r="T114" i="2" l="1"/>
  <c r="T58" i="2" s="1"/>
  <c r="T59" i="2" s="1"/>
  <c r="S114" i="2"/>
  <c r="S58" i="2" s="1"/>
  <c r="S59" i="2" s="1"/>
  <c r="R114" i="2"/>
  <c r="R58" i="2" s="1"/>
  <c r="R59" i="2" s="1"/>
  <c r="U113" i="2"/>
  <c r="BA113" i="2" s="1"/>
  <c r="U112" i="2"/>
  <c r="BA112" i="2" s="1"/>
  <c r="U111" i="2"/>
  <c r="BA111" i="2" s="1"/>
  <c r="U110" i="2"/>
  <c r="BA110" i="2" s="1"/>
  <c r="U109" i="2"/>
  <c r="BA109" i="2" s="1"/>
  <c r="U108" i="2"/>
  <c r="BA108" i="2" s="1"/>
  <c r="U107" i="2"/>
  <c r="BA107" i="2" s="1"/>
  <c r="U106" i="2"/>
  <c r="BA106" i="2" s="1"/>
  <c r="U105" i="2"/>
  <c r="BA105" i="2" s="1"/>
  <c r="U104" i="2"/>
  <c r="BA104" i="2" s="1"/>
  <c r="U103" i="2"/>
  <c r="BA103" i="2" s="1"/>
  <c r="U102" i="2"/>
  <c r="BA102" i="2" s="1"/>
  <c r="U101" i="2"/>
  <c r="BA101" i="2" s="1"/>
  <c r="U100" i="2"/>
  <c r="BA100" i="2" s="1"/>
  <c r="U99" i="2"/>
  <c r="BA99" i="2" s="1"/>
  <c r="U98" i="2"/>
  <c r="BA98" i="2" s="1"/>
  <c r="U97" i="2"/>
  <c r="BA97" i="2" s="1"/>
  <c r="U96" i="2"/>
  <c r="BA96" i="2" s="1"/>
  <c r="U95" i="2"/>
  <c r="BA95" i="2" s="1"/>
  <c r="U94" i="2"/>
  <c r="BA94" i="2" s="1"/>
  <c r="U93" i="2"/>
  <c r="BA93" i="2" s="1"/>
  <c r="U92" i="2"/>
  <c r="BA92" i="2" s="1"/>
  <c r="U91" i="2"/>
  <c r="BA91" i="2" s="1"/>
  <c r="U90" i="2"/>
  <c r="BA90" i="2" s="1"/>
  <c r="U89" i="2"/>
  <c r="BA89" i="2" s="1"/>
  <c r="U88" i="2"/>
  <c r="BA88" i="2" s="1"/>
  <c r="U87" i="2"/>
  <c r="BA87" i="2" s="1"/>
  <c r="U85" i="2"/>
  <c r="BA85" i="2" s="1"/>
  <c r="U84" i="2"/>
  <c r="BA84" i="2" s="1"/>
  <c r="U83" i="2"/>
  <c r="BA83" i="2" s="1"/>
  <c r="U82" i="2"/>
  <c r="BA82" i="2" s="1"/>
  <c r="U81" i="2"/>
  <c r="BA81" i="2" s="1"/>
  <c r="U79" i="2"/>
  <c r="BA79" i="2" s="1"/>
  <c r="U78" i="2"/>
  <c r="BA78" i="2" s="1"/>
  <c r="U77" i="2"/>
  <c r="BA77" i="2" s="1"/>
  <c r="U76" i="2"/>
  <c r="BA76" i="2" s="1"/>
  <c r="U75" i="2"/>
  <c r="BA75" i="2" s="1"/>
  <c r="U74" i="2"/>
  <c r="BA74" i="2" s="1"/>
  <c r="U72" i="2"/>
  <c r="BA72" i="2" s="1"/>
  <c r="U70" i="2"/>
  <c r="BA70" i="2" s="1"/>
  <c r="U69" i="2"/>
  <c r="BA69" i="2" s="1"/>
  <c r="U68" i="2"/>
  <c r="BA68" i="2" s="1"/>
  <c r="U65" i="2"/>
  <c r="BA65" i="2" s="1"/>
  <c r="U63" i="2"/>
  <c r="BA63" i="2" s="1"/>
  <c r="U57" i="2"/>
  <c r="BA57" i="2" s="1"/>
  <c r="U56" i="2"/>
  <c r="BA56" i="2" s="1"/>
  <c r="U55" i="2"/>
  <c r="BA55" i="2" s="1"/>
  <c r="U54" i="2"/>
  <c r="BA54" i="2" s="1"/>
  <c r="U53" i="2"/>
  <c r="BA53" i="2" s="1"/>
  <c r="U52" i="2"/>
  <c r="BA52" i="2" s="1"/>
  <c r="U51" i="2"/>
  <c r="BA51" i="2" s="1"/>
  <c r="U50" i="2"/>
  <c r="BA50" i="2" s="1"/>
  <c r="U49" i="2"/>
  <c r="BA49" i="2" s="1"/>
  <c r="U48" i="2"/>
  <c r="BA48" i="2" s="1"/>
  <c r="U47" i="2"/>
  <c r="BA47" i="2" s="1"/>
  <c r="U46" i="2"/>
  <c r="BA46" i="2" s="1"/>
  <c r="U45" i="2"/>
  <c r="BA45" i="2" s="1"/>
  <c r="U44" i="2"/>
  <c r="BA44" i="2" s="1"/>
  <c r="U43" i="2"/>
  <c r="BA43" i="2" s="1"/>
  <c r="U42" i="2"/>
  <c r="BA42" i="2" s="1"/>
  <c r="U41" i="2"/>
  <c r="BA41" i="2" s="1"/>
  <c r="U40" i="2"/>
  <c r="BA40" i="2" s="1"/>
  <c r="U39" i="2"/>
  <c r="BA39" i="2" s="1"/>
  <c r="U38" i="2"/>
  <c r="BA38" i="2" s="1"/>
  <c r="U37" i="2"/>
  <c r="BA37" i="2" s="1"/>
  <c r="U36" i="2"/>
  <c r="BA36" i="2" s="1"/>
  <c r="U35" i="2"/>
  <c r="BA35" i="2" s="1"/>
  <c r="U34" i="2"/>
  <c r="BA34" i="2" s="1"/>
  <c r="U33" i="2"/>
  <c r="BA33" i="2" s="1"/>
  <c r="U32" i="2"/>
  <c r="BA32" i="2" s="1"/>
  <c r="T28" i="2"/>
  <c r="S28" i="2"/>
  <c r="R28" i="2"/>
  <c r="U7" i="2"/>
  <c r="BA7" i="2" s="1"/>
  <c r="U8" i="2"/>
  <c r="BA8" i="2" s="1"/>
  <c r="U9" i="2"/>
  <c r="BA9" i="2" s="1"/>
  <c r="U10" i="2"/>
  <c r="BA10" i="2" s="1"/>
  <c r="U11" i="2"/>
  <c r="BA11" i="2" s="1"/>
  <c r="U12" i="2"/>
  <c r="BA12" i="2" s="1"/>
  <c r="U13" i="2"/>
  <c r="BA13" i="2" s="1"/>
  <c r="U14" i="2"/>
  <c r="BA14" i="2" s="1"/>
  <c r="U15" i="2"/>
  <c r="BA15" i="2" s="1"/>
  <c r="U16" i="2"/>
  <c r="BA16" i="2" s="1"/>
  <c r="U17" i="2"/>
  <c r="BA17" i="2" s="1"/>
  <c r="U18" i="2"/>
  <c r="BA18" i="2" s="1"/>
  <c r="U19" i="2"/>
  <c r="BA19" i="2" s="1"/>
  <c r="U20" i="2"/>
  <c r="BA20" i="2" s="1"/>
  <c r="U21" i="2"/>
  <c r="BA21" i="2" s="1"/>
  <c r="U22" i="2"/>
  <c r="BA22" i="2" s="1"/>
  <c r="U23" i="2"/>
  <c r="BA23" i="2" s="1"/>
  <c r="U24" i="2"/>
  <c r="BA24" i="2" s="1"/>
  <c r="U25" i="2"/>
  <c r="BA25" i="2" s="1"/>
  <c r="U26" i="2"/>
  <c r="BA26" i="2" s="1"/>
  <c r="U27" i="2"/>
  <c r="BA27" i="2" s="1"/>
  <c r="U6" i="2"/>
  <c r="BA6" i="2" s="1"/>
  <c r="S1" i="2" l="1"/>
  <c r="R1" i="2"/>
  <c r="T1" i="2"/>
  <c r="U114" i="2"/>
  <c r="U58" i="2" s="1"/>
  <c r="U28" i="2"/>
  <c r="BA28" i="2" s="1"/>
  <c r="U59" i="2" l="1"/>
  <c r="BA59" i="2" s="1"/>
  <c r="BA58" i="2"/>
  <c r="U1" i="2"/>
  <c r="Z6" i="2"/>
  <c r="Z7" i="2"/>
  <c r="Z8" i="2"/>
  <c r="Z9" i="2"/>
  <c r="Z10" i="2"/>
  <c r="Z12" i="2"/>
  <c r="Z13" i="2"/>
  <c r="Z14" i="2"/>
  <c r="Z15" i="2"/>
  <c r="Z16" i="2"/>
  <c r="Z19" i="2"/>
  <c r="Z20" i="2"/>
  <c r="Z21" i="2"/>
  <c r="Z22" i="2"/>
  <c r="Z24" i="2"/>
  <c r="Z25" i="2"/>
  <c r="Z26" i="2"/>
  <c r="Z27" i="2"/>
  <c r="Z28" i="2"/>
  <c r="Z31" i="2"/>
  <c r="Z33" i="2"/>
  <c r="Z35" i="2"/>
  <c r="Z44" i="2"/>
  <c r="Z45" i="2"/>
  <c r="Z46" i="2"/>
  <c r="Z47" i="2"/>
  <c r="Z48" i="2"/>
  <c r="Z49" i="2"/>
  <c r="Z59" i="2"/>
  <c r="Z60" i="2"/>
  <c r="Z61" i="2"/>
  <c r="Z62" i="2"/>
  <c r="Z63" i="2"/>
  <c r="Z65" i="2"/>
  <c r="Z68" i="2"/>
  <c r="Z69" i="2"/>
  <c r="Z70" i="2"/>
  <c r="Z72" i="2"/>
  <c r="Z74" i="2"/>
  <c r="Z75" i="2"/>
  <c r="Z78" i="2"/>
  <c r="Z79" i="2"/>
  <c r="Z81" i="2"/>
  <c r="Z82" i="2"/>
  <c r="Z84" i="2"/>
  <c r="Z87" i="2"/>
  <c r="Z88" i="2"/>
  <c r="Z92" i="2"/>
  <c r="Z93" i="2"/>
  <c r="Z94" i="2"/>
  <c r="Z95" i="2"/>
  <c r="Z96" i="2"/>
  <c r="Z97" i="2"/>
  <c r="Z100" i="2"/>
  <c r="Z102" i="2"/>
  <c r="Z103" i="2"/>
  <c r="Z104" i="2"/>
  <c r="Z105" i="2"/>
  <c r="Z106" i="2"/>
  <c r="Z107" i="2"/>
  <c r="Z108" i="2"/>
  <c r="Z109" i="2"/>
  <c r="Z110" i="2"/>
  <c r="Z111" i="2"/>
  <c r="Z112" i="2"/>
  <c r="Z113" i="2"/>
  <c r="Z114" i="2"/>
  <c r="Z115" i="2"/>
  <c r="A3" i="20" l="1"/>
  <c r="A2" i="20"/>
  <c r="A4" i="20"/>
  <c r="A7" i="20"/>
  <c r="A31" i="20"/>
  <c r="A9" i="20"/>
  <c r="A16" i="20"/>
  <c r="A11" i="20"/>
  <c r="A15" i="20"/>
  <c r="A66" i="20"/>
  <c r="A44" i="20"/>
  <c r="A61" i="20"/>
  <c r="A20" i="20"/>
  <c r="A63" i="20"/>
  <c r="A25" i="20"/>
  <c r="A8" i="20"/>
  <c r="A23" i="20"/>
  <c r="A13" i="20"/>
  <c r="A18" i="20"/>
  <c r="A26" i="20"/>
  <c r="A5" i="20"/>
  <c r="A14" i="20"/>
  <c r="A10" i="20"/>
  <c r="A6" i="20"/>
  <c r="A24" i="20"/>
  <c r="A62" i="20"/>
  <c r="A67" i="20"/>
  <c r="A17" i="20"/>
  <c r="A21" i="20"/>
  <c r="M71" i="2" l="1"/>
  <c r="M67" i="2"/>
  <c r="M66" i="2"/>
  <c r="M73" i="2"/>
  <c r="M80" i="2"/>
  <c r="M64" i="2"/>
  <c r="M86" i="2"/>
  <c r="M110" i="2"/>
  <c r="M108" i="2"/>
  <c r="M106" i="2"/>
  <c r="M104" i="2"/>
  <c r="M102" i="2"/>
  <c r="M100" i="2"/>
  <c r="M98" i="2"/>
  <c r="M96" i="2"/>
  <c r="M94" i="2"/>
  <c r="M92" i="2"/>
  <c r="M90" i="2"/>
  <c r="M88" i="2"/>
  <c r="M85" i="2"/>
  <c r="M82" i="2"/>
  <c r="M78" i="2"/>
  <c r="M76" i="2"/>
  <c r="M74" i="2"/>
  <c r="M70" i="2"/>
  <c r="M68" i="2"/>
  <c r="M63" i="2"/>
  <c r="M56" i="2"/>
  <c r="M54" i="2"/>
  <c r="M52" i="2"/>
  <c r="M50" i="2"/>
  <c r="M48" i="2"/>
  <c r="M46" i="2"/>
  <c r="M44" i="2"/>
  <c r="M42" i="2"/>
  <c r="M40" i="2"/>
  <c r="M38" i="2"/>
  <c r="M36" i="2"/>
  <c r="M34" i="2"/>
  <c r="M32" i="2"/>
  <c r="M8" i="2"/>
  <c r="M10" i="2"/>
  <c r="M13" i="2"/>
  <c r="M15" i="2"/>
  <c r="M17" i="2"/>
  <c r="M19" i="2"/>
  <c r="M21" i="2"/>
  <c r="M23" i="2"/>
  <c r="M25" i="2"/>
  <c r="M27" i="2"/>
  <c r="M113" i="2"/>
  <c r="M112" i="2"/>
  <c r="M111" i="2"/>
  <c r="M109" i="2"/>
  <c r="M107" i="2"/>
  <c r="M105" i="2"/>
  <c r="M103" i="2"/>
  <c r="M101" i="2"/>
  <c r="M99" i="2"/>
  <c r="M97" i="2"/>
  <c r="M95" i="2"/>
  <c r="M93" i="2"/>
  <c r="M91" i="2"/>
  <c r="M89" i="2"/>
  <c r="M87" i="2"/>
  <c r="M84" i="2"/>
  <c r="M83" i="2"/>
  <c r="M81" i="2"/>
  <c r="M79" i="2"/>
  <c r="M77" i="2"/>
  <c r="M75" i="2"/>
  <c r="M72" i="2"/>
  <c r="M69" i="2"/>
  <c r="M65" i="2"/>
  <c r="M57" i="2"/>
  <c r="M55" i="2"/>
  <c r="M53" i="2"/>
  <c r="M51" i="2"/>
  <c r="M6" i="2"/>
  <c r="M24" i="2"/>
  <c r="M20" i="2"/>
  <c r="M16" i="2"/>
  <c r="M12" i="2"/>
  <c r="M9" i="2"/>
  <c r="M33" i="2"/>
  <c r="M37" i="2"/>
  <c r="M41" i="2"/>
  <c r="M45" i="2"/>
  <c r="M49" i="2"/>
  <c r="M26" i="2"/>
  <c r="M22" i="2"/>
  <c r="M18" i="2"/>
  <c r="M14" i="2"/>
  <c r="M11" i="2"/>
  <c r="M7" i="2"/>
  <c r="M35" i="2"/>
  <c r="M39" i="2"/>
  <c r="M43" i="2"/>
  <c r="M47" i="2"/>
  <c r="D81" i="2" l="1"/>
  <c r="E81" i="2"/>
  <c r="D82" i="2"/>
  <c r="E82" i="2"/>
  <c r="D33" i="2" l="1"/>
  <c r="E33" i="2"/>
  <c r="D34" i="2"/>
  <c r="E34" i="2"/>
  <c r="D35" i="2"/>
  <c r="E35" i="2"/>
  <c r="D36" i="2"/>
  <c r="E36" i="2"/>
  <c r="D37" i="2"/>
  <c r="E37" i="2"/>
  <c r="D38" i="2"/>
  <c r="E38" i="2"/>
  <c r="D39" i="2"/>
  <c r="E39" i="2"/>
  <c r="D40" i="2"/>
  <c r="E40" i="2"/>
  <c r="D41" i="2"/>
  <c r="E41" i="2"/>
  <c r="D42" i="2"/>
  <c r="E42" i="2"/>
  <c r="D43" i="2"/>
  <c r="E43" i="2"/>
  <c r="D44" i="2"/>
  <c r="E44" i="2"/>
  <c r="D45" i="2"/>
  <c r="E45" i="2"/>
  <c r="D46" i="2"/>
  <c r="E46" i="2"/>
  <c r="D47" i="2"/>
  <c r="E47" i="2"/>
  <c r="D48" i="2"/>
  <c r="E48" i="2"/>
  <c r="D49" i="2"/>
  <c r="E49" i="2"/>
  <c r="D50" i="2"/>
  <c r="E50" i="2"/>
  <c r="D51" i="2"/>
  <c r="E51" i="2"/>
  <c r="D52" i="2"/>
  <c r="E52" i="2"/>
  <c r="D53" i="2"/>
  <c r="E53" i="2"/>
  <c r="D54" i="2"/>
  <c r="E54" i="2"/>
  <c r="D55" i="2"/>
  <c r="E55" i="2"/>
  <c r="D56" i="2"/>
  <c r="E56" i="2"/>
  <c r="D57" i="2"/>
  <c r="E57" i="2"/>
  <c r="D7" i="2"/>
  <c r="E7" i="2"/>
  <c r="D8" i="2"/>
  <c r="E8" i="2"/>
  <c r="D9" i="2"/>
  <c r="E9" i="2"/>
  <c r="D10" i="2"/>
  <c r="E10" i="2"/>
  <c r="D11" i="2"/>
  <c r="E11" i="2"/>
  <c r="D12" i="2"/>
  <c r="E12" i="2"/>
  <c r="D13" i="2"/>
  <c r="E13" i="2"/>
  <c r="D14" i="2"/>
  <c r="E14" i="2"/>
  <c r="D15" i="2"/>
  <c r="E15" i="2"/>
  <c r="D16" i="2"/>
  <c r="E16" i="2"/>
  <c r="D17" i="2"/>
  <c r="E17" i="2"/>
  <c r="D18" i="2"/>
  <c r="E18" i="2"/>
  <c r="D19" i="2"/>
  <c r="E19" i="2"/>
  <c r="D20" i="2"/>
  <c r="E20" i="2"/>
  <c r="D21" i="2"/>
  <c r="E21" i="2"/>
  <c r="D22" i="2"/>
  <c r="E22" i="2"/>
  <c r="D23" i="2"/>
  <c r="E23" i="2"/>
  <c r="D24" i="2"/>
  <c r="E24" i="2"/>
  <c r="D25" i="2"/>
  <c r="E25" i="2"/>
  <c r="D26" i="2"/>
  <c r="E26" i="2"/>
  <c r="D27" i="2"/>
  <c r="E27" i="2"/>
  <c r="D112" i="2"/>
  <c r="E112" i="2"/>
  <c r="D101" i="2" l="1"/>
  <c r="E101" i="2"/>
  <c r="D91" i="2" l="1"/>
  <c r="E91" i="2"/>
  <c r="D92" i="2"/>
  <c r="E92" i="2"/>
  <c r="E100" i="2" l="1"/>
  <c r="D102" i="2"/>
  <c r="E102" i="2"/>
  <c r="D75" i="2" l="1"/>
  <c r="E75" i="2"/>
  <c r="H9" i="21" l="1"/>
  <c r="H7" i="21"/>
  <c r="D88" i="2" l="1"/>
  <c r="E88" i="2"/>
  <c r="D95" i="2" l="1"/>
  <c r="E95" i="2"/>
  <c r="D74" i="2" l="1"/>
  <c r="E74" i="2"/>
  <c r="D89" i="2"/>
  <c r="E89" i="2"/>
  <c r="D97" i="2"/>
  <c r="E97" i="2"/>
  <c r="D100" i="2" l="1"/>
  <c r="A1" i="3" l="1"/>
  <c r="A2" i="7" l="1"/>
  <c r="C80" i="2" s="1"/>
  <c r="F80" i="2" s="1"/>
  <c r="AY80" i="2" s="1"/>
  <c r="H12" i="21"/>
  <c r="H20" i="21"/>
  <c r="H21" i="21"/>
  <c r="H23" i="21"/>
  <c r="H24" i="21"/>
  <c r="H25" i="21"/>
  <c r="H26" i="21"/>
  <c r="H27" i="21"/>
  <c r="H28" i="21"/>
  <c r="H29" i="21"/>
  <c r="H30" i="21"/>
  <c r="H31" i="21"/>
  <c r="H32" i="21"/>
  <c r="H33" i="21"/>
  <c r="H104" i="3"/>
  <c r="H105" i="3"/>
  <c r="H106" i="3"/>
  <c r="H107" i="3"/>
  <c r="H108" i="3"/>
  <c r="H109" i="3"/>
  <c r="B46" i="21"/>
  <c r="B47" i="21"/>
  <c r="B48" i="21"/>
  <c r="B49" i="21"/>
  <c r="B50" i="21"/>
  <c r="B51" i="21"/>
  <c r="B52" i="21"/>
  <c r="B53" i="21"/>
  <c r="B54" i="21"/>
  <c r="B55" i="21"/>
  <c r="B56" i="21"/>
  <c r="B57" i="21"/>
  <c r="B58" i="21"/>
  <c r="B59" i="21"/>
  <c r="B60" i="21"/>
  <c r="B61" i="21"/>
  <c r="B62" i="21"/>
  <c r="B63" i="21"/>
  <c r="B64" i="21"/>
  <c r="B65" i="21"/>
  <c r="B66" i="21"/>
  <c r="B67" i="21"/>
  <c r="B68" i="21"/>
  <c r="B69" i="21"/>
  <c r="B70" i="21"/>
  <c r="B71" i="21"/>
  <c r="B72" i="21"/>
  <c r="B73" i="21"/>
  <c r="H5" i="21"/>
  <c r="H4" i="21"/>
  <c r="F2" i="2"/>
  <c r="N71" i="2" l="1"/>
  <c r="O71" i="2"/>
  <c r="O66" i="2"/>
  <c r="P66" i="2" s="1"/>
  <c r="AZ66" i="2" s="1"/>
  <c r="O67" i="2"/>
  <c r="P67" i="2" s="1"/>
  <c r="AZ67" i="2" s="1"/>
  <c r="O73" i="2"/>
  <c r="N73" i="2"/>
  <c r="O80" i="2"/>
  <c r="N80" i="2"/>
  <c r="C57" i="2"/>
  <c r="F57" i="2" s="1"/>
  <c r="AY57" i="2" s="1"/>
  <c r="C67" i="2"/>
  <c r="F67" i="2" s="1"/>
  <c r="AY67" i="2" s="1"/>
  <c r="C73" i="2"/>
  <c r="F73" i="2" s="1"/>
  <c r="AY73" i="2" s="1"/>
  <c r="O86" i="2"/>
  <c r="N86" i="2"/>
  <c r="N64" i="2"/>
  <c r="C71" i="2"/>
  <c r="F71" i="2" s="1"/>
  <c r="C64" i="2"/>
  <c r="F64" i="2" s="1"/>
  <c r="AY64" i="2" s="1"/>
  <c r="C86" i="2"/>
  <c r="F86" i="2" s="1"/>
  <c r="AY86" i="2" s="1"/>
  <c r="C65" i="2"/>
  <c r="C6" i="2"/>
  <c r="C66" i="2"/>
  <c r="F66" i="2" s="1"/>
  <c r="O55" i="2"/>
  <c r="N55" i="2"/>
  <c r="O56" i="2"/>
  <c r="N56" i="2"/>
  <c r="N81" i="2"/>
  <c r="O81" i="2"/>
  <c r="C81" i="2"/>
  <c r="F81" i="2" s="1"/>
  <c r="AY81" i="2" s="1"/>
  <c r="C82" i="2"/>
  <c r="C45" i="2"/>
  <c r="F45" i="2" s="1"/>
  <c r="AY45" i="2" s="1"/>
  <c r="C49" i="2"/>
  <c r="F49" i="2" s="1"/>
  <c r="AY49" i="2" s="1"/>
  <c r="C53" i="2"/>
  <c r="F53" i="2" s="1"/>
  <c r="AY53" i="2" s="1"/>
  <c r="C13" i="2"/>
  <c r="F13" i="2" s="1"/>
  <c r="AY13" i="2" s="1"/>
  <c r="C17" i="2"/>
  <c r="F17" i="2" s="1"/>
  <c r="AY17" i="2" s="1"/>
  <c r="C21" i="2"/>
  <c r="F21" i="2" s="1"/>
  <c r="AY21" i="2" s="1"/>
  <c r="C25" i="2"/>
  <c r="F25" i="2" s="1"/>
  <c r="AY25" i="2" s="1"/>
  <c r="C34" i="2"/>
  <c r="F34" i="2" s="1"/>
  <c r="AY34" i="2" s="1"/>
  <c r="C38" i="2"/>
  <c r="F38" i="2" s="1"/>
  <c r="AY38" i="2" s="1"/>
  <c r="C41" i="2"/>
  <c r="F41" i="2" s="1"/>
  <c r="AY41" i="2" s="1"/>
  <c r="C50" i="2"/>
  <c r="F50" i="2" s="1"/>
  <c r="AY50" i="2" s="1"/>
  <c r="C10" i="2"/>
  <c r="F10" i="2" s="1"/>
  <c r="AY10" i="2" s="1"/>
  <c r="C18" i="2"/>
  <c r="F18" i="2" s="1"/>
  <c r="AY18" i="2" s="1"/>
  <c r="C44" i="2"/>
  <c r="F44" i="2" s="1"/>
  <c r="AY44" i="2" s="1"/>
  <c r="C48" i="2"/>
  <c r="F48" i="2" s="1"/>
  <c r="AY48" i="2" s="1"/>
  <c r="C52" i="2"/>
  <c r="F52" i="2" s="1"/>
  <c r="AY52" i="2" s="1"/>
  <c r="C56" i="2"/>
  <c r="F56" i="2" s="1"/>
  <c r="AY56" i="2" s="1"/>
  <c r="C12" i="2"/>
  <c r="F12" i="2" s="1"/>
  <c r="AY12" i="2" s="1"/>
  <c r="C16" i="2"/>
  <c r="F16" i="2" s="1"/>
  <c r="AY16" i="2" s="1"/>
  <c r="C20" i="2"/>
  <c r="F20" i="2" s="1"/>
  <c r="AY20" i="2" s="1"/>
  <c r="C24" i="2"/>
  <c r="F24" i="2" s="1"/>
  <c r="AY24" i="2" s="1"/>
  <c r="C33" i="2"/>
  <c r="F33" i="2" s="1"/>
  <c r="AY33" i="2" s="1"/>
  <c r="C37" i="2"/>
  <c r="F37" i="2" s="1"/>
  <c r="AY37" i="2" s="1"/>
  <c r="C40" i="2"/>
  <c r="F40" i="2" s="1"/>
  <c r="AY40" i="2" s="1"/>
  <c r="C46" i="2"/>
  <c r="F46" i="2" s="1"/>
  <c r="AY46" i="2" s="1"/>
  <c r="C7" i="2"/>
  <c r="F7" i="2" s="1"/>
  <c r="AY7" i="2" s="1"/>
  <c r="C8" i="2"/>
  <c r="F8" i="2" s="1"/>
  <c r="AY8" i="2" s="1"/>
  <c r="C11" i="2"/>
  <c r="F11" i="2" s="1"/>
  <c r="AY11" i="2" s="1"/>
  <c r="C22" i="2"/>
  <c r="F22" i="2" s="1"/>
  <c r="AY22" i="2" s="1"/>
  <c r="C43" i="2"/>
  <c r="F43" i="2" s="1"/>
  <c r="AY43" i="2" s="1"/>
  <c r="C47" i="2"/>
  <c r="F47" i="2" s="1"/>
  <c r="AY47" i="2" s="1"/>
  <c r="C51" i="2"/>
  <c r="F51" i="2" s="1"/>
  <c r="AY51" i="2" s="1"/>
  <c r="C55" i="2"/>
  <c r="F55" i="2" s="1"/>
  <c r="AY55" i="2" s="1"/>
  <c r="C15" i="2"/>
  <c r="F15" i="2" s="1"/>
  <c r="AY15" i="2" s="1"/>
  <c r="C19" i="2"/>
  <c r="F19" i="2" s="1"/>
  <c r="AY19" i="2" s="1"/>
  <c r="C23" i="2"/>
  <c r="F23" i="2" s="1"/>
  <c r="AY23" i="2" s="1"/>
  <c r="C27" i="2"/>
  <c r="F27" i="2" s="1"/>
  <c r="AY27" i="2" s="1"/>
  <c r="C35" i="2"/>
  <c r="F35" i="2" s="1"/>
  <c r="AY35" i="2" s="1"/>
  <c r="C36" i="2"/>
  <c r="F36" i="2" s="1"/>
  <c r="AY36" i="2" s="1"/>
  <c r="C39" i="2"/>
  <c r="F39" i="2" s="1"/>
  <c r="AY39" i="2" s="1"/>
  <c r="C42" i="2"/>
  <c r="F42" i="2" s="1"/>
  <c r="AY42" i="2" s="1"/>
  <c r="C54" i="2"/>
  <c r="F54" i="2" s="1"/>
  <c r="AY54" i="2" s="1"/>
  <c r="C9" i="2"/>
  <c r="F9" i="2" s="1"/>
  <c r="AY9" i="2" s="1"/>
  <c r="C14" i="2"/>
  <c r="F14" i="2" s="1"/>
  <c r="AY14" i="2" s="1"/>
  <c r="C26" i="2"/>
  <c r="F26" i="2" s="1"/>
  <c r="AY26" i="2" s="1"/>
  <c r="C112" i="2"/>
  <c r="F112" i="2" s="1"/>
  <c r="AY112" i="2" s="1"/>
  <c r="O40" i="2"/>
  <c r="O18" i="2"/>
  <c r="O19" i="2"/>
  <c r="N23" i="2"/>
  <c r="N19" i="2"/>
  <c r="O23" i="2"/>
  <c r="N49" i="2"/>
  <c r="N40" i="2"/>
  <c r="O49" i="2"/>
  <c r="N18" i="2"/>
  <c r="C101" i="2"/>
  <c r="F101" i="2" s="1"/>
  <c r="AY101" i="2" s="1"/>
  <c r="N101" i="2"/>
  <c r="O101" i="2"/>
  <c r="N42" i="2"/>
  <c r="O42" i="2"/>
  <c r="N92" i="2"/>
  <c r="O92" i="2"/>
  <c r="N102" i="2"/>
  <c r="O102" i="2"/>
  <c r="C92" i="2"/>
  <c r="F92" i="2" s="1"/>
  <c r="AY92" i="2" s="1"/>
  <c r="C102" i="2"/>
  <c r="F102" i="2" s="1"/>
  <c r="AY102" i="2" s="1"/>
  <c r="C100" i="2"/>
  <c r="F100" i="2" s="1"/>
  <c r="AY100" i="2" s="1"/>
  <c r="C75" i="2"/>
  <c r="F75" i="2" s="1"/>
  <c r="AY75" i="2" s="1"/>
  <c r="N75" i="2"/>
  <c r="O75" i="2"/>
  <c r="N88" i="2"/>
  <c r="O88" i="2"/>
  <c r="C88" i="2"/>
  <c r="F88" i="2" s="1"/>
  <c r="AY88" i="2" s="1"/>
  <c r="C70" i="2"/>
  <c r="O95" i="2"/>
  <c r="N95" i="2"/>
  <c r="C95" i="2"/>
  <c r="F95" i="2" s="1"/>
  <c r="AY95" i="2" s="1"/>
  <c r="C74" i="2"/>
  <c r="F74" i="2" s="1"/>
  <c r="AY74" i="2" s="1"/>
  <c r="N74" i="2"/>
  <c r="O74" i="2"/>
  <c r="N89" i="2"/>
  <c r="N97" i="2"/>
  <c r="O89" i="2"/>
  <c r="O97" i="2"/>
  <c r="C97" i="2"/>
  <c r="F97" i="2" s="1"/>
  <c r="AY97" i="2" s="1"/>
  <c r="C89" i="2"/>
  <c r="F89" i="2" s="1"/>
  <c r="AY89" i="2" s="1"/>
  <c r="O84" i="2"/>
  <c r="N21" i="2"/>
  <c r="O69" i="2"/>
  <c r="N51" i="2"/>
  <c r="O72" i="2"/>
  <c r="O108" i="2"/>
  <c r="O48" i="2"/>
  <c r="O47" i="2"/>
  <c r="N39" i="2"/>
  <c r="N113" i="2"/>
  <c r="O7" i="2"/>
  <c r="N12" i="2"/>
  <c r="N17" i="2"/>
  <c r="O8" i="2"/>
  <c r="O70" i="2"/>
  <c r="N106" i="2"/>
  <c r="O10" i="2"/>
  <c r="N110" i="2"/>
  <c r="O112" i="2"/>
  <c r="N91" i="2"/>
  <c r="N68" i="2"/>
  <c r="N90" i="2"/>
  <c r="N111" i="2"/>
  <c r="N11" i="2"/>
  <c r="N78" i="2"/>
  <c r="O96" i="2"/>
  <c r="N37" i="2"/>
  <c r="O50" i="2"/>
  <c r="N109" i="2"/>
  <c r="O65" i="2"/>
  <c r="N48" i="2"/>
  <c r="N38" i="2"/>
  <c r="O11" i="2"/>
  <c r="N94" i="2"/>
  <c r="N27" i="2"/>
  <c r="O44" i="2"/>
  <c r="N15" i="2"/>
  <c r="O45" i="2"/>
  <c r="O83" i="2"/>
  <c r="N85" i="2"/>
  <c r="N26" i="2"/>
  <c r="N46" i="2"/>
  <c r="O35" i="2"/>
  <c r="O41" i="2"/>
  <c r="O22" i="2"/>
  <c r="O90" i="2"/>
  <c r="N108" i="2"/>
  <c r="O77" i="2"/>
  <c r="N104" i="2"/>
  <c r="N44" i="2"/>
  <c r="O15" i="2"/>
  <c r="O17" i="2"/>
  <c r="O99" i="2"/>
  <c r="O93" i="2"/>
  <c r="N53" i="2"/>
  <c r="N41" i="2"/>
  <c r="O87" i="2"/>
  <c r="O13" i="2"/>
  <c r="N9" i="2"/>
  <c r="N79" i="2"/>
  <c r="N76" i="2"/>
  <c r="N100" i="2"/>
  <c r="N69" i="2"/>
  <c r="N112" i="2"/>
  <c r="N13" i="2"/>
  <c r="O24" i="2"/>
  <c r="N63" i="2"/>
  <c r="O63" i="2"/>
  <c r="N6" i="2"/>
  <c r="N47" i="2"/>
  <c r="O46" i="2"/>
  <c r="O51" i="2"/>
  <c r="N43" i="2"/>
  <c r="O78" i="2"/>
  <c r="O104" i="2"/>
  <c r="O113" i="2"/>
  <c r="N98" i="2"/>
  <c r="N52" i="2"/>
  <c r="O12" i="2"/>
  <c r="N93" i="2"/>
  <c r="O82" i="2"/>
  <c r="N45" i="2"/>
  <c r="N32" i="2"/>
  <c r="N14" i="2"/>
  <c r="O54" i="2"/>
  <c r="O34" i="2"/>
  <c r="O43" i="2"/>
  <c r="N87" i="2"/>
  <c r="O109" i="2"/>
  <c r="O26" i="2"/>
  <c r="N25" i="2"/>
  <c r="O37" i="2"/>
  <c r="N35" i="2"/>
  <c r="N103" i="2"/>
  <c r="N20" i="2"/>
  <c r="O79" i="2"/>
  <c r="O32" i="2"/>
  <c r="N96" i="2"/>
  <c r="O76" i="2"/>
  <c r="N7" i="2"/>
  <c r="O36" i="2"/>
  <c r="O107" i="2"/>
  <c r="O94" i="2"/>
  <c r="N50" i="2"/>
  <c r="N36" i="2"/>
  <c r="N10" i="2"/>
  <c r="O25" i="2"/>
  <c r="O53" i="2"/>
  <c r="O105" i="2"/>
  <c r="O68" i="2"/>
  <c r="O91" i="2"/>
  <c r="N107" i="2"/>
  <c r="O85" i="2"/>
  <c r="N24" i="2"/>
  <c r="O39" i="2"/>
  <c r="O57" i="2"/>
  <c r="N65" i="2"/>
  <c r="N83" i="2"/>
  <c r="O21" i="2"/>
  <c r="O106" i="2"/>
  <c r="O110" i="2"/>
  <c r="N54" i="2"/>
  <c r="N16" i="2"/>
  <c r="N72" i="2"/>
  <c r="N99" i="2"/>
  <c r="O27" i="2"/>
  <c r="O20" i="2"/>
  <c r="O6" i="2"/>
  <c r="N8" i="2"/>
  <c r="N82" i="2"/>
  <c r="N77" i="2"/>
  <c r="N105" i="2"/>
  <c r="O100" i="2"/>
  <c r="O9" i="2"/>
  <c r="O33" i="2"/>
  <c r="N22" i="2"/>
  <c r="O111" i="2"/>
  <c r="O52" i="2"/>
  <c r="N84" i="2"/>
  <c r="O16" i="2"/>
  <c r="O103" i="2"/>
  <c r="N33" i="2"/>
  <c r="O14" i="2"/>
  <c r="O98" i="2"/>
  <c r="N57" i="2"/>
  <c r="O38" i="2"/>
  <c r="N70" i="2"/>
  <c r="E87" i="2"/>
  <c r="C94" i="2"/>
  <c r="C106" i="2"/>
  <c r="E94" i="2"/>
  <c r="C63" i="2"/>
  <c r="C85" i="2"/>
  <c r="D90" i="2"/>
  <c r="C109" i="2"/>
  <c r="C99" i="2"/>
  <c r="C110" i="2"/>
  <c r="C96" i="2"/>
  <c r="C77" i="2"/>
  <c r="C108" i="2"/>
  <c r="C105" i="2"/>
  <c r="C32" i="2"/>
  <c r="C76" i="2"/>
  <c r="C113" i="2"/>
  <c r="C104" i="2"/>
  <c r="C93" i="2"/>
  <c r="C91" i="2"/>
  <c r="F91" i="2" s="1"/>
  <c r="AY91" i="2" s="1"/>
  <c r="C68" i="2"/>
  <c r="C79" i="2"/>
  <c r="C78" i="2"/>
  <c r="C72" i="2"/>
  <c r="C84" i="2"/>
  <c r="C90" i="2"/>
  <c r="C111" i="2"/>
  <c r="C83" i="2"/>
  <c r="C98" i="2"/>
  <c r="C87" i="2"/>
  <c r="C107" i="2"/>
  <c r="C103" i="2"/>
  <c r="C69" i="2"/>
  <c r="E69" i="2"/>
  <c r="E77" i="2"/>
  <c r="D77" i="2"/>
  <c r="E108" i="2"/>
  <c r="E111" i="2"/>
  <c r="E110" i="2"/>
  <c r="D68" i="2"/>
  <c r="D98" i="2"/>
  <c r="D104" i="2"/>
  <c r="E103" i="2"/>
  <c r="D107" i="2"/>
  <c r="D6" i="2"/>
  <c r="D28" i="2" s="1"/>
  <c r="E106" i="2"/>
  <c r="D94" i="2"/>
  <c r="E65" i="2"/>
  <c r="E99" i="2"/>
  <c r="E84" i="2"/>
  <c r="E72" i="2"/>
  <c r="E109" i="2"/>
  <c r="D99" i="2"/>
  <c r="D84" i="2"/>
  <c r="D72" i="2"/>
  <c r="D105" i="2"/>
  <c r="E78" i="2"/>
  <c r="D63" i="2"/>
  <c r="D32" i="2"/>
  <c r="E113" i="2"/>
  <c r="E104" i="2"/>
  <c r="E90" i="2"/>
  <c r="D78" i="2"/>
  <c r="D108" i="2"/>
  <c r="E96" i="2"/>
  <c r="E83" i="2"/>
  <c r="D69" i="2"/>
  <c r="E107" i="2"/>
  <c r="D96" i="2"/>
  <c r="D83" i="2"/>
  <c r="E68" i="2"/>
  <c r="D110" i="2"/>
  <c r="D103" i="2"/>
  <c r="E85" i="2"/>
  <c r="E76" i="2"/>
  <c r="D70" i="2"/>
  <c r="D111" i="2"/>
  <c r="E32" i="2"/>
  <c r="E6" i="2"/>
  <c r="E28" i="2" s="1"/>
  <c r="D85" i="2"/>
  <c r="D76" i="2"/>
  <c r="D113" i="2"/>
  <c r="D106" i="2"/>
  <c r="E93" i="2"/>
  <c r="E79" i="2"/>
  <c r="D65" i="2"/>
  <c r="E105" i="2"/>
  <c r="D93" i="2"/>
  <c r="D79" i="2"/>
  <c r="E63" i="2"/>
  <c r="D109" i="2"/>
  <c r="E98" i="2"/>
  <c r="E70" i="2"/>
  <c r="D87" i="2"/>
  <c r="P71" i="2" l="1"/>
  <c r="AZ71" i="2" s="1"/>
  <c r="V66" i="2"/>
  <c r="Y66" i="2" s="1"/>
  <c r="AY66" i="2"/>
  <c r="V67" i="2"/>
  <c r="Y67" i="2" s="1"/>
  <c r="CH9" i="10" s="1"/>
  <c r="AJ9" i="10" s="1"/>
  <c r="V71" i="2"/>
  <c r="Y71" i="2" s="1"/>
  <c r="AY71" i="2"/>
  <c r="Y9" i="10"/>
  <c r="CE9" i="10" s="1"/>
  <c r="P86" i="2"/>
  <c r="P73" i="2"/>
  <c r="P80" i="2"/>
  <c r="P56" i="2"/>
  <c r="P55" i="2"/>
  <c r="P81" i="2"/>
  <c r="C28" i="2"/>
  <c r="P40" i="2"/>
  <c r="P49" i="2"/>
  <c r="P19" i="2"/>
  <c r="P18" i="2"/>
  <c r="P23" i="2"/>
  <c r="P92" i="2"/>
  <c r="P42" i="2"/>
  <c r="P101" i="2"/>
  <c r="P102" i="2"/>
  <c r="P88" i="2"/>
  <c r="P75" i="2"/>
  <c r="P95" i="2"/>
  <c r="P74" i="2"/>
  <c r="P89" i="2"/>
  <c r="P97" i="2"/>
  <c r="P54" i="2"/>
  <c r="P25" i="2"/>
  <c r="P36" i="2"/>
  <c r="P110" i="2"/>
  <c r="AZ110" i="2" s="1"/>
  <c r="P84" i="2"/>
  <c r="AZ84" i="2" s="1"/>
  <c r="P82" i="2"/>
  <c r="AZ82" i="2" s="1"/>
  <c r="P27" i="2"/>
  <c r="P46" i="2"/>
  <c r="P109" i="2"/>
  <c r="AZ109" i="2" s="1"/>
  <c r="P22" i="2"/>
  <c r="P16" i="2"/>
  <c r="P39" i="2"/>
  <c r="P47" i="2"/>
  <c r="P94" i="2"/>
  <c r="AZ94" i="2" s="1"/>
  <c r="P105" i="2"/>
  <c r="AZ105" i="2" s="1"/>
  <c r="P79" i="2"/>
  <c r="AZ79" i="2" s="1"/>
  <c r="P78" i="2"/>
  <c r="AZ78" i="2" s="1"/>
  <c r="P112" i="2"/>
  <c r="P45" i="2"/>
  <c r="P76" i="2"/>
  <c r="AZ76" i="2" s="1"/>
  <c r="P57" i="2"/>
  <c r="AZ57" i="2" s="1"/>
  <c r="P69" i="2"/>
  <c r="AZ69" i="2" s="1"/>
  <c r="P104" i="2"/>
  <c r="AZ104" i="2" s="1"/>
  <c r="P12" i="2"/>
  <c r="P37" i="2"/>
  <c r="P106" i="2"/>
  <c r="AZ106" i="2" s="1"/>
  <c r="P48" i="2"/>
  <c r="P21" i="2"/>
  <c r="P90" i="2"/>
  <c r="AZ90" i="2" s="1"/>
  <c r="P33" i="2"/>
  <c r="P7" i="2"/>
  <c r="AZ7" i="2" s="1"/>
  <c r="P11" i="2"/>
  <c r="P50" i="2"/>
  <c r="P10" i="2"/>
  <c r="P83" i="2"/>
  <c r="AZ83" i="2" s="1"/>
  <c r="P8" i="2"/>
  <c r="P72" i="2"/>
  <c r="AZ72" i="2" s="1"/>
  <c r="P96" i="2"/>
  <c r="AZ96" i="2" s="1"/>
  <c r="P13" i="2"/>
  <c r="P111" i="2"/>
  <c r="AZ111" i="2" s="1"/>
  <c r="P51" i="2"/>
  <c r="P26" i="2"/>
  <c r="P93" i="2"/>
  <c r="AZ93" i="2" s="1"/>
  <c r="P107" i="2"/>
  <c r="AZ107" i="2" s="1"/>
  <c r="P103" i="2"/>
  <c r="AZ103" i="2" s="1"/>
  <c r="P65" i="2"/>
  <c r="AZ65" i="2" s="1"/>
  <c r="P113" i="2"/>
  <c r="AZ113" i="2" s="1"/>
  <c r="P53" i="2"/>
  <c r="P108" i="2"/>
  <c r="AZ108" i="2" s="1"/>
  <c r="P99" i="2"/>
  <c r="AZ99" i="2" s="1"/>
  <c r="P35" i="2"/>
  <c r="P63" i="2"/>
  <c r="AZ63" i="2" s="1"/>
  <c r="P87" i="2"/>
  <c r="AZ87" i="2" s="1"/>
  <c r="P15" i="2"/>
  <c r="P100" i="2"/>
  <c r="P44" i="2"/>
  <c r="O28" i="2"/>
  <c r="N28" i="2"/>
  <c r="P17" i="2"/>
  <c r="P9" i="2"/>
  <c r="P85" i="2"/>
  <c r="AZ85" i="2" s="1"/>
  <c r="P14" i="2"/>
  <c r="P41" i="2"/>
  <c r="P24" i="2"/>
  <c r="P52" i="2"/>
  <c r="P98" i="2"/>
  <c r="AZ98" i="2" s="1"/>
  <c r="P6" i="2"/>
  <c r="AZ6" i="2" s="1"/>
  <c r="P20" i="2"/>
  <c r="P43" i="2"/>
  <c r="P77" i="2"/>
  <c r="AZ77" i="2" s="1"/>
  <c r="P91" i="2"/>
  <c r="N114" i="2"/>
  <c r="N58" i="2" s="1"/>
  <c r="F99" i="2"/>
  <c r="AY99" i="2" s="1"/>
  <c r="P38" i="2"/>
  <c r="P70" i="2"/>
  <c r="AZ70" i="2" s="1"/>
  <c r="H2" i="3"/>
  <c r="M28" i="2"/>
  <c r="P68" i="2"/>
  <c r="AZ68" i="2" s="1"/>
  <c r="M114" i="2"/>
  <c r="M58" i="2" s="1"/>
  <c r="M59" i="2" s="1"/>
  <c r="P32" i="2"/>
  <c r="AZ32" i="2" s="1"/>
  <c r="F104" i="2"/>
  <c r="AY104" i="2" s="1"/>
  <c r="F90" i="2"/>
  <c r="AY90" i="2" s="1"/>
  <c r="F63" i="2"/>
  <c r="AY63" i="2" s="1"/>
  <c r="F94" i="2"/>
  <c r="AY94" i="2" s="1"/>
  <c r="F72" i="2"/>
  <c r="AY72" i="2" s="1"/>
  <c r="F70" i="2"/>
  <c r="AY70" i="2" s="1"/>
  <c r="C114" i="2"/>
  <c r="F79" i="2"/>
  <c r="AY79" i="2" s="1"/>
  <c r="F6" i="2"/>
  <c r="AY6" i="2" s="1"/>
  <c r="F110" i="2"/>
  <c r="AY110" i="2" s="1"/>
  <c r="F103" i="2"/>
  <c r="AY103" i="2" s="1"/>
  <c r="F82" i="2"/>
  <c r="AY82" i="2" s="1"/>
  <c r="F105" i="2"/>
  <c r="AY105" i="2" s="1"/>
  <c r="F108" i="2"/>
  <c r="AY108" i="2" s="1"/>
  <c r="F84" i="2"/>
  <c r="AY84" i="2" s="1"/>
  <c r="F96" i="2"/>
  <c r="AY96" i="2" s="1"/>
  <c r="F93" i="2"/>
  <c r="AY93" i="2" s="1"/>
  <c r="F98" i="2"/>
  <c r="F87" i="2"/>
  <c r="AY87" i="2" s="1"/>
  <c r="F111" i="2"/>
  <c r="AY111" i="2" s="1"/>
  <c r="F83" i="2"/>
  <c r="AY83" i="2" s="1"/>
  <c r="F78" i="2"/>
  <c r="AY78" i="2" s="1"/>
  <c r="F107" i="2"/>
  <c r="AY107" i="2" s="1"/>
  <c r="E114" i="2"/>
  <c r="E58" i="2" s="1"/>
  <c r="E59" i="2" s="1"/>
  <c r="F85" i="2"/>
  <c r="AY85" i="2" s="1"/>
  <c r="F68" i="2"/>
  <c r="AY68" i="2" s="1"/>
  <c r="F69" i="2"/>
  <c r="AY69" i="2" s="1"/>
  <c r="F113" i="2"/>
  <c r="AY113" i="2" s="1"/>
  <c r="F65" i="2"/>
  <c r="AY65" i="2" s="1"/>
  <c r="F109" i="2"/>
  <c r="AY109" i="2" s="1"/>
  <c r="F106" i="2"/>
  <c r="AY106" i="2" s="1"/>
  <c r="F77" i="2"/>
  <c r="AY77" i="2" s="1"/>
  <c r="D114" i="2"/>
  <c r="D58" i="2" s="1"/>
  <c r="D59" i="2" s="1"/>
  <c r="F32" i="2"/>
  <c r="AY32" i="2" s="1"/>
  <c r="F76" i="2"/>
  <c r="AY76" i="2" s="1"/>
  <c r="V98" i="2" l="1"/>
  <c r="AY98" i="2"/>
  <c r="V52" i="2"/>
  <c r="Y52" i="2" s="1"/>
  <c r="AZ52" i="2"/>
  <c r="V51" i="2"/>
  <c r="Y51" i="2" s="1"/>
  <c r="T27" i="9" s="1"/>
  <c r="V27" i="9" s="1"/>
  <c r="AZ51" i="2"/>
  <c r="V50" i="2"/>
  <c r="AZ50" i="2"/>
  <c r="V37" i="2"/>
  <c r="Y37" i="2" s="1"/>
  <c r="AZ37" i="2"/>
  <c r="V54" i="2"/>
  <c r="Y54" i="2" s="1"/>
  <c r="AZ54" i="2"/>
  <c r="V101" i="2"/>
  <c r="AZ101" i="2"/>
  <c r="V55" i="2"/>
  <c r="Y55" i="2" s="1"/>
  <c r="AZ55" i="2"/>
  <c r="V24" i="2"/>
  <c r="X24" i="2" s="1"/>
  <c r="AZ24" i="2"/>
  <c r="V23" i="2"/>
  <c r="AZ23" i="2"/>
  <c r="V56" i="2"/>
  <c r="Y56" i="2" s="1"/>
  <c r="AZ56" i="2"/>
  <c r="V11" i="2"/>
  <c r="X11" i="2" s="1"/>
  <c r="BB11" i="2" s="1"/>
  <c r="AZ11" i="2"/>
  <c r="V97" i="2"/>
  <c r="AZ97" i="2"/>
  <c r="V89" i="2"/>
  <c r="AZ89" i="2"/>
  <c r="V15" i="2"/>
  <c r="AZ15" i="2"/>
  <c r="V47" i="2"/>
  <c r="Y47" i="2" s="1"/>
  <c r="AZ47" i="2"/>
  <c r="V95" i="2"/>
  <c r="AZ95" i="2"/>
  <c r="V18" i="2"/>
  <c r="AZ18" i="2"/>
  <c r="V80" i="2"/>
  <c r="Y80" i="2" s="1"/>
  <c r="CH18" i="10" s="1"/>
  <c r="AJ18" i="10" s="1"/>
  <c r="AZ80" i="2"/>
  <c r="V53" i="2"/>
  <c r="Y53" i="2" s="1"/>
  <c r="AZ53" i="2"/>
  <c r="V42" i="2"/>
  <c r="Y42" i="2" s="1"/>
  <c r="T19" i="9" s="1"/>
  <c r="AZ42" i="2"/>
  <c r="V91" i="2"/>
  <c r="AZ91" i="2"/>
  <c r="V100" i="2"/>
  <c r="AZ100" i="2"/>
  <c r="V13" i="2"/>
  <c r="AZ13" i="2"/>
  <c r="V27" i="2"/>
  <c r="AZ27" i="2"/>
  <c r="V43" i="2"/>
  <c r="Y43" i="2" s="1"/>
  <c r="AZ43" i="2"/>
  <c r="V20" i="2"/>
  <c r="AZ20" i="2"/>
  <c r="V8" i="2"/>
  <c r="AZ8" i="2"/>
  <c r="V21" i="2"/>
  <c r="AZ21" i="2"/>
  <c r="V39" i="2"/>
  <c r="Y39" i="2" s="1"/>
  <c r="AZ39" i="2"/>
  <c r="V75" i="2"/>
  <c r="AZ75" i="2"/>
  <c r="V19" i="2"/>
  <c r="AZ19" i="2"/>
  <c r="V73" i="2"/>
  <c r="Y73" i="2" s="1"/>
  <c r="CH26" i="10" s="1"/>
  <c r="AJ26" i="10" s="1"/>
  <c r="AZ73" i="2"/>
  <c r="V44" i="2"/>
  <c r="Y44" i="2" s="1"/>
  <c r="AZ44" i="2"/>
  <c r="V12" i="2"/>
  <c r="AZ12" i="2"/>
  <c r="V81" i="2"/>
  <c r="AZ81" i="2"/>
  <c r="V92" i="2"/>
  <c r="AZ92" i="2"/>
  <c r="V14" i="2"/>
  <c r="AZ14" i="2"/>
  <c r="V33" i="2"/>
  <c r="Y33" i="2" s="1"/>
  <c r="T18" i="9" s="1"/>
  <c r="V18" i="9" s="1"/>
  <c r="AZ33" i="2"/>
  <c r="V74" i="2"/>
  <c r="AZ74" i="2"/>
  <c r="V9" i="2"/>
  <c r="AZ9" i="2"/>
  <c r="V17" i="2"/>
  <c r="AZ17" i="2"/>
  <c r="V35" i="2"/>
  <c r="Y35" i="2" s="1"/>
  <c r="AZ35" i="2"/>
  <c r="V48" i="2"/>
  <c r="Y48" i="2" s="1"/>
  <c r="AZ48" i="2"/>
  <c r="V45" i="2"/>
  <c r="Y45" i="2" s="1"/>
  <c r="AZ45" i="2"/>
  <c r="V16" i="2"/>
  <c r="AZ16" i="2"/>
  <c r="V36" i="2"/>
  <c r="Y36" i="2" s="1"/>
  <c r="AZ36" i="2"/>
  <c r="V88" i="2"/>
  <c r="AZ88" i="2"/>
  <c r="V49" i="2"/>
  <c r="Y49" i="2" s="1"/>
  <c r="T23" i="9" s="1"/>
  <c r="V23" i="9" s="1"/>
  <c r="AZ49" i="2"/>
  <c r="V86" i="2"/>
  <c r="X86" i="2" s="1"/>
  <c r="AZ86" i="2"/>
  <c r="V46" i="2"/>
  <c r="Y46" i="2" s="1"/>
  <c r="AZ46" i="2"/>
  <c r="V41" i="2"/>
  <c r="Y41" i="2" s="1"/>
  <c r="AZ41" i="2"/>
  <c r="V38" i="2"/>
  <c r="Y38" i="2" s="1"/>
  <c r="AZ38" i="2"/>
  <c r="V26" i="2"/>
  <c r="AZ26" i="2"/>
  <c r="V10" i="2"/>
  <c r="AZ10" i="2"/>
  <c r="V112" i="2"/>
  <c r="AZ112" i="2"/>
  <c r="V22" i="2"/>
  <c r="AZ22" i="2"/>
  <c r="V25" i="2"/>
  <c r="AZ25" i="2"/>
  <c r="V102" i="2"/>
  <c r="AZ102" i="2"/>
  <c r="V40" i="2"/>
  <c r="Y40" i="2" s="1"/>
  <c r="AZ40" i="2"/>
  <c r="V105" i="2"/>
  <c r="V82" i="2"/>
  <c r="V94" i="2"/>
  <c r="AN9" i="10"/>
  <c r="AQ9" i="10" s="1"/>
  <c r="AV9" i="10"/>
  <c r="AT9" i="10"/>
  <c r="BI9" i="10" s="1"/>
  <c r="V103" i="2"/>
  <c r="V110" i="2"/>
  <c r="V87" i="2"/>
  <c r="Y26" i="10"/>
  <c r="CE26" i="10" s="1"/>
  <c r="Y18" i="10"/>
  <c r="CE18" i="10" s="1"/>
  <c r="B14" i="44"/>
  <c r="D14" i="44" s="1"/>
  <c r="E14" i="44" s="1"/>
  <c r="N10" i="42" s="1"/>
  <c r="Q10" i="42" s="1"/>
  <c r="V93" i="2"/>
  <c r="V111" i="2"/>
  <c r="V68" i="2"/>
  <c r="Y68" i="2" s="1"/>
  <c r="V77" i="2"/>
  <c r="V79" i="2"/>
  <c r="V32" i="2"/>
  <c r="C58" i="2"/>
  <c r="C59" i="2" s="1"/>
  <c r="C1" i="2" s="1"/>
  <c r="V96" i="2"/>
  <c r="V84" i="2"/>
  <c r="V83" i="2"/>
  <c r="V72" i="2"/>
  <c r="Y72" i="2" s="1"/>
  <c r="V57" i="2"/>
  <c r="V104" i="2"/>
  <c r="V7" i="2"/>
  <c r="V109" i="2"/>
  <c r="V113" i="2"/>
  <c r="V78" i="2"/>
  <c r="V90" i="2"/>
  <c r="V76" i="2"/>
  <c r="V106" i="2"/>
  <c r="V65" i="2"/>
  <c r="Y65" i="2" s="1"/>
  <c r="CH8" i="10" s="1"/>
  <c r="AJ8" i="10" s="1"/>
  <c r="AV8" i="10" s="1"/>
  <c r="V69" i="2"/>
  <c r="Y69" i="2" s="1"/>
  <c r="V107" i="2"/>
  <c r="V85" i="2"/>
  <c r="V99" i="2"/>
  <c r="V108" i="2"/>
  <c r="V70" i="2"/>
  <c r="Y70" i="2" s="1"/>
  <c r="F28" i="2"/>
  <c r="AY28" i="2" s="1"/>
  <c r="V6" i="2"/>
  <c r="V63" i="2"/>
  <c r="F114" i="2"/>
  <c r="F58" i="2" s="1"/>
  <c r="AY58" i="2" s="1"/>
  <c r="M1" i="2"/>
  <c r="P28" i="2"/>
  <c r="AZ28" i="2" s="1"/>
  <c r="E1" i="2"/>
  <c r="D1" i="2"/>
  <c r="Y86" i="2" l="1"/>
  <c r="BB86" i="2"/>
  <c r="X50" i="2"/>
  <c r="BB50" i="2" s="1"/>
  <c r="BB24" i="2"/>
  <c r="Y50" i="2"/>
  <c r="B13" i="44" s="1"/>
  <c r="D13" i="44" s="1"/>
  <c r="G13" i="44" s="1"/>
  <c r="G16" i="44" s="1"/>
  <c r="N25" i="42" s="1"/>
  <c r="Q25" i="42" s="1"/>
  <c r="B12" i="44"/>
  <c r="D12" i="44" s="1"/>
  <c r="E12" i="44" s="1"/>
  <c r="N16" i="42" s="1"/>
  <c r="Q16" i="42" s="1"/>
  <c r="AF19" i="9"/>
  <c r="AF22" i="9" s="1"/>
  <c r="V19" i="9"/>
  <c r="AN26" i="10"/>
  <c r="AQ26" i="10" s="1"/>
  <c r="AT26" i="10"/>
  <c r="BI26" i="10" s="1"/>
  <c r="AV26" i="10"/>
  <c r="AT8" i="10"/>
  <c r="AN8" i="10"/>
  <c r="AT18" i="10"/>
  <c r="BI18" i="10" s="1"/>
  <c r="AV18" i="10"/>
  <c r="T26" i="9"/>
  <c r="AN18" i="10"/>
  <c r="AQ18" i="10" s="1"/>
  <c r="Y18" i="9"/>
  <c r="Y27" i="9"/>
  <c r="BA8" i="10"/>
  <c r="BA11" i="10" s="1"/>
  <c r="AS9" i="10"/>
  <c r="Y19" i="9"/>
  <c r="Z18" i="9"/>
  <c r="Z19" i="9"/>
  <c r="Z27" i="9"/>
  <c r="Y8" i="10"/>
  <c r="B10" i="44"/>
  <c r="D10" i="44" s="1"/>
  <c r="E10" i="44" s="1"/>
  <c r="B9" i="44"/>
  <c r="D9" i="44" s="1"/>
  <c r="E9" i="44" s="1"/>
  <c r="N14" i="42" s="1"/>
  <c r="Q14" i="42" s="1"/>
  <c r="J14" i="44"/>
  <c r="K14" i="44" s="1"/>
  <c r="V28" i="2"/>
  <c r="F59" i="2"/>
  <c r="J12" i="44" l="1"/>
  <c r="K12" i="44" s="1"/>
  <c r="AQ8" i="10"/>
  <c r="F1" i="2"/>
  <c r="AY59" i="2"/>
  <c r="S25" i="42"/>
  <c r="S26" i="42" s="1"/>
  <c r="Q26" i="42"/>
  <c r="N15" i="42"/>
  <c r="Q15" i="42" s="1"/>
  <c r="S15" i="42" s="1"/>
  <c r="Y26" i="9"/>
  <c r="V26" i="9"/>
  <c r="Z26" i="9"/>
  <c r="U14" i="42"/>
  <c r="S14" i="42"/>
  <c r="N26" i="42"/>
  <c r="J13" i="44"/>
  <c r="K13" i="44" s="1"/>
  <c r="CE8" i="10"/>
  <c r="AS8" i="10"/>
  <c r="J9" i="44"/>
  <c r="K9" i="44" s="1"/>
  <c r="J10" i="44"/>
  <c r="U15" i="42" l="1"/>
  <c r="U10" i="42"/>
  <c r="S10" i="42"/>
  <c r="U25" i="42"/>
  <c r="U26" i="42" s="1"/>
  <c r="Y81" i="2"/>
  <c r="Y23" i="2"/>
  <c r="Y18" i="2"/>
  <c r="Y112" i="2"/>
  <c r="Y99" i="2"/>
  <c r="Y76" i="2"/>
  <c r="Y14" i="2"/>
  <c r="Y95" i="2"/>
  <c r="Y8" i="2"/>
  <c r="T6" i="9" s="1"/>
  <c r="V6" i="9" s="1"/>
  <c r="Y107" i="2"/>
  <c r="CH27" i="10"/>
  <c r="Y98" i="2"/>
  <c r="CH37" i="10" s="1"/>
  <c r="Y87" i="2"/>
  <c r="CH33" i="10" s="1"/>
  <c r="AJ33" i="10" s="1"/>
  <c r="Y15" i="2"/>
  <c r="CH10" i="10"/>
  <c r="Y105" i="2"/>
  <c r="Y26" i="2"/>
  <c r="Y75" i="2"/>
  <c r="CH28" i="10" s="1"/>
  <c r="AJ28" i="10" s="1"/>
  <c r="Y92" i="2"/>
  <c r="Y111" i="2"/>
  <c r="CH44" i="10" s="1"/>
  <c r="Y19" i="2"/>
  <c r="Y27" i="2"/>
  <c r="Y20" i="2"/>
  <c r="Y79" i="2"/>
  <c r="CH17" i="10" s="1"/>
  <c r="Y25" i="2"/>
  <c r="Y9" i="2"/>
  <c r="Y91" i="2"/>
  <c r="Y110" i="2"/>
  <c r="Y12" i="2"/>
  <c r="CH11" i="10"/>
  <c r="Y82" i="2"/>
  <c r="Y16" i="2"/>
  <c r="Y109" i="2"/>
  <c r="Y78" i="2"/>
  <c r="Y22" i="2"/>
  <c r="Y104" i="2"/>
  <c r="Y10" i="2"/>
  <c r="Y77" i="2"/>
  <c r="Y85" i="2"/>
  <c r="CH25" i="10"/>
  <c r="AJ25" i="10" s="1"/>
  <c r="Y7" i="2"/>
  <c r="Y113" i="2"/>
  <c r="Y97" i="2"/>
  <c r="Y106" i="2"/>
  <c r="Y93" i="2"/>
  <c r="Y13" i="2"/>
  <c r="Y90" i="2"/>
  <c r="Y21" i="2"/>
  <c r="Y89" i="2"/>
  <c r="Y17" i="2"/>
  <c r="Y74" i="2"/>
  <c r="Y108" i="2"/>
  <c r="Y101" i="2"/>
  <c r="Y24" i="2"/>
  <c r="Y103" i="2"/>
  <c r="Y96" i="2"/>
  <c r="Y100" i="2"/>
  <c r="Y11" i="2"/>
  <c r="Y102" i="2"/>
  <c r="Y88" i="2"/>
  <c r="Y94" i="2"/>
  <c r="Y83" i="2"/>
  <c r="AN33" i="10" l="1"/>
  <c r="AT33" i="10"/>
  <c r="AV33" i="10"/>
  <c r="AN28" i="10"/>
  <c r="AV28" i="10"/>
  <c r="AN25" i="10"/>
  <c r="AT25" i="10"/>
  <c r="AV25" i="10"/>
  <c r="AJ10" i="10"/>
  <c r="AJ17" i="10"/>
  <c r="AJ37" i="10"/>
  <c r="AJ44" i="10"/>
  <c r="AN44" i="10" s="1"/>
  <c r="AJ27" i="10"/>
  <c r="AJ11" i="10"/>
  <c r="Y6" i="9"/>
  <c r="BA33" i="10"/>
  <c r="BA36" i="10" s="1"/>
  <c r="BA25" i="10"/>
  <c r="BA28" i="10" s="1"/>
  <c r="Y44" i="10"/>
  <c r="Z6" i="9"/>
  <c r="Y25" i="10"/>
  <c r="Y17" i="10"/>
  <c r="Y28" i="10"/>
  <c r="Y37" i="10"/>
  <c r="CE37" i="10" s="1"/>
  <c r="Y11" i="10"/>
  <c r="Y10" i="10"/>
  <c r="CE10" i="10" s="1"/>
  <c r="Y33" i="10"/>
  <c r="Y27" i="10"/>
  <c r="CE25" i="10"/>
  <c r="CH19" i="10"/>
  <c r="T8" i="9"/>
  <c r="T12" i="9"/>
  <c r="V12" i="9" s="1"/>
  <c r="T7" i="9"/>
  <c r="V7" i="9" s="1"/>
  <c r="B5" i="44"/>
  <c r="D5" i="44" s="1"/>
  <c r="K5" i="44" s="1"/>
  <c r="CH21" i="10"/>
  <c r="CH35" i="10"/>
  <c r="AJ35" i="10" s="1"/>
  <c r="T12" i="10"/>
  <c r="I12" i="10"/>
  <c r="AQ51" i="10"/>
  <c r="CH34" i="10"/>
  <c r="CH38" i="10"/>
  <c r="CH12" i="10"/>
  <c r="CH36" i="10"/>
  <c r="CH29" i="10"/>
  <c r="Y84" i="2"/>
  <c r="CH20" i="10" s="1"/>
  <c r="AJ20" i="10" s="1"/>
  <c r="Y32" i="2"/>
  <c r="X28" i="2"/>
  <c r="BB28" i="2" s="1"/>
  <c r="Y6" i="2"/>
  <c r="T5" i="9" s="1"/>
  <c r="V5" i="9" s="1"/>
  <c r="Y57" i="2"/>
  <c r="Y63" i="2"/>
  <c r="CH5" i="10" s="1"/>
  <c r="AJ5" i="10" s="1"/>
  <c r="AN5" i="10" s="1"/>
  <c r="AQ5" i="10" s="1"/>
  <c r="Y12" i="10" l="1"/>
  <c r="Y53" i="10" s="1"/>
  <c r="Y56" i="10" s="1"/>
  <c r="AQ44" i="10"/>
  <c r="AQ25" i="10"/>
  <c r="AQ28" i="10"/>
  <c r="AQ33" i="10"/>
  <c r="V8" i="9"/>
  <c r="B7" i="44"/>
  <c r="D7" i="44" s="1"/>
  <c r="E7" i="44" s="1"/>
  <c r="AN11" i="10"/>
  <c r="AQ11" i="10" s="1"/>
  <c r="AS11" i="10" s="1"/>
  <c r="AV11" i="10"/>
  <c r="AT11" i="10"/>
  <c r="AN27" i="10"/>
  <c r="AQ27" i="10" s="1"/>
  <c r="AV27" i="10"/>
  <c r="AT27" i="10"/>
  <c r="AN20" i="10"/>
  <c r="AV20" i="10"/>
  <c r="AN35" i="10"/>
  <c r="AT35" i="10"/>
  <c r="AV35" i="10"/>
  <c r="AT37" i="10"/>
  <c r="BI37" i="10" s="1"/>
  <c r="AV37" i="10"/>
  <c r="AV17" i="10"/>
  <c r="AT17" i="10"/>
  <c r="AN10" i="10"/>
  <c r="AQ10" i="10" s="1"/>
  <c r="AV10" i="10"/>
  <c r="AT10" i="10"/>
  <c r="BI10" i="10" s="1"/>
  <c r="AN37" i="10"/>
  <c r="AQ37" i="10" s="1"/>
  <c r="AN17" i="10"/>
  <c r="AQ17" i="10" s="1"/>
  <c r="AJ34" i="10"/>
  <c r="AJ19" i="10"/>
  <c r="AJ29" i="10"/>
  <c r="AJ21" i="10"/>
  <c r="AJ36" i="10"/>
  <c r="AJ38" i="10"/>
  <c r="Y7" i="9"/>
  <c r="AF13" i="9"/>
  <c r="AF15" i="9" s="1"/>
  <c r="Y8" i="9"/>
  <c r="CE17" i="10"/>
  <c r="CE44" i="10"/>
  <c r="CE33" i="10"/>
  <c r="CE11" i="10"/>
  <c r="CE28" i="10"/>
  <c r="CE27" i="10"/>
  <c r="B4" i="44"/>
  <c r="D4" i="44" s="1"/>
  <c r="Y5" i="9"/>
  <c r="Y12" i="9"/>
  <c r="AJ12" i="10"/>
  <c r="Z5" i="9"/>
  <c r="Z12" i="9"/>
  <c r="Z7" i="9"/>
  <c r="Z8" i="9"/>
  <c r="Y20" i="10"/>
  <c r="Y21" i="10"/>
  <c r="CE21" i="10" s="1"/>
  <c r="Y36" i="10"/>
  <c r="CE36" i="10" s="1"/>
  <c r="Y29" i="10"/>
  <c r="CE29" i="10" s="1"/>
  <c r="Y34" i="10"/>
  <c r="CE34" i="10" s="1"/>
  <c r="Y35" i="10"/>
  <c r="CE35" i="10" s="1"/>
  <c r="Y38" i="10"/>
  <c r="Y19" i="10"/>
  <c r="Y57" i="10"/>
  <c r="Y59" i="10" s="1"/>
  <c r="Y61" i="10" s="1"/>
  <c r="CE12" i="10"/>
  <c r="I53" i="10"/>
  <c r="I56" i="10" s="1"/>
  <c r="I57" i="10" s="1"/>
  <c r="I59" i="10" s="1"/>
  <c r="I61" i="10" s="1"/>
  <c r="CB12" i="10"/>
  <c r="B8" i="44"/>
  <c r="F26" i="44" s="1"/>
  <c r="F27" i="44" s="1"/>
  <c r="B6" i="44"/>
  <c r="D6" i="44" s="1"/>
  <c r="E6" i="44" s="1"/>
  <c r="N12" i="42" s="1"/>
  <c r="Q12" i="42" s="1"/>
  <c r="T9" i="9"/>
  <c r="T15" i="9" s="1"/>
  <c r="CH14" i="10"/>
  <c r="T39" i="10"/>
  <c r="I22" i="10"/>
  <c r="CB22" i="10" s="1"/>
  <c r="T22" i="10"/>
  <c r="I30" i="10"/>
  <c r="CB30" i="10" s="1"/>
  <c r="T30" i="10"/>
  <c r="I39" i="10"/>
  <c r="CB39" i="10" s="1"/>
  <c r="I14" i="10"/>
  <c r="CB14" i="10" s="1"/>
  <c r="CH30" i="10"/>
  <c r="CH22" i="10"/>
  <c r="Y28" i="2"/>
  <c r="AQ35" i="10" l="1"/>
  <c r="AQ20" i="10"/>
  <c r="N13" i="42"/>
  <c r="Q13" i="42" s="1"/>
  <c r="S13" i="42" s="1"/>
  <c r="AT29" i="10"/>
  <c r="BI29" i="10" s="1"/>
  <c r="AV29" i="10"/>
  <c r="AN19" i="10"/>
  <c r="AQ19" i="10" s="1"/>
  <c r="AV19" i="10"/>
  <c r="AT19" i="10"/>
  <c r="AN34" i="10"/>
  <c r="AQ34" i="10" s="1"/>
  <c r="AT34" i="10"/>
  <c r="BI34" i="10" s="1"/>
  <c r="AV34" i="10"/>
  <c r="AV12" i="10"/>
  <c r="AT12" i="10"/>
  <c r="BI12" i="10" s="1"/>
  <c r="AV38" i="10"/>
  <c r="AT38" i="10"/>
  <c r="AN36" i="10"/>
  <c r="AQ36" i="10" s="1"/>
  <c r="AT36" i="10"/>
  <c r="BI36" i="10" s="1"/>
  <c r="AV36" i="10"/>
  <c r="AT21" i="10"/>
  <c r="BI21" i="10" s="1"/>
  <c r="AV21" i="10"/>
  <c r="AN21" i="10"/>
  <c r="AQ21" i="10" s="1"/>
  <c r="AN38" i="10"/>
  <c r="AQ38" i="10" s="1"/>
  <c r="AN29" i="10"/>
  <c r="AQ29" i="10" s="1"/>
  <c r="Y63" i="10"/>
  <c r="Y30" i="10"/>
  <c r="CE30" i="10" s="1"/>
  <c r="T41" i="10"/>
  <c r="AN12" i="10"/>
  <c r="AN14" i="10" s="1"/>
  <c r="AN15" i="10" s="1"/>
  <c r="CE20" i="10"/>
  <c r="BJ5" i="10"/>
  <c r="BJ7" i="10" s="1"/>
  <c r="AJ14" i="10"/>
  <c r="J6" i="44"/>
  <c r="K6" i="44" s="1"/>
  <c r="K4" i="44"/>
  <c r="AJ22" i="10"/>
  <c r="AV22" i="10" s="1"/>
  <c r="AJ30" i="10"/>
  <c r="AJ53" i="10"/>
  <c r="AJ56" i="10" s="1"/>
  <c r="AJ57" i="10" s="1"/>
  <c r="AJ39" i="10"/>
  <c r="CE5" i="10"/>
  <c r="CE38" i="10"/>
  <c r="Y39" i="10"/>
  <c r="CE39" i="10" s="1"/>
  <c r="CE19" i="10"/>
  <c r="Y22" i="10"/>
  <c r="CE22" i="10" s="1"/>
  <c r="AS5" i="10"/>
  <c r="I41" i="10"/>
  <c r="F36" i="42" s="1"/>
  <c r="Y9" i="9"/>
  <c r="AQ12" i="10"/>
  <c r="AS10" i="10"/>
  <c r="AS12" i="10" s="1"/>
  <c r="Y14" i="10"/>
  <c r="J7" i="44"/>
  <c r="K7" i="44" s="1"/>
  <c r="D8" i="44"/>
  <c r="K8" i="44" s="1"/>
  <c r="I43" i="10"/>
  <c r="CH39" i="10"/>
  <c r="CH43" i="10" s="1"/>
  <c r="CH45" i="10" s="1"/>
  <c r="AQ14" i="10" l="1"/>
  <c r="U13" i="42"/>
  <c r="AJ41" i="10"/>
  <c r="N36" i="42" s="1"/>
  <c r="AV30" i="10"/>
  <c r="AT30" i="10"/>
  <c r="BI30" i="10" s="1"/>
  <c r="AT39" i="10"/>
  <c r="AV39" i="10"/>
  <c r="AJ59" i="10"/>
  <c r="AJ61" i="10" s="1"/>
  <c r="AJ63" i="10" s="1"/>
  <c r="AJ58" i="10"/>
  <c r="AJ43" i="10"/>
  <c r="AT43" i="10" s="1"/>
  <c r="CB41" i="10"/>
  <c r="AN30" i="10"/>
  <c r="AQ39" i="10"/>
  <c r="AS39" i="10" s="1"/>
  <c r="AN22" i="10"/>
  <c r="Y41" i="10"/>
  <c r="H36" i="42" s="1"/>
  <c r="Y43" i="10"/>
  <c r="CE43" i="10" s="1"/>
  <c r="CE14" i="10"/>
  <c r="I45" i="10"/>
  <c r="CB45" i="10" s="1"/>
  <c r="CB43" i="10"/>
  <c r="CH41" i="10"/>
  <c r="T45" i="10"/>
  <c r="AS14" i="10" l="1"/>
  <c r="AQ15" i="10"/>
  <c r="CE41" i="10"/>
  <c r="AN39" i="10"/>
  <c r="AN43" i="10" s="1"/>
  <c r="AQ22" i="10"/>
  <c r="AQ30" i="10"/>
  <c r="AS30" i="10" s="1"/>
  <c r="AJ45" i="10"/>
  <c r="N8" i="42" s="1"/>
  <c r="H38" i="9"/>
  <c r="H39" i="9" s="1"/>
  <c r="I48" i="10"/>
  <c r="Y45" i="10"/>
  <c r="CE45" i="10" s="1"/>
  <c r="AJ47" i="10" l="1"/>
  <c r="AT45" i="10"/>
  <c r="T38" i="9"/>
  <c r="T40" i="9" s="1"/>
  <c r="AQ41" i="10"/>
  <c r="AN41" i="10"/>
  <c r="Q36" i="42" s="1"/>
  <c r="AN45" i="10"/>
  <c r="Q8" i="42" s="1"/>
  <c r="AS22" i="10"/>
  <c r="AQ43" i="10"/>
  <c r="AS43" i="10" s="1"/>
  <c r="Y48" i="10"/>
  <c r="S8" i="42" l="1"/>
  <c r="AN47" i="10"/>
  <c r="AS41" i="10"/>
  <c r="S36" i="42"/>
  <c r="U8" i="42"/>
  <c r="AQ45" i="10"/>
  <c r="T14" i="10"/>
  <c r="AS45" i="10" l="1"/>
  <c r="O64" i="2"/>
  <c r="O114" i="2" s="1"/>
  <c r="O58" i="2" s="1"/>
  <c r="O59" i="2" s="1"/>
  <c r="O1" i="2" s="1"/>
  <c r="I2" i="21"/>
  <c r="N34" i="2"/>
  <c r="P34" i="2" s="1"/>
  <c r="AZ34" i="2" s="1"/>
  <c r="V34" i="2" l="1"/>
  <c r="X34" i="2" s="1"/>
  <c r="BB34" i="2" s="1"/>
  <c r="N59" i="2"/>
  <c r="N1" i="2" s="1"/>
  <c r="P64" i="2"/>
  <c r="AZ64" i="2" s="1"/>
  <c r="P114" i="2" l="1"/>
  <c r="P58" i="2" s="1"/>
  <c r="V64" i="2"/>
  <c r="Y34" i="2"/>
  <c r="P59" i="2" l="1"/>
  <c r="AZ58" i="2"/>
  <c r="T20" i="9"/>
  <c r="V20" i="9" s="1"/>
  <c r="X64" i="2"/>
  <c r="V114" i="2"/>
  <c r="V58" i="2" s="1"/>
  <c r="V59" i="2" s="1"/>
  <c r="V1" i="2" s="1"/>
  <c r="X114" i="2" l="1"/>
  <c r="X58" i="2" s="1"/>
  <c r="BB64" i="2"/>
  <c r="P1" i="2"/>
  <c r="AZ59" i="2"/>
  <c r="Y64" i="2"/>
  <c r="Y114" i="2" s="1"/>
  <c r="B11" i="44"/>
  <c r="Y20" i="9"/>
  <c r="Y21" i="9" s="1"/>
  <c r="T21" i="9"/>
  <c r="AF26" i="9"/>
  <c r="AF29" i="9" s="1"/>
  <c r="Z20" i="9"/>
  <c r="X59" i="2" l="1"/>
  <c r="BB58" i="2"/>
  <c r="Y58" i="2"/>
  <c r="B15" i="44" s="1"/>
  <c r="D15" i="44" s="1"/>
  <c r="AJ48" i="10"/>
  <c r="D11" i="44"/>
  <c r="X1" i="2" l="1"/>
  <c r="BB59" i="2"/>
  <c r="T28" i="9"/>
  <c r="T37" i="9" s="1"/>
  <c r="T39" i="9" s="1"/>
  <c r="Y59" i="2"/>
  <c r="Y1" i="2" s="1"/>
  <c r="E15" i="44"/>
  <c r="B16" i="44"/>
  <c r="E11" i="44"/>
  <c r="N17" i="42" s="1"/>
  <c r="Q17" i="42" s="1"/>
  <c r="D16" i="44"/>
  <c r="Y28" i="9" l="1"/>
  <c r="Y29" i="9" s="1"/>
  <c r="Z28" i="9"/>
  <c r="T29" i="9"/>
  <c r="T30" i="9" s="1"/>
  <c r="T32" i="9" s="1"/>
  <c r="V28" i="9"/>
  <c r="J15" i="44"/>
  <c r="K15" i="44" s="1"/>
  <c r="J11" i="44"/>
  <c r="E16" i="44"/>
  <c r="AB28" i="9"/>
  <c r="AB32" i="9" s="1"/>
  <c r="AA28" i="9"/>
  <c r="U12" i="42" l="1"/>
  <c r="N18" i="42"/>
  <c r="S17" i="42"/>
  <c r="U17" i="42"/>
  <c r="J16" i="44"/>
  <c r="K11" i="44"/>
  <c r="K16" i="44" s="1"/>
  <c r="S16" i="42"/>
  <c r="U16" i="42"/>
  <c r="N28" i="42" l="1"/>
  <c r="N34" i="42"/>
  <c r="U18" i="42"/>
  <c r="U34" i="42" s="1"/>
  <c r="Q18" i="42"/>
  <c r="S12" i="42"/>
  <c r="S18" i="42" s="1"/>
  <c r="S34" i="42" s="1"/>
  <c r="S28" i="42" l="1"/>
  <c r="S30" i="42" s="1"/>
  <c r="S31" i="42" s="1"/>
  <c r="Q28" i="42"/>
  <c r="Q30" i="42" s="1"/>
  <c r="Q34" i="42"/>
  <c r="N30" i="42"/>
  <c r="U28" i="42"/>
  <c r="U30" i="42" s="1"/>
  <c r="AZ44" i="1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Jorge Forgues</author>
  </authors>
  <commentList>
    <comment ref="AE4" authorId="0" shapeId="0" xr:uid="{00000000-0006-0000-0300-000001000000}">
      <text>
        <r>
          <rPr>
            <b/>
            <sz val="10"/>
            <color rgb="FF000000"/>
            <rFont val="Tahoma"/>
            <family val="2"/>
          </rPr>
          <t>Jorge Forgues: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3 year deal, invoiced monthly;
</t>
        </r>
        <r>
          <rPr>
            <sz val="10"/>
            <color rgb="FF000000"/>
            <rFont val="Tahoma"/>
            <family val="2"/>
          </rPr>
          <t xml:space="preserve">$150,000 plus
</t>
        </r>
        <r>
          <rPr>
            <sz val="10"/>
            <color rgb="FF000000"/>
            <rFont val="Tahoma"/>
            <family val="2"/>
          </rPr>
          <t>$50,000 (which represents 30 tokens and each token is equal to 5 hours, which provides then with 150 hours for IR)</t>
        </r>
      </text>
    </comment>
    <comment ref="AE6" authorId="0" shapeId="0" xr:uid="{00000000-0006-0000-0300-000002000000}">
      <text>
        <r>
          <rPr>
            <b/>
            <sz val="10"/>
            <color rgb="FF000000"/>
            <rFont val="Tahoma"/>
            <family val="2"/>
          </rPr>
          <t>Jorge Forgues: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TCV is $150k invoiced monthly;
</t>
        </r>
        <r>
          <rPr>
            <sz val="10"/>
            <color rgb="FF000000"/>
            <rFont val="Tahoma"/>
            <family val="2"/>
          </rPr>
          <t>Customer can canceled during first 6 months</t>
        </r>
      </text>
    </comment>
    <comment ref="AE7" authorId="0" shapeId="0" xr:uid="{00000000-0006-0000-0300-000003000000}">
      <text>
        <r>
          <rPr>
            <b/>
            <sz val="10"/>
            <color rgb="FF000000"/>
            <rFont val="Tahoma"/>
            <family val="2"/>
          </rPr>
          <t>Jorge Forgues: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3 year agreement
</t>
        </r>
        <r>
          <rPr>
            <sz val="10"/>
            <color rgb="FF000000"/>
            <rFont val="Tahoma"/>
            <family val="2"/>
          </rPr>
          <t>paid quarterly in advance with 30 day payment term</t>
        </r>
      </text>
    </comment>
    <comment ref="AE8" authorId="0" shapeId="0" xr:uid="{00000000-0006-0000-0300-000004000000}">
      <text>
        <r>
          <rPr>
            <b/>
            <sz val="10"/>
            <color rgb="FF000000"/>
            <rFont val="Tahoma"/>
            <family val="2"/>
          </rPr>
          <t>Jorge Forgues: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3 year agreement
</t>
        </r>
        <r>
          <rPr>
            <sz val="10"/>
            <color rgb="FF000000"/>
            <rFont val="Tahoma"/>
            <family val="2"/>
          </rPr>
          <t>paid quarterly in advance with 30 day payment term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Jorge Forgues</author>
  </authors>
  <commentList>
    <comment ref="D17" authorId="0" shapeId="0" xr:uid="{00000000-0006-0000-0900-000001000000}">
      <text>
        <r>
          <rPr>
            <b/>
            <sz val="10"/>
            <color rgb="FF000000"/>
            <rFont val="Tahoma"/>
            <family val="2"/>
          </rPr>
          <t>Jorge Forgues: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After talking with Ariel, the new methodology will be to only have Billable &amp; Reserach.  
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At this point, all PTO and Holidays will be allocated based on the Billable &amp; Resarch %
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A new process is being isntituted whereby each EE in Delivery will keep track on Billable / Research hours every two weeks.  This should start on 11/1/2021
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For now, we are assuming that the split is 50% for each activity</t>
        </r>
      </text>
    </comment>
  </commentList>
</comments>
</file>

<file path=xl/sharedStrings.xml><?xml version="1.0" encoding="utf-8"?>
<sst xmlns="http://schemas.openxmlformats.org/spreadsheetml/2006/main" count="1969" uniqueCount="1194">
  <si>
    <t>Mitiga Ltd.</t>
  </si>
  <si>
    <t>Mitiga USA Inc.</t>
  </si>
  <si>
    <t>Mitiga UK</t>
  </si>
  <si>
    <t>Mitiga Security Inc.</t>
  </si>
  <si>
    <t>code</t>
  </si>
  <si>
    <t>Presented</t>
  </si>
  <si>
    <t>Addi ente. In $</t>
  </si>
  <si>
    <t>Closing Balance</t>
  </si>
  <si>
    <t>Combined</t>
  </si>
  <si>
    <t>Consolidation entries</t>
  </si>
  <si>
    <t>Consolidated</t>
  </si>
  <si>
    <t>LTD</t>
  </si>
  <si>
    <t>UK</t>
  </si>
  <si>
    <t>SEC</t>
  </si>
  <si>
    <t>Notes</t>
  </si>
  <si>
    <t>$</t>
  </si>
  <si>
    <t>D</t>
  </si>
  <si>
    <t>C</t>
  </si>
  <si>
    <t>Cash and cash equivalents- in $</t>
  </si>
  <si>
    <t>Cash and cash equivalents- in other currency</t>
  </si>
  <si>
    <t>Deposits</t>
  </si>
  <si>
    <t>Trade receivable, net</t>
  </si>
  <si>
    <t>Income receivable</t>
  </si>
  <si>
    <t>Moved Income receivable that was initially recorded in IL to Security (Safebreach). This is a was through I/C, so no impact.</t>
  </si>
  <si>
    <t>Related parties</t>
  </si>
  <si>
    <t>Prepaid expenses</t>
  </si>
  <si>
    <t>Government of Israel-tax</t>
  </si>
  <si>
    <t>AR-government of Israel-VAT (net)</t>
  </si>
  <si>
    <t>DEFERRED_TAXES_CUR</t>
  </si>
  <si>
    <t>AR-short term leasing deposits</t>
  </si>
  <si>
    <t>AR others</t>
  </si>
  <si>
    <t>Leasehold assets - short term</t>
  </si>
  <si>
    <t>Deferred taxes</t>
  </si>
  <si>
    <t>Intercompany Capital notes</t>
  </si>
  <si>
    <t>AR-long term leasing deposits</t>
  </si>
  <si>
    <t>Deferred taxes- Long term</t>
  </si>
  <si>
    <t>Leasehold assets</t>
  </si>
  <si>
    <t>Investment in subsidiary</t>
  </si>
  <si>
    <t>Fixed assets-cost</t>
  </si>
  <si>
    <t>Fixed assets-accumulated dep.</t>
  </si>
  <si>
    <t>In Process R&amp;DS</t>
  </si>
  <si>
    <t>Short term bank credit</t>
  </si>
  <si>
    <t>Trade payables</t>
  </si>
  <si>
    <t>consolidated company</t>
  </si>
  <si>
    <t>See TP wp</t>
  </si>
  <si>
    <t>AP-employees and emp. Instit.</t>
  </si>
  <si>
    <t>AP- VAT</t>
  </si>
  <si>
    <t>Deferred income</t>
  </si>
  <si>
    <t>Pushed any GUS revenue that was recorded initially from April 2021 to March 2022</t>
  </si>
  <si>
    <t>Accrued expenses</t>
  </si>
  <si>
    <t>Accrual recorded for 2021 Delaware franchise tax that was paid in March 2022</t>
  </si>
  <si>
    <t>Leasehold liablities - short term</t>
  </si>
  <si>
    <t>Other liabilities</t>
  </si>
  <si>
    <t>Short - term compensation</t>
  </si>
  <si>
    <t>Derivatives</t>
  </si>
  <si>
    <t>Long term liabilities</t>
  </si>
  <si>
    <t>Investment in sub</t>
  </si>
  <si>
    <t>Loans from related parties</t>
  </si>
  <si>
    <t>Loans from others</t>
  </si>
  <si>
    <t>Liability for employee severance benefits, net</t>
  </si>
  <si>
    <t>Leasehold liablities</t>
  </si>
  <si>
    <t>Premium on shares</t>
  </si>
  <si>
    <t>Share based payments</t>
  </si>
  <si>
    <t>Adjustments made for the SBC expense for employee that left during 2021</t>
  </si>
  <si>
    <t>Receipts on account of warrants</t>
  </si>
  <si>
    <t>Capital reserves</t>
  </si>
  <si>
    <t>NCI</t>
  </si>
  <si>
    <t>transactions with related parties</t>
  </si>
  <si>
    <t>OCI</t>
  </si>
  <si>
    <t>Retained earning prior years</t>
  </si>
  <si>
    <t>Loss (profit) for the period</t>
  </si>
  <si>
    <t>Sales</t>
  </si>
  <si>
    <t>US+IL: Moved Income receivable/sales that was initially recorded in IL to Security (Safebreach). This is a was through I/C, so no impact in consolidation.
UK: Pushed any GUS revenue that was recorded initially from April 2021 to March 2022</t>
  </si>
  <si>
    <t>Intercompany revenues</t>
  </si>
  <si>
    <t>Cost of goods sold:salaries and relatedexpenses</t>
  </si>
  <si>
    <t>Cost of goods sold:management fee</t>
  </si>
  <si>
    <t>Cost of goods sold: non budgeted items (esop, vacation provision)</t>
  </si>
  <si>
    <t xml:space="preserve">Cost of goods sold:subcontractors </t>
  </si>
  <si>
    <t>Cost of goods sold:Other</t>
  </si>
  <si>
    <t>R&amp;D expenses:  Salaries and related expenses</t>
  </si>
  <si>
    <t>R&amp;D expenses:  management fee</t>
  </si>
  <si>
    <t>R&amp;D Expenses: outsource</t>
  </si>
  <si>
    <t>R&amp;D expenses: non budgeted items (esop, vacation provision)</t>
  </si>
  <si>
    <t>R&amp;D Expenses: Other</t>
  </si>
  <si>
    <t>R&amp;D Expenses: Patents</t>
  </si>
  <si>
    <t>R&amp;D expenses:  Travels</t>
  </si>
  <si>
    <t>R&amp;D expenses: Depreciation and amortization</t>
  </si>
  <si>
    <t>R&amp;D expenses: overhead</t>
  </si>
  <si>
    <t>S&amp;M Salaries and related expenses</t>
  </si>
  <si>
    <t>S&amp;M expenses: non budgeted items (esop, vacation provision)</t>
  </si>
  <si>
    <t>S&amp;M Comissions</t>
  </si>
  <si>
    <t>S&amp;M Consulting</t>
  </si>
  <si>
    <t>S&amp;M Commercials and advertising</t>
  </si>
  <si>
    <t>S&amp;M Travel expenses</t>
  </si>
  <si>
    <t>S&amp;M Other</t>
  </si>
  <si>
    <t>Intercompany expenses</t>
  </si>
  <si>
    <t>G&amp;A Salaries and related expenses</t>
  </si>
  <si>
    <t>G&amp;A Bounses</t>
  </si>
  <si>
    <t>G&amp;A non budgeted items</t>
  </si>
  <si>
    <t>G&amp;A Management fees</t>
  </si>
  <si>
    <t>G&amp;A Professional fees</t>
  </si>
  <si>
    <t xml:space="preserve">G&amp;A Legal fees for claims </t>
  </si>
  <si>
    <t>G&amp;A Rent, insurance, communication and office maintenance</t>
  </si>
  <si>
    <t>G&amp;A car expenses</t>
  </si>
  <si>
    <t>Insurance (Directors and office)</t>
  </si>
  <si>
    <t xml:space="preserve">Directors' fees </t>
  </si>
  <si>
    <t>Directors' ESOP</t>
  </si>
  <si>
    <t>G&amp;A travel</t>
  </si>
  <si>
    <t>G&amp;A Depreciation and amortization</t>
  </si>
  <si>
    <t>G&amp;A Other</t>
  </si>
  <si>
    <t>Expenses recorded for 2021 Delaware registration fees that was paid in March 2022</t>
  </si>
  <si>
    <t>ESOP G&amp;A Other</t>
  </si>
  <si>
    <t>Reimbursement from insurance companies</t>
  </si>
  <si>
    <t>Operating- Salaries and related expenses</t>
  </si>
  <si>
    <t>Operating- Travel expenses</t>
  </si>
  <si>
    <t>Operating- Subcontractors and materials</t>
  </si>
  <si>
    <t>Operating- Professional services</t>
  </si>
  <si>
    <t>Operating- Depreciation and amortization</t>
  </si>
  <si>
    <t>Operating- Rent and office maintenance</t>
  </si>
  <si>
    <t>Operating- Other</t>
  </si>
  <si>
    <t>share based payments</t>
  </si>
  <si>
    <t xml:space="preserve">Financial expenses </t>
  </si>
  <si>
    <t>Other expenses</t>
  </si>
  <si>
    <t>Taxes on income</t>
  </si>
  <si>
    <t>Profit for the period</t>
  </si>
  <si>
    <t>Security</t>
  </si>
  <si>
    <t>Ltd.</t>
  </si>
  <si>
    <t>USA</t>
  </si>
  <si>
    <t>TP</t>
  </si>
  <si>
    <t>Q1</t>
  </si>
  <si>
    <t>Q2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</si>
  <si>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</si>
  <si>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</si>
  <si>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</si>
  <si>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</si>
  <si>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</si>
  <si>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</si>
  <si>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</si>
  <si>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</si>
  <si>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</si>
  <si>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Q3</t>
  </si>
  <si>
    <t>Oct</t>
  </si>
  <si>
    <t>Nov</t>
  </si>
  <si>
    <t>Dec</t>
  </si>
  <si>
    <t>Q4 total</t>
  </si>
  <si>
    <t>Role/Function</t>
  </si>
  <si>
    <t>Name/Vendor</t>
  </si>
  <si>
    <t xml:space="preserve">Salary </t>
  </si>
  <si>
    <t>Cost</t>
  </si>
  <si>
    <t>Bonus</t>
  </si>
  <si>
    <t>Comment</t>
  </si>
  <si>
    <t>Head count</t>
  </si>
  <si>
    <t>Founders, Management &amp; General</t>
  </si>
  <si>
    <t>Founders</t>
  </si>
  <si>
    <t>*</t>
  </si>
  <si>
    <t>CEO</t>
  </si>
  <si>
    <t>Tal Mozes</t>
  </si>
  <si>
    <t>100K</t>
  </si>
  <si>
    <t>Chief Delivery Officer</t>
  </si>
  <si>
    <t>Ariel Parnes</t>
  </si>
  <si>
    <t>50% G&amp;A (50% Delivery)</t>
  </si>
  <si>
    <t>CTO</t>
  </si>
  <si>
    <t>Ofer Maor</t>
  </si>
  <si>
    <t>20% G&amp;A (80% R&amp;D)</t>
  </si>
  <si>
    <t>CFO</t>
  </si>
  <si>
    <t>VP HR</t>
  </si>
  <si>
    <t>TBD</t>
  </si>
  <si>
    <t>Director Operations</t>
  </si>
  <si>
    <t>Other G&amp;A Staff</t>
  </si>
  <si>
    <t>Operation/Finance Staff</t>
  </si>
  <si>
    <t>Noa</t>
  </si>
  <si>
    <t>Admins</t>
  </si>
  <si>
    <t>Eden</t>
  </si>
  <si>
    <t>Recruiters/HR Staff</t>
  </si>
  <si>
    <t>Shiran</t>
  </si>
  <si>
    <t>-------------------------------------</t>
  </si>
  <si>
    <t>-------------------------</t>
  </si>
  <si>
    <t>--------------</t>
  </si>
  <si>
    <t>Employee Count</t>
  </si>
  <si>
    <t>Subtotal FMG Salaries</t>
  </si>
  <si>
    <t>Expenses</t>
  </si>
  <si>
    <t>IT (Laptop, Phone, etc.)</t>
  </si>
  <si>
    <t>Dell/Apple</t>
  </si>
  <si>
    <t>Monthly per Employee</t>
  </si>
  <si>
    <t>Welfare (10Bis, Misc.)</t>
  </si>
  <si>
    <t>Licensing, Phone Plans, etc.</t>
  </si>
  <si>
    <t>150$/Month/Employee</t>
  </si>
  <si>
    <t>Offices, Israel</t>
  </si>
  <si>
    <t xml:space="preserve">BE ALL </t>
  </si>
  <si>
    <t xml:space="preserve">Inc. all (Parking, cleaning,  etc). </t>
  </si>
  <si>
    <t>Relocation expenses - Ariel</t>
  </si>
  <si>
    <t>Relocation professional advise</t>
  </si>
  <si>
    <t>Ofice Expenses, Israel</t>
  </si>
  <si>
    <t>Offices, UK</t>
  </si>
  <si>
    <t>Offices, US</t>
  </si>
  <si>
    <t>Travel (Non Sales/Billable)</t>
  </si>
  <si>
    <t>IT retainer</t>
  </si>
  <si>
    <t>IT Consulting</t>
  </si>
  <si>
    <t>netsuite</t>
  </si>
  <si>
    <t>Legal Retainer - Israel</t>
  </si>
  <si>
    <t>Banai Azriel Stern</t>
  </si>
  <si>
    <t xml:space="preserve">Monthly Fee </t>
  </si>
  <si>
    <t>Legal Round / Special Fees</t>
  </si>
  <si>
    <t>Legal Retainers/Fees - UK</t>
  </si>
  <si>
    <t>Legal Retainers/Fees - US</t>
  </si>
  <si>
    <t>Finance Retainer - Israel</t>
  </si>
  <si>
    <t>Rand Finance</t>
  </si>
  <si>
    <t>Grows over time</t>
  </si>
  <si>
    <t>Finance Retainer - UK</t>
  </si>
  <si>
    <t>FKGB</t>
  </si>
  <si>
    <t>Finance Retainer - US</t>
  </si>
  <si>
    <t>Vensure</t>
  </si>
  <si>
    <t xml:space="preserve">Finance - Audit </t>
  </si>
  <si>
    <t>EY</t>
  </si>
  <si>
    <t xml:space="preserve">Annual, plus specials </t>
  </si>
  <si>
    <t>Insurance - Directors + Cyber</t>
  </si>
  <si>
    <t>Howden</t>
  </si>
  <si>
    <t>Annual</t>
  </si>
  <si>
    <t>Insurance -other (GL, BOP)</t>
  </si>
  <si>
    <t>Insurance - Company</t>
  </si>
  <si>
    <t>Sela</t>
  </si>
  <si>
    <t>Professional Insurance</t>
  </si>
  <si>
    <t>Talent Acquisition Costs</t>
  </si>
  <si>
    <t>Placement/Bonus/etc</t>
  </si>
  <si>
    <t>Estimate Avg per Employee</t>
  </si>
  <si>
    <t>Misc</t>
  </si>
  <si>
    <t>Subtotal FMG Expenses</t>
  </si>
  <si>
    <t>Sales &amp; Marketing</t>
  </si>
  <si>
    <t>Marketing Leadership</t>
  </si>
  <si>
    <t>CMO</t>
  </si>
  <si>
    <t>Bob Canaway</t>
  </si>
  <si>
    <t>Director of Marketing</t>
  </si>
  <si>
    <t>Demand Gen / Marketing</t>
  </si>
  <si>
    <t xml:space="preserve">TBD </t>
  </si>
  <si>
    <t>Marketing Staff</t>
  </si>
  <si>
    <t>Average monthly cost</t>
  </si>
  <si>
    <t>Headcount marketing</t>
  </si>
  <si>
    <t>Total marketing salary expensese</t>
  </si>
  <si>
    <t>Marketing Operations</t>
  </si>
  <si>
    <t>Total marketing expensese</t>
  </si>
  <si>
    <t>Sales Leadership</t>
  </si>
  <si>
    <t>OTB</t>
  </si>
  <si>
    <t>CRO</t>
  </si>
  <si>
    <t>VP Sales</t>
  </si>
  <si>
    <t>TBD (William)</t>
  </si>
  <si>
    <t>Annual, USD</t>
  </si>
  <si>
    <t>Head of Sales EMEA</t>
  </si>
  <si>
    <t>Colin</t>
  </si>
  <si>
    <t>Annual, GBP</t>
  </si>
  <si>
    <t>Sales Staff</t>
  </si>
  <si>
    <t>Sales Director</t>
  </si>
  <si>
    <t>Average Cost</t>
  </si>
  <si>
    <t>בונוס אחת לרבעון</t>
  </si>
  <si>
    <t>Sales Manager</t>
  </si>
  <si>
    <t>Inside Sales</t>
  </si>
  <si>
    <t>Sales salaries</t>
  </si>
  <si>
    <t>Sales headcount</t>
  </si>
  <si>
    <t>Total sales salary expenses</t>
  </si>
  <si>
    <t>Sales Expenses</t>
  </si>
  <si>
    <t>Sales Travel</t>
  </si>
  <si>
    <t>Sales operations</t>
  </si>
  <si>
    <t>Total sales expenses</t>
  </si>
  <si>
    <t>Delivery</t>
  </si>
  <si>
    <t>Delivery leadership</t>
  </si>
  <si>
    <t>VP Consulting</t>
  </si>
  <si>
    <t>Rob Flodeen</t>
  </si>
  <si>
    <t>VP IR</t>
  </si>
  <si>
    <t>Omer Cohen</t>
  </si>
  <si>
    <t>Chief Security Architect</t>
  </si>
  <si>
    <t>Andrey Shomer</t>
  </si>
  <si>
    <t>Delivery staff</t>
  </si>
  <si>
    <t>Consultant</t>
  </si>
  <si>
    <t>IR Squad (Lead+Senior+Junior)</t>
  </si>
  <si>
    <t>Deror Chudnovsky</t>
  </si>
  <si>
    <t>Team leader</t>
  </si>
  <si>
    <t xml:space="preserve">Lionel </t>
  </si>
  <si>
    <t>Other (PM/Writer/etc)</t>
  </si>
  <si>
    <t>Irit Sternberg</t>
  </si>
  <si>
    <t>Service Design</t>
  </si>
  <si>
    <t>Niv Ravia</t>
  </si>
  <si>
    <t>Senior Analyst</t>
  </si>
  <si>
    <t>Dan Avrahamov</t>
  </si>
  <si>
    <t>Technical Communicator</t>
  </si>
  <si>
    <t>Yoav Elata</t>
  </si>
  <si>
    <t>Junior Analyst</t>
  </si>
  <si>
    <t>Doron ( from August)</t>
  </si>
  <si>
    <t>Bar Franko</t>
  </si>
  <si>
    <t>Consultant/IC</t>
  </si>
  <si>
    <t>Andrew Johnston</t>
  </si>
  <si>
    <t>Consulting/IR Director</t>
  </si>
  <si>
    <t xml:space="preserve">Zafrir </t>
  </si>
  <si>
    <t>Itai Evron</t>
  </si>
  <si>
    <t>Classification to Rַ&amp;D</t>
  </si>
  <si>
    <t>Subtotal delivery Staff</t>
  </si>
  <si>
    <t>Licenses &amp; Cloud Cost</t>
  </si>
  <si>
    <t>Delivery - Operations/Misc</t>
  </si>
  <si>
    <t>Subtotal Services Expenses</t>
  </si>
  <si>
    <t>R&amp;D</t>
  </si>
  <si>
    <t>Key Roles</t>
  </si>
  <si>
    <t>VP Engineering</t>
  </si>
  <si>
    <t>Pablo Sirota</t>
  </si>
  <si>
    <t>Head of Cyber Capabilities</t>
  </si>
  <si>
    <t>Gal Segev</t>
  </si>
  <si>
    <t>Head of Product Management</t>
  </si>
  <si>
    <t>Or Matattia</t>
  </si>
  <si>
    <t>Head of Threat Intelligence</t>
  </si>
  <si>
    <t>Ofir Rozman</t>
  </si>
  <si>
    <t>Chief Data Architect</t>
  </si>
  <si>
    <t>CISO</t>
  </si>
  <si>
    <t>Other R&amp;D staff</t>
  </si>
  <si>
    <t>Senior Developer</t>
  </si>
  <si>
    <t>Shlomi Hazan</t>
  </si>
  <si>
    <t>Or Aspir</t>
  </si>
  <si>
    <t>Senior BE Developer</t>
  </si>
  <si>
    <t>Itay Witzer</t>
  </si>
  <si>
    <t>Senior FE Developer</t>
  </si>
  <si>
    <t>Hagit Moshe</t>
  </si>
  <si>
    <t>+</t>
  </si>
  <si>
    <t>Junior FE Developer</t>
  </si>
  <si>
    <t xml:space="preserve">Tom Cohen </t>
  </si>
  <si>
    <t>DevOps</t>
  </si>
  <si>
    <t>Stav</t>
  </si>
  <si>
    <t>BE Dev</t>
  </si>
  <si>
    <t>Hagai Dayan</t>
  </si>
  <si>
    <t>Dev Team Leader</t>
  </si>
  <si>
    <t>TBD- lev</t>
  </si>
  <si>
    <t>Junior developer</t>
  </si>
  <si>
    <t>Security researcher</t>
  </si>
  <si>
    <t>Product Managers</t>
  </si>
  <si>
    <t>Threat Intel Analyst</t>
  </si>
  <si>
    <t>IT/Security Expert</t>
  </si>
  <si>
    <t>Classification from Delivery</t>
  </si>
  <si>
    <t>Subtotal R&amp;D Staff</t>
  </si>
  <si>
    <t>R&amp;D Expenses</t>
  </si>
  <si>
    <t>100$/Employee/Month</t>
  </si>
  <si>
    <t>Subcontractors</t>
  </si>
  <si>
    <t>UI/UX, Dev, Data, etc</t>
  </si>
  <si>
    <t>Patents</t>
  </si>
  <si>
    <t>Spread over a year, then maintain</t>
  </si>
  <si>
    <t>Infosec Budget</t>
  </si>
  <si>
    <t>R&amp;D Misc</t>
  </si>
  <si>
    <t>Subtotal R&amp;D Expenses</t>
  </si>
  <si>
    <t>Mitiga Security Inc</t>
  </si>
  <si>
    <t>For Oct Meeting</t>
  </si>
  <si>
    <t xml:space="preserve">Consolidated Balance sheet as of </t>
  </si>
  <si>
    <t>Forecasted 12/21/2021</t>
  </si>
  <si>
    <t>Dec deals going into A/R or unbilled A/R</t>
  </si>
  <si>
    <t>Current assets:</t>
  </si>
  <si>
    <t>Questrade</t>
  </si>
  <si>
    <t>JFrog</t>
  </si>
  <si>
    <t>Billing during Dec</t>
  </si>
  <si>
    <t>Cash and cash equivalents</t>
  </si>
  <si>
    <t>Blackstone</t>
  </si>
  <si>
    <t>Fiverr International Ltd</t>
  </si>
  <si>
    <t>Renorun</t>
  </si>
  <si>
    <t>Elementor Ltd</t>
  </si>
  <si>
    <t>Trade receivable</t>
  </si>
  <si>
    <t>Rubicon- paid USD350 during NOV</t>
  </si>
  <si>
    <t>Accuweather</t>
  </si>
  <si>
    <t>LivePerson Inc</t>
  </si>
  <si>
    <t>Other receivables</t>
  </si>
  <si>
    <t>2.8M NIS (USD914K) from the landlord</t>
  </si>
  <si>
    <t>Imperva</t>
  </si>
  <si>
    <t>Open Education LLC</t>
  </si>
  <si>
    <t>Total current assets</t>
  </si>
  <si>
    <t>Recognition of expenses</t>
  </si>
  <si>
    <t>SafeBreach</t>
  </si>
  <si>
    <t>Vat</t>
  </si>
  <si>
    <t>Exchange rate+ Vat 11-12.21</t>
  </si>
  <si>
    <t>Imperva Inc</t>
  </si>
  <si>
    <t>Others</t>
  </si>
  <si>
    <t>Exchange rate</t>
  </si>
  <si>
    <t>Lemonade, Inc</t>
  </si>
  <si>
    <t>Collecting during Dec</t>
  </si>
  <si>
    <t>Fixed assets</t>
  </si>
  <si>
    <t>Leasehold improvement</t>
  </si>
  <si>
    <t>Interactive Pro</t>
  </si>
  <si>
    <t>Nov balance</t>
  </si>
  <si>
    <t>Dif income recievable</t>
  </si>
  <si>
    <t>Furniture</t>
  </si>
  <si>
    <t>Payments from Oct</t>
  </si>
  <si>
    <t>12.2021</t>
  </si>
  <si>
    <t>Total assets</t>
  </si>
  <si>
    <t>Computers&amp; Phones</t>
  </si>
  <si>
    <t>Dec Balance</t>
  </si>
  <si>
    <t>11.2021</t>
  </si>
  <si>
    <t>Current liabilities:</t>
  </si>
  <si>
    <t>Deferred Revenue Calculation</t>
  </si>
  <si>
    <t>Deferred revenue</t>
  </si>
  <si>
    <t>Other payables</t>
  </si>
  <si>
    <t>Bonus+Commission 2021</t>
  </si>
  <si>
    <t>Additions from Dec Deals invoiced</t>
  </si>
  <si>
    <t>Total current liabilities</t>
  </si>
  <si>
    <t>Recognized in Dec</t>
  </si>
  <si>
    <t>Fixed assets providers</t>
  </si>
  <si>
    <t>Doit</t>
  </si>
  <si>
    <t>Leasehold liabilities</t>
  </si>
  <si>
    <t>Auth0</t>
  </si>
  <si>
    <t>Shareholders' equity</t>
  </si>
  <si>
    <t>Other Payables</t>
  </si>
  <si>
    <t>Share capital and premium on shares</t>
  </si>
  <si>
    <t>November amount</t>
  </si>
  <si>
    <t>Capital reserve for share-based payments</t>
  </si>
  <si>
    <t>Dec Commissions</t>
  </si>
  <si>
    <t>Accumulated deficit</t>
  </si>
  <si>
    <t>Bonuses payable</t>
  </si>
  <si>
    <t>Total shareholders' deficit</t>
  </si>
  <si>
    <t>total</t>
  </si>
  <si>
    <t>Total liabilities and shareholders' equity</t>
  </si>
  <si>
    <t>Workpapers for Q4 estimate for BoD on Jan 2022</t>
  </si>
  <si>
    <t>Workpapers for Q4 estimate for BoD on Oct 2021</t>
  </si>
  <si>
    <t>Consolidated Statement of operations</t>
  </si>
  <si>
    <t>Q1 2021. Actual</t>
  </si>
  <si>
    <t>Q2 2021 Actual</t>
  </si>
  <si>
    <t>Q3 2021 Actual</t>
  </si>
  <si>
    <t>Q4 2021 Actual</t>
  </si>
  <si>
    <t>2021</t>
  </si>
  <si>
    <t>Growth</t>
  </si>
  <si>
    <t>Prior Q4 Estimate</t>
  </si>
  <si>
    <t>Growth Factor</t>
  </si>
  <si>
    <t>Q1 2021</t>
  </si>
  <si>
    <t>Q2 2021</t>
  </si>
  <si>
    <t>Q3 2021</t>
  </si>
  <si>
    <t>Year to date as of Dec</t>
  </si>
  <si>
    <t>Actual</t>
  </si>
  <si>
    <t>Budget</t>
  </si>
  <si>
    <t>Variance</t>
  </si>
  <si>
    <t>12/21-11/21</t>
  </si>
  <si>
    <t>Forecast</t>
  </si>
  <si>
    <t>Q4/Q3</t>
  </si>
  <si>
    <t>Assumptions</t>
  </si>
  <si>
    <t>Franko Bar-increase salary retro from SEP+Bonus- Nov</t>
  </si>
  <si>
    <t>Regular ARR revenue $80,000 plus SearchBreach hours of $139,500</t>
  </si>
  <si>
    <t>Revenue</t>
  </si>
  <si>
    <t xml:space="preserve">ARR </t>
  </si>
  <si>
    <t>Revenues</t>
  </si>
  <si>
    <t>Ori abulnil full month</t>
  </si>
  <si>
    <t>Non-ARR</t>
  </si>
  <si>
    <t>Elementor &amp; Blackstone</t>
  </si>
  <si>
    <t>Ross- full month</t>
  </si>
  <si>
    <t>Jeffreries</t>
  </si>
  <si>
    <t>&amp; others</t>
  </si>
  <si>
    <t>Cost of goods sold</t>
  </si>
  <si>
    <t>Ariel- bonus 65.5K (50%)</t>
  </si>
  <si>
    <t>K-Health</t>
  </si>
  <si>
    <t>Red team $36k plus 27 tokens ~$45k</t>
  </si>
  <si>
    <t>Salaries and related expenses</t>
  </si>
  <si>
    <t>John z- new employees</t>
  </si>
  <si>
    <t>will take Ariel's bonus as the growth for new hires</t>
  </si>
  <si>
    <t>Analytics</t>
  </si>
  <si>
    <t>Non budgeted items (Esop, vacation provision)</t>
  </si>
  <si>
    <t>Ariel Bonus 2021</t>
  </si>
  <si>
    <t>50% Ariel's bonus paid in IL in June expenses now</t>
  </si>
  <si>
    <t>Increases in Q4 Delivery</t>
  </si>
  <si>
    <t>Materials and outsourced work</t>
  </si>
  <si>
    <t>Bonus 2021</t>
  </si>
  <si>
    <t>Bonus 50% of cell AZ 48</t>
  </si>
  <si>
    <t>Director IR IL (Ori), Delivery Manager US (Ross), Director IR US, 3 IR EE</t>
  </si>
  <si>
    <t>Other</t>
  </si>
  <si>
    <t>Overhead- increase in License+ IT expenses+Travel</t>
  </si>
  <si>
    <t>Reclass to R&amp;D</t>
  </si>
  <si>
    <t>6 EE at avg of $200k = $1.2M /128.1.5 months = $150,000</t>
  </si>
  <si>
    <t>Visa rob (6K)+ Depreciation (12K)</t>
  </si>
  <si>
    <t>However, only 50% in Delivery ($75K) and 50% in R&amp;D ($75k)</t>
  </si>
  <si>
    <t>Plus Expected 2021 bonuses at 50% = $50,000</t>
  </si>
  <si>
    <t>Gross profit (loss)</t>
  </si>
  <si>
    <t>S&amp;M Expenses:</t>
  </si>
  <si>
    <t>without Colin's average would be $77,000 but we need to add</t>
  </si>
  <si>
    <t>Colin- retirement (128K)+ Sara (full month work- 10K)</t>
  </si>
  <si>
    <t xml:space="preserve">New EE: BDR, 2 sales reps, 1 SE, </t>
  </si>
  <si>
    <t>Sara-  monthly commission (2 months)</t>
  </si>
  <si>
    <t>bonus</t>
  </si>
  <si>
    <t>4 HC @$175,000 = $700,000 /12 * 1.5 = ~$100,000</t>
  </si>
  <si>
    <t>Consulting and outsourced work</t>
  </si>
  <si>
    <t>Magdalene 20K</t>
  </si>
  <si>
    <t>Frida Ethan- full month</t>
  </si>
  <si>
    <t>Sarah's commission for Dec deals</t>
  </si>
  <si>
    <t xml:space="preserve">Less marketing expenses </t>
  </si>
  <si>
    <t>Non-HC: PR ($15kx3), Gartner, Forrester @ 12 month contract $100,000/12 *2 = $17k</t>
  </si>
  <si>
    <t>Marketing Expenses- RSA conference+ cybertech NYC (40usd)</t>
  </si>
  <si>
    <t>Travel</t>
  </si>
  <si>
    <t xml:space="preserve"> -   </t>
  </si>
  <si>
    <t>Overhead- Travel</t>
  </si>
  <si>
    <t>Plus Expected 2021 bonuses = $125,000</t>
  </si>
  <si>
    <t>Overhead- increase in License+ IT expenses</t>
  </si>
  <si>
    <t>Plus $80k Colin &amp; $6,250x3 Sarah</t>
  </si>
  <si>
    <t>Total sales and marketing expenses</t>
  </si>
  <si>
    <t>R&amp;D Expenses:</t>
  </si>
  <si>
    <t>will  use the $50,000 as the increase in employees in R&amp;D for Dec</t>
  </si>
  <si>
    <t xml:space="preserve">10 Developers @$120,000x 10 = $1,200,000 /12 x 3 = $300,000 </t>
  </si>
  <si>
    <t>Vardi Daniel- new employee</t>
  </si>
  <si>
    <t>Plus $75k from Delivery</t>
  </si>
  <si>
    <t>Outsourced work</t>
  </si>
  <si>
    <t>Doit 16K+ Snyk 9K</t>
  </si>
  <si>
    <t>Furman Vitaly- new employee</t>
  </si>
  <si>
    <t>50% Bonus from Delivery</t>
  </si>
  <si>
    <t>Product security (21K)+ Architecture professional services (ilana moskovitz- 15K)</t>
  </si>
  <si>
    <t>Plus 2021 expected bonuses = $215,000 (includes $50,000 from Delivery)</t>
  </si>
  <si>
    <t>doit (50K), graphics design (-13K), architectures professional (-12K)</t>
  </si>
  <si>
    <t>Retro Pension during Nov</t>
  </si>
  <si>
    <t>Reclass from COGS</t>
  </si>
  <si>
    <t>(depreciation 3K)+ overhead (more employees)</t>
  </si>
  <si>
    <t>Total research and development expenses</t>
  </si>
  <si>
    <t>G&amp;A Expenses:</t>
  </si>
  <si>
    <t>Salaries and related</t>
  </si>
  <si>
    <t>Nov Actual plus a few hires @</t>
  </si>
  <si>
    <t>Plus 2021 Expected Bonuses = $210,000</t>
  </si>
  <si>
    <t xml:space="preserve">What happened in September? </t>
  </si>
  <si>
    <t xml:space="preserve">Ariel Bonus </t>
  </si>
  <si>
    <t>Reserve refunds - divide between departments</t>
  </si>
  <si>
    <t>Professional fees</t>
  </si>
  <si>
    <t>Ofer bonus2021</t>
  </si>
  <si>
    <t>Jorge- Reclassification to salaries (-95K)+ recruitments (56K)</t>
  </si>
  <si>
    <t>Malka (decrease 28,600)+ recruitment (decrease 30K)</t>
  </si>
  <si>
    <t>Rent and office</t>
  </si>
  <si>
    <t>Orit- new employee</t>
  </si>
  <si>
    <t>Shir Gazit- new employee</t>
  </si>
  <si>
    <t>Total general and administrative expenses</t>
  </si>
  <si>
    <t>Estimate from Malka</t>
  </si>
  <si>
    <t>הוצאות לשלם</t>
  </si>
  <si>
    <t>Total Expenses Including COGS</t>
  </si>
  <si>
    <t>Recruitments (Security)</t>
  </si>
  <si>
    <t>Expected</t>
  </si>
  <si>
    <t>EY-TP</t>
  </si>
  <si>
    <t>G&amp;A</t>
  </si>
  <si>
    <t>Loss from operations</t>
  </si>
  <si>
    <t>EY- TAX PLANNING</t>
  </si>
  <si>
    <t>Marketing</t>
  </si>
  <si>
    <t>Financing income (expenses), net</t>
  </si>
  <si>
    <t>Net loss</t>
  </si>
  <si>
    <t>Bonuses</t>
  </si>
  <si>
    <t>ARR</t>
  </si>
  <si>
    <t>New</t>
  </si>
  <si>
    <t>all bookings will take place in December: all to AR &amp; DF</t>
  </si>
  <si>
    <t>R&amp;D </t>
  </si>
  <si>
    <t>Some increase in revenue from delivered projects</t>
  </si>
  <si>
    <t>Total COGS salaries</t>
  </si>
  <si>
    <t>Total</t>
  </si>
  <si>
    <t>Quadstrade</t>
  </si>
  <si>
    <t>Already Allocated</t>
  </si>
  <si>
    <t>done with this P&amp;L</t>
  </si>
  <si>
    <t>IR Projects</t>
  </si>
  <si>
    <t>xx</t>
  </si>
  <si>
    <t>Should have been</t>
  </si>
  <si>
    <t>Expensed</t>
  </si>
  <si>
    <t>Yet to expense</t>
  </si>
  <si>
    <t>Amount to be allocated in Q4</t>
  </si>
  <si>
    <t>Other Projects</t>
  </si>
  <si>
    <t>Consolidated Statement of Cashflows</t>
  </si>
  <si>
    <t>Actual For the 11 months ended Nov 30, 2021</t>
  </si>
  <si>
    <t>And Estimate for Dec  2021</t>
  </si>
  <si>
    <t>Q4 2021</t>
  </si>
  <si>
    <t>Cash flows from operating activities</t>
  </si>
  <si>
    <t>Net Loss</t>
  </si>
  <si>
    <t>Depreciation</t>
  </si>
  <si>
    <t>Changes in operating asset and liability items:</t>
  </si>
  <si>
    <t>Decrease (increase) in trade receivables</t>
  </si>
  <si>
    <t>Decrease (Increase) in other receivables</t>
  </si>
  <si>
    <t>Increase (decrease) in accounts payables</t>
  </si>
  <si>
    <t>Increase (decrease) in deferred revenues</t>
  </si>
  <si>
    <t>Increase (decrease) in Leasehold liabilities</t>
  </si>
  <si>
    <t>Increase (decrease) in other account payable</t>
  </si>
  <si>
    <t>Net cash flows used in operating activities</t>
  </si>
  <si>
    <t>Cash flows from investing activities</t>
  </si>
  <si>
    <t>Purchase of fixed assets</t>
  </si>
  <si>
    <t>Net cash flows used in investing activities</t>
  </si>
  <si>
    <t>Cash flows from financing activities</t>
  </si>
  <si>
    <t>Proceeds from issuance of Preferred shares, net of issuance costs</t>
  </si>
  <si>
    <t>Net cash flows provided by financing activities</t>
  </si>
  <si>
    <t>Increase(decrease) in cash and cash equivalents</t>
  </si>
  <si>
    <t>Cash and cash equivalents at beginning of period</t>
  </si>
  <si>
    <t>Cash and cash equivalents at end of period (1)</t>
  </si>
  <si>
    <t>Notes:</t>
  </si>
  <si>
    <t>(1) Cash at the end of the period includes Deposits with the Bank</t>
  </si>
  <si>
    <t>Net Burn - Total Cash used excluding Capital Raise</t>
  </si>
  <si>
    <t>Gross Burn</t>
  </si>
  <si>
    <t>Other expenses - R&amp;D</t>
  </si>
  <si>
    <t>Licenses Services</t>
  </si>
  <si>
    <t>Licenses Services splunk</t>
  </si>
  <si>
    <t>Welfare R&amp;D</t>
  </si>
  <si>
    <t>Liscences R&amp;D</t>
  </si>
  <si>
    <t>Other expenses - G&amp;A</t>
  </si>
  <si>
    <t>אגרות בנק הדואר סילב</t>
  </si>
  <si>
    <t>Taxes and fees</t>
  </si>
  <si>
    <t>Welfare</t>
  </si>
  <si>
    <t>Refreshments</t>
  </si>
  <si>
    <t>Employees meals G&amp;A</t>
  </si>
  <si>
    <t>Gifts</t>
  </si>
  <si>
    <t>Welfare G&amp;A</t>
  </si>
  <si>
    <t>Miscellenous</t>
  </si>
  <si>
    <t>Travel, errands</t>
  </si>
  <si>
    <t>Meals</t>
  </si>
  <si>
    <t>Parking</t>
  </si>
  <si>
    <t>Health Insurance Employees</t>
  </si>
  <si>
    <t>UK:</t>
  </si>
  <si>
    <t>private healthcare</t>
  </si>
  <si>
    <t>Travel, public transportation</t>
  </si>
  <si>
    <t>Franchise taxes</t>
  </si>
  <si>
    <t>הפרש</t>
  </si>
  <si>
    <t>שוטפת</t>
  </si>
  <si>
    <t>השקעה</t>
  </si>
  <si>
    <t>מימון</t>
  </si>
  <si>
    <t>הפרשי שער</t>
  </si>
  <si>
    <t>מיון</t>
  </si>
  <si>
    <t>סה"כ</t>
  </si>
  <si>
    <t>בדיקה</t>
  </si>
  <si>
    <t>Cash</t>
  </si>
  <si>
    <t>Deposit</t>
  </si>
  <si>
    <t>Trade receivables</t>
  </si>
  <si>
    <t>FA</t>
  </si>
  <si>
    <t>Share capital+premium</t>
  </si>
  <si>
    <t>Share based compensation</t>
  </si>
  <si>
    <t>Acc. Loss</t>
  </si>
  <si>
    <t>רכישות</t>
  </si>
  <si>
    <t>פחת</t>
  </si>
  <si>
    <t>תמורה</t>
  </si>
  <si>
    <t>הפסד הון</t>
  </si>
  <si>
    <t>Code</t>
  </si>
  <si>
    <t>חשבון</t>
  </si>
  <si>
    <t>תאור החשבון</t>
  </si>
  <si>
    <t>יתרה בדולרים</t>
  </si>
  <si>
    <t>יתרה בשקלים</t>
  </si>
  <si>
    <t>עו""ש בנק הפועלים 662227 ש""ח</t>
  </si>
  <si>
    <t>עו""ש בנק הפועלים 662227 $</t>
  </si>
  <si>
    <t>עו""ש בנק הפועלים GBP 662227</t>
  </si>
  <si>
    <t>עו""ש בנק הפועלים Eur 662227</t>
  </si>
  <si>
    <t>פקדון בנק פועלים</t>
  </si>
  <si>
    <t>פקדון הבטחת אשראי</t>
  </si>
  <si>
    <t>K Research and Development Medical Data Ltd.</t>
  </si>
  <si>
    <t>Etoro Ltd</t>
  </si>
  <si>
    <t>דסשג אחזקות בע""מ</t>
  </si>
  <si>
    <t>מע""מ תשומות</t>
  </si>
  <si>
    <t>מע""מ תשומות ציוד ונכסים</t>
  </si>
  <si>
    <t>חו""ז MITIGA SECURITY INC</t>
  </si>
  <si>
    <t>חו""ז MITIGA US</t>
  </si>
  <si>
    <t>חו""ז MITIGA UK</t>
  </si>
  <si>
    <t>חו""ז בעלים עופר מאור</t>
  </si>
  <si>
    <t>חו""ז בעלים אריאל פרנס</t>
  </si>
  <si>
    <t>חו""ז בעלים אריה קליינשטיין</t>
  </si>
  <si>
    <t>חו""ז בעלים יעקוב סמבורבסקי</t>
  </si>
  <si>
    <t>Investment Mitiga UK</t>
  </si>
  <si>
    <t>הכנסות לקבל מאזן</t>
  </si>
  <si>
    <t>פיקדון שכ""ד - בי אול סנטרס</t>
  </si>
  <si>
    <t>הוצאות מראש</t>
  </si>
  <si>
    <t>הוצאות מראש Finance - Bookkeeping</t>
  </si>
  <si>
    <t>הוצאות מראש Licences</t>
  </si>
  <si>
    <t>הוצאות מראש ביטוח</t>
  </si>
  <si>
    <t>הוצאות מראש Delivery subcontractors</t>
  </si>
  <si>
    <t>פקדון דשסג אחזקות בעמ</t>
  </si>
  <si>
    <t>ריהוט וציוד</t>
  </si>
  <si>
    <t>מקדמות על חשבון רכוש קבוע</t>
  </si>
  <si>
    <t>שיפורים במושכר</t>
  </si>
  <si>
    <t>מחשבים ותוכנות</t>
  </si>
  <si>
    <t>פחת נצבר מחשבים ותוכנות</t>
  </si>
  <si>
    <t>פחת נצבר ריהוט</t>
  </si>
  <si>
    <t>פחת נצבר</t>
  </si>
  <si>
    <t>א. ארי תקשורת ומחשבים</t>
  </si>
  <si>
    <t>ולטיקס בעמ</t>
  </si>
  <si>
    <t>תן ביס</t>
  </si>
  <si>
    <t>אמסלם תיירות ונופש</t>
  </si>
  <si>
    <t>האודן סוכנות לביטוח (2002) בעמ</t>
  </si>
  <si>
    <t>סלקום ישראל בעמ</t>
  </si>
  <si>
    <t>האיש החשוב בעמ</t>
  </si>
  <si>
    <t>אגם לידרים (ישראל) סוכנות לביטוח (2003) בעמ</t>
  </si>
  <si>
    <t>אס.טי.טי.אס STTS</t>
  </si>
  <si>
    <t>גוטפרנדס בעמ</t>
  </si>
  <si>
    <t>אינטסייטס סייבר אינטליג'נס בעמ</t>
  </si>
  <si>
    <t>דואיט אינטרנשיונל בעמ</t>
  </si>
  <si>
    <t>361 - חווית לקוח ייחודית בע״מ</t>
  </si>
  <si>
    <t>ד""ר יהודה ישראלי</t>
  </si>
  <si>
    <t>Bounce security ltd</t>
  </si>
  <si>
    <t>רמות אפ.אם מגדל סי 6 בע""מ</t>
  </si>
  <si>
    <t>אחים וקסמן תעשיות בע""מ</t>
  </si>
  <si>
    <t>אלמוגי עדן</t>
  </si>
  <si>
    <t>אלי פרקש</t>
  </si>
  <si>
    <t>אואזיס טכנולוגיות תקשורת בע""מ</t>
  </si>
  <si>
    <t>SNYK LTD</t>
  </si>
  <si>
    <t>אס קיו לינק בע""מ</t>
  </si>
  <si>
    <t>אוניקום מערכות משולבות בע""מ</t>
  </si>
  <si>
    <t>IDB LLC</t>
  </si>
  <si>
    <t>RAPID</t>
  </si>
  <si>
    <t>PULUMI</t>
  </si>
  <si>
    <t>SFDC IRELAND</t>
  </si>
  <si>
    <t>SANULBY S.A. (""ZYGMUS"")</t>
  </si>
  <si>
    <t>הפרשה לחופשה</t>
  </si>
  <si>
    <t>Bonus povision</t>
  </si>
  <si>
    <t>Bonus provision Ofer</t>
  </si>
  <si>
    <t>חו""ז עובדים</t>
  </si>
  <si>
    <t>אגם לידרים - קופות עובדים</t>
  </si>
  <si>
    <t>הכנסות מראש מאזן</t>
  </si>
  <si>
    <t>Rent Paybale</t>
  </si>
  <si>
    <t>כ.אשראי  6370 - ש""ח</t>
  </si>
  <si>
    <t>מע""מ חו""ז</t>
  </si>
  <si>
    <t>עודפות</t>
  </si>
  <si>
    <t>מס הכנסה ניכויים</t>
  </si>
  <si>
    <t>ביטוח לאומי ניכויים</t>
  </si>
  <si>
    <t>Legal - Round / Special Fees</t>
  </si>
  <si>
    <t>רם יולוס - השקעה ש""ח</t>
  </si>
  <si>
    <t>Ram Joulus - השקעה יורו</t>
  </si>
  <si>
    <t>David Buchler - השקעה</t>
  </si>
  <si>
    <t>Rain Capital - השקעה</t>
  </si>
  <si>
    <t>Direct Roun D L - השקעה</t>
  </si>
  <si>
    <t>Blu Ocean OPP - השקעה</t>
  </si>
  <si>
    <t>Karen Kipman R - השקעה</t>
  </si>
  <si>
    <t>במות השקעות- השקעה</t>
  </si>
  <si>
    <t>Key Capital - השקעה</t>
  </si>
  <si>
    <t>קלינשטיין אריה - השקעה</t>
  </si>
  <si>
    <t>Samborski An - השקעה</t>
  </si>
  <si>
    <t>Janis Johns - השקעה</t>
  </si>
  <si>
    <t>Pico Partner - השקעה</t>
  </si>
  <si>
    <t>Assaf Rappap - השקעה</t>
  </si>
  <si>
    <t>Boyle Law pll-השקעה</t>
  </si>
  <si>
    <t>Clearsky secur-השקעה</t>
  </si>
  <si>
    <t>הון מניות רגילות</t>
  </si>
  <si>
    <t>הון מניות בכורה סיד1</t>
  </si>
  <si>
    <t>FLIN CAPITAL - השקעה</t>
  </si>
  <si>
    <t>הון מניות בכורה סיד2</t>
  </si>
  <si>
    <t>NEX PARTNERS - השקעה</t>
  </si>
  <si>
    <t>פרמיה על מניות</t>
  </si>
  <si>
    <t>יתרת רווח/הפסד</t>
  </si>
  <si>
    <t>Share based payment</t>
  </si>
  <si>
    <t>הכנסות ממכירות בארץ</t>
  </si>
  <si>
    <t>הכנסות לקבל/מראש רו""ה</t>
  </si>
  <si>
    <t>הכנסות פטורות</t>
  </si>
  <si>
    <t>תמורה ממכירת רכוש קבוע מדווח מע""מ</t>
  </si>
  <si>
    <t>תמורה ממכירת רכוש קבוע לא מדווח</t>
  </si>
  <si>
    <t>רווח/הפסד הון</t>
  </si>
  <si>
    <t>Direct project expenses</t>
  </si>
  <si>
    <t>Salary expenses G&amp;A</t>
  </si>
  <si>
    <t>Social sec expenses G&amp;A</t>
  </si>
  <si>
    <t>Employer pension expenses G&amp;A</t>
  </si>
  <si>
    <t>Employer study fund expenses G&amp;A</t>
  </si>
  <si>
    <t>Shovi credit G&amp;A</t>
  </si>
  <si>
    <t>Shovi debit G&amp;A</t>
  </si>
  <si>
    <t>Reserve rewards</t>
  </si>
  <si>
    <t>הוצאות חופשה הנה""כ</t>
  </si>
  <si>
    <t>הוצאות חופשה מו""פ</t>
  </si>
  <si>
    <t>הוצאות חופשה תפעול</t>
  </si>
  <si>
    <t>הוצאות חופשה מכירות</t>
  </si>
  <si>
    <t>קנסות ממוסדות</t>
  </si>
  <si>
    <t>Rent - Offices, Israel</t>
  </si>
  <si>
    <t>IT expenses</t>
  </si>
  <si>
    <t>Communication expenses</t>
  </si>
  <si>
    <t>Office expenses</t>
  </si>
  <si>
    <t>Licenses R&amp;D</t>
  </si>
  <si>
    <t>Licenses</t>
  </si>
  <si>
    <t>Licenses S&amp;M</t>
  </si>
  <si>
    <t>Licenses G&amp;A</t>
  </si>
  <si>
    <t>Office maintenance</t>
  </si>
  <si>
    <t>IT expenses R&amp;D</t>
  </si>
  <si>
    <t>Welfare - HR</t>
  </si>
  <si>
    <t>Hosting overseas guests</t>
  </si>
  <si>
    <t>Employees meals S&amp;M</t>
  </si>
  <si>
    <t>Employees meals R&amp;D</t>
  </si>
  <si>
    <t>Employees meals Services</t>
  </si>
  <si>
    <t>Welfare - Services</t>
  </si>
  <si>
    <t>Gifts G&amp;A</t>
  </si>
  <si>
    <t>Gifts R&amp;D</t>
  </si>
  <si>
    <t>Gifts S&amp;M</t>
  </si>
  <si>
    <t>Gifts Services</t>
  </si>
  <si>
    <t>Gifts HR</t>
  </si>
  <si>
    <t>Director &amp; Company Insurance</t>
  </si>
  <si>
    <t>Office Insurance</t>
  </si>
  <si>
    <t>Employee funds services</t>
  </si>
  <si>
    <t>Recruitment</t>
  </si>
  <si>
    <t>אחזקת מחשבים ותוכנות</t>
  </si>
  <si>
    <t>Travel expenses</t>
  </si>
  <si>
    <t>Ariel- USA 22/05/21-29/05/21</t>
  </si>
  <si>
    <t>Ofer- USA 11/07/21-22/07/21</t>
  </si>
  <si>
    <t>Tal Mozes UK 08/10/21-15/10/21</t>
  </si>
  <si>
    <t>ofer maor_us_14/11/21-20/11/21</t>
  </si>
  <si>
    <t>Tal Mozes_London_05/11/21-12/11/21</t>
  </si>
  <si>
    <t>Ofer US 5/12/2021-13/12/2021</t>
  </si>
  <si>
    <t>Tal Mozes UK-NY 4/12/21-10/12/21</t>
  </si>
  <si>
    <t>Ofer Maor - services</t>
  </si>
  <si>
    <t>Ariel Parnes - services</t>
  </si>
  <si>
    <t>Delivery subcontractors</t>
  </si>
  <si>
    <t>Legal Retainer</t>
  </si>
  <si>
    <t>Finance - Bookkeeping</t>
  </si>
  <si>
    <t>Professional Services G&amp;A</t>
  </si>
  <si>
    <t>HR Retainer</t>
  </si>
  <si>
    <t>Meitav Dash - options ESOP</t>
  </si>
  <si>
    <t>Architecture professional services</t>
  </si>
  <si>
    <t>US Manager</t>
  </si>
  <si>
    <t>Salary expenses Sales</t>
  </si>
  <si>
    <t>Social sec expenses S&amp;M</t>
  </si>
  <si>
    <t>Employer pension expenses S&amp;M</t>
  </si>
  <si>
    <t>Employer study fund expenses S&amp;M</t>
  </si>
  <si>
    <t>Shovi credit S&amp;M</t>
  </si>
  <si>
    <t>Shovi debit S&amp;M</t>
  </si>
  <si>
    <t>Branding &amp; Website</t>
  </si>
  <si>
    <t>Conferences</t>
  </si>
  <si>
    <t>נסיעות לחול</t>
  </si>
  <si>
    <t>Welfare US</t>
  </si>
  <si>
    <t>UK Welfare</t>
  </si>
  <si>
    <t>Salary expenses HR</t>
  </si>
  <si>
    <t>Social sec expenses HR</t>
  </si>
  <si>
    <t>Employer pension expenses HR</t>
  </si>
  <si>
    <t>Employer study fund expenses HR</t>
  </si>
  <si>
    <t>Shovi credit HR</t>
  </si>
  <si>
    <t>Shovi debit HR</t>
  </si>
  <si>
    <t>Bonus provision G&amp;A</t>
  </si>
  <si>
    <t>Salary expenses R&amp;D</t>
  </si>
  <si>
    <t>Social sec expenses R&amp;D</t>
  </si>
  <si>
    <t>Employer pension expenses R&amp;D</t>
  </si>
  <si>
    <t>Employer study fund expenses R&amp;D</t>
  </si>
  <si>
    <t>Shovi credit R&amp;D</t>
  </si>
  <si>
    <t>Shovi debit R&amp;D</t>
  </si>
  <si>
    <t>Bonus provision R&amp;D</t>
  </si>
  <si>
    <t>Salary expenses Cyber Oper</t>
  </si>
  <si>
    <t>Social sec expenses Cyber Oper</t>
  </si>
  <si>
    <t>Employer pension expenses Cyber Oper</t>
  </si>
  <si>
    <t>Employer study fund expenses Cyber Oper</t>
  </si>
  <si>
    <t>Shovi credit Cyber Oper</t>
  </si>
  <si>
    <t>Shovi debit Cyber Oper</t>
  </si>
  <si>
    <t>Vacation redemption Cyber Operations</t>
  </si>
  <si>
    <t>Bonus provision- delivery</t>
  </si>
  <si>
    <t>Cloud Services / Licenses Cyber Cap</t>
  </si>
  <si>
    <t>Threat Intel Feeds</t>
  </si>
  <si>
    <t>Graphics UI UX Design</t>
  </si>
  <si>
    <t>product security.</t>
  </si>
  <si>
    <t>הוצאות פחת Services</t>
  </si>
  <si>
    <t>הוצאות פחת G&amp;A</t>
  </si>
  <si>
    <t>הוצאות פחת R&amp;D</t>
  </si>
  <si>
    <t>הוצאות פחת S&amp;M</t>
  </si>
  <si>
    <t>ריבית בנקים</t>
  </si>
  <si>
    <t>ריבית מפקדון</t>
  </si>
  <si>
    <t>ריבית מוסדות</t>
  </si>
  <si>
    <t>עמלות בנקים</t>
  </si>
  <si>
    <t>עמלות כרטיסי אשראי</t>
  </si>
  <si>
    <t>ביטול יתרות</t>
  </si>
  <si>
    <t>Ent.</t>
  </si>
  <si>
    <t>TB Number</t>
  </si>
  <si>
    <t>Client Acc</t>
  </si>
  <si>
    <t>NIS</t>
  </si>
  <si>
    <t>no</t>
  </si>
  <si>
    <t>number</t>
  </si>
  <si>
    <t>Debit  חובה</t>
  </si>
  <si>
    <t>Credit  זכות</t>
  </si>
  <si>
    <t>Acct. Description</t>
  </si>
  <si>
    <t>Detailes</t>
  </si>
  <si>
    <t>Overhead</t>
  </si>
  <si>
    <t>Reclass -  from cogs to R&amp;D</t>
  </si>
  <si>
    <t>Reclass Ofer and Ariel's fee</t>
  </si>
  <si>
    <t>Ofer's bonus</t>
  </si>
  <si>
    <t>Rev rec</t>
  </si>
  <si>
    <t>ביטול ניפוח ספקים בחובה</t>
  </si>
  <si>
    <t>ולטיקס+ האיש החשוב</t>
  </si>
  <si>
    <t>התאמה בינחברתית עם SECURITY</t>
  </si>
  <si>
    <t>שם חשבון</t>
  </si>
  <si>
    <t>קוד</t>
  </si>
  <si>
    <t>כ.אשראי  6362$</t>
  </si>
  <si>
    <t>כ.אשראי 6370 אירו</t>
  </si>
  <si>
    <t>כ.אשראי דירקט 3510</t>
  </si>
  <si>
    <t>משה גרבלי -סי.דיסק מעבדות</t>
  </si>
  <si>
    <t>סלקום ישראל בע"מ</t>
  </si>
  <si>
    <t>שיר משרד עורכי דין</t>
  </si>
  <si>
    <t>מיטב דש בנפיטס בע"מ</t>
  </si>
  <si>
    <t>היל טופ סנטר בע"מ- בי אול סנטרס</t>
  </si>
  <si>
    <t>אינקוד הייפרה בע"מ</t>
  </si>
  <si>
    <t>פוקס הום</t>
  </si>
  <si>
    <t>סרוויס וויז ישומים עסקיים בע"מ</t>
  </si>
  <si>
    <t>SANULBY S.A. ("ZYGMUS")</t>
  </si>
  <si>
    <t>מיליון כסאות בע"מ</t>
  </si>
  <si>
    <t>הפניקס</t>
  </si>
  <si>
    <t>אוניברסיטת תל-אביב</t>
  </si>
  <si>
    <t>אוקינוס חברה בע"מ</t>
  </si>
  <si>
    <t>גרפוב עינת- Mondeo</t>
  </si>
  <si>
    <t>דואיט אינטרנשיונל בע"מ</t>
  </si>
  <si>
    <t>מע"מ חו"ז</t>
  </si>
  <si>
    <t>מע"מ עסקאות</t>
  </si>
  <si>
    <t>חו"ז MITIGA SECURITY INC</t>
  </si>
  <si>
    <t>תום כהן</t>
  </si>
  <si>
    <t>פיקדון שכ"ד - בי אול סנטרס</t>
  </si>
  <si>
    <t>הוצאות מראש Threat Intelligence</t>
  </si>
  <si>
    <t>הוצאות מראש Licences R&amp;D</t>
  </si>
  <si>
    <t>הוצאות מראש  Licences Services</t>
  </si>
  <si>
    <t>הוצאות מראש  שירותי נאמנות אופציות</t>
  </si>
  <si>
    <t>הכנסות לקבל/מראש רו"ה</t>
  </si>
  <si>
    <t>שירותים מקצועיים (G&amp;A)</t>
  </si>
  <si>
    <t>Professional Services</t>
  </si>
  <si>
    <t>הוצאות חופשה מו"פ</t>
  </si>
  <si>
    <t>שירותי נאמנות אופציות - מיטב דש בנפיטס</t>
  </si>
  <si>
    <t>נסיעות לחו"ל עופר- 2019</t>
  </si>
  <si>
    <t>Tal- Israel 06/01/21-22/01/21</t>
  </si>
  <si>
    <t>UI/UX Developer</t>
  </si>
  <si>
    <t>Wellfare R&amp;D</t>
  </si>
  <si>
    <t>Other contractors R&amp;D</t>
  </si>
  <si>
    <t>Konfidas</t>
  </si>
  <si>
    <t>PortNox</t>
  </si>
  <si>
    <t>Microsoft Israel R&amp;D</t>
  </si>
  <si>
    <t>Uri Meirovitch Public Relations</t>
  </si>
  <si>
    <t>S CUBE</t>
  </si>
  <si>
    <t>Omer Hacohen</t>
  </si>
  <si>
    <t>Kesselman &amp; Kesselman- PWC</t>
  </si>
  <si>
    <t>Tamar Kaptobski</t>
  </si>
  <si>
    <t>Elkobi Reem- Bar Yogo</t>
  </si>
  <si>
    <t>T PRIMES YONATAN</t>
  </si>
  <si>
    <t>מכשירי חשמל אריה</t>
  </si>
  <si>
    <t>GitLab Inc</t>
  </si>
  <si>
    <t>אלקיים לירן</t>
  </si>
  <si>
    <t>הוצאות מראש Ariel Parnes - services</t>
  </si>
  <si>
    <t>Mitiga-UK Ltd</t>
  </si>
  <si>
    <t>מונדו בלוינסקי בעמ</t>
  </si>
  <si>
    <t>מגלד גיל- צילום</t>
  </si>
  <si>
    <t>גאדג'טשופ יבוא יצוא</t>
  </si>
  <si>
    <t>א. מ. ת. מיחשוב בעמ</t>
  </si>
  <si>
    <t>כ.אשראי דירקט 6864</t>
  </si>
  <si>
    <t>אילנה מוסקוביץ</t>
  </si>
  <si>
    <t>שומר אנדרי</t>
  </si>
  <si>
    <t>איתי ויצר</t>
  </si>
  <si>
    <t>עומר כהן</t>
  </si>
  <si>
    <t>לב קורדונסקי</t>
  </si>
  <si>
    <t>כ. אשראי 6370$</t>
  </si>
  <si>
    <t>מלמד מנחם מנדל-המוזג</t>
  </si>
  <si>
    <t>בן-נתן אלונה</t>
  </si>
  <si>
    <t>מיכאל קולוטוב BlueTM</t>
  </si>
  <si>
    <t>א.אפלבאום</t>
  </si>
  <si>
    <t>אא פרשאיט</t>
  </si>
  <si>
    <t>SLACK</t>
  </si>
  <si>
    <t>WhoisXML API</t>
  </si>
  <si>
    <t>פיקדון לשיפוץ</t>
  </si>
  <si>
    <t>ששון ישראל</t>
  </si>
  <si>
    <t>Linkedin Ireland</t>
  </si>
  <si>
    <t>גלואט בע""מ</t>
  </si>
  <si>
    <t>ישראל עם רומן</t>
  </si>
  <si>
    <t>Tal Mozes Virginatlantic 08/10/21-15/10/21</t>
  </si>
  <si>
    <t>חן גבעתי</t>
  </si>
  <si>
    <t>לחמים מאפייה ואספרסו בר בע""מ</t>
  </si>
  <si>
    <t>ספקים שונים שח</t>
  </si>
  <si>
    <t>ספקים שונים $ דולר</t>
  </si>
  <si>
    <t>כ.אשראי 6362 אירו</t>
  </si>
  <si>
    <t>טולמנס בע""מ</t>
  </si>
  <si>
    <t>תאור חשבון</t>
  </si>
  <si>
    <t>יתרה</t>
  </si>
  <si>
    <t>הערה</t>
  </si>
  <si>
    <t>Mitiga UK LTD</t>
  </si>
  <si>
    <t>Mitiga LTD</t>
  </si>
  <si>
    <t>Retained Earnings - Prior</t>
  </si>
  <si>
    <t>Revenues accrual - P&amp;L</t>
  </si>
  <si>
    <t>Fees and taxes</t>
  </si>
  <si>
    <t>Business owner insurance</t>
  </si>
  <si>
    <t>General Liability workers insurance</t>
  </si>
  <si>
    <t>Bank Interest</t>
  </si>
  <si>
    <t>Ent. No</t>
  </si>
  <si>
    <t>Rev. recognition</t>
  </si>
  <si>
    <t>הכנסות מראש/לקבל רו"ח</t>
  </si>
  <si>
    <t>יתרה בלירה שטרלינג</t>
  </si>
  <si>
    <t>barclays-UK Bank GBP</t>
  </si>
  <si>
    <t>SVB- UK Bank GBP</t>
  </si>
  <si>
    <t>CARD COLLATERAL ACCOUNT</t>
  </si>
  <si>
    <t>Tax deduction by customers</t>
  </si>
  <si>
    <t>Accumulated depreciation</t>
  </si>
  <si>
    <t>Ignition Law</t>
  </si>
  <si>
    <t>Roofoods Ltd- Deliveroo</t>
  </si>
  <si>
    <t>Icy Mango Web Services Ltd</t>
  </si>
  <si>
    <t>Mitiga Ltd</t>
  </si>
  <si>
    <t>Mitiga USA</t>
  </si>
  <si>
    <t>Vacation provision</t>
  </si>
  <si>
    <t>Bonus provision</t>
  </si>
  <si>
    <t>Bonus Provision Tal</t>
  </si>
  <si>
    <t>VAT account</t>
  </si>
  <si>
    <t>VAT Transactions</t>
  </si>
  <si>
    <t>VAT estimation</t>
  </si>
  <si>
    <t>Income Tax and NI Deductions - PAYE</t>
  </si>
  <si>
    <t>TREVOR YU</t>
  </si>
  <si>
    <t>ROB FLOODEEN</t>
  </si>
  <si>
    <t>Daniel Wilcox</t>
  </si>
  <si>
    <t>Pension Liability</t>
  </si>
  <si>
    <t>Retained earnings</t>
  </si>
  <si>
    <t>Share Capital</t>
  </si>
  <si>
    <t>Revenues Accrual - P&amp;L</t>
  </si>
  <si>
    <t>Revenue $</t>
  </si>
  <si>
    <t>Tal 2021 allowance for NI employer</t>
  </si>
  <si>
    <t>Trevor 2021 allowance for NI employer</t>
  </si>
  <si>
    <t>Colin 2021 allowance for NI employer</t>
  </si>
  <si>
    <t>Vacation expenses provision G&amp;A</t>
  </si>
  <si>
    <t>National Insurance G&amp;A</t>
  </si>
  <si>
    <t>Vacation expenses provision Delivery</t>
  </si>
  <si>
    <t>Bonus provision delivery</t>
  </si>
  <si>
    <t>Salary expenses S&amp;M</t>
  </si>
  <si>
    <t>National Insurance S&amp;M</t>
  </si>
  <si>
    <t>Vacation expenses provision Sales</t>
  </si>
  <si>
    <t>Bonus provision Sales</t>
  </si>
  <si>
    <t>Bonus Provision G&amp;A</t>
  </si>
  <si>
    <t>Salary expenses VP Consulting</t>
  </si>
  <si>
    <t>National Insurance VP Consulting</t>
  </si>
  <si>
    <t>Employer pension expenses VP Consulting</t>
  </si>
  <si>
    <t>Salary expenses Consultancy &amp; Services</t>
  </si>
  <si>
    <t>AVIVA Health Insurance Employees G&amp;A</t>
  </si>
  <si>
    <t>AVIVA Health Insurance Employees Services</t>
  </si>
  <si>
    <t>AVIVA Health Insurance Employees S&amp;M</t>
  </si>
  <si>
    <t>P11D Benefits G&amp;A Debit</t>
  </si>
  <si>
    <t>P11D Benefits G&amp;A Credit</t>
  </si>
  <si>
    <t>P11D Benefits Services Debit</t>
  </si>
  <si>
    <t>P11D Benefits Services Credit</t>
  </si>
  <si>
    <t>Zurich life insurance colin</t>
  </si>
  <si>
    <t>Rent UK offices</t>
  </si>
  <si>
    <t>Mobile expenses and communications</t>
  </si>
  <si>
    <t>Adobe Systems Software</t>
  </si>
  <si>
    <t>Annual Membership</t>
  </si>
  <si>
    <t>Insurance services</t>
  </si>
  <si>
    <t>Errands</t>
  </si>
  <si>
    <t>Rob's Visa</t>
  </si>
  <si>
    <t>Alex Visa</t>
  </si>
  <si>
    <t>Trevor IL- 11.2021</t>
  </si>
  <si>
    <t>Tal IL 10-11.2021</t>
  </si>
  <si>
    <t>Robert Floodeen_Tel aviv_10-16/10/21</t>
  </si>
  <si>
    <t>Tal-Israel 06/01/2021-22/01/2021</t>
  </si>
  <si>
    <t>Tal-Israel 03/6/2021-10/06/2021</t>
  </si>
  <si>
    <t>Linkedin Sales nevigetor</t>
  </si>
  <si>
    <t>trademark application</t>
  </si>
  <si>
    <t>Professional services (G&amp;A)</t>
  </si>
  <si>
    <t>Legal UK</t>
  </si>
  <si>
    <t>Finance - Retainer UK</t>
  </si>
  <si>
    <t>GA Depreciation expenses</t>
  </si>
  <si>
    <t>Depreciation Expenses Cyv</t>
  </si>
  <si>
    <t>Depreciation Expenses s/m</t>
  </si>
  <si>
    <t>ריבית בנק</t>
  </si>
  <si>
    <t>Bank fees</t>
  </si>
  <si>
    <t>Exchange rate Differences</t>
  </si>
  <si>
    <t>Cancellation balances</t>
  </si>
  <si>
    <t>Fee of the credit card</t>
  </si>
  <si>
    <t>UK Bank $</t>
  </si>
  <si>
    <t>Global Mission Support Services, Ltd.</t>
  </si>
  <si>
    <t>LUSHA.CO</t>
  </si>
  <si>
    <t>ADOBE ACROPRO</t>
  </si>
  <si>
    <t>THE ARTS CLUB</t>
  </si>
  <si>
    <t>COLIN GLENN</t>
  </si>
  <si>
    <t>הכנסות לקבל/מראש רווח והפסד</t>
  </si>
  <si>
    <t>Mentimeter - לא לשימוש מ06.20</t>
  </si>
  <si>
    <t>Depreciation expenses</t>
  </si>
  <si>
    <t>Salary expenses Services</t>
  </si>
  <si>
    <t>National Insurance Services</t>
  </si>
  <si>
    <t>Employer pension expenses Services</t>
  </si>
  <si>
    <t>Trevor- Copenhagen 12/08/20</t>
  </si>
  <si>
    <t>2021 allowance for NI employer</t>
  </si>
  <si>
    <t>Vacation expenses provision Services</t>
  </si>
  <si>
    <t>Vacation expenses provision S&amp;M</t>
  </si>
  <si>
    <t>Sterling &amp; Law Associates LLP</t>
  </si>
  <si>
    <t>other</t>
  </si>
  <si>
    <t>Credit Card</t>
  </si>
  <si>
    <t>AnswerConnect</t>
  </si>
  <si>
    <t>EIGHT MEMBERS CLUB</t>
  </si>
  <si>
    <t>Liran Perez</t>
  </si>
  <si>
    <t>GBP</t>
  </si>
  <si>
    <t>מיון שכר טרבור בחצי שנה ראשונה ל- COGS</t>
  </si>
  <si>
    <t>SVB Bank</t>
  </si>
  <si>
    <t>$ Deposit SVB</t>
  </si>
  <si>
    <t>Eversheds Sutherland (US) LLP</t>
  </si>
  <si>
    <t>Investment Mitiga Israel</t>
  </si>
  <si>
    <t>Accured revenues - Balance sheet</t>
  </si>
  <si>
    <t>BS- deferred income</t>
  </si>
  <si>
    <t>הוצאות מראש ביטוח Directors and officers</t>
  </si>
  <si>
    <t>הוצאות מראש Licenses</t>
  </si>
  <si>
    <t>הוצאות מראש Marketing</t>
  </si>
  <si>
    <t>Computers &amp; Softwares</t>
  </si>
  <si>
    <t>Forgues Consulting, LLC</t>
  </si>
  <si>
    <t>4AM Demand</t>
  </si>
  <si>
    <t>Broadgate Search trading</t>
  </si>
  <si>
    <t>AimPointGroup,LLC</t>
  </si>
  <si>
    <t>Zuzana Kudelova</t>
  </si>
  <si>
    <t>EY- Kost Forer Gabbay and Kasierer</t>
  </si>
  <si>
    <t>MITIGA INC</t>
  </si>
  <si>
    <t>Mitiga UK Ltd</t>
  </si>
  <si>
    <t>Accured expenses</t>
  </si>
  <si>
    <t>Commission provision</t>
  </si>
  <si>
    <t>Ariel Credit Card 1330</t>
  </si>
  <si>
    <t>Investment DIRECT ROUND LIMITED</t>
  </si>
  <si>
    <t>Investment DNX PARTNERS S-III, LP</t>
  </si>
  <si>
    <t>Investment FLINT CAPITALII LP</t>
  </si>
  <si>
    <t>Investment ATLANTIC BRIDGE IV</t>
  </si>
  <si>
    <t>investment CLEARSKY SECURITY FUND I LLC</t>
  </si>
  <si>
    <t>investment DNX PARTNERS JAPAN</t>
  </si>
  <si>
    <t>Investment DNX PARTNERS III, LP</t>
  </si>
  <si>
    <t>Investment BLACKSTONE INNOVATIONS LLC</t>
  </si>
  <si>
    <t>Preferred share</t>
  </si>
  <si>
    <t>Share capital</t>
  </si>
  <si>
    <t>Share premium</t>
  </si>
  <si>
    <t>share based payments - Balance sheet</t>
  </si>
  <si>
    <t>Accured revenues - P&amp;L</t>
  </si>
  <si>
    <t>ANNE- Earnings expenses</t>
  </si>
  <si>
    <t>ANNE- Employer Taxes/Contributions</t>
  </si>
  <si>
    <t>ANNE- Workers' Compensation</t>
  </si>
  <si>
    <t>BOB- Earnings expenses</t>
  </si>
  <si>
    <t>BOB- Employer Taxes/Contributions</t>
  </si>
  <si>
    <t>BOB- Workers' Compensation</t>
  </si>
  <si>
    <t>Health Insurance Employees-Anne</t>
  </si>
  <si>
    <t>Health Insurance Employees-Andrew</t>
  </si>
  <si>
    <t>Health Insurance Employees-Bob</t>
  </si>
  <si>
    <t>401K-Bob</t>
  </si>
  <si>
    <t>Haidee- Earnings expenses</t>
  </si>
  <si>
    <t>Haidee- Employer Taxes/Contributions</t>
  </si>
  <si>
    <t>Haidee-Workers' Compensation</t>
  </si>
  <si>
    <t>Haidee-Health Insurance Employees</t>
  </si>
  <si>
    <t>401 Haidee</t>
  </si>
  <si>
    <t>Health Insurance US Manager</t>
  </si>
  <si>
    <t>Health Insurance CMO/Dir. Marketing</t>
  </si>
  <si>
    <t>Office Rental</t>
  </si>
  <si>
    <t>Licenses Operation</t>
  </si>
  <si>
    <t>Travel Marketing</t>
  </si>
  <si>
    <t>Travel G&amp;A</t>
  </si>
  <si>
    <t>Payroll Fees</t>
  </si>
  <si>
    <t>cyb Depreciation expenses</t>
  </si>
  <si>
    <t>Marketing Depreciation expenses</t>
  </si>
  <si>
    <t>Sales Depriciation expenses</t>
  </si>
  <si>
    <t>G&amp;A Depreciation expenses</t>
  </si>
  <si>
    <t>Ariel USA-IL 10-16.10.21</t>
  </si>
  <si>
    <t>Andrew US-IL 2.8-15.9.21</t>
  </si>
  <si>
    <t>Ariel USA-IL 5-12.11.2021</t>
  </si>
  <si>
    <t>Exchange Rate Adjustments</t>
  </si>
  <si>
    <t>Ariel Parnas- delivery</t>
  </si>
  <si>
    <t>Ariel Parnas-Earnings expenses</t>
  </si>
  <si>
    <t>Ariel Parnas-Employer Taxes/Contributions</t>
  </si>
  <si>
    <t>Ariel-Workers Compensation</t>
  </si>
  <si>
    <t>Ariel 401</t>
  </si>
  <si>
    <t>Andrew-401K</t>
  </si>
  <si>
    <t>Health Insurance Employees-Ariel</t>
  </si>
  <si>
    <t>Anne- 401K</t>
  </si>
  <si>
    <t>Bonus provision- Marketing</t>
  </si>
  <si>
    <t>Commission expenses- Sales</t>
  </si>
  <si>
    <t>Andrew- Earnings expenses</t>
  </si>
  <si>
    <t>Delivery-Earnings expenses</t>
  </si>
  <si>
    <t>Delivery-Employer Taxes/Contributions</t>
  </si>
  <si>
    <t>Delivery-Workers' Compensation</t>
  </si>
  <si>
    <t>Delivery-Health Insurance Employees</t>
  </si>
  <si>
    <t>Andrew- Employer Taxes/Contributions</t>
  </si>
  <si>
    <t>Andrew- Workers Compensation</t>
  </si>
  <si>
    <t>Jonas- Earnings expenses</t>
  </si>
  <si>
    <t>Jonas- Employer Taxes/Contributions</t>
  </si>
  <si>
    <t>Jonas-Workers' Compensation</t>
  </si>
  <si>
    <t>Jonas-Health Insurance Employees</t>
  </si>
  <si>
    <t>Jonas 401</t>
  </si>
  <si>
    <t>Health Insurance Operation</t>
  </si>
  <si>
    <t>Interest income on deposits</t>
  </si>
  <si>
    <t>Balance cancelations</t>
  </si>
  <si>
    <t>Sharah- Earnings expenses</t>
  </si>
  <si>
    <t>Sharah- Employer Taxes/Contributions</t>
  </si>
  <si>
    <t>Sharah- Workers Compensation</t>
  </si>
  <si>
    <t>Sales expenses</t>
  </si>
  <si>
    <t>G&amp;A Earnings expenses</t>
  </si>
  <si>
    <t>G&amp;A - Employer Taxes/Contributions</t>
  </si>
  <si>
    <t>G&amp;A Workers Compensation</t>
  </si>
  <si>
    <t>G&amp;A-Health Insurance Employees</t>
  </si>
  <si>
    <t>Delivery Subcontractors</t>
  </si>
  <si>
    <t>Finance - Audit</t>
  </si>
  <si>
    <t>CFO Services</t>
  </si>
  <si>
    <t>recruitment</t>
  </si>
  <si>
    <t>640-0</t>
  </si>
  <si>
    <t>Miscellaneous</t>
  </si>
  <si>
    <t>Reclass Ariel's pay to G&amp;A</t>
  </si>
  <si>
    <t>Acct #</t>
  </si>
  <si>
    <t>Details</t>
  </si>
  <si>
    <t>Dinsmore Designs, LLC</t>
  </si>
  <si>
    <t>William Beer</t>
  </si>
  <si>
    <t>Zoominfo</t>
  </si>
  <si>
    <t>Cyb Depreciation expenses</t>
  </si>
  <si>
    <t>Andrew- Service fee Expenses</t>
  </si>
  <si>
    <t>HubSpot Ireland Limited</t>
  </si>
  <si>
    <t>Provision for vacation</t>
  </si>
  <si>
    <t>BOB- Service fee Expenses</t>
  </si>
  <si>
    <t>vacation expenses S&amp;M</t>
  </si>
  <si>
    <t>vacation expenses services</t>
  </si>
  <si>
    <t>Worthy, Inc</t>
  </si>
  <si>
    <t>Escalate PR,LLC</t>
  </si>
  <si>
    <t>401-0</t>
  </si>
  <si>
    <t>Other Vendors</t>
  </si>
  <si>
    <t>APPLE</t>
  </si>
  <si>
    <t>IT expenses S&amp;M</t>
  </si>
  <si>
    <t>Stott and May Inc</t>
  </si>
  <si>
    <t>Brian Carter</t>
  </si>
  <si>
    <t>Comexposium US, LLC</t>
  </si>
  <si>
    <t>Norton Rose Fulbright Canada</t>
  </si>
  <si>
    <t>Nth Degree Inc on behalf of RSA</t>
  </si>
  <si>
    <t>vacation expenses G&amp;A</t>
  </si>
  <si>
    <t>vacation expenses Sales</t>
  </si>
  <si>
    <t>Office Expenses - IT</t>
  </si>
  <si>
    <t>Cloud Security Alliance- CSA</t>
  </si>
  <si>
    <t>Rachel Bay</t>
  </si>
  <si>
    <t>Forte'-Talent Acquisition, LLC</t>
  </si>
  <si>
    <t>B&amp;H PHOTO</t>
  </si>
  <si>
    <t>Haidee</t>
  </si>
  <si>
    <t>We Work</t>
  </si>
  <si>
    <t>LOEB&amp;LOEB</t>
  </si>
  <si>
    <t>Conference and Publication Services, LLC</t>
  </si>
  <si>
    <t>ERIK ZAIKOWSKI</t>
  </si>
  <si>
    <t>Forrester Research, Inc.</t>
  </si>
  <si>
    <t>Silver Jacket Communications</t>
  </si>
  <si>
    <t>Tally and Mass, LLC</t>
  </si>
  <si>
    <t>AMAZON</t>
  </si>
  <si>
    <t>מיון חשבונית של באס מההון להוצאות משפטיות</t>
  </si>
  <si>
    <t>תיקון י.פ</t>
  </si>
  <si>
    <t>מיון מקדמות על חשבון רכוש קבוע להוצאות מראש (בעקבות הביקורת)</t>
  </si>
  <si>
    <t>הפסד הון בגין יתרת חייבים ל mitiga usa inc (חברה נסגרה) לסוף שנה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</si>
</sst>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4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 * #,##0.00_ ;_ * \-#,##0.00_ ;_ * &quot;-&quot;??_ ;_ @_ "/>
    <numFmt numFmtId="165" formatCode="_-* #,##0_-;\-* #,##0_-;_-* &quot;-&quot;_-;_-@_-"/>
    <numFmt numFmtId="166" formatCode="_-* #,##0.00_-;\-* #,##0.00_-;_-* &quot;-&quot;??_-;_-@_-"/>
    <numFmt numFmtId="167" formatCode="_-* #,##0_-;\-* #,##0_-;_-* &quot;-&quot;??_-;_-@_-"/>
    <numFmt numFmtId="168" formatCode="#,##0;[Red]\(#,##0\)"/>
    <numFmt numFmtId="169" formatCode="#,##0.00000000;[Red]\(#,##0.00000000\)"/>
    <numFmt numFmtId="170" formatCode="_-* #,##0.00_-;\-* #,##0.00_-;_-* &quot;-&quot;_-;_-@_-"/>
    <numFmt numFmtId="171" formatCode="_(* #,##0_);_(* \(#,##0\);_(* &quot;-&quot;??_);_(@_)"/>
    <numFmt numFmtId="172" formatCode="_ [$₪-40D]\ * #,##0.00_ ;_ [$₪-40D]\ * \-#,##0.00_ ;_ [$₪-40D]\ * &quot;-&quot;??_ ;_ @_ "/>
    <numFmt numFmtId="173" formatCode="0.00000000"/>
    <numFmt numFmtId="174" formatCode="_(* #,##0.0000_);_(* \(#,##0.0000\);_(* &quot;-&quot;??_);_(@_)"/>
    <numFmt numFmtId="175" formatCode="[$-1000000]00000"/>
    <numFmt numFmtId="176" formatCode="0.00_)"/>
    <numFmt numFmtId="177" formatCode="mm/dd/yy"/>
    <numFmt numFmtId="178" formatCode="#,##0.0_);\(#,##0.0\)"/>
    <numFmt numFmtId="179" formatCode="0.0%;\(0.0%\)"/>
    <numFmt numFmtId="180" formatCode="#,##0.00&quot;£&quot;_);[Red]\(#,##0.00&quot;£&quot;\)"/>
    <numFmt numFmtId="181" formatCode="_ * #,##0_)&quot;£&quot;_ ;_ * \(#,##0\)&quot;£&quot;_ ;_ * &quot;-&quot;_)&quot;£&quot;_ ;_ @_ "/>
    <numFmt numFmtId="182" formatCode="_ * #,##0_)_£_ ;_ * \(#,##0\)_£_ ;_ * &quot;-&quot;_)_£_ ;_ @_ "/>
    <numFmt numFmtId="183" formatCode="_ * #,##0.00_)&quot;£&quot;_ ;_ * \(#,##0.00\)&quot;£&quot;_ ;_ * &quot;-&quot;??_)&quot;£&quot;_ ;_ @_ "/>
    <numFmt numFmtId="184" formatCode="_(* #,##0.000000_);_(* \(#,##0.000000\);_(* &quot;-&quot;??_);_(@_)"/>
    <numFmt numFmtId="185" formatCode="_-&quot;$&quot;* #,##0.00_-;\-&quot;$&quot;* #,##0.00_-;_-&quot;$&quot;* &quot;-&quot;??_-;_-@_-"/>
    <numFmt numFmtId="186" formatCode="###0.0_);[Red]\(###0.0\)"/>
    <numFmt numFmtId="187" formatCode="[$-409]d\-mmm\-yy;@"/>
    <numFmt numFmtId="188" formatCode="&quot;£&quot;#,##0.00;[Red]\-&quot;£&quot;#,##0.00"/>
    <numFmt numFmtId="189" formatCode="&quot;$&quot;#,##0;[Red]\-&quot;$&quot;#,##0"/>
    <numFmt numFmtId="190" formatCode="&quot;$&quot;#,##0.00;[Red]\-&quot;$&quot;#,##0.00"/>
    <numFmt numFmtId="191" formatCode="?????"/>
    <numFmt numFmtId="192" formatCode="mmm\-dd\-yyyy"/>
    <numFmt numFmtId="193" formatCode="_-* #,##0.000_-;\-* #,##0.000_-;_-* &quot;-&quot;??_-;_-@_-"/>
    <numFmt numFmtId="194" formatCode="#,##0.000;[Red]\(#,##0.000\)"/>
    <numFmt numFmtId="195" formatCode="0.000"/>
    <numFmt numFmtId="196" formatCode="[$£-809]#,##0.00"/>
    <numFmt numFmtId="197" formatCode="[$£-809]#,##0"/>
    <numFmt numFmtId="198" formatCode="_ * #,##0_ ;_ * \-#,##0_ ;_ * &quot;-&quot;??_ ;_ @_ "/>
    <numFmt numFmtId="199" formatCode="dd\-mm\-yy"/>
    <numFmt numFmtId="200" formatCode="_ * #,##0.0_ ;_ * \-#,##0.0_ ;_ * &quot;-&quot;?_ ;_ @_ "/>
    <numFmt numFmtId="201" formatCode="_(&quot;$&quot;* #,##0_);_(&quot;$&quot;* \(#,##0\);_(&quot;$&quot;* &quot;-&quot;??_);_(@_)"/>
    <numFmt numFmtId="202" formatCode="_-[$£-809]* #,##0_-;\-[$£-809]* #,##0_-;_-[$£-809]* &quot;-&quot;??_-;_-@_-"/>
    <numFmt numFmtId="203" formatCode="_(&quot;₪&quot;* #,##0_);_(&quot;₪&quot;* \(#,##0\);_(&quot;₪&quot;* &quot;-&quot;_);_(@_)"/>
    <numFmt numFmtId="204" formatCode="_(* #,##0.0_);_(* \(#,##0.0\);_(* &quot;-&quot;??_);_(@_)"/>
    <numFmt numFmtId="205" formatCode="[$$-409]#,##0_);\([$$-409]#,##0\)"/>
    <numFmt numFmtId="206" formatCode="0.0%"/>
    <numFmt numFmtId="207" formatCode="0_);\(0\)"/>
    <numFmt numFmtId="208" formatCode="_(* #,##0.000_);_(* \(#,##0.000\);_(* &quot;-&quot;??_);_(@_)"/>
    <numFmt numFmtId="209" formatCode="mm\-yy"/>
    <numFmt numFmtId="210" formatCode="[$-409]mmmm\-yy;@"/>
    <numFmt numFmtId="211" formatCode="_-* #,##0.0_-;\-* #,##0.0_-;_-* &quot;-&quot;??_-;_-@_-"/>
    <numFmt numFmtId="212" formatCode="m/d/yy;@"/>
    <numFmt numFmtId="213" formatCode="#,##0.00;[Red]\(#,##0.00\)"/>
    <numFmt numFmtId="215" formatCode="_-* #,##0.00000_-;\-* #,##0.00000_-;_-* &quot;-&quot;??_-;_-@_-"/>
  </numFmts>
  <fonts count="144">
    <font>
      <sz val="12"/>
      <name val="Arial"/>
      <charset val="177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charset val="177"/>
      <scheme val="minor"/>
    </font>
    <font>
      <sz val="12"/>
      <name val="Arial"/>
      <family val="2"/>
    </font>
    <font>
      <b/>
      <sz val="12"/>
      <name val="Arial"/>
      <family val="2"/>
      <charset val="177"/>
    </font>
    <font>
      <b/>
      <sz val="10"/>
      <name val="Arial"/>
      <family val="2"/>
      <charset val="177"/>
    </font>
    <font>
      <sz val="8"/>
      <name val="Arial"/>
      <family val="2"/>
    </font>
    <font>
      <b/>
      <sz val="12"/>
      <name val="Arial"/>
      <family val="2"/>
    </font>
    <font>
      <b/>
      <sz val="10"/>
      <name val="Arial Unicode MS"/>
      <family val="2"/>
    </font>
    <font>
      <b/>
      <sz val="10"/>
      <name val="Arial"/>
      <family val="2"/>
    </font>
    <font>
      <sz val="10"/>
      <name val="Arial Unicode MS"/>
      <family val="2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11"/>
      <color indexed="62"/>
      <name val="Calibri"/>
      <family val="2"/>
    </font>
    <font>
      <sz val="11"/>
      <color indexed="10"/>
      <name val="Calibri"/>
      <family val="2"/>
    </font>
    <font>
      <b/>
      <sz val="11"/>
      <color indexed="63"/>
      <name val="Calibri"/>
      <family val="2"/>
    </font>
    <font>
      <b/>
      <sz val="11"/>
      <color indexed="8"/>
      <name val="Calibri"/>
      <family val="2"/>
    </font>
    <font>
      <sz val="10"/>
      <name val="Arial Unicode MS"/>
      <family val="2"/>
    </font>
    <font>
      <b/>
      <sz val="10"/>
      <name val="Arial Unicode MS"/>
      <family val="2"/>
    </font>
    <font>
      <sz val="12"/>
      <name val="Times New Roman"/>
      <family val="1"/>
    </font>
    <font>
      <u/>
      <sz val="10"/>
      <color indexed="12"/>
      <name val="Arial Unicode MS"/>
      <family val="2"/>
    </font>
    <font>
      <sz val="14"/>
      <name val="David"/>
      <family val="2"/>
      <charset val="177"/>
    </font>
    <font>
      <sz val="12"/>
      <name val="David"/>
      <family val="2"/>
      <charset val="177"/>
    </font>
    <font>
      <sz val="10"/>
      <name val="Geneva"/>
      <family val="2"/>
    </font>
    <font>
      <b/>
      <sz val="11"/>
      <color indexed="52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8"/>
      <color indexed="56"/>
      <name val="Cambria"/>
      <family val="2"/>
    </font>
    <font>
      <sz val="10"/>
      <color indexed="8"/>
      <name val="Arial"/>
      <family val="2"/>
    </font>
    <font>
      <b/>
      <i/>
      <sz val="16"/>
      <name val="Helv"/>
    </font>
    <font>
      <sz val="8"/>
      <name val="Times New Roman"/>
      <family val="1"/>
    </font>
    <font>
      <sz val="10"/>
      <name val="Helv"/>
    </font>
    <font>
      <sz val="10"/>
      <name val="MS Sans Serif"/>
      <family val="2"/>
    </font>
    <font>
      <sz val="10"/>
      <name val="MS Serif"/>
      <family val="1"/>
    </font>
    <font>
      <sz val="10"/>
      <color indexed="16"/>
      <name val="MS Serif"/>
      <family val="1"/>
    </font>
    <font>
      <b/>
      <sz val="8"/>
      <name val="MS Sans Serif"/>
      <family val="2"/>
    </font>
    <font>
      <b/>
      <sz val="10"/>
      <name val="MS Sans Serif"/>
      <family val="2"/>
    </font>
    <font>
      <sz val="8"/>
      <name val="Wingdings"/>
      <charset val="2"/>
    </font>
    <font>
      <sz val="8"/>
      <name val="Helv"/>
    </font>
    <font>
      <sz val="8"/>
      <name val="MS Sans Serif"/>
      <family val="2"/>
    </font>
    <font>
      <b/>
      <sz val="8"/>
      <color indexed="8"/>
      <name val="Helv"/>
    </font>
    <font>
      <sz val="8"/>
      <color indexed="12"/>
      <name val="Arial"/>
      <family val="2"/>
    </font>
    <font>
      <sz val="9"/>
      <name val="Arial"/>
      <family val="2"/>
    </font>
    <font>
      <b/>
      <sz val="14"/>
      <name val="Arial"/>
      <family val="2"/>
    </font>
    <font>
      <b/>
      <i/>
      <sz val="14"/>
      <name val="Arial"/>
      <family val="2"/>
    </font>
    <font>
      <b/>
      <sz val="11"/>
      <name val="Arial"/>
      <family val="2"/>
    </font>
    <font>
      <b/>
      <sz val="24"/>
      <name val="Arial Narrow"/>
      <family val="2"/>
    </font>
    <font>
      <b/>
      <i/>
      <sz val="12"/>
      <name val="Arial"/>
      <family val="2"/>
    </font>
    <font>
      <i/>
      <sz val="12"/>
      <name val="Arial"/>
      <family val="2"/>
    </font>
    <font>
      <i/>
      <sz val="10"/>
      <name val="Arial"/>
      <family val="2"/>
    </font>
    <font>
      <sz val="9"/>
      <color indexed="18"/>
      <name val="Arial"/>
      <family val="2"/>
    </font>
    <font>
      <i/>
      <sz val="10"/>
      <color indexed="18"/>
      <name val="Arial"/>
      <family val="2"/>
    </font>
    <font>
      <sz val="10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Arial"/>
      <family val="2"/>
    </font>
    <font>
      <b/>
      <sz val="9"/>
      <name val="Arial"/>
      <family val="2"/>
    </font>
    <font>
      <b/>
      <i/>
      <sz val="16"/>
      <name val="Arial"/>
      <family val="2"/>
    </font>
    <font>
      <b/>
      <sz val="12"/>
      <color indexed="32"/>
      <name val="Arial"/>
      <family val="2"/>
    </font>
    <font>
      <i/>
      <sz val="11"/>
      <name val="Arial"/>
      <family val="2"/>
    </font>
    <font>
      <sz val="11"/>
      <name val="Arial"/>
      <family val="2"/>
    </font>
    <font>
      <sz val="10"/>
      <name val="Geneva"/>
      <family val="2"/>
    </font>
    <font>
      <sz val="12"/>
      <name val="Tms Rmn"/>
    </font>
    <font>
      <sz val="10"/>
      <color indexed="22"/>
      <name val="MS Sans Serif"/>
      <family val="2"/>
    </font>
    <font>
      <sz val="7"/>
      <name val="Small Fonts"/>
      <family val="2"/>
    </font>
    <font>
      <b/>
      <u/>
      <sz val="10"/>
      <name val="Arial"/>
      <family val="2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charset val="177"/>
      <scheme val="minor"/>
    </font>
    <font>
      <sz val="10"/>
      <name val="Arial"/>
      <family val="2"/>
      <charset val="177"/>
    </font>
    <font>
      <sz val="13"/>
      <name val="Arial"/>
      <family val="2"/>
    </font>
    <font>
      <b/>
      <sz val="13"/>
      <name val="Arial"/>
      <family val="2"/>
    </font>
    <font>
      <sz val="9"/>
      <color indexed="8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sz val="10"/>
      <color indexed="8"/>
      <name val="Arial"/>
      <family val="2"/>
      <charset val="177"/>
    </font>
    <font>
      <sz val="10"/>
      <name val="Arial"/>
      <family val="2"/>
    </font>
    <font>
      <sz val="12"/>
      <name val="Arial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sz val="10"/>
      <name val="Arial"/>
      <family val="2"/>
    </font>
    <font>
      <sz val="9"/>
      <color theme="1"/>
      <name val="Arial"/>
      <family val="2"/>
    </font>
    <font>
      <sz val="11"/>
      <color theme="0"/>
      <name val="Arial"/>
      <family val="2"/>
    </font>
    <font>
      <sz val="13"/>
      <color theme="0"/>
      <name val="Arial"/>
      <family val="2"/>
    </font>
    <font>
      <sz val="10"/>
      <color theme="1"/>
      <name val="Arial"/>
      <family val="2"/>
    </font>
    <font>
      <u val="singleAccounting"/>
      <sz val="11"/>
      <name val="Arial"/>
      <family val="2"/>
    </font>
    <font>
      <sz val="10"/>
      <color rgb="FFFF0000"/>
      <name val="Arial"/>
      <family val="2"/>
    </font>
    <font>
      <sz val="10"/>
      <color indexed="17"/>
      <name val="Arial"/>
      <family val="2"/>
    </font>
    <font>
      <u/>
      <sz val="10"/>
      <name val="Arial"/>
      <family val="2"/>
    </font>
    <font>
      <sz val="10"/>
      <color theme="0"/>
      <name val="Arial"/>
      <family val="2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Arial"/>
      <family val="2"/>
    </font>
    <font>
      <sz val="12"/>
      <name val="Arial"/>
      <family val="2"/>
    </font>
    <font>
      <sz val="11"/>
      <name val="Calibri"/>
      <family val="2"/>
    </font>
    <font>
      <u val="singleAccounting"/>
      <sz val="10"/>
      <name val="Arial"/>
      <family val="2"/>
    </font>
    <font>
      <b/>
      <u val="singleAccounting"/>
      <sz val="10"/>
      <name val="Arial"/>
      <family val="2"/>
    </font>
    <font>
      <b/>
      <sz val="11"/>
      <name val="Times New Roman"/>
      <family val="1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1"/>
      <name val="Calibri"/>
      <family val="2"/>
      <scheme val="minor"/>
    </font>
    <font>
      <u/>
      <sz val="11"/>
      <name val="Calibri"/>
      <family val="2"/>
      <scheme val="minor"/>
    </font>
    <font>
      <sz val="9"/>
      <name val="Calibri"/>
      <family val="2"/>
      <scheme val="minor"/>
    </font>
    <font>
      <sz val="12"/>
      <name val="Calibri"/>
      <family val="2"/>
      <scheme val="minor"/>
    </font>
    <font>
      <b/>
      <u/>
      <sz val="14"/>
      <name val="Calibri"/>
      <family val="2"/>
      <scheme val="minor"/>
    </font>
    <font>
      <u val="singleAccounting"/>
      <sz val="1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name val="Calibri"/>
      <family val="2"/>
    </font>
    <font>
      <sz val="10"/>
      <name val="Calibri"/>
      <family val="2"/>
    </font>
    <font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1"/>
      <color theme="1"/>
      <name val="Arial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u val="singleAccounting"/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rgb="FF202124"/>
      <name val="Inherit"/>
    </font>
    <font>
      <b/>
      <sz val="9"/>
      <color rgb="FF202124"/>
      <name val="Inherit"/>
      <charset val="177"/>
    </font>
    <font>
      <sz val="10"/>
      <color theme="1"/>
      <name val="Calibri"/>
      <family val="2"/>
      <charset val="177"/>
      <scheme val="minor"/>
    </font>
  </fonts>
  <fills count="4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4"/>
      </patternFill>
    </fill>
    <fill>
      <patternFill patternType="solid">
        <fgColor indexed="31"/>
      </patternFill>
    </fill>
    <fill>
      <patternFill patternType="solid">
        <fgColor indexed="29"/>
      </patternFill>
    </fill>
    <fill>
      <patternFill patternType="solid">
        <fgColor indexed="45"/>
      </patternFill>
    </fill>
    <fill>
      <patternFill patternType="solid">
        <fgColor indexed="26"/>
      </patternFill>
    </fill>
    <fill>
      <patternFill patternType="solid">
        <fgColor indexed="42"/>
      </patternFill>
    </fill>
    <fill>
      <patternFill patternType="solid">
        <fgColor indexed="47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mediumGray">
        <fgColor indexed="22"/>
      </patternFill>
    </fill>
    <fill>
      <patternFill patternType="darkVertical"/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rgb="FF000000"/>
      </patternFill>
    </fill>
    <fill>
      <patternFill patternType="solid">
        <fgColor theme="7" tint="0.59999389629810485"/>
        <bgColor indexed="64"/>
      </patternFill>
    </fill>
  </fills>
  <borders count="31">
    <border>
      <left/>
      <right/>
      <top/>
      <bottom/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medium">
        <color indexed="16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</borders>
  <cellStyleXfs count="773">
    <xf numFmtId="0" fontId="0" fillId="0" borderId="0"/>
    <xf numFmtId="175" fontId="37" fillId="0" borderId="0"/>
    <xf numFmtId="0" fontId="19" fillId="0" borderId="0"/>
    <xf numFmtId="0" fontId="19" fillId="0" borderId="0"/>
    <xf numFmtId="0" fontId="37" fillId="0" borderId="0"/>
    <xf numFmtId="0" fontId="77" fillId="0" borderId="0"/>
    <xf numFmtId="187" fontId="33" fillId="0" borderId="0"/>
    <xf numFmtId="9" fontId="19" fillId="2" borderId="0"/>
    <xf numFmtId="9" fontId="19" fillId="2" borderId="0"/>
    <xf numFmtId="0" fontId="19" fillId="0" borderId="0"/>
    <xf numFmtId="0" fontId="19" fillId="0" borderId="0"/>
    <xf numFmtId="187" fontId="21" fillId="4" borderId="0" applyNumberFormat="0" applyBorder="0" applyAlignment="0" applyProtection="0"/>
    <xf numFmtId="0" fontId="21" fillId="4" borderId="0" applyNumberFormat="0" applyBorder="0" applyAlignment="0" applyProtection="0"/>
    <xf numFmtId="187" fontId="21" fillId="6" borderId="0" applyNumberFormat="0" applyBorder="0" applyAlignment="0" applyProtection="0"/>
    <xf numFmtId="0" fontId="21" fillId="6" borderId="0" applyNumberFormat="0" applyBorder="0" applyAlignment="0" applyProtection="0"/>
    <xf numFmtId="187" fontId="21" fillId="8" borderId="0" applyNumberFormat="0" applyBorder="0" applyAlignment="0" applyProtection="0"/>
    <xf numFmtId="0" fontId="21" fillId="8" borderId="0" applyNumberFormat="0" applyBorder="0" applyAlignment="0" applyProtection="0"/>
    <xf numFmtId="187" fontId="21" fillId="10" borderId="0" applyNumberFormat="0" applyBorder="0" applyAlignment="0" applyProtection="0"/>
    <xf numFmtId="0" fontId="21" fillId="10" borderId="0" applyNumberFormat="0" applyBorder="0" applyAlignment="0" applyProtection="0"/>
    <xf numFmtId="187" fontId="21" fillId="11" borderId="0" applyNumberFormat="0" applyBorder="0" applyAlignment="0" applyProtection="0"/>
    <xf numFmtId="0" fontId="21" fillId="11" borderId="0" applyNumberFormat="0" applyBorder="0" applyAlignment="0" applyProtection="0"/>
    <xf numFmtId="187" fontId="21" fillId="9" borderId="0" applyNumberFormat="0" applyBorder="0" applyAlignment="0" applyProtection="0"/>
    <xf numFmtId="0" fontId="21" fillId="9" borderId="0" applyNumberFormat="0" applyBorder="0" applyAlignment="0" applyProtection="0"/>
    <xf numFmtId="187" fontId="21" fillId="3" borderId="0" applyNumberFormat="0" applyBorder="0" applyAlignment="0" applyProtection="0"/>
    <xf numFmtId="0" fontId="21" fillId="3" borderId="0" applyNumberFormat="0" applyBorder="0" applyAlignment="0" applyProtection="0"/>
    <xf numFmtId="187" fontId="21" fillId="5" borderId="0" applyNumberFormat="0" applyBorder="0" applyAlignment="0" applyProtection="0"/>
    <xf numFmtId="0" fontId="21" fillId="5" borderId="0" applyNumberFormat="0" applyBorder="0" applyAlignment="0" applyProtection="0"/>
    <xf numFmtId="187" fontId="21" fillId="13" borderId="0" applyNumberFormat="0" applyBorder="0" applyAlignment="0" applyProtection="0"/>
    <xf numFmtId="0" fontId="21" fillId="13" borderId="0" applyNumberFormat="0" applyBorder="0" applyAlignment="0" applyProtection="0"/>
    <xf numFmtId="187" fontId="21" fillId="10" borderId="0" applyNumberFormat="0" applyBorder="0" applyAlignment="0" applyProtection="0"/>
    <xf numFmtId="0" fontId="21" fillId="10" borderId="0" applyNumberFormat="0" applyBorder="0" applyAlignment="0" applyProtection="0"/>
    <xf numFmtId="187" fontId="21" fillId="3" borderId="0" applyNumberFormat="0" applyBorder="0" applyAlignment="0" applyProtection="0"/>
    <xf numFmtId="0" fontId="21" fillId="3" borderId="0" applyNumberFormat="0" applyBorder="0" applyAlignment="0" applyProtection="0"/>
    <xf numFmtId="187" fontId="21" fillId="14" borderId="0" applyNumberFormat="0" applyBorder="0" applyAlignment="0" applyProtection="0"/>
    <xf numFmtId="0" fontId="21" fillId="14" borderId="0" applyNumberFormat="0" applyBorder="0" applyAlignment="0" applyProtection="0"/>
    <xf numFmtId="187" fontId="22" fillId="15" borderId="0" applyNumberFormat="0" applyBorder="0" applyAlignment="0" applyProtection="0"/>
    <xf numFmtId="0" fontId="22" fillId="15" borderId="0" applyNumberFormat="0" applyBorder="0" applyAlignment="0" applyProtection="0"/>
    <xf numFmtId="187" fontId="22" fillId="5" borderId="0" applyNumberFormat="0" applyBorder="0" applyAlignment="0" applyProtection="0"/>
    <xf numFmtId="0" fontId="22" fillId="5" borderId="0" applyNumberFormat="0" applyBorder="0" applyAlignment="0" applyProtection="0"/>
    <xf numFmtId="187" fontId="22" fillId="13" borderId="0" applyNumberFormat="0" applyBorder="0" applyAlignment="0" applyProtection="0"/>
    <xf numFmtId="0" fontId="22" fillId="13" borderId="0" applyNumberFormat="0" applyBorder="0" applyAlignment="0" applyProtection="0"/>
    <xf numFmtId="187" fontId="22" fillId="17" borderId="0" applyNumberFormat="0" applyBorder="0" applyAlignment="0" applyProtection="0"/>
    <xf numFmtId="0" fontId="22" fillId="17" borderId="0" applyNumberFormat="0" applyBorder="0" applyAlignment="0" applyProtection="0"/>
    <xf numFmtId="187" fontId="22" fillId="18" borderId="0" applyNumberFormat="0" applyBorder="0" applyAlignment="0" applyProtection="0"/>
    <xf numFmtId="0" fontId="22" fillId="18" borderId="0" applyNumberFormat="0" applyBorder="0" applyAlignment="0" applyProtection="0"/>
    <xf numFmtId="187" fontId="22" fillId="19" borderId="0" applyNumberFormat="0" applyBorder="0" applyAlignment="0" applyProtection="0"/>
    <xf numFmtId="0" fontId="22" fillId="19" borderId="0" applyNumberFormat="0" applyBorder="0" applyAlignment="0" applyProtection="0"/>
    <xf numFmtId="187" fontId="22" fillId="20" borderId="0" applyNumberFormat="0" applyBorder="0" applyAlignment="0" applyProtection="0"/>
    <xf numFmtId="0" fontId="22" fillId="20" borderId="0" applyNumberFormat="0" applyBorder="0" applyAlignment="0" applyProtection="0"/>
    <xf numFmtId="187" fontId="22" fillId="21" borderId="0" applyNumberFormat="0" applyBorder="0" applyAlignment="0" applyProtection="0"/>
    <xf numFmtId="0" fontId="22" fillId="21" borderId="0" applyNumberFormat="0" applyBorder="0" applyAlignment="0" applyProtection="0"/>
    <xf numFmtId="187" fontId="22" fillId="22" borderId="0" applyNumberFormat="0" applyBorder="0" applyAlignment="0" applyProtection="0"/>
    <xf numFmtId="0" fontId="22" fillId="22" borderId="0" applyNumberFormat="0" applyBorder="0" applyAlignment="0" applyProtection="0"/>
    <xf numFmtId="187" fontId="22" fillId="17" borderId="0" applyNumberFormat="0" applyBorder="0" applyAlignment="0" applyProtection="0"/>
    <xf numFmtId="0" fontId="22" fillId="17" borderId="0" applyNumberFormat="0" applyBorder="0" applyAlignment="0" applyProtection="0"/>
    <xf numFmtId="187" fontId="22" fillId="18" borderId="0" applyNumberFormat="0" applyBorder="0" applyAlignment="0" applyProtection="0"/>
    <xf numFmtId="0" fontId="22" fillId="18" borderId="0" applyNumberFormat="0" applyBorder="0" applyAlignment="0" applyProtection="0"/>
    <xf numFmtId="187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47" fillId="0" borderId="0">
      <alignment horizontal="center" wrapText="1"/>
      <protection locked="0"/>
    </xf>
    <xf numFmtId="187" fontId="23" fillId="6" borderId="0" applyNumberFormat="0" applyBorder="0" applyAlignment="0" applyProtection="0"/>
    <xf numFmtId="0" fontId="83" fillId="29" borderId="0" applyNumberFormat="0" applyBorder="0" applyAlignment="0" applyProtection="0"/>
    <xf numFmtId="0" fontId="78" fillId="0" borderId="0" applyNumberFormat="0" applyFill="0" applyBorder="0" applyAlignment="0" applyProtection="0"/>
    <xf numFmtId="4" fontId="14" fillId="0" borderId="0" applyFill="0">
      <alignment horizontal="right"/>
    </xf>
    <xf numFmtId="4" fontId="14" fillId="0" borderId="0">
      <alignment horizontal="right"/>
    </xf>
    <xf numFmtId="0" fontId="14" fillId="0" borderId="0" applyFill="0">
      <alignment horizontal="center"/>
    </xf>
    <xf numFmtId="4" fontId="60" fillId="0" borderId="1" applyFill="0"/>
    <xf numFmtId="0" fontId="19" fillId="0" borderId="0" applyFont="0" applyAlignment="0"/>
    <xf numFmtId="0" fontId="61" fillId="0" borderId="0" applyFill="0">
      <alignment vertical="top"/>
    </xf>
    <xf numFmtId="0" fontId="60" fillId="0" borderId="0" applyFill="0">
      <alignment horizontal="left" vertical="top"/>
    </xf>
    <xf numFmtId="4" fontId="15" fillId="0" borderId="2" applyFill="0"/>
    <xf numFmtId="0" fontId="19" fillId="0" borderId="0" applyNumberFormat="0" applyFont="0" applyAlignment="0"/>
    <xf numFmtId="0" fontId="61" fillId="0" borderId="0" applyFill="0">
      <alignment wrapText="1"/>
    </xf>
    <xf numFmtId="0" fontId="60" fillId="0" borderId="0" applyFill="0">
      <alignment horizontal="left" vertical="top" wrapText="1"/>
    </xf>
    <xf numFmtId="4" fontId="62" fillId="0" borderId="0" applyFill="0">
      <alignment horizontal="right"/>
    </xf>
    <xf numFmtId="0" fontId="63" fillId="0" borderId="0" applyNumberFormat="0" applyFont="0" applyAlignment="0">
      <alignment horizontal="center"/>
    </xf>
    <xf numFmtId="0" fontId="64" fillId="0" borderId="0" applyFill="0">
      <alignment vertical="top" wrapText="1"/>
    </xf>
    <xf numFmtId="0" fontId="15" fillId="0" borderId="0" applyFill="0">
      <alignment horizontal="left" vertical="top" wrapText="1"/>
    </xf>
    <xf numFmtId="4" fontId="19" fillId="0" borderId="0" applyFill="0">
      <alignment horizontal="right"/>
    </xf>
    <xf numFmtId="0" fontId="63" fillId="0" borderId="0" applyNumberFormat="0" applyFont="0" applyAlignment="0">
      <alignment horizontal="center"/>
    </xf>
    <xf numFmtId="0" fontId="65" fillId="0" borderId="0" applyFill="0">
      <alignment vertical="center" wrapText="1"/>
    </xf>
    <xf numFmtId="0" fontId="11" fillId="0" borderId="0">
      <alignment horizontal="left" vertical="center" wrapText="1"/>
    </xf>
    <xf numFmtId="4" fontId="59" fillId="0" borderId="0" applyFill="0">
      <alignment horizontal="right"/>
    </xf>
    <xf numFmtId="0" fontId="63" fillId="0" borderId="0" applyNumberFormat="0" applyFont="0" applyAlignment="0">
      <alignment horizontal="center"/>
    </xf>
    <xf numFmtId="0" fontId="66" fillId="0" borderId="0" applyFill="0">
      <alignment horizontal="center" vertical="center" wrapText="1"/>
    </xf>
    <xf numFmtId="0" fontId="19" fillId="0" borderId="0" applyFill="0">
      <alignment horizontal="center" vertical="center" wrapText="1"/>
    </xf>
    <xf numFmtId="4" fontId="67" fillId="0" borderId="0" applyFill="0">
      <alignment horizontal="right"/>
    </xf>
    <xf numFmtId="0" fontId="63" fillId="0" borderId="0" applyNumberFormat="0" applyFont="0" applyAlignment="0">
      <alignment horizontal="center"/>
    </xf>
    <xf numFmtId="0" fontId="68" fillId="0" borderId="0" applyFill="0">
      <alignment horizontal="center" vertical="center" wrapText="1"/>
    </xf>
    <xf numFmtId="0" fontId="69" fillId="0" borderId="0" applyFill="0">
      <alignment horizontal="center" vertical="center" wrapText="1"/>
    </xf>
    <xf numFmtId="4" fontId="70" fillId="0" borderId="0" applyFill="0">
      <alignment horizontal="right"/>
    </xf>
    <xf numFmtId="0" fontId="63" fillId="0" borderId="0" applyNumberFormat="0" applyFont="0" applyAlignment="0">
      <alignment horizontal="center"/>
    </xf>
    <xf numFmtId="0" fontId="71" fillId="0" borderId="0">
      <alignment horizontal="center" wrapText="1"/>
    </xf>
    <xf numFmtId="0" fontId="67" fillId="0" borderId="0" applyFill="0">
      <alignment horizontal="center" wrapText="1"/>
    </xf>
    <xf numFmtId="184" fontId="19" fillId="0" borderId="0" applyFill="0" applyBorder="0" applyAlignment="0"/>
    <xf numFmtId="184" fontId="19" fillId="0" borderId="0" applyFill="0" applyBorder="0" applyAlignment="0"/>
    <xf numFmtId="178" fontId="48" fillId="0" borderId="0" applyFill="0" applyBorder="0" applyAlignment="0"/>
    <xf numFmtId="174" fontId="48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1" fontId="19" fillId="0" borderId="0" applyFill="0" applyBorder="0" applyAlignment="0"/>
    <xf numFmtId="181" fontId="19" fillId="0" borderId="0" applyFill="0" applyBorder="0" applyAlignment="0"/>
    <xf numFmtId="185" fontId="48" fillId="0" borderId="0" applyFill="0" applyBorder="0" applyAlignment="0"/>
    <xf numFmtId="179" fontId="48" fillId="0" borderId="0" applyFill="0" applyBorder="0" applyAlignment="0"/>
    <xf numFmtId="178" fontId="48" fillId="0" borderId="0" applyFill="0" applyBorder="0" applyAlignment="0"/>
    <xf numFmtId="187" fontId="38" fillId="23" borderId="3" applyNumberFormat="0" applyAlignment="0" applyProtection="0"/>
    <xf numFmtId="0" fontId="38" fillId="23" borderId="3" applyNumberFormat="0" applyAlignment="0" applyProtection="0"/>
    <xf numFmtId="187" fontId="24" fillId="24" borderId="4" applyNumberFormat="0" applyAlignment="0" applyProtection="0"/>
    <xf numFmtId="0" fontId="24" fillId="24" borderId="4" applyNumberFormat="0" applyAlignment="0" applyProtection="0"/>
    <xf numFmtId="166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85" fontId="48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43" fontId="16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166" fontId="36" fillId="0" borderId="0" applyFont="0" applyFill="0" applyBorder="0" applyAlignment="0" applyProtection="0"/>
    <xf numFmtId="43" fontId="19" fillId="0" borderId="0" applyFont="0" applyFill="0" applyBorder="0" applyAlignment="0" applyProtection="0"/>
    <xf numFmtId="166" fontId="3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166" fontId="19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3" fontId="79" fillId="0" borderId="0" applyFont="0" applyFill="0" applyBorder="0" applyAlignment="0" applyProtection="0"/>
    <xf numFmtId="0" fontId="50" fillId="0" borderId="0" applyNumberFormat="0" applyAlignment="0">
      <alignment horizontal="left"/>
    </xf>
    <xf numFmtId="178" fontId="48" fillId="0" borderId="0" applyFont="0" applyFill="0" applyBorder="0" applyAlignment="0" applyProtection="0"/>
    <xf numFmtId="44" fontId="20" fillId="0" borderId="0" applyFont="0" applyFill="0" applyBorder="0" applyAlignment="0" applyProtection="0"/>
    <xf numFmtId="44" fontId="82" fillId="0" borderId="0" applyFont="0" applyFill="0" applyBorder="0" applyAlignment="0" applyProtection="0"/>
    <xf numFmtId="44" fontId="19" fillId="0" borderId="0" applyFont="0" applyFill="0" applyBorder="0" applyAlignment="0" applyProtection="0"/>
    <xf numFmtId="188" fontId="19" fillId="0" borderId="0" applyFont="0" applyFill="0" applyBorder="0" applyAlignment="0" applyProtection="0"/>
    <xf numFmtId="14" fontId="45" fillId="0" borderId="0" applyFill="0" applyBorder="0" applyAlignment="0"/>
    <xf numFmtId="185" fontId="48" fillId="0" borderId="0" applyFill="0" applyBorder="0" applyAlignment="0"/>
    <xf numFmtId="178" fontId="48" fillId="0" borderId="0" applyFill="0" applyBorder="0" applyAlignment="0"/>
    <xf numFmtId="185" fontId="48" fillId="0" borderId="0" applyFill="0" applyBorder="0" applyAlignment="0"/>
    <xf numFmtId="179" fontId="48" fillId="0" borderId="0" applyFill="0" applyBorder="0" applyAlignment="0"/>
    <xf numFmtId="178" fontId="48" fillId="0" borderId="0" applyFill="0" applyBorder="0" applyAlignment="0"/>
    <xf numFmtId="0" fontId="51" fillId="0" borderId="0" applyNumberFormat="0" applyAlignment="0">
      <alignment horizontal="left"/>
    </xf>
    <xf numFmtId="187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187" fontId="26" fillId="8" borderId="0" applyNumberFormat="0" applyBorder="0" applyAlignment="0" applyProtection="0"/>
    <xf numFmtId="0" fontId="26" fillId="8" borderId="0" applyNumberFormat="0" applyBorder="0" applyAlignment="0" applyProtection="0"/>
    <xf numFmtId="38" fontId="14" fillId="25" borderId="0" applyNumberFormat="0" applyBorder="0" applyAlignment="0" applyProtection="0"/>
    <xf numFmtId="0" fontId="15" fillId="0" borderId="5" applyNumberFormat="0" applyAlignment="0" applyProtection="0">
      <alignment horizontal="left" vertical="center"/>
    </xf>
    <xf numFmtId="0" fontId="15" fillId="0" borderId="6">
      <alignment horizontal="left" vertical="center"/>
    </xf>
    <xf numFmtId="187" fontId="39" fillId="0" borderId="7" applyNumberFormat="0" applyFill="0" applyAlignment="0" applyProtection="0"/>
    <xf numFmtId="0" fontId="39" fillId="0" borderId="7" applyNumberFormat="0" applyFill="0" applyAlignment="0" applyProtection="0"/>
    <xf numFmtId="187" fontId="40" fillId="0" borderId="8" applyNumberFormat="0" applyFill="0" applyAlignment="0" applyProtection="0"/>
    <xf numFmtId="0" fontId="40" fillId="0" borderId="8" applyNumberFormat="0" applyFill="0" applyAlignment="0" applyProtection="0"/>
    <xf numFmtId="187" fontId="41" fillId="0" borderId="9" applyNumberFormat="0" applyFill="0" applyAlignment="0" applyProtection="0"/>
    <xf numFmtId="0" fontId="41" fillId="0" borderId="9" applyNumberFormat="0" applyFill="0" applyAlignment="0" applyProtection="0"/>
    <xf numFmtId="187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52" fillId="0" borderId="10">
      <alignment horizontal="center"/>
    </xf>
    <xf numFmtId="0" fontId="52" fillId="0" borderId="0">
      <alignment horizontal="center"/>
    </xf>
    <xf numFmtId="0" fontId="34" fillId="0" borderId="0" applyNumberFormat="0" applyFill="0" applyBorder="0" applyAlignment="0" applyProtection="0">
      <alignment vertical="top"/>
      <protection locked="0"/>
    </xf>
    <xf numFmtId="10" fontId="14" fillId="26" borderId="11" applyNumberFormat="0" applyBorder="0" applyAlignment="0" applyProtection="0"/>
    <xf numFmtId="0" fontId="27" fillId="9" borderId="3" applyNumberFormat="0" applyAlignment="0" applyProtection="0"/>
    <xf numFmtId="0" fontId="27" fillId="9" borderId="3" applyNumberFormat="0" applyAlignment="0" applyProtection="0"/>
    <xf numFmtId="0" fontId="27" fillId="9" borderId="3" applyNumberFormat="0" applyAlignment="0" applyProtection="0"/>
    <xf numFmtId="0" fontId="27" fillId="9" borderId="3" applyNumberFormat="0" applyAlignment="0" applyProtection="0"/>
    <xf numFmtId="0" fontId="27" fillId="9" borderId="3" applyNumberFormat="0" applyAlignment="0" applyProtection="0"/>
    <xf numFmtId="0" fontId="27" fillId="9" borderId="3" applyNumberFormat="0" applyAlignment="0" applyProtection="0"/>
    <xf numFmtId="0" fontId="27" fillId="9" borderId="3" applyNumberFormat="0" applyAlignment="0" applyProtection="0"/>
    <xf numFmtId="0" fontId="27" fillId="9" borderId="3" applyNumberFormat="0" applyAlignment="0" applyProtection="0"/>
    <xf numFmtId="0" fontId="27" fillId="9" borderId="3" applyNumberFormat="0" applyAlignment="0" applyProtection="0"/>
    <xf numFmtId="0" fontId="27" fillId="9" borderId="3" applyNumberFormat="0" applyAlignment="0" applyProtection="0"/>
    <xf numFmtId="187" fontId="27" fillId="9" borderId="3" applyNumberFormat="0" applyAlignment="0" applyProtection="0"/>
    <xf numFmtId="0" fontId="27" fillId="9" borderId="3" applyNumberFormat="0" applyAlignment="0" applyProtection="0"/>
    <xf numFmtId="0" fontId="27" fillId="9" borderId="3" applyNumberFormat="0" applyAlignment="0" applyProtection="0"/>
    <xf numFmtId="0" fontId="27" fillId="9" borderId="3" applyNumberFormat="0" applyAlignment="0" applyProtection="0"/>
    <xf numFmtId="0" fontId="27" fillId="9" borderId="3" applyNumberFormat="0" applyAlignment="0" applyProtection="0"/>
    <xf numFmtId="0" fontId="27" fillId="9" borderId="3" applyNumberFormat="0" applyAlignment="0" applyProtection="0"/>
    <xf numFmtId="0" fontId="27" fillId="9" borderId="3" applyNumberFormat="0" applyAlignment="0" applyProtection="0"/>
    <xf numFmtId="0" fontId="27" fillId="9" borderId="3" applyNumberFormat="0" applyAlignment="0" applyProtection="0"/>
    <xf numFmtId="0" fontId="27" fillId="9" borderId="3" applyNumberFormat="0" applyAlignment="0" applyProtection="0"/>
    <xf numFmtId="0" fontId="27" fillId="9" borderId="3" applyNumberFormat="0" applyAlignment="0" applyProtection="0"/>
    <xf numFmtId="0" fontId="27" fillId="9" borderId="3" applyNumberFormat="0" applyAlignment="0" applyProtection="0"/>
    <xf numFmtId="187" fontId="27" fillId="9" borderId="3" applyNumberFormat="0" applyAlignment="0" applyProtection="0"/>
    <xf numFmtId="0" fontId="27" fillId="9" borderId="3" applyNumberFormat="0" applyAlignment="0" applyProtection="0"/>
    <xf numFmtId="0" fontId="27" fillId="9" borderId="3" applyNumberFormat="0" applyAlignment="0" applyProtection="0"/>
    <xf numFmtId="0" fontId="27" fillId="9" borderId="3" applyNumberFormat="0" applyAlignment="0" applyProtection="0"/>
    <xf numFmtId="187" fontId="27" fillId="9" borderId="3" applyNumberFormat="0" applyAlignment="0" applyProtection="0"/>
    <xf numFmtId="187" fontId="27" fillId="9" borderId="3" applyNumberFormat="0" applyAlignment="0" applyProtection="0"/>
    <xf numFmtId="187" fontId="27" fillId="9" borderId="3" applyNumberFormat="0" applyAlignment="0" applyProtection="0"/>
    <xf numFmtId="187" fontId="27" fillId="9" borderId="3" applyNumberFormat="0" applyAlignment="0" applyProtection="0"/>
    <xf numFmtId="187" fontId="27" fillId="9" borderId="3" applyNumberFormat="0" applyAlignment="0" applyProtection="0"/>
    <xf numFmtId="0" fontId="27" fillId="9" borderId="3" applyNumberFormat="0" applyAlignment="0" applyProtection="0"/>
    <xf numFmtId="175" fontId="14" fillId="25" borderId="0"/>
    <xf numFmtId="185" fontId="48" fillId="0" borderId="0" applyFill="0" applyBorder="0" applyAlignment="0"/>
    <xf numFmtId="178" fontId="48" fillId="0" borderId="0" applyFill="0" applyBorder="0" applyAlignment="0"/>
    <xf numFmtId="185" fontId="48" fillId="0" borderId="0" applyFill="0" applyBorder="0" applyAlignment="0"/>
    <xf numFmtId="179" fontId="48" fillId="0" borderId="0" applyFill="0" applyBorder="0" applyAlignment="0"/>
    <xf numFmtId="178" fontId="48" fillId="0" borderId="0" applyFill="0" applyBorder="0" applyAlignment="0"/>
    <xf numFmtId="187" fontId="42" fillId="0" borderId="12" applyNumberFormat="0" applyFill="0" applyAlignment="0" applyProtection="0"/>
    <xf numFmtId="0" fontId="42" fillId="0" borderId="12" applyNumberFormat="0" applyFill="0" applyAlignment="0" applyProtection="0"/>
    <xf numFmtId="38" fontId="49" fillId="0" borderId="0" applyFont="0" applyFill="0" applyBorder="0" applyAlignment="0" applyProtection="0"/>
    <xf numFmtId="40" fontId="49" fillId="0" borderId="0" applyFont="0" applyFill="0" applyBorder="0" applyAlignment="0" applyProtection="0"/>
    <xf numFmtId="189" fontId="49" fillId="0" borderId="0" applyFont="0" applyFill="0" applyBorder="0" applyAlignment="0" applyProtection="0"/>
    <xf numFmtId="190" fontId="49" fillId="0" borderId="0" applyFont="0" applyFill="0" applyBorder="0" applyAlignment="0" applyProtection="0"/>
    <xf numFmtId="187" fontId="43" fillId="12" borderId="0" applyNumberFormat="0" applyBorder="0" applyAlignment="0" applyProtection="0"/>
    <xf numFmtId="0" fontId="43" fillId="12" borderId="0" applyNumberFormat="0" applyBorder="0" applyAlignment="0" applyProtection="0"/>
    <xf numFmtId="37" fontId="80" fillId="0" borderId="0"/>
    <xf numFmtId="176" fontId="46" fillId="0" borderId="0"/>
    <xf numFmtId="186" fontId="19" fillId="0" borderId="0"/>
    <xf numFmtId="186" fontId="19" fillId="0" borderId="0"/>
    <xf numFmtId="0" fontId="18" fillId="0" borderId="0"/>
    <xf numFmtId="0" fontId="18" fillId="0" borderId="0"/>
    <xf numFmtId="0" fontId="19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84" fillId="0" borderId="0"/>
    <xf numFmtId="0" fontId="18" fillId="0" borderId="0"/>
    <xf numFmtId="0" fontId="84" fillId="0" borderId="0"/>
    <xf numFmtId="0" fontId="18" fillId="0" borderId="0"/>
    <xf numFmtId="0" fontId="18" fillId="0" borderId="0"/>
    <xf numFmtId="0" fontId="18" fillId="0" borderId="0"/>
    <xf numFmtId="0" fontId="20" fillId="0" borderId="0"/>
    <xf numFmtId="175" fontId="84" fillId="0" borderId="0"/>
    <xf numFmtId="175" fontId="84" fillId="0" borderId="0"/>
    <xf numFmtId="0" fontId="82" fillId="0" borderId="0"/>
    <xf numFmtId="0" fontId="19" fillId="0" borderId="0"/>
    <xf numFmtId="0" fontId="19" fillId="0" borderId="0"/>
    <xf numFmtId="0" fontId="18" fillId="0" borderId="0"/>
    <xf numFmtId="0" fontId="18" fillId="0" borderId="0"/>
    <xf numFmtId="0" fontId="19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9" fillId="0" borderId="0"/>
    <xf numFmtId="175" fontId="19" fillId="0" borderId="0"/>
    <xf numFmtId="168" fontId="35" fillId="0" borderId="0"/>
    <xf numFmtId="0" fontId="18" fillId="0" borderId="0"/>
    <xf numFmtId="0" fontId="19" fillId="0" borderId="0"/>
    <xf numFmtId="168" fontId="3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75" fontId="19" fillId="0" borderId="0"/>
    <xf numFmtId="175" fontId="19" fillId="0" borderId="0"/>
    <xf numFmtId="0" fontId="18" fillId="0" borderId="0"/>
    <xf numFmtId="0" fontId="18" fillId="0" borderId="0"/>
    <xf numFmtId="0" fontId="18" fillId="0" borderId="0"/>
    <xf numFmtId="0" fontId="19" fillId="0" borderId="0"/>
    <xf numFmtId="0" fontId="84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75" fontId="19" fillId="0" borderId="0"/>
    <xf numFmtId="175" fontId="19" fillId="0" borderId="0"/>
    <xf numFmtId="0" fontId="19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18" fillId="0" borderId="0"/>
    <xf numFmtId="0" fontId="18" fillId="0" borderId="0"/>
    <xf numFmtId="0" fontId="1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19" fillId="0" borderId="0"/>
    <xf numFmtId="0" fontId="18" fillId="0" borderId="0"/>
    <xf numFmtId="0" fontId="19" fillId="0" borderId="0"/>
    <xf numFmtId="0" fontId="18" fillId="0" borderId="0"/>
    <xf numFmtId="0" fontId="19" fillId="0" borderId="0"/>
    <xf numFmtId="0" fontId="18" fillId="0" borderId="0"/>
    <xf numFmtId="187" fontId="19" fillId="7" borderId="13" applyNumberFormat="0" applyFont="0" applyAlignment="0" applyProtection="0"/>
    <xf numFmtId="0" fontId="19" fillId="7" borderId="13" applyNumberFormat="0" applyFont="0" applyAlignment="0" applyProtection="0"/>
    <xf numFmtId="0" fontId="82" fillId="30" borderId="21" applyNumberFormat="0" applyFont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187" fontId="29" fillId="23" borderId="14" applyNumberFormat="0" applyAlignment="0" applyProtection="0"/>
    <xf numFmtId="0" fontId="29" fillId="23" borderId="14" applyNumberFormat="0" applyAlignment="0" applyProtection="0"/>
    <xf numFmtId="14" fontId="47" fillId="0" borderId="0">
      <alignment horizontal="center" wrapText="1"/>
      <protection locked="0"/>
    </xf>
    <xf numFmtId="181" fontId="19" fillId="0" borderId="0" applyFont="0" applyFill="0" applyBorder="0" applyAlignment="0" applyProtection="0"/>
    <xf numFmtId="181" fontId="19" fillId="0" borderId="0" applyFont="0" applyFill="0" applyBorder="0" applyAlignment="0" applyProtection="0"/>
    <xf numFmtId="173" fontId="19" fillId="0" borderId="0" applyFont="0" applyFill="0" applyBorder="0" applyAlignment="0" applyProtection="0"/>
    <xf numFmtId="173" fontId="19" fillId="0" borderId="0" applyFont="0" applyFill="0" applyBorder="0" applyAlignment="0" applyProtection="0"/>
    <xf numFmtId="10" fontId="19" fillId="0" borderId="0" applyFont="0" applyFill="0" applyBorder="0" applyAlignment="0" applyProtection="0"/>
    <xf numFmtId="10" fontId="19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49" fillId="0" borderId="15" applyNumberFormat="0" applyBorder="0"/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81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7" fillId="0" borderId="0">
      <protection locked="0"/>
    </xf>
    <xf numFmtId="185" fontId="48" fillId="0" borderId="0" applyFill="0" applyBorder="0" applyAlignment="0"/>
    <xf numFmtId="178" fontId="48" fillId="0" borderId="0" applyFill="0" applyBorder="0" applyAlignment="0"/>
    <xf numFmtId="185" fontId="48" fillId="0" borderId="0" applyFill="0" applyBorder="0" applyAlignment="0"/>
    <xf numFmtId="179" fontId="48" fillId="0" borderId="0" applyFill="0" applyBorder="0" applyAlignment="0"/>
    <xf numFmtId="178" fontId="48" fillId="0" borderId="0" applyFill="0" applyBorder="0" applyAlignment="0"/>
    <xf numFmtId="0" fontId="49" fillId="0" borderId="0" applyNumberFormat="0" applyFont="0" applyFill="0" applyBorder="0" applyAlignment="0" applyProtection="0">
      <alignment horizontal="left"/>
    </xf>
    <xf numFmtId="15" fontId="49" fillId="0" borderId="0" applyFont="0" applyFill="0" applyBorder="0" applyAlignment="0" applyProtection="0"/>
    <xf numFmtId="4" fontId="49" fillId="0" borderId="0" applyFont="0" applyFill="0" applyBorder="0" applyAlignment="0" applyProtection="0"/>
    <xf numFmtId="0" fontId="53" fillId="0" borderId="10">
      <alignment horizontal="center"/>
    </xf>
    <xf numFmtId="3" fontId="49" fillId="0" borderId="0" applyFont="0" applyFill="0" applyBorder="0" applyAlignment="0" applyProtection="0"/>
    <xf numFmtId="0" fontId="49" fillId="27" borderId="0" applyNumberFormat="0" applyFont="0" applyBorder="0" applyAlignment="0" applyProtection="0"/>
    <xf numFmtId="4" fontId="14" fillId="25" borderId="0" applyFill="0"/>
    <xf numFmtId="0" fontId="58" fillId="0" borderId="0">
      <alignment horizontal="left"/>
    </xf>
    <xf numFmtId="0" fontId="14" fillId="0" borderId="0" applyFill="0">
      <alignment horizontal="left"/>
    </xf>
    <xf numFmtId="175" fontId="14" fillId="0" borderId="0" applyFill="0">
      <alignment horizontal="left"/>
    </xf>
    <xf numFmtId="4" fontId="72" fillId="0" borderId="16" applyFill="0">
      <alignment horizontal="right"/>
    </xf>
    <xf numFmtId="0" fontId="17" fillId="0" borderId="11" applyNumberFormat="0" applyFont="0" applyBorder="0">
      <alignment horizontal="right"/>
    </xf>
    <xf numFmtId="0" fontId="73" fillId="0" borderId="0" applyFill="0"/>
    <xf numFmtId="0" fontId="15" fillId="0" borderId="0" applyFill="0"/>
    <xf numFmtId="4" fontId="72" fillId="0" borderId="16" applyFill="0"/>
    <xf numFmtId="0" fontId="19" fillId="0" borderId="0" applyNumberFormat="0" applyFont="0" applyBorder="0" applyAlignment="0"/>
    <xf numFmtId="0" fontId="64" fillId="0" borderId="0" applyFill="0">
      <alignment horizontal="left" indent="1"/>
    </xf>
    <xf numFmtId="0" fontId="74" fillId="0" borderId="0" applyFill="0">
      <alignment horizontal="left" indent="1"/>
    </xf>
    <xf numFmtId="4" fontId="59" fillId="0" borderId="0" applyFill="0"/>
    <xf numFmtId="0" fontId="19" fillId="0" borderId="0" applyNumberFormat="0" applyFont="0" applyFill="0" applyBorder="0" applyAlignment="0"/>
    <xf numFmtId="0" fontId="64" fillId="0" borderId="0" applyFill="0">
      <alignment horizontal="left" indent="2"/>
    </xf>
    <xf numFmtId="0" fontId="15" fillId="0" borderId="0" applyFill="0">
      <alignment horizontal="left" indent="2"/>
    </xf>
    <xf numFmtId="4" fontId="59" fillId="0" borderId="0" applyFill="0"/>
    <xf numFmtId="0" fontId="19" fillId="0" borderId="0" applyNumberFormat="0" applyFont="0" applyBorder="0" applyAlignment="0"/>
    <xf numFmtId="0" fontId="75" fillId="0" borderId="0">
      <alignment horizontal="left" indent="3"/>
    </xf>
    <xf numFmtId="0" fontId="76" fillId="0" borderId="0" applyFill="0">
      <alignment horizontal="left" indent="3"/>
    </xf>
    <xf numFmtId="4" fontId="59" fillId="0" borderId="0" applyFill="0"/>
    <xf numFmtId="0" fontId="19" fillId="0" borderId="0" applyNumberFormat="0" applyFont="0" applyBorder="0" applyAlignment="0"/>
    <xf numFmtId="0" fontId="66" fillId="0" borderId="0">
      <alignment horizontal="left" indent="4"/>
    </xf>
    <xf numFmtId="0" fontId="19" fillId="0" borderId="0" applyFill="0">
      <alignment horizontal="left" indent="4"/>
    </xf>
    <xf numFmtId="4" fontId="67" fillId="0" borderId="0" applyFill="0"/>
    <xf numFmtId="0" fontId="19" fillId="0" borderId="0" applyNumberFormat="0" applyFont="0" applyBorder="0" applyAlignment="0"/>
    <xf numFmtId="0" fontId="68" fillId="0" borderId="0">
      <alignment horizontal="left" indent="5"/>
    </xf>
    <xf numFmtId="0" fontId="69" fillId="0" borderId="0" applyFill="0">
      <alignment horizontal="left" indent="5"/>
    </xf>
    <xf numFmtId="4" fontId="70" fillId="0" borderId="0" applyFill="0"/>
    <xf numFmtId="0" fontId="19" fillId="0" borderId="0" applyNumberFormat="0" applyFont="0" applyFill="0" applyBorder="0" applyAlignment="0"/>
    <xf numFmtId="0" fontId="71" fillId="0" borderId="0" applyFill="0">
      <alignment horizontal="left" indent="6"/>
    </xf>
    <xf numFmtId="0" fontId="67" fillId="0" borderId="0" applyFill="0">
      <alignment horizontal="left" indent="6"/>
    </xf>
    <xf numFmtId="0" fontId="54" fillId="28" borderId="0" applyNumberFormat="0" applyFont="0" applyBorder="0" applyAlignment="0">
      <alignment horizontal="center"/>
    </xf>
    <xf numFmtId="177" fontId="55" fillId="0" borderId="0" applyNumberFormat="0" applyFill="0" applyBorder="0" applyAlignment="0" applyProtection="0">
      <alignment horizontal="left"/>
    </xf>
    <xf numFmtId="0" fontId="54" fillId="1" borderId="6" applyNumberFormat="0" applyFont="0" applyAlignment="0">
      <alignment horizontal="center"/>
    </xf>
    <xf numFmtId="0" fontId="56" fillId="0" borderId="0" applyNumberFormat="0" applyFill="0" applyBorder="0" applyAlignment="0">
      <alignment horizontal="center"/>
    </xf>
    <xf numFmtId="0" fontId="33" fillId="0" borderId="0"/>
    <xf numFmtId="0" fontId="33" fillId="0" borderId="0"/>
    <xf numFmtId="40" fontId="57" fillId="0" borderId="0" applyBorder="0">
      <alignment horizontal="right"/>
    </xf>
    <xf numFmtId="49" fontId="45" fillId="0" borderId="0" applyFill="0" applyBorder="0" applyAlignment="0"/>
    <xf numFmtId="182" fontId="19" fillId="0" borderId="0" applyFill="0" applyBorder="0" applyAlignment="0"/>
    <xf numFmtId="182" fontId="19" fillId="0" borderId="0" applyFill="0" applyBorder="0" applyAlignment="0"/>
    <xf numFmtId="183" fontId="19" fillId="0" borderId="0" applyFill="0" applyBorder="0" applyAlignment="0"/>
    <xf numFmtId="183" fontId="19" fillId="0" borderId="0" applyFill="0" applyBorder="0" applyAlignment="0"/>
    <xf numFmtId="187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187" fontId="30" fillId="0" borderId="17" applyNumberFormat="0" applyFill="0" applyAlignment="0" applyProtection="0"/>
    <xf numFmtId="0" fontId="30" fillId="0" borderId="17" applyNumberFormat="0" applyFill="0" applyAlignment="0" applyProtection="0"/>
    <xf numFmtId="187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168" fontId="12" fillId="0" borderId="0" applyFont="0" applyFill="0" applyBorder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89" fillId="0" borderId="0"/>
    <xf numFmtId="0" fontId="8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90" fillId="0" borderId="0"/>
    <xf numFmtId="0" fontId="9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91" fillId="0" borderId="0"/>
    <xf numFmtId="0" fontId="91" fillId="0" borderId="0"/>
    <xf numFmtId="0" fontId="19" fillId="0" borderId="0"/>
    <xf numFmtId="0" fontId="19" fillId="0" borderId="0"/>
    <xf numFmtId="0" fontId="94" fillId="0" borderId="0"/>
    <xf numFmtId="0" fontId="94" fillId="0" borderId="0"/>
    <xf numFmtId="9" fontId="95" fillId="0" borderId="0" applyFont="0" applyFill="0" applyBorder="0" applyAlignment="0" applyProtection="0"/>
    <xf numFmtId="0" fontId="96" fillId="0" borderId="0"/>
    <xf numFmtId="0" fontId="96" fillId="0" borderId="0"/>
    <xf numFmtId="0" fontId="19" fillId="0" borderId="0"/>
    <xf numFmtId="0" fontId="19" fillId="0" borderId="0"/>
    <xf numFmtId="0" fontId="98" fillId="0" borderId="0"/>
    <xf numFmtId="0" fontId="98" fillId="0" borderId="0"/>
    <xf numFmtId="0" fontId="11" fillId="0" borderId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44" fontId="19" fillId="0" borderId="0" applyFont="0" applyFill="0" applyBorder="0" applyAlignment="0" applyProtection="0"/>
    <xf numFmtId="0" fontId="10" fillId="0" borderId="0"/>
    <xf numFmtId="0" fontId="10" fillId="0" borderId="0"/>
    <xf numFmtId="175" fontId="10" fillId="0" borderId="0"/>
    <xf numFmtId="175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8" fillId="0" borderId="0"/>
    <xf numFmtId="0" fontId="18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9" fontId="11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1" fillId="0" borderId="0"/>
    <xf numFmtId="0" fontId="19" fillId="0" borderId="0"/>
    <xf numFmtId="0" fontId="19" fillId="0" borderId="0"/>
    <xf numFmtId="0" fontId="9" fillId="0" borderId="0"/>
    <xf numFmtId="164" fontId="9" fillId="0" borderId="0" applyFont="0" applyFill="0" applyBorder="0" applyAlignment="0" applyProtection="0"/>
    <xf numFmtId="187" fontId="11" fillId="0" borderId="0"/>
    <xf numFmtId="0" fontId="8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96" fontId="8" fillId="0" borderId="0"/>
    <xf numFmtId="164" fontId="8" fillId="0" borderId="0" applyFont="0" applyFill="0" applyBorder="0" applyAlignment="0" applyProtection="0"/>
    <xf numFmtId="197" fontId="8" fillId="0" borderId="0"/>
    <xf numFmtId="0" fontId="82" fillId="0" borderId="0"/>
    <xf numFmtId="164" fontId="82" fillId="0" borderId="0" applyFont="0" applyFill="0" applyBorder="0" applyAlignment="0" applyProtection="0"/>
    <xf numFmtId="0" fontId="82" fillId="0" borderId="0"/>
    <xf numFmtId="0" fontId="8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/>
    <xf numFmtId="0" fontId="4" fillId="0" borderId="0"/>
    <xf numFmtId="43" fontId="4" fillId="0" borderId="0" applyFont="0" applyFill="0" applyBorder="0" applyAlignment="0" applyProtection="0"/>
    <xf numFmtId="0" fontId="3" fillId="0" borderId="0"/>
    <xf numFmtId="0" fontId="3" fillId="0" borderId="0"/>
    <xf numFmtId="0" fontId="11" fillId="0" borderId="0"/>
    <xf numFmtId="166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6" fillId="0" borderId="0"/>
    <xf numFmtId="0" fontId="6" fillId="0" borderId="0"/>
    <xf numFmtId="175" fontId="6" fillId="0" borderId="0"/>
    <xf numFmtId="175" fontId="6" fillId="0" borderId="0"/>
    <xf numFmtId="0" fontId="3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" fillId="30" borderId="21" applyNumberFormat="0" applyFont="0" applyAlignment="0" applyProtection="0"/>
    <xf numFmtId="9" fontId="11" fillId="0" borderId="0" applyFont="0" applyFill="0" applyBorder="0" applyAlignment="0" applyProtection="0"/>
    <xf numFmtId="0" fontId="19" fillId="0" borderId="0"/>
    <xf numFmtId="0" fontId="19" fillId="0" borderId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6" fillId="0" borderId="0"/>
    <xf numFmtId="0" fontId="6" fillId="0" borderId="0"/>
    <xf numFmtId="175" fontId="6" fillId="0" borderId="0"/>
    <xf numFmtId="175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4" fontId="6" fillId="0" borderId="0" applyFont="0" applyFill="0" applyBorder="0" applyAlignment="0" applyProtection="0"/>
    <xf numFmtId="0" fontId="6" fillId="0" borderId="0"/>
    <xf numFmtId="164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196" fontId="6" fillId="0" borderId="0"/>
    <xf numFmtId="164" fontId="6" fillId="0" borderId="0" applyFont="0" applyFill="0" applyBorder="0" applyAlignment="0" applyProtection="0"/>
    <xf numFmtId="197" fontId="6" fillId="0" borderId="0"/>
    <xf numFmtId="0" fontId="3" fillId="0" borderId="0"/>
    <xf numFmtId="164" fontId="3" fillId="0" borderId="0" applyFont="0" applyFill="0" applyBorder="0" applyAlignment="0" applyProtection="0"/>
    <xf numFmtId="0" fontId="3" fillId="0" borderId="0"/>
    <xf numFmtId="0" fontId="6" fillId="0" borderId="0"/>
    <xf numFmtId="164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113" fillId="0" borderId="0"/>
    <xf numFmtId="0" fontId="112" fillId="0" borderId="0"/>
    <xf numFmtId="166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44" fontId="2" fillId="0" borderId="0" applyFont="0" applyFill="0" applyBorder="0" applyAlignment="0" applyProtection="0"/>
    <xf numFmtId="16" fontId="45" fillId="0" borderId="0" applyFill="0" applyBorder="0" applyAlignment="0"/>
    <xf numFmtId="0" fontId="14" fillId="25" borderId="0" applyNumberFormat="0" applyBorder="0" applyAlignment="0" applyProtection="0"/>
    <xf numFmtId="0" fontId="80" fillId="0" borderId="0"/>
    <xf numFmtId="0" fontId="2" fillId="0" borderId="0"/>
    <xf numFmtId="0" fontId="2" fillId="30" borderId="21" applyNumberFormat="0" applyFont="0" applyAlignment="0" applyProtection="0"/>
    <xf numFmtId="16" fontId="47" fillId="0" borderId="0">
      <alignment horizontal="center" wrapText="1"/>
      <protection locked="0"/>
    </xf>
    <xf numFmtId="17" fontId="49" fillId="0" borderId="0" applyFont="0" applyFill="0" applyBorder="0" applyAlignment="0" applyProtection="0"/>
    <xf numFmtId="0" fontId="57" fillId="0" borderId="0" applyBorder="0">
      <alignment horizontal="right"/>
    </xf>
    <xf numFmtId="0" fontId="45" fillId="0" borderId="0" applyFill="0" applyBorder="0" applyAlignment="0"/>
    <xf numFmtId="9" fontId="11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4" fontId="2" fillId="0" borderId="0" applyFont="0" applyFill="0" applyBorder="0" applyAlignment="0" applyProtection="0"/>
    <xf numFmtId="0" fontId="2" fillId="0" borderId="0"/>
    <xf numFmtId="0" fontId="2" fillId="30" borderId="21" applyNumberFormat="0" applyFont="0" applyAlignment="0" applyProtection="0"/>
    <xf numFmtId="0" fontId="2" fillId="0" borderId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117" fillId="0" borderId="0"/>
    <xf numFmtId="43" fontId="117" fillId="0" borderId="0" applyFont="0" applyFill="0" applyBorder="0" applyAlignment="0" applyProtection="0"/>
    <xf numFmtId="9" fontId="117" fillId="0" borderId="0" applyFont="0" applyFill="0" applyBorder="0" applyAlignment="0" applyProtection="0"/>
    <xf numFmtId="44" fontId="117" fillId="0" borderId="0" applyFont="0" applyFill="0" applyBorder="0" applyAlignment="0" applyProtection="0"/>
    <xf numFmtId="0" fontId="129" fillId="0" borderId="0"/>
    <xf numFmtId="43" fontId="129" fillId="0" borderId="0" applyFont="0" applyFill="0" applyBorder="0" applyAlignment="0" applyProtection="0"/>
    <xf numFmtId="0" fontId="113" fillId="0" borderId="0"/>
    <xf numFmtId="0" fontId="113" fillId="0" borderId="0"/>
    <xf numFmtId="43" fontId="113" fillId="0" borderId="0" applyFont="0" applyFill="0" applyBorder="0" applyAlignment="0" applyProtection="0"/>
    <xf numFmtId="0" fontId="113" fillId="0" borderId="0"/>
    <xf numFmtId="44" fontId="131" fillId="0" borderId="0" applyFont="0" applyFill="0" applyBorder="0" applyAlignment="0" applyProtection="0"/>
  </cellStyleXfs>
  <cellXfs count="558">
    <xf numFmtId="0" fontId="0" fillId="0" borderId="0" xfId="0"/>
    <xf numFmtId="0" fontId="13" fillId="0" borderId="0" xfId="0" applyFont="1"/>
    <xf numFmtId="0" fontId="19" fillId="0" borderId="0" xfId="0" applyFont="1"/>
    <xf numFmtId="0" fontId="19" fillId="0" borderId="0" xfId="0" applyFont="1" applyAlignment="1">
      <alignment horizontal="left"/>
    </xf>
    <xf numFmtId="0" fontId="76" fillId="0" borderId="0" xfId="0" applyFont="1"/>
    <xf numFmtId="167" fontId="76" fillId="0" borderId="0" xfId="109" applyNumberFormat="1" applyFont="1"/>
    <xf numFmtId="0" fontId="86" fillId="0" borderId="0" xfId="0" applyFont="1"/>
    <xf numFmtId="0" fontId="76" fillId="0" borderId="0" xfId="0" applyFont="1" applyAlignment="1">
      <alignment wrapText="1"/>
    </xf>
    <xf numFmtId="167" fontId="76" fillId="0" borderId="6" xfId="0" applyNumberFormat="1" applyFont="1" applyBorder="1"/>
    <xf numFmtId="167" fontId="76" fillId="0" borderId="0" xfId="109" applyNumberFormat="1" applyFont="1" applyBorder="1"/>
    <xf numFmtId="167" fontId="62" fillId="0" borderId="22" xfId="0" applyNumberFormat="1" applyFont="1" applyBorder="1"/>
    <xf numFmtId="0" fontId="85" fillId="0" borderId="0" xfId="0" applyFont="1"/>
    <xf numFmtId="0" fontId="62" fillId="0" borderId="0" xfId="0" applyFont="1"/>
    <xf numFmtId="0" fontId="62" fillId="0" borderId="0" xfId="0" applyFont="1" applyAlignment="1">
      <alignment horizontal="center"/>
    </xf>
    <xf numFmtId="167" fontId="62" fillId="0" borderId="22" xfId="109" applyNumberFormat="1" applyFont="1" applyBorder="1"/>
    <xf numFmtId="167" fontId="62" fillId="0" borderId="0" xfId="109" applyNumberFormat="1" applyFont="1" applyBorder="1"/>
    <xf numFmtId="167" fontId="76" fillId="0" borderId="6" xfId="109" applyNumberFormat="1" applyFont="1" applyBorder="1"/>
    <xf numFmtId="0" fontId="62" fillId="0" borderId="16" xfId="0" applyFont="1" applyBorder="1" applyAlignment="1">
      <alignment horizontal="center"/>
    </xf>
    <xf numFmtId="167" fontId="19" fillId="0" borderId="0" xfId="109" applyNumberFormat="1" applyFont="1" applyFill="1"/>
    <xf numFmtId="168" fontId="92" fillId="0" borderId="18" xfId="462" applyFont="1" applyFill="1" applyBorder="1" applyAlignment="1">
      <alignment horizontal="center" wrapText="1"/>
    </xf>
    <xf numFmtId="0" fontId="85" fillId="0" borderId="0" xfId="110" applyNumberFormat="1" applyFont="1" applyFill="1"/>
    <xf numFmtId="0" fontId="85" fillId="0" borderId="0" xfId="0" applyFont="1" applyAlignment="1">
      <alignment horizontal="left"/>
    </xf>
    <xf numFmtId="167" fontId="85" fillId="0" borderId="0" xfId="109" applyNumberFormat="1" applyFont="1" applyFill="1"/>
    <xf numFmtId="167" fontId="13" fillId="0" borderId="0" xfId="109" applyNumberFormat="1" applyFont="1" applyFill="1"/>
    <xf numFmtId="37" fontId="85" fillId="0" borderId="0" xfId="109" applyNumberFormat="1" applyFont="1" applyFill="1"/>
    <xf numFmtId="0" fontId="93" fillId="0" borderId="0" xfId="468" applyFont="1" applyAlignment="1">
      <alignment horizontal="right" vertical="top"/>
    </xf>
    <xf numFmtId="37" fontId="85" fillId="0" borderId="0" xfId="0" applyNumberFormat="1" applyFont="1"/>
    <xf numFmtId="0" fontId="85" fillId="0" borderId="0" xfId="0" quotePrefix="1" applyFont="1"/>
    <xf numFmtId="0" fontId="85" fillId="0" borderId="10" xfId="110" applyNumberFormat="1" applyFont="1" applyFill="1" applyBorder="1"/>
    <xf numFmtId="0" fontId="85" fillId="0" borderId="10" xfId="0" applyFont="1" applyBorder="1"/>
    <xf numFmtId="37" fontId="85" fillId="0" borderId="10" xfId="109" applyNumberFormat="1" applyFont="1" applyFill="1" applyBorder="1"/>
    <xf numFmtId="0" fontId="85" fillId="0" borderId="10" xfId="0" applyFont="1" applyBorder="1" applyAlignment="1">
      <alignment horizontal="left"/>
    </xf>
    <xf numFmtId="1" fontId="85" fillId="0" borderId="0" xfId="0" applyNumberFormat="1" applyFont="1"/>
    <xf numFmtId="0" fontId="85" fillId="0" borderId="19" xfId="308" applyFont="1" applyBorder="1"/>
    <xf numFmtId="172" fontId="85" fillId="0" borderId="0" xfId="122" applyNumberFormat="1" applyFont="1" applyFill="1"/>
    <xf numFmtId="171" fontId="85" fillId="0" borderId="0" xfId="122" applyNumberFormat="1" applyFont="1" applyFill="1"/>
    <xf numFmtId="0" fontId="85" fillId="0" borderId="19" xfId="308" applyFont="1" applyBorder="1" applyAlignment="1">
      <alignment horizontal="left"/>
    </xf>
    <xf numFmtId="172" fontId="85" fillId="0" borderId="20" xfId="122" applyNumberFormat="1" applyFont="1" applyFill="1" applyBorder="1"/>
    <xf numFmtId="167" fontId="85" fillId="0" borderId="0" xfId="0" applyNumberFormat="1" applyFont="1"/>
    <xf numFmtId="3" fontId="76" fillId="0" borderId="0" xfId="0" applyNumberFormat="1" applyFont="1"/>
    <xf numFmtId="167" fontId="76" fillId="0" borderId="0" xfId="0" applyNumberFormat="1" applyFont="1"/>
    <xf numFmtId="0" fontId="19" fillId="0" borderId="0" xfId="0" applyFont="1" applyAlignment="1">
      <alignment horizontal="right"/>
    </xf>
    <xf numFmtId="0" fontId="19" fillId="0" borderId="0" xfId="0" applyFont="1" applyAlignment="1">
      <alignment horizontal="center"/>
    </xf>
    <xf numFmtId="168" fontId="17" fillId="0" borderId="18" xfId="462" applyFont="1" applyFill="1" applyBorder="1" applyAlignment="1">
      <alignment horizontal="right"/>
    </xf>
    <xf numFmtId="10" fontId="99" fillId="0" borderId="0" xfId="493" applyNumberFormat="1" applyFont="1" applyFill="1" applyAlignment="1">
      <alignment horizontal="right"/>
    </xf>
    <xf numFmtId="0" fontId="101" fillId="0" borderId="0" xfId="0" applyFont="1" applyAlignment="1">
      <alignment horizontal="left"/>
    </xf>
    <xf numFmtId="0" fontId="100" fillId="0" borderId="0" xfId="0" applyFont="1" applyAlignment="1">
      <alignment horizontal="left"/>
    </xf>
    <xf numFmtId="4" fontId="19" fillId="0" borderId="0" xfId="0" applyNumberFormat="1" applyFont="1"/>
    <xf numFmtId="0" fontId="19" fillId="0" borderId="0" xfId="462" applyNumberFormat="1" applyFont="1" applyFill="1"/>
    <xf numFmtId="0" fontId="17" fillId="0" borderId="0" xfId="0" applyFont="1" applyAlignment="1">
      <alignment horizontal="left"/>
    </xf>
    <xf numFmtId="195" fontId="19" fillId="0" borderId="0" xfId="109" applyNumberFormat="1" applyFont="1" applyFill="1"/>
    <xf numFmtId="193" fontId="19" fillId="0" borderId="0" xfId="109" applyNumberFormat="1" applyFont="1" applyFill="1" applyAlignment="1">
      <alignment vertical="center"/>
    </xf>
    <xf numFmtId="0" fontId="85" fillId="0" borderId="10" xfId="0" applyFont="1" applyBorder="1" applyAlignment="1">
      <alignment horizontal="right"/>
    </xf>
    <xf numFmtId="3" fontId="85" fillId="0" borderId="0" xfId="0" applyNumberFormat="1" applyFont="1" applyAlignment="1">
      <alignment horizontal="right"/>
    </xf>
    <xf numFmtId="166" fontId="85" fillId="0" borderId="0" xfId="109" applyFont="1" applyFill="1" applyAlignment="1">
      <alignment horizontal="right"/>
    </xf>
    <xf numFmtId="167" fontId="103" fillId="0" borderId="0" xfId="109" applyNumberFormat="1" applyFont="1"/>
    <xf numFmtId="0" fontId="17" fillId="0" borderId="0" xfId="0" applyFont="1"/>
    <xf numFmtId="0" fontId="17" fillId="0" borderId="11" xfId="462" applyNumberFormat="1" applyFont="1" applyFill="1" applyBorder="1" applyAlignment="1">
      <alignment wrapText="1"/>
    </xf>
    <xf numFmtId="0" fontId="17" fillId="0" borderId="0" xfId="110" applyNumberFormat="1" applyFont="1" applyFill="1"/>
    <xf numFmtId="166" fontId="17" fillId="0" borderId="0" xfId="109" applyFont="1" applyFill="1" applyAlignment="1">
      <alignment horizontal="centerContinuous"/>
    </xf>
    <xf numFmtId="0" fontId="17" fillId="0" borderId="0" xfId="0" applyFont="1" applyAlignment="1">
      <alignment horizontal="centerContinuous"/>
    </xf>
    <xf numFmtId="0" fontId="17" fillId="0" borderId="0" xfId="0" applyFont="1" applyAlignment="1">
      <alignment horizontal="right"/>
    </xf>
    <xf numFmtId="0" fontId="17" fillId="0" borderId="16" xfId="0" applyFont="1" applyBorder="1"/>
    <xf numFmtId="0" fontId="17" fillId="0" borderId="16" xfId="110" applyNumberFormat="1" applyFont="1" applyFill="1" applyBorder="1"/>
    <xf numFmtId="0" fontId="17" fillId="0" borderId="16" xfId="0" applyFont="1" applyBorder="1" applyAlignment="1">
      <alignment horizontal="left"/>
    </xf>
    <xf numFmtId="0" fontId="17" fillId="0" borderId="16" xfId="0" applyFont="1" applyBorder="1" applyAlignment="1">
      <alignment horizontal="right"/>
    </xf>
    <xf numFmtId="0" fontId="17" fillId="0" borderId="16" xfId="0" applyFont="1" applyBorder="1" applyAlignment="1">
      <alignment horizontal="center"/>
    </xf>
    <xf numFmtId="0" fontId="97" fillId="0" borderId="16" xfId="495" applyFont="1" applyBorder="1" applyAlignment="1">
      <alignment horizontal="center" vertical="top"/>
    </xf>
    <xf numFmtId="193" fontId="19" fillId="0" borderId="0" xfId="109" applyNumberFormat="1" applyFont="1" applyFill="1" applyAlignment="1">
      <alignment horizontal="center" vertical="center"/>
    </xf>
    <xf numFmtId="193" fontId="19" fillId="0" borderId="0" xfId="109" applyNumberFormat="1" applyFont="1" applyFill="1" applyAlignment="1">
      <alignment horizontal="center"/>
    </xf>
    <xf numFmtId="167" fontId="19" fillId="0" borderId="0" xfId="109" applyNumberFormat="1" applyFont="1" applyFill="1" applyAlignment="1">
      <alignment horizontal="center"/>
    </xf>
    <xf numFmtId="167" fontId="19" fillId="0" borderId="0" xfId="109" applyNumberFormat="1" applyFont="1" applyFill="1" applyAlignment="1">
      <alignment horizontal="center" vertical="center"/>
    </xf>
    <xf numFmtId="192" fontId="62" fillId="0" borderId="0" xfId="0" quotePrefix="1" applyNumberFormat="1" applyFont="1"/>
    <xf numFmtId="170" fontId="13" fillId="0" borderId="0" xfId="110" applyNumberFormat="1" applyFont="1" applyFill="1" applyAlignment="1"/>
    <xf numFmtId="168" fontId="17" fillId="0" borderId="0" xfId="462" applyFont="1" applyFill="1"/>
    <xf numFmtId="168" fontId="19" fillId="0" borderId="0" xfId="462" applyFont="1" applyFill="1" applyAlignment="1">
      <alignment horizontal="right"/>
    </xf>
    <xf numFmtId="164" fontId="85" fillId="0" borderId="0" xfId="0" applyNumberFormat="1" applyFont="1"/>
    <xf numFmtId="168" fontId="19" fillId="0" borderId="0" xfId="462" applyFont="1" applyFill="1"/>
    <xf numFmtId="0" fontId="17" fillId="0" borderId="0" xfId="500" applyFont="1" applyAlignment="1">
      <alignment horizontal="center"/>
    </xf>
    <xf numFmtId="0" fontId="17" fillId="0" borderId="0" xfId="0" applyFont="1" applyAlignment="1">
      <alignment horizontal="center"/>
    </xf>
    <xf numFmtId="168" fontId="19" fillId="0" borderId="15" xfId="462" applyFont="1" applyFill="1" applyBorder="1" applyAlignment="1">
      <alignment horizontal="right"/>
    </xf>
    <xf numFmtId="168" fontId="19" fillId="0" borderId="0" xfId="462" applyFont="1" applyFill="1" applyAlignment="1">
      <alignment horizontal="left"/>
    </xf>
    <xf numFmtId="168" fontId="105" fillId="0" borderId="0" xfId="462" applyFont="1" applyFill="1" applyAlignment="1">
      <alignment horizontal="right"/>
    </xf>
    <xf numFmtId="14" fontId="19" fillId="0" borderId="0" xfId="0" applyNumberFormat="1" applyFont="1"/>
    <xf numFmtId="14" fontId="102" fillId="0" borderId="18" xfId="462" applyNumberFormat="1" applyFont="1" applyFill="1" applyBorder="1" applyAlignment="1">
      <alignment horizontal="center" wrapText="1"/>
    </xf>
    <xf numFmtId="168" fontId="19" fillId="0" borderId="0" xfId="462" quotePrefix="1" applyFont="1" applyFill="1" applyAlignment="1">
      <alignment horizontal="left"/>
    </xf>
    <xf numFmtId="0" fontId="19" fillId="0" borderId="15" xfId="462" applyNumberFormat="1" applyFont="1" applyFill="1" applyBorder="1"/>
    <xf numFmtId="168" fontId="19" fillId="0" borderId="15" xfId="462" applyFont="1" applyFill="1" applyBorder="1" applyAlignment="1">
      <alignment horizontal="left"/>
    </xf>
    <xf numFmtId="168" fontId="19" fillId="0" borderId="15" xfId="462" applyFont="1" applyFill="1" applyBorder="1"/>
    <xf numFmtId="49" fontId="19" fillId="0" borderId="0" xfId="0" applyNumberFormat="1" applyFont="1"/>
    <xf numFmtId="169" fontId="19" fillId="0" borderId="0" xfId="462" applyNumberFormat="1" applyFont="1" applyFill="1" applyAlignment="1">
      <alignment horizontal="right"/>
    </xf>
    <xf numFmtId="168" fontId="19" fillId="0" borderId="0" xfId="462" applyFont="1" applyFill="1" applyBorder="1"/>
    <xf numFmtId="168" fontId="19" fillId="0" borderId="16" xfId="462" applyFont="1" applyFill="1" applyBorder="1"/>
    <xf numFmtId="168" fontId="19" fillId="0" borderId="23" xfId="462" applyFont="1" applyFill="1" applyBorder="1" applyAlignment="1">
      <alignment horizontal="right"/>
    </xf>
    <xf numFmtId="168" fontId="19" fillId="0" borderId="0" xfId="462" applyFont="1" applyFill="1" applyAlignment="1">
      <alignment wrapText="1"/>
    </xf>
    <xf numFmtId="194" fontId="19" fillId="0" borderId="0" xfId="462" applyNumberFormat="1" applyFont="1" applyFill="1"/>
    <xf numFmtId="168" fontId="105" fillId="0" borderId="15" xfId="462" applyFont="1" applyFill="1" applyBorder="1" applyAlignment="1">
      <alignment horizontal="left"/>
    </xf>
    <xf numFmtId="168" fontId="106" fillId="0" borderId="15" xfId="462" applyFont="1" applyFill="1" applyBorder="1" applyAlignment="1">
      <alignment horizontal="right"/>
    </xf>
    <xf numFmtId="168" fontId="106" fillId="0" borderId="0" xfId="462" applyFont="1" applyFill="1" applyBorder="1"/>
    <xf numFmtId="168" fontId="19" fillId="0" borderId="0" xfId="462" applyFont="1" applyFill="1" applyBorder="1" applyAlignment="1">
      <alignment horizontal="right"/>
    </xf>
    <xf numFmtId="168" fontId="11" fillId="0" borderId="0" xfId="462" applyFont="1" applyFill="1" applyBorder="1"/>
    <xf numFmtId="168" fontId="17" fillId="0" borderId="0" xfId="462" applyFont="1" applyFill="1" applyAlignment="1">
      <alignment horizontal="left"/>
    </xf>
    <xf numFmtId="0" fontId="17" fillId="0" borderId="18" xfId="462" applyNumberFormat="1" applyFont="1" applyFill="1" applyBorder="1"/>
    <xf numFmtId="14" fontId="17" fillId="0" borderId="18" xfId="462" applyNumberFormat="1" applyFont="1" applyFill="1" applyBorder="1" applyAlignment="1">
      <alignment horizontal="left"/>
    </xf>
    <xf numFmtId="168" fontId="17" fillId="0" borderId="18" xfId="462" applyFont="1" applyFill="1" applyBorder="1"/>
    <xf numFmtId="0" fontId="19" fillId="0" borderId="0" xfId="109" applyNumberFormat="1" applyFont="1" applyFill="1"/>
    <xf numFmtId="167" fontId="76" fillId="0" borderId="16" xfId="109" applyNumberFormat="1" applyFont="1" applyBorder="1"/>
    <xf numFmtId="167" fontId="100" fillId="0" borderId="0" xfId="0" applyNumberFormat="1" applyFont="1"/>
    <xf numFmtId="168" fontId="76" fillId="0" borderId="16" xfId="109" applyNumberFormat="1" applyFont="1" applyBorder="1"/>
    <xf numFmtId="0" fontId="100" fillId="0" borderId="0" xfId="0" applyFont="1"/>
    <xf numFmtId="168" fontId="107" fillId="0" borderId="0" xfId="462" applyFont="1" applyFill="1"/>
    <xf numFmtId="167" fontId="19" fillId="0" borderId="0" xfId="109" applyNumberFormat="1" applyFont="1" applyBorder="1"/>
    <xf numFmtId="0" fontId="106" fillId="0" borderId="0" xfId="0" applyFont="1"/>
    <xf numFmtId="167" fontId="19" fillId="0" borderId="0" xfId="0" applyNumberFormat="1" applyFont="1"/>
    <xf numFmtId="168" fontId="19" fillId="0" borderId="0" xfId="109" applyNumberFormat="1" applyFont="1" applyBorder="1"/>
    <xf numFmtId="0" fontId="19" fillId="0" borderId="0" xfId="462" applyNumberFormat="1" applyFont="1" applyFill="1" applyBorder="1"/>
    <xf numFmtId="168" fontId="19" fillId="0" borderId="0" xfId="462" quotePrefix="1" applyFont="1" applyFill="1" applyBorder="1" applyAlignment="1">
      <alignment horizontal="left"/>
    </xf>
    <xf numFmtId="168" fontId="19" fillId="0" borderId="0" xfId="462" applyFont="1" applyFill="1" applyBorder="1" applyAlignment="1">
      <alignment horizontal="left"/>
    </xf>
    <xf numFmtId="14" fontId="92" fillId="0" borderId="0" xfId="462" applyNumberFormat="1" applyFont="1" applyFill="1" applyBorder="1" applyAlignment="1">
      <alignment horizontal="center" wrapText="1"/>
    </xf>
    <xf numFmtId="168" fontId="17" fillId="0" borderId="0" xfId="462" applyFont="1" applyFill="1" applyBorder="1"/>
    <xf numFmtId="0" fontId="85" fillId="0" borderId="0" xfId="0" quotePrefix="1" applyFont="1" applyAlignment="1">
      <alignment horizontal="right"/>
    </xf>
    <xf numFmtId="167" fontId="19" fillId="0" borderId="0" xfId="109" applyNumberFormat="1" applyFont="1" applyFill="1" applyBorder="1"/>
    <xf numFmtId="43" fontId="76" fillId="0" borderId="0" xfId="0" applyNumberFormat="1" applyFont="1"/>
    <xf numFmtId="0" fontId="19" fillId="0" borderId="0" xfId="0" applyFont="1" applyAlignment="1">
      <alignment horizontal="center" readingOrder="2"/>
    </xf>
    <xf numFmtId="191" fontId="88" fillId="0" borderId="0" xfId="126" applyNumberFormat="1" applyFont="1" applyAlignment="1">
      <alignment horizontal="right" vertical="top"/>
    </xf>
    <xf numFmtId="191" fontId="88" fillId="0" borderId="0" xfId="466" applyNumberFormat="1" applyFont="1" applyAlignment="1">
      <alignment horizontal="right" vertical="top"/>
    </xf>
    <xf numFmtId="191" fontId="45" fillId="0" borderId="0" xfId="126" applyNumberFormat="1" applyFont="1" applyAlignment="1">
      <alignment horizontal="right" vertical="top"/>
    </xf>
    <xf numFmtId="0" fontId="88" fillId="0" borderId="0" xfId="126" applyFont="1" applyAlignment="1">
      <alignment horizontal="right" vertical="top"/>
    </xf>
    <xf numFmtId="0" fontId="88" fillId="0" borderId="0" xfId="466" applyFont="1" applyAlignment="1">
      <alignment horizontal="right" vertical="top"/>
    </xf>
    <xf numFmtId="0" fontId="45" fillId="0" borderId="0" xfId="126" applyFont="1" applyAlignment="1">
      <alignment horizontal="right" vertical="top"/>
    </xf>
    <xf numFmtId="0" fontId="0" fillId="0" borderId="0" xfId="0" applyAlignment="1">
      <alignment horizontal="left"/>
    </xf>
    <xf numFmtId="193" fontId="19" fillId="0" borderId="0" xfId="109" applyNumberFormat="1" applyFont="1" applyFill="1"/>
    <xf numFmtId="168" fontId="104" fillId="0" borderId="0" xfId="462" applyFont="1" applyFill="1" applyBorder="1"/>
    <xf numFmtId="0" fontId="85" fillId="0" borderId="0" xfId="0" applyFont="1" applyAlignment="1">
      <alignment horizontal="right"/>
    </xf>
    <xf numFmtId="0" fontId="85" fillId="0" borderId="0" xfId="0" applyFont="1" applyAlignment="1">
      <alignment horizontal="center"/>
    </xf>
    <xf numFmtId="171" fontId="76" fillId="0" borderId="0" xfId="0" applyNumberFormat="1" applyFont="1"/>
    <xf numFmtId="171" fontId="76" fillId="31" borderId="0" xfId="109" applyNumberFormat="1" applyFont="1" applyFill="1"/>
    <xf numFmtId="167" fontId="76" fillId="0" borderId="0" xfId="109" applyNumberFormat="1" applyFont="1" applyFill="1"/>
    <xf numFmtId="171" fontId="62" fillId="0" borderId="0" xfId="109" applyNumberFormat="1" applyFont="1" applyFill="1" applyAlignment="1">
      <alignment horizontal="center"/>
    </xf>
    <xf numFmtId="171" fontId="76" fillId="0" borderId="0" xfId="109" applyNumberFormat="1" applyFont="1" applyFill="1"/>
    <xf numFmtId="167" fontId="107" fillId="0" borderId="0" xfId="0" applyNumberFormat="1" applyFont="1"/>
    <xf numFmtId="168" fontId="19" fillId="0" borderId="0" xfId="0" applyNumberFormat="1" applyFont="1"/>
    <xf numFmtId="168" fontId="17" fillId="0" borderId="22" xfId="109" applyNumberFormat="1" applyFont="1" applyBorder="1"/>
    <xf numFmtId="0" fontId="62" fillId="0" borderId="0" xfId="0" applyFont="1" applyAlignment="1">
      <alignment wrapText="1"/>
    </xf>
    <xf numFmtId="166" fontId="76" fillId="0" borderId="0" xfId="109" applyFont="1"/>
    <xf numFmtId="167" fontId="19" fillId="0" borderId="0" xfId="109" applyNumberFormat="1" applyFont="1"/>
    <xf numFmtId="43" fontId="19" fillId="0" borderId="0" xfId="109" applyNumberFormat="1" applyFont="1"/>
    <xf numFmtId="167" fontId="19" fillId="0" borderId="24" xfId="109" applyNumberFormat="1" applyFont="1" applyBorder="1"/>
    <xf numFmtId="167" fontId="107" fillId="0" borderId="0" xfId="109" applyNumberFormat="1" applyFont="1"/>
    <xf numFmtId="9" fontId="19" fillId="0" borderId="0" xfId="493" applyFont="1" applyFill="1"/>
    <xf numFmtId="168" fontId="19" fillId="0" borderId="0" xfId="462" applyFont="1" applyFill="1" applyAlignment="1">
      <alignment horizontal="center"/>
    </xf>
    <xf numFmtId="0" fontId="108" fillId="0" borderId="0" xfId="635" applyFont="1" applyAlignment="1">
      <alignment horizontal="right"/>
    </xf>
    <xf numFmtId="0" fontId="108" fillId="0" borderId="0" xfId="635" applyFont="1"/>
    <xf numFmtId="0" fontId="97" fillId="0" borderId="16" xfId="126" applyFont="1" applyBorder="1" applyAlignment="1">
      <alignment horizontal="center" vertical="top"/>
    </xf>
    <xf numFmtId="43" fontId="17" fillId="0" borderId="0" xfId="0" applyNumberFormat="1" applyFont="1" applyAlignment="1">
      <alignment horizontal="right"/>
    </xf>
    <xf numFmtId="0" fontId="3" fillId="0" borderId="0" xfId="636"/>
    <xf numFmtId="0" fontId="3" fillId="0" borderId="0" xfId="636" applyAlignment="1">
      <alignment horizontal="right"/>
    </xf>
    <xf numFmtId="0" fontId="109" fillId="0" borderId="0" xfId="0" applyFont="1"/>
    <xf numFmtId="0" fontId="109" fillId="0" borderId="0" xfId="0" applyFont="1" applyAlignment="1">
      <alignment horizontal="left"/>
    </xf>
    <xf numFmtId="0" fontId="110" fillId="0" borderId="0" xfId="0" applyFont="1" applyAlignment="1">
      <alignment horizontal="center"/>
    </xf>
    <xf numFmtId="167" fontId="109" fillId="0" borderId="0" xfId="109" applyNumberFormat="1" applyFont="1"/>
    <xf numFmtId="167" fontId="109" fillId="0" borderId="0" xfId="109" applyNumberFormat="1" applyFont="1" applyBorder="1"/>
    <xf numFmtId="167" fontId="109" fillId="0" borderId="24" xfId="109" applyNumberFormat="1" applyFont="1" applyBorder="1"/>
    <xf numFmtId="167" fontId="109" fillId="0" borderId="16" xfId="109" applyNumberFormat="1" applyFont="1" applyBorder="1"/>
    <xf numFmtId="167" fontId="109" fillId="0" borderId="6" xfId="109" applyNumberFormat="1" applyFont="1" applyBorder="1"/>
    <xf numFmtId="167" fontId="110" fillId="0" borderId="22" xfId="109" applyNumberFormat="1" applyFont="1" applyBorder="1"/>
    <xf numFmtId="168" fontId="107" fillId="0" borderId="0" xfId="462" applyFont="1" applyFill="1" applyAlignment="1">
      <alignment horizontal="left"/>
    </xf>
    <xf numFmtId="168" fontId="111" fillId="0" borderId="0" xfId="462" applyFont="1" applyFill="1" applyAlignment="1">
      <alignment horizontal="left"/>
    </xf>
    <xf numFmtId="168" fontId="111" fillId="0" borderId="18" xfId="462" applyFont="1" applyFill="1" applyBorder="1" applyAlignment="1">
      <alignment horizontal="left"/>
    </xf>
    <xf numFmtId="168" fontId="107" fillId="0" borderId="16" xfId="462" applyFont="1" applyFill="1" applyBorder="1" applyAlignment="1">
      <alignment horizontal="left"/>
    </xf>
    <xf numFmtId="168" fontId="107" fillId="0" borderId="16" xfId="462" applyFont="1" applyFill="1" applyBorder="1"/>
    <xf numFmtId="1" fontId="107" fillId="0" borderId="0" xfId="462" applyNumberFormat="1" applyFont="1" applyFill="1" applyAlignment="1">
      <alignment horizontal="left"/>
    </xf>
    <xf numFmtId="0" fontId="19" fillId="0" borderId="0" xfId="276"/>
    <xf numFmtId="198" fontId="19" fillId="0" borderId="0" xfId="513" applyNumberFormat="1" applyFont="1" applyFill="1"/>
    <xf numFmtId="0" fontId="17" fillId="0" borderId="0" xfId="276" applyFont="1" applyAlignment="1">
      <alignment horizontal="center"/>
    </xf>
    <xf numFmtId="199" fontId="17" fillId="0" borderId="0" xfId="276" applyNumberFormat="1" applyFont="1" applyAlignment="1">
      <alignment horizontal="center"/>
    </xf>
    <xf numFmtId="198" fontId="17" fillId="0" borderId="0" xfId="513" applyNumberFormat="1" applyFont="1" applyFill="1" applyAlignment="1">
      <alignment horizontal="center"/>
    </xf>
    <xf numFmtId="198" fontId="106" fillId="0" borderId="0" xfId="513" applyNumberFormat="1" applyFont="1" applyFill="1"/>
    <xf numFmtId="198" fontId="114" fillId="0" borderId="0" xfId="513" applyNumberFormat="1" applyFont="1" applyFill="1"/>
    <xf numFmtId="198" fontId="115" fillId="0" borderId="0" xfId="513" applyNumberFormat="1" applyFont="1" applyFill="1"/>
    <xf numFmtId="3" fontId="116" fillId="0" borderId="0" xfId="276" applyNumberFormat="1" applyFont="1" applyAlignment="1">
      <alignment horizontal="right" vertical="center" wrapText="1"/>
    </xf>
    <xf numFmtId="198" fontId="19" fillId="0" borderId="0" xfId="276" applyNumberFormat="1"/>
    <xf numFmtId="0" fontId="81" fillId="0" borderId="0" xfId="276" quotePrefix="1" applyFont="1" applyAlignment="1">
      <alignment horizontal="left"/>
    </xf>
    <xf numFmtId="0" fontId="17" fillId="0" borderId="0" xfId="276" applyFont="1" applyAlignment="1">
      <alignment horizontal="left"/>
    </xf>
    <xf numFmtId="0" fontId="19" fillId="0" borderId="0" xfId="276" applyAlignment="1">
      <alignment horizontal="left"/>
    </xf>
    <xf numFmtId="14" fontId="17" fillId="0" borderId="0" xfId="276" quotePrefix="1" applyNumberFormat="1" applyFont="1" applyAlignment="1">
      <alignment horizontal="left"/>
    </xf>
    <xf numFmtId="0" fontId="87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17" fontId="17" fillId="0" borderId="0" xfId="0" applyNumberFormat="1" applyFont="1" applyAlignment="1">
      <alignment horizontal="center" wrapText="1"/>
    </xf>
    <xf numFmtId="166" fontId="19" fillId="0" borderId="0" xfId="109" applyFont="1"/>
    <xf numFmtId="0" fontId="19" fillId="0" borderId="0" xfId="0" applyFont="1" applyAlignment="1">
      <alignment wrapText="1"/>
    </xf>
    <xf numFmtId="0" fontId="19" fillId="0" borderId="0" xfId="0" applyFont="1" applyAlignment="1">
      <alignment horizontal="center" wrapText="1"/>
    </xf>
    <xf numFmtId="0" fontId="17" fillId="0" borderId="0" xfId="0" applyFont="1" applyAlignment="1">
      <alignment horizontal="center" wrapText="1"/>
    </xf>
    <xf numFmtId="0" fontId="19" fillId="32" borderId="0" xfId="0" applyFont="1" applyFill="1"/>
    <xf numFmtId="0" fontId="118" fillId="0" borderId="0" xfId="762" applyFont="1" applyAlignment="1">
      <alignment horizontal="center" vertical="center"/>
    </xf>
    <xf numFmtId="0" fontId="118" fillId="0" borderId="0" xfId="762" applyFont="1"/>
    <xf numFmtId="0" fontId="118" fillId="0" borderId="0" xfId="762" applyFont="1" applyAlignment="1">
      <alignment horizontal="center"/>
    </xf>
    <xf numFmtId="43" fontId="118" fillId="0" borderId="0" xfId="763" applyFont="1" applyFill="1" applyBorder="1" applyAlignment="1">
      <alignment horizontal="center"/>
    </xf>
    <xf numFmtId="43" fontId="118" fillId="0" borderId="0" xfId="762" applyNumberFormat="1" applyFont="1" applyAlignment="1">
      <alignment horizontal="center"/>
    </xf>
    <xf numFmtId="9" fontId="118" fillId="0" borderId="0" xfId="764" applyFont="1" applyFill="1" applyBorder="1" applyAlignment="1">
      <alignment horizontal="center"/>
    </xf>
    <xf numFmtId="0" fontId="119" fillId="0" borderId="0" xfId="762" applyFont="1"/>
    <xf numFmtId="0" fontId="119" fillId="0" borderId="0" xfId="762" applyFont="1" applyAlignment="1">
      <alignment horizontal="center"/>
    </xf>
    <xf numFmtId="17" fontId="118" fillId="0" borderId="0" xfId="762" quotePrefix="1" applyNumberFormat="1" applyFont="1" applyAlignment="1">
      <alignment horizontal="center"/>
    </xf>
    <xf numFmtId="9" fontId="119" fillId="0" borderId="0" xfId="764" applyFont="1" applyFill="1" applyBorder="1" applyAlignment="1">
      <alignment horizontal="center"/>
    </xf>
    <xf numFmtId="200" fontId="118" fillId="0" borderId="0" xfId="762" applyNumberFormat="1" applyFont="1" applyAlignment="1">
      <alignment horizontal="center"/>
    </xf>
    <xf numFmtId="171" fontId="118" fillId="0" borderId="0" xfId="762" applyNumberFormat="1" applyFont="1"/>
    <xf numFmtId="0" fontId="120" fillId="0" borderId="0" xfId="762" applyFont="1" applyAlignment="1">
      <alignment horizontal="left"/>
    </xf>
    <xf numFmtId="201" fontId="120" fillId="0" borderId="0" xfId="762" applyNumberFormat="1" applyFont="1" applyAlignment="1">
      <alignment horizontal="left"/>
    </xf>
    <xf numFmtId="164" fontId="120" fillId="0" borderId="0" xfId="762" applyNumberFormat="1" applyFont="1" applyAlignment="1">
      <alignment horizontal="left"/>
    </xf>
    <xf numFmtId="0" fontId="121" fillId="0" borderId="0" xfId="762" applyFont="1" applyAlignment="1">
      <alignment horizontal="left"/>
    </xf>
    <xf numFmtId="9" fontId="120" fillId="0" borderId="0" xfId="764" applyFont="1" applyFill="1" applyBorder="1" applyAlignment="1">
      <alignment horizontal="left"/>
    </xf>
    <xf numFmtId="202" fontId="118" fillId="0" borderId="0" xfId="763" applyNumberFormat="1" applyFont="1" applyFill="1" applyBorder="1" applyAlignment="1">
      <alignment horizontal="center"/>
    </xf>
    <xf numFmtId="201" fontId="118" fillId="0" borderId="0" xfId="762" applyNumberFormat="1" applyFont="1"/>
    <xf numFmtId="203" fontId="118" fillId="0" borderId="0" xfId="763" applyNumberFormat="1" applyFont="1" applyFill="1" applyBorder="1" applyAlignment="1">
      <alignment horizontal="center"/>
    </xf>
    <xf numFmtId="171" fontId="118" fillId="0" borderId="0" xfId="763" applyNumberFormat="1" applyFont="1" applyFill="1" applyBorder="1"/>
    <xf numFmtId="1" fontId="118" fillId="0" borderId="0" xfId="762" applyNumberFormat="1" applyFont="1" applyAlignment="1">
      <alignment horizontal="center" vertical="center"/>
    </xf>
    <xf numFmtId="1" fontId="122" fillId="0" borderId="0" xfId="762" applyNumberFormat="1" applyFont="1"/>
    <xf numFmtId="1" fontId="122" fillId="0" borderId="0" xfId="763" applyNumberFormat="1" applyFont="1" applyFill="1" applyBorder="1" applyAlignment="1">
      <alignment horizontal="center"/>
    </xf>
    <xf numFmtId="1" fontId="118" fillId="0" borderId="0" xfId="764" applyNumberFormat="1" applyFont="1" applyFill="1" applyBorder="1" applyAlignment="1">
      <alignment horizontal="center"/>
    </xf>
    <xf numFmtId="1" fontId="118" fillId="0" borderId="0" xfId="762" applyNumberFormat="1" applyFont="1"/>
    <xf numFmtId="0" fontId="122" fillId="0" borderId="0" xfId="762" applyFont="1"/>
    <xf numFmtId="203" fontId="122" fillId="0" borderId="0" xfId="763" applyNumberFormat="1" applyFont="1" applyFill="1" applyBorder="1" applyAlignment="1">
      <alignment horizontal="center"/>
    </xf>
    <xf numFmtId="201" fontId="122" fillId="0" borderId="0" xfId="762" applyNumberFormat="1" applyFont="1"/>
    <xf numFmtId="0" fontId="123" fillId="0" borderId="0" xfId="762" applyFont="1"/>
    <xf numFmtId="0" fontId="122" fillId="0" borderId="0" xfId="762" applyFont="1" applyAlignment="1">
      <alignment horizontal="center" vertical="center"/>
    </xf>
    <xf numFmtId="9" fontId="122" fillId="0" borderId="0" xfId="764" applyFont="1" applyFill="1" applyBorder="1" applyAlignment="1">
      <alignment horizontal="center"/>
    </xf>
    <xf numFmtId="0" fontId="122" fillId="0" borderId="0" xfId="762" applyFont="1" applyAlignment="1">
      <alignment horizontal="center"/>
    </xf>
    <xf numFmtId="0" fontId="118" fillId="0" borderId="0" xfId="762" quotePrefix="1" applyFont="1"/>
    <xf numFmtId="171" fontId="118" fillId="0" borderId="0" xfId="763" applyNumberFormat="1" applyFont="1" applyFill="1" applyBorder="1" applyAlignment="1">
      <alignment horizontal="center"/>
    </xf>
    <xf numFmtId="204" fontId="118" fillId="0" borderId="0" xfId="763" applyNumberFormat="1" applyFont="1" applyFill="1" applyBorder="1" applyAlignment="1">
      <alignment horizontal="center"/>
    </xf>
    <xf numFmtId="201" fontId="118" fillId="0" borderId="0" xfId="765" applyNumberFormat="1" applyFont="1" applyFill="1" applyBorder="1"/>
    <xf numFmtId="9" fontId="118" fillId="0" borderId="0" xfId="764" applyFont="1" applyFill="1" applyBorder="1"/>
    <xf numFmtId="201" fontId="119" fillId="0" borderId="0" xfId="765" applyNumberFormat="1" applyFont="1" applyFill="1" applyBorder="1"/>
    <xf numFmtId="0" fontId="120" fillId="0" borderId="0" xfId="762" applyFont="1"/>
    <xf numFmtId="201" fontId="119" fillId="0" borderId="0" xfId="762" applyNumberFormat="1" applyFont="1"/>
    <xf numFmtId="0" fontId="124" fillId="0" borderId="0" xfId="762" applyFont="1" applyAlignment="1">
      <alignment horizontal="left"/>
    </xf>
    <xf numFmtId="37" fontId="118" fillId="0" borderId="0" xfId="762" applyNumberFormat="1" applyFont="1"/>
    <xf numFmtId="201" fontId="123" fillId="0" borderId="0" xfId="762" applyNumberFormat="1" applyFont="1"/>
    <xf numFmtId="201" fontId="125" fillId="0" borderId="0" xfId="765" applyNumberFormat="1" applyFont="1" applyFill="1" applyBorder="1"/>
    <xf numFmtId="10" fontId="119" fillId="0" borderId="0" xfId="764" applyNumberFormat="1" applyFont="1" applyFill="1" applyBorder="1" applyAlignment="1">
      <alignment horizontal="left"/>
    </xf>
    <xf numFmtId="0" fontId="119" fillId="0" borderId="0" xfId="762" applyFont="1" applyAlignment="1">
      <alignment horizontal="left"/>
    </xf>
    <xf numFmtId="44" fontId="118" fillId="0" borderId="0" xfId="762" applyNumberFormat="1" applyFont="1"/>
    <xf numFmtId="205" fontId="118" fillId="0" borderId="0" xfId="763" applyNumberFormat="1" applyFont="1" applyFill="1" applyBorder="1" applyAlignment="1">
      <alignment horizontal="center"/>
    </xf>
    <xf numFmtId="9" fontId="118" fillId="0" borderId="0" xfId="763" applyNumberFormat="1" applyFont="1" applyFill="1" applyBorder="1" applyAlignment="1">
      <alignment horizontal="center"/>
    </xf>
    <xf numFmtId="206" fontId="118" fillId="0" borderId="0" xfId="764" applyNumberFormat="1" applyFont="1" applyFill="1" applyBorder="1" applyAlignment="1">
      <alignment horizontal="center"/>
    </xf>
    <xf numFmtId="0" fontId="126" fillId="0" borderId="0" xfId="762" applyFont="1" applyAlignment="1">
      <alignment horizontal="left"/>
    </xf>
    <xf numFmtId="0" fontId="127" fillId="0" borderId="0" xfId="762" applyFont="1" applyAlignment="1">
      <alignment horizontal="left"/>
    </xf>
    <xf numFmtId="9" fontId="127" fillId="0" borderId="0" xfId="764" applyFont="1" applyFill="1" applyBorder="1" applyAlignment="1">
      <alignment horizontal="center"/>
    </xf>
    <xf numFmtId="0" fontId="121" fillId="0" borderId="0" xfId="762" applyFont="1"/>
    <xf numFmtId="0" fontId="128" fillId="0" borderId="0" xfId="762" applyFont="1"/>
    <xf numFmtId="201" fontId="128" fillId="0" borderId="0" xfId="762" applyNumberFormat="1" applyFont="1"/>
    <xf numFmtId="207" fontId="118" fillId="0" borderId="0" xfId="762" applyNumberFormat="1" applyFont="1"/>
    <xf numFmtId="0" fontId="118" fillId="0" borderId="0" xfId="762" applyFont="1" applyAlignment="1">
      <alignment horizontal="left"/>
    </xf>
    <xf numFmtId="0" fontId="107" fillId="0" borderId="0" xfId="462" applyNumberFormat="1" applyFont="1" applyFill="1"/>
    <xf numFmtId="0" fontId="107" fillId="0" borderId="0" xfId="462" applyNumberFormat="1" applyFont="1" applyFill="1" applyAlignment="1">
      <alignment horizontal="center" wrapText="1"/>
    </xf>
    <xf numFmtId="0" fontId="118" fillId="32" borderId="0" xfId="762" applyFont="1" applyFill="1"/>
    <xf numFmtId="0" fontId="118" fillId="33" borderId="0" xfId="762" applyFont="1" applyFill="1"/>
    <xf numFmtId="201" fontId="118" fillId="32" borderId="0" xfId="762" applyNumberFormat="1" applyFont="1" applyFill="1"/>
    <xf numFmtId="201" fontId="118" fillId="32" borderId="0" xfId="765" applyNumberFormat="1" applyFont="1" applyFill="1" applyBorder="1"/>
    <xf numFmtId="0" fontId="118" fillId="34" borderId="0" xfId="762" applyFont="1" applyFill="1"/>
    <xf numFmtId="0" fontId="17" fillId="0" borderId="16" xfId="0" applyFont="1" applyBorder="1" applyAlignment="1">
      <alignment horizontal="center" wrapText="1"/>
    </xf>
    <xf numFmtId="168" fontId="19" fillId="0" borderId="0" xfId="109" applyNumberFormat="1" applyFont="1" applyFill="1" applyBorder="1"/>
    <xf numFmtId="168" fontId="107" fillId="0" borderId="0" xfId="0" applyNumberFormat="1" applyFont="1"/>
    <xf numFmtId="0" fontId="130" fillId="0" borderId="0" xfId="766" applyFont="1"/>
    <xf numFmtId="0" fontId="130" fillId="0" borderId="0" xfId="766" applyFont="1" applyAlignment="1">
      <alignment horizontal="right"/>
    </xf>
    <xf numFmtId="0" fontId="113" fillId="0" borderId="0" xfId="768"/>
    <xf numFmtId="0" fontId="113" fillId="0" borderId="0" xfId="769"/>
    <xf numFmtId="0" fontId="113" fillId="0" borderId="0" xfId="769" applyAlignment="1">
      <alignment horizontal="left"/>
    </xf>
    <xf numFmtId="0" fontId="113" fillId="0" borderId="0" xfId="771"/>
    <xf numFmtId="43" fontId="85" fillId="0" borderId="0" xfId="0" applyNumberFormat="1" applyFont="1"/>
    <xf numFmtId="167" fontId="87" fillId="0" borderId="0" xfId="109" applyNumberFormat="1" applyFont="1" applyAlignment="1">
      <alignment horizontal="center"/>
    </xf>
    <xf numFmtId="167" fontId="100" fillId="0" borderId="0" xfId="109" applyNumberFormat="1" applyFont="1"/>
    <xf numFmtId="0" fontId="130" fillId="0" borderId="0" xfId="769" applyFont="1"/>
    <xf numFmtId="208" fontId="130" fillId="0" borderId="0" xfId="770" applyNumberFormat="1" applyFont="1"/>
    <xf numFmtId="167" fontId="113" fillId="0" borderId="0" xfId="109" applyNumberFormat="1" applyFont="1"/>
    <xf numFmtId="210" fontId="62" fillId="0" borderId="16" xfId="0" applyNumberFormat="1" applyFont="1" applyBorder="1" applyAlignment="1">
      <alignment horizontal="center"/>
    </xf>
    <xf numFmtId="210" fontId="76" fillId="0" borderId="0" xfId="0" applyNumberFormat="1" applyFont="1"/>
    <xf numFmtId="211" fontId="118" fillId="0" borderId="0" xfId="109" applyNumberFormat="1" applyFont="1" applyFill="1" applyBorder="1"/>
    <xf numFmtId="167" fontId="118" fillId="0" borderId="0" xfId="109" applyNumberFormat="1" applyFont="1" applyFill="1" applyBorder="1"/>
    <xf numFmtId="167" fontId="118" fillId="0" borderId="0" xfId="109" applyNumberFormat="1" applyFont="1" applyFill="1" applyBorder="1" applyAlignment="1">
      <alignment horizontal="center"/>
    </xf>
    <xf numFmtId="167" fontId="119" fillId="0" borderId="0" xfId="109" applyNumberFormat="1" applyFont="1" applyFill="1" applyBorder="1"/>
    <xf numFmtId="167" fontId="123" fillId="0" borderId="0" xfId="109" applyNumberFormat="1" applyFont="1" applyFill="1"/>
    <xf numFmtId="167" fontId="113" fillId="0" borderId="0" xfId="109" applyNumberFormat="1" applyFont="1" applyFill="1"/>
    <xf numFmtId="208" fontId="130" fillId="0" borderId="0" xfId="767" applyNumberFormat="1" applyFont="1" applyFill="1"/>
    <xf numFmtId="37" fontId="17" fillId="0" borderId="0" xfId="109" applyNumberFormat="1" applyFont="1" applyFill="1"/>
    <xf numFmtId="164" fontId="19" fillId="0" borderId="0" xfId="0" applyNumberFormat="1" applyFont="1"/>
    <xf numFmtId="206" fontId="19" fillId="0" borderId="0" xfId="493" applyNumberFormat="1" applyFont="1"/>
    <xf numFmtId="14" fontId="17" fillId="0" borderId="0" xfId="276" applyNumberFormat="1" applyFont="1" applyAlignment="1">
      <alignment horizontal="center"/>
    </xf>
    <xf numFmtId="198" fontId="17" fillId="0" borderId="0" xfId="276" applyNumberFormat="1" applyFont="1" applyAlignment="1">
      <alignment horizontal="center"/>
    </xf>
    <xf numFmtId="168" fontId="106" fillId="0" borderId="0" xfId="109" applyNumberFormat="1" applyFont="1" applyBorder="1"/>
    <xf numFmtId="166" fontId="19" fillId="0" borderId="0" xfId="109" applyFont="1" applyFill="1" applyBorder="1"/>
    <xf numFmtId="168" fontId="17" fillId="0" borderId="0" xfId="109" applyNumberFormat="1" applyFont="1" applyFill="1" applyBorder="1"/>
    <xf numFmtId="9" fontId="19" fillId="0" borderId="0" xfId="493" applyFont="1" applyFill="1" applyBorder="1"/>
    <xf numFmtId="0" fontId="17" fillId="35" borderId="16" xfId="0" applyFont="1" applyFill="1" applyBorder="1" applyAlignment="1">
      <alignment horizontal="center"/>
    </xf>
    <xf numFmtId="0" fontId="19" fillId="35" borderId="0" xfId="0" applyFont="1" applyFill="1"/>
    <xf numFmtId="167" fontId="19" fillId="35" borderId="0" xfId="0" applyNumberFormat="1" applyFont="1" applyFill="1"/>
    <xf numFmtId="0" fontId="118" fillId="0" borderId="0" xfId="0" applyFont="1" applyAlignment="1">
      <alignment horizontal="center"/>
    </xf>
    <xf numFmtId="0" fontId="118" fillId="0" borderId="0" xfId="0" applyFont="1"/>
    <xf numFmtId="171" fontId="118" fillId="36" borderId="0" xfId="0" applyNumberFormat="1" applyFont="1" applyFill="1"/>
    <xf numFmtId="171" fontId="118" fillId="0" borderId="0" xfId="0" applyNumberFormat="1" applyFont="1"/>
    <xf numFmtId="201" fontId="118" fillId="0" borderId="0" xfId="0" applyNumberFormat="1" applyFont="1"/>
    <xf numFmtId="201" fontId="118" fillId="36" borderId="0" xfId="0" applyNumberFormat="1" applyFont="1" applyFill="1"/>
    <xf numFmtId="1" fontId="118" fillId="0" borderId="0" xfId="0" applyNumberFormat="1" applyFont="1"/>
    <xf numFmtId="0" fontId="122" fillId="0" borderId="0" xfId="0" applyFont="1" applyAlignment="1">
      <alignment horizontal="center"/>
    </xf>
    <xf numFmtId="171" fontId="118" fillId="0" borderId="0" xfId="109" applyNumberFormat="1" applyFont="1" applyFill="1" applyBorder="1" applyAlignment="1">
      <alignment horizontal="center"/>
    </xf>
    <xf numFmtId="201" fontId="118" fillId="0" borderId="0" xfId="772" applyNumberFormat="1" applyFont="1" applyFill="1" applyBorder="1"/>
    <xf numFmtId="201" fontId="118" fillId="36" borderId="0" xfId="772" applyNumberFormat="1" applyFont="1" applyFill="1" applyBorder="1"/>
    <xf numFmtId="171" fontId="118" fillId="0" borderId="0" xfId="109" applyNumberFormat="1" applyFont="1" applyFill="1" applyBorder="1"/>
    <xf numFmtId="201" fontId="119" fillId="0" borderId="0" xfId="772" applyNumberFormat="1" applyFont="1" applyFill="1" applyBorder="1"/>
    <xf numFmtId="201" fontId="119" fillId="0" borderId="0" xfId="0" applyNumberFormat="1" applyFont="1"/>
    <xf numFmtId="37" fontId="118" fillId="0" borderId="0" xfId="0" applyNumberFormat="1" applyFont="1"/>
    <xf numFmtId="201" fontId="118" fillId="0" borderId="0" xfId="0" applyNumberFormat="1" applyFont="1" applyAlignment="1">
      <alignment horizontal="center"/>
    </xf>
    <xf numFmtId="201" fontId="123" fillId="0" borderId="0" xfId="0" applyNumberFormat="1" applyFont="1"/>
    <xf numFmtId="201" fontId="125" fillId="0" borderId="0" xfId="772" applyNumberFormat="1" applyFont="1" applyFill="1" applyBorder="1"/>
    <xf numFmtId="44" fontId="118" fillId="0" borderId="0" xfId="0" applyNumberFormat="1" applyFont="1"/>
    <xf numFmtId="201" fontId="128" fillId="0" borderId="0" xfId="0" applyNumberFormat="1" applyFont="1"/>
    <xf numFmtId="0" fontId="128" fillId="0" borderId="0" xfId="0" applyFont="1"/>
    <xf numFmtId="207" fontId="118" fillId="0" borderId="0" xfId="0" applyNumberFormat="1" applyFont="1"/>
    <xf numFmtId="0" fontId="132" fillId="0" borderId="16" xfId="762" applyFont="1" applyBorder="1"/>
    <xf numFmtId="167" fontId="132" fillId="0" borderId="16" xfId="109" applyNumberFormat="1" applyFont="1" applyFill="1" applyBorder="1" applyAlignment="1"/>
    <xf numFmtId="0" fontId="132" fillId="0" borderId="16" xfId="0" applyFont="1" applyBorder="1"/>
    <xf numFmtId="167" fontId="118" fillId="32" borderId="0" xfId="109" applyNumberFormat="1" applyFont="1" applyFill="1" applyBorder="1"/>
    <xf numFmtId="167" fontId="123" fillId="32" borderId="0" xfId="109" applyNumberFormat="1" applyFont="1" applyFill="1"/>
    <xf numFmtId="201" fontId="123" fillId="32" borderId="0" xfId="762" applyNumberFormat="1" applyFont="1" applyFill="1"/>
    <xf numFmtId="0" fontId="17" fillId="35" borderId="0" xfId="0" applyFont="1" applyFill="1" applyAlignment="1">
      <alignment horizontal="center" wrapText="1"/>
    </xf>
    <xf numFmtId="0" fontId="17" fillId="35" borderId="0" xfId="0" applyFont="1" applyFill="1" applyAlignment="1">
      <alignment horizontal="center"/>
    </xf>
    <xf numFmtId="0" fontId="19" fillId="0" borderId="16" xfId="0" applyFont="1" applyBorder="1"/>
    <xf numFmtId="167" fontId="19" fillId="0" borderId="2" xfId="109" applyNumberFormat="1" applyFont="1" applyBorder="1"/>
    <xf numFmtId="168" fontId="19" fillId="0" borderId="2" xfId="109" applyNumberFormat="1" applyFont="1" applyBorder="1"/>
    <xf numFmtId="0" fontId="118" fillId="37" borderId="0" xfId="762" applyFont="1" applyFill="1"/>
    <xf numFmtId="201" fontId="118" fillId="37" borderId="0" xfId="765" applyNumberFormat="1" applyFont="1" applyFill="1" applyBorder="1"/>
    <xf numFmtId="201" fontId="118" fillId="37" borderId="0" xfId="0" applyNumberFormat="1" applyFont="1" applyFill="1"/>
    <xf numFmtId="9" fontId="19" fillId="32" borderId="0" xfId="493" applyFont="1" applyFill="1" applyBorder="1"/>
    <xf numFmtId="168" fontId="76" fillId="0" borderId="0" xfId="0" applyNumberFormat="1" applyFont="1"/>
    <xf numFmtId="0" fontId="136" fillId="0" borderId="0" xfId="0" applyFont="1"/>
    <xf numFmtId="167" fontId="136" fillId="0" borderId="0" xfId="0" applyNumberFormat="1" applyFont="1"/>
    <xf numFmtId="209" fontId="15" fillId="0" borderId="0" xfId="0" applyNumberFormat="1" applyFont="1" applyAlignment="1">
      <alignment horizontal="center" wrapText="1"/>
    </xf>
    <xf numFmtId="0" fontId="11" fillId="0" borderId="0" xfId="0" applyFont="1" applyAlignment="1">
      <alignment horizontal="center" wrapText="1"/>
    </xf>
    <xf numFmtId="0" fontId="15" fillId="0" borderId="25" xfId="0" applyFont="1" applyBorder="1" applyAlignment="1">
      <alignment horizontal="center" wrapText="1"/>
    </xf>
    <xf numFmtId="15" fontId="17" fillId="0" borderId="25" xfId="0" applyNumberFormat="1" applyFont="1" applyBorder="1" applyAlignment="1">
      <alignment horizontal="center" wrapText="1"/>
    </xf>
    <xf numFmtId="0" fontId="17" fillId="0" borderId="25" xfId="0" applyFont="1" applyBorder="1" applyAlignment="1">
      <alignment horizontal="center" wrapText="1"/>
    </xf>
    <xf numFmtId="38" fontId="19" fillId="0" borderId="0" xfId="0" applyNumberFormat="1" applyFont="1"/>
    <xf numFmtId="0" fontId="19" fillId="0" borderId="0" xfId="0" quotePrefix="1" applyFont="1"/>
    <xf numFmtId="210" fontId="62" fillId="0" borderId="25" xfId="0" applyNumberFormat="1" applyFont="1" applyBorder="1" applyAlignment="1">
      <alignment horizontal="center"/>
    </xf>
    <xf numFmtId="168" fontId="19" fillId="35" borderId="0" xfId="109" applyNumberFormat="1" applyFont="1" applyFill="1" applyBorder="1"/>
    <xf numFmtId="167" fontId="19" fillId="35" borderId="2" xfId="109" applyNumberFormat="1" applyFont="1" applyFill="1" applyBorder="1"/>
    <xf numFmtId="167" fontId="19" fillId="35" borderId="0" xfId="109" applyNumberFormat="1" applyFont="1" applyFill="1"/>
    <xf numFmtId="167" fontId="19" fillId="35" borderId="16" xfId="109" applyNumberFormat="1" applyFont="1" applyFill="1" applyBorder="1"/>
    <xf numFmtId="0" fontId="15" fillId="0" borderId="0" xfId="0" applyFont="1" applyAlignment="1">
      <alignment horizontal="center" wrapText="1"/>
    </xf>
    <xf numFmtId="38" fontId="19" fillId="0" borderId="0" xfId="109" applyNumberFormat="1" applyFont="1" applyFill="1" applyBorder="1"/>
    <xf numFmtId="38" fontId="19" fillId="0" borderId="2" xfId="109" applyNumberFormat="1" applyFont="1" applyFill="1" applyBorder="1"/>
    <xf numFmtId="38" fontId="19" fillId="0" borderId="24" xfId="109" applyNumberFormat="1" applyFont="1" applyFill="1" applyBorder="1"/>
    <xf numFmtId="167" fontId="136" fillId="0" borderId="0" xfId="109" applyNumberFormat="1" applyFont="1"/>
    <xf numFmtId="171" fontId="136" fillId="0" borderId="0" xfId="0" applyNumberFormat="1" applyFont="1"/>
    <xf numFmtId="167" fontId="19" fillId="0" borderId="2" xfId="0" applyNumberFormat="1" applyFont="1" applyBorder="1"/>
    <xf numFmtId="9" fontId="19" fillId="0" borderId="0" xfId="0" applyNumberFormat="1" applyFont="1"/>
    <xf numFmtId="0" fontId="17" fillId="35" borderId="25" xfId="0" applyFont="1" applyFill="1" applyBorder="1" applyAlignment="1">
      <alignment horizontal="center" wrapText="1"/>
    </xf>
    <xf numFmtId="168" fontId="19" fillId="35" borderId="0" xfId="0" applyNumberFormat="1" applyFont="1" applyFill="1"/>
    <xf numFmtId="168" fontId="19" fillId="35" borderId="2" xfId="109" applyNumberFormat="1" applyFont="1" applyFill="1" applyBorder="1"/>
    <xf numFmtId="167" fontId="19" fillId="35" borderId="0" xfId="109" applyNumberFormat="1" applyFont="1" applyFill="1" applyBorder="1"/>
    <xf numFmtId="167" fontId="19" fillId="35" borderId="24" xfId="109" applyNumberFormat="1" applyFont="1" applyFill="1" applyBorder="1"/>
    <xf numFmtId="15" fontId="17" fillId="35" borderId="25" xfId="0" applyNumberFormat="1" applyFont="1" applyFill="1" applyBorder="1" applyAlignment="1">
      <alignment horizontal="center" wrapText="1"/>
    </xf>
    <xf numFmtId="0" fontId="62" fillId="35" borderId="16" xfId="0" applyFont="1" applyFill="1" applyBorder="1" applyAlignment="1">
      <alignment horizontal="center"/>
    </xf>
    <xf numFmtId="0" fontId="76" fillId="35" borderId="0" xfId="0" applyFont="1" applyFill="1"/>
    <xf numFmtId="167" fontId="76" fillId="35" borderId="0" xfId="0" applyNumberFormat="1" applyFont="1" applyFill="1"/>
    <xf numFmtId="167" fontId="76" fillId="35" borderId="0" xfId="109" applyNumberFormat="1" applyFont="1" applyFill="1"/>
    <xf numFmtId="167" fontId="76" fillId="35" borderId="6" xfId="0" applyNumberFormat="1" applyFont="1" applyFill="1" applyBorder="1"/>
    <xf numFmtId="167" fontId="62" fillId="35" borderId="22" xfId="109" applyNumberFormat="1" applyFont="1" applyFill="1" applyBorder="1"/>
    <xf numFmtId="210" fontId="62" fillId="35" borderId="25" xfId="0" applyNumberFormat="1" applyFont="1" applyFill="1" applyBorder="1" applyAlignment="1">
      <alignment horizontal="center" wrapText="1"/>
    </xf>
    <xf numFmtId="168" fontId="19" fillId="38" borderId="0" xfId="462" applyFont="1" applyFill="1" applyAlignment="1">
      <alignment horizontal="right"/>
    </xf>
    <xf numFmtId="167" fontId="19" fillId="0" borderId="0" xfId="493" applyNumberFormat="1" applyFont="1" applyFill="1" applyBorder="1"/>
    <xf numFmtId="0" fontId="108" fillId="0" borderId="0" xfId="0" applyFont="1"/>
    <xf numFmtId="171" fontId="108" fillId="0" borderId="0" xfId="761" applyNumberFormat="1" applyFont="1" applyFill="1"/>
    <xf numFmtId="171" fontId="139" fillId="0" borderId="0" xfId="761" applyNumberFormat="1" applyFont="1" applyFill="1"/>
    <xf numFmtId="171" fontId="19" fillId="0" borderId="0" xfId="0" applyNumberFormat="1" applyFont="1"/>
    <xf numFmtId="171" fontId="108" fillId="0" borderId="0" xfId="761" applyNumberFormat="1" applyFont="1" applyFill="1" applyAlignment="1">
      <alignment horizontal="left"/>
    </xf>
    <xf numFmtId="14" fontId="17" fillId="0" borderId="25" xfId="0" applyNumberFormat="1" applyFont="1" applyBorder="1" applyAlignment="1">
      <alignment horizontal="center" wrapText="1"/>
    </xf>
    <xf numFmtId="168" fontId="17" fillId="0" borderId="0" xfId="462" applyFont="1" applyFill="1" applyAlignment="1">
      <alignment horizontal="center"/>
    </xf>
    <xf numFmtId="0" fontId="87" fillId="32" borderId="0" xfId="0" applyFont="1" applyFill="1" applyAlignment="1">
      <alignment horizontal="center"/>
    </xf>
    <xf numFmtId="0" fontId="17" fillId="32" borderId="0" xfId="0" applyFont="1" applyFill="1" applyAlignment="1">
      <alignment horizontal="center" wrapText="1"/>
    </xf>
    <xf numFmtId="167" fontId="19" fillId="32" borderId="0" xfId="109" applyNumberFormat="1" applyFont="1" applyFill="1" applyBorder="1"/>
    <xf numFmtId="167" fontId="19" fillId="32" borderId="0" xfId="0" applyNumberFormat="1" applyFont="1" applyFill="1"/>
    <xf numFmtId="168" fontId="19" fillId="32" borderId="0" xfId="109" applyNumberFormat="1" applyFont="1" applyFill="1" applyBorder="1"/>
    <xf numFmtId="167" fontId="19" fillId="32" borderId="0" xfId="109" applyNumberFormat="1" applyFont="1" applyFill="1"/>
    <xf numFmtId="0" fontId="17" fillId="32" borderId="0" xfId="0" applyFont="1" applyFill="1" applyAlignment="1">
      <alignment horizontal="center"/>
    </xf>
    <xf numFmtId="167" fontId="85" fillId="38" borderId="0" xfId="109" applyNumberFormat="1" applyFont="1" applyFill="1"/>
    <xf numFmtId="0" fontId="85" fillId="38" borderId="0" xfId="0" applyFont="1" applyFill="1"/>
    <xf numFmtId="37" fontId="85" fillId="38" borderId="0" xfId="109" applyNumberFormat="1" applyFont="1" applyFill="1"/>
    <xf numFmtId="167" fontId="76" fillId="0" borderId="16" xfId="0" applyNumberFormat="1" applyFont="1" applyBorder="1"/>
    <xf numFmtId="167" fontId="107" fillId="0" borderId="0" xfId="109" applyNumberFormat="1" applyFont="1" applyFill="1"/>
    <xf numFmtId="167" fontId="17" fillId="0" borderId="0" xfId="109" applyNumberFormat="1" applyFont="1"/>
    <xf numFmtId="166" fontId="19" fillId="32" borderId="0" xfId="109" applyFont="1" applyFill="1" applyBorder="1"/>
    <xf numFmtId="168" fontId="17" fillId="32" borderId="0" xfId="109" applyNumberFormat="1" applyFont="1" applyFill="1" applyBorder="1"/>
    <xf numFmtId="0" fontId="19" fillId="32" borderId="0" xfId="0" applyFont="1" applyFill="1" applyAlignment="1">
      <alignment horizontal="center"/>
    </xf>
    <xf numFmtId="167" fontId="19" fillId="32" borderId="0" xfId="109" applyNumberFormat="1" applyFont="1" applyFill="1" applyBorder="1" applyAlignment="1">
      <alignment horizontal="center"/>
    </xf>
    <xf numFmtId="167" fontId="17" fillId="32" borderId="0" xfId="109" applyNumberFormat="1" applyFont="1" applyFill="1" applyBorder="1" applyAlignment="1">
      <alignment horizontal="center"/>
    </xf>
    <xf numFmtId="167" fontId="19" fillId="32" borderId="0" xfId="493" applyNumberFormat="1" applyFont="1" applyFill="1" applyBorder="1"/>
    <xf numFmtId="167" fontId="19" fillId="32" borderId="2" xfId="0" applyNumberFormat="1" applyFont="1" applyFill="1" applyBorder="1"/>
    <xf numFmtId="0" fontId="108" fillId="32" borderId="0" xfId="0" applyFont="1" applyFill="1" applyAlignment="1">
      <alignment wrapText="1"/>
    </xf>
    <xf numFmtId="198" fontId="19" fillId="32" borderId="0" xfId="0" applyNumberFormat="1" applyFont="1" applyFill="1"/>
    <xf numFmtId="212" fontId="19" fillId="32" borderId="0" xfId="0" applyNumberFormat="1" applyFont="1" applyFill="1"/>
    <xf numFmtId="198" fontId="19" fillId="32" borderId="0" xfId="109" applyNumberFormat="1" applyFont="1" applyFill="1" applyBorder="1"/>
    <xf numFmtId="198" fontId="17" fillId="32" borderId="0" xfId="109" applyNumberFormat="1" applyFont="1" applyFill="1" applyBorder="1"/>
    <xf numFmtId="198" fontId="133" fillId="32" borderId="0" xfId="0" applyNumberFormat="1" applyFont="1" applyFill="1"/>
    <xf numFmtId="198" fontId="134" fillId="32" borderId="0" xfId="0" applyNumberFormat="1" applyFont="1" applyFill="1" applyAlignment="1">
      <alignment horizontal="center"/>
    </xf>
    <xf numFmtId="0" fontId="0" fillId="32" borderId="0" xfId="0" applyFill="1"/>
    <xf numFmtId="0" fontId="133" fillId="32" borderId="0" xfId="0" applyFont="1" applyFill="1"/>
    <xf numFmtId="15" fontId="134" fillId="32" borderId="0" xfId="0" applyNumberFormat="1" applyFont="1" applyFill="1" applyAlignment="1">
      <alignment horizontal="center"/>
    </xf>
    <xf numFmtId="15" fontId="134" fillId="32" borderId="0" xfId="0" applyNumberFormat="1" applyFont="1" applyFill="1" applyAlignment="1">
      <alignment horizontal="left"/>
    </xf>
    <xf numFmtId="171" fontId="133" fillId="32" borderId="0" xfId="109" applyNumberFormat="1" applyFont="1" applyFill="1" applyAlignment="1">
      <alignment horizontal="center"/>
    </xf>
    <xf numFmtId="171" fontId="135" fillId="32" borderId="2" xfId="109" applyNumberFormat="1" applyFont="1" applyFill="1" applyBorder="1" applyAlignment="1">
      <alignment horizontal="center"/>
    </xf>
    <xf numFmtId="171" fontId="135" fillId="32" borderId="0" xfId="109" applyNumberFormat="1" applyFont="1" applyFill="1" applyAlignment="1">
      <alignment horizontal="center"/>
    </xf>
    <xf numFmtId="15" fontId="135" fillId="32" borderId="0" xfId="0" applyNumberFormat="1" applyFont="1" applyFill="1" applyAlignment="1">
      <alignment horizontal="center"/>
    </xf>
    <xf numFmtId="171" fontId="1" fillId="32" borderId="0" xfId="109" applyNumberFormat="1" applyFont="1" applyFill="1"/>
    <xf numFmtId="171" fontId="15" fillId="32" borderId="2" xfId="109" applyNumberFormat="1" applyFont="1" applyFill="1" applyBorder="1"/>
    <xf numFmtId="171" fontId="0" fillId="32" borderId="0" xfId="109" applyNumberFormat="1" applyFont="1" applyFill="1"/>
    <xf numFmtId="167" fontId="19" fillId="0" borderId="0" xfId="109" applyNumberFormat="1" applyFont="1" applyFill="1" applyBorder="1" applyAlignment="1">
      <alignment horizontal="right"/>
    </xf>
    <xf numFmtId="0" fontId="87" fillId="0" borderId="0" xfId="0" applyFont="1" applyAlignment="1">
      <alignment horizontal="left"/>
    </xf>
    <xf numFmtId="0" fontId="87" fillId="32" borderId="0" xfId="0" applyFont="1" applyFill="1" applyAlignment="1">
      <alignment horizontal="left"/>
    </xf>
    <xf numFmtId="0" fontId="113" fillId="0" borderId="0" xfId="0" applyFont="1"/>
    <xf numFmtId="167" fontId="113" fillId="0" borderId="0" xfId="109" applyNumberFormat="1" applyFont="1" applyAlignment="1">
      <alignment horizontal="right"/>
    </xf>
    <xf numFmtId="167" fontId="113" fillId="0" borderId="2" xfId="109" applyNumberFormat="1" applyFont="1" applyBorder="1" applyAlignment="1">
      <alignment horizontal="right"/>
    </xf>
    <xf numFmtId="167" fontId="19" fillId="0" borderId="2" xfId="493" applyNumberFormat="1" applyFont="1" applyFill="1" applyBorder="1"/>
    <xf numFmtId="0" fontId="19" fillId="38" borderId="0" xfId="0" applyFont="1" applyFill="1" applyAlignment="1">
      <alignment horizontal="center" wrapText="1"/>
    </xf>
    <xf numFmtId="167" fontId="19" fillId="38" borderId="0" xfId="109" applyNumberFormat="1" applyFont="1" applyFill="1" applyAlignment="1">
      <alignment horizontal="center" wrapText="1"/>
    </xf>
    <xf numFmtId="167" fontId="0" fillId="38" borderId="0" xfId="109" applyNumberFormat="1" applyFont="1" applyFill="1"/>
    <xf numFmtId="167" fontId="19" fillId="38" borderId="0" xfId="109" applyNumberFormat="1" applyFont="1" applyFill="1"/>
    <xf numFmtId="167" fontId="17" fillId="38" borderId="0" xfId="109" applyNumberFormat="1" applyFont="1" applyFill="1"/>
    <xf numFmtId="167" fontId="0" fillId="38" borderId="2" xfId="109" applyNumberFormat="1" applyFont="1" applyFill="1" applyBorder="1"/>
    <xf numFmtId="8" fontId="133" fillId="39" borderId="28" xfId="0" applyNumberFormat="1" applyFont="1" applyFill="1" applyBorder="1" applyAlignment="1">
      <alignment horizontal="left"/>
    </xf>
    <xf numFmtId="167" fontId="118" fillId="40" borderId="0" xfId="109" applyNumberFormat="1" applyFont="1" applyFill="1"/>
    <xf numFmtId="167" fontId="140" fillId="41" borderId="28" xfId="109" applyNumberFormat="1" applyFont="1" applyFill="1" applyBorder="1" applyAlignment="1">
      <alignment horizontal="left"/>
    </xf>
    <xf numFmtId="167" fontId="76" fillId="0" borderId="2" xfId="0" applyNumberFormat="1" applyFont="1" applyBorder="1"/>
    <xf numFmtId="167" fontId="76" fillId="0" borderId="2" xfId="109" applyNumberFormat="1" applyFont="1" applyBorder="1"/>
    <xf numFmtId="167" fontId="76" fillId="35" borderId="0" xfId="109" applyNumberFormat="1" applyFont="1" applyFill="1" applyBorder="1"/>
    <xf numFmtId="167" fontId="76" fillId="35" borderId="6" xfId="109" applyNumberFormat="1" applyFont="1" applyFill="1" applyBorder="1"/>
    <xf numFmtId="167" fontId="136" fillId="35" borderId="6" xfId="109" applyNumberFormat="1" applyFont="1" applyFill="1" applyBorder="1"/>
    <xf numFmtId="9" fontId="19" fillId="0" borderId="0" xfId="493" applyFont="1"/>
    <xf numFmtId="167" fontId="76" fillId="0" borderId="0" xfId="109" applyNumberFormat="1" applyFont="1" applyFill="1" applyBorder="1"/>
    <xf numFmtId="38" fontId="76" fillId="0" borderId="0" xfId="109" applyNumberFormat="1" applyFont="1" applyFill="1" applyBorder="1"/>
    <xf numFmtId="168" fontId="76" fillId="0" borderId="0" xfId="109" applyNumberFormat="1" applyFont="1" applyBorder="1"/>
    <xf numFmtId="0" fontId="76" fillId="0" borderId="2" xfId="0" applyFont="1" applyBorder="1"/>
    <xf numFmtId="167" fontId="76" fillId="0" borderId="2" xfId="109" applyNumberFormat="1" applyFont="1" applyFill="1" applyBorder="1"/>
    <xf numFmtId="167" fontId="76" fillId="35" borderId="2" xfId="0" applyNumberFormat="1" applyFont="1" applyFill="1" applyBorder="1"/>
    <xf numFmtId="38" fontId="76" fillId="0" borderId="2" xfId="109" applyNumberFormat="1" applyFont="1" applyFill="1" applyBorder="1"/>
    <xf numFmtId="168" fontId="76" fillId="0" borderId="0" xfId="109" applyNumberFormat="1" applyFont="1" applyFill="1" applyBorder="1"/>
    <xf numFmtId="168" fontId="76" fillId="35" borderId="0" xfId="109" applyNumberFormat="1" applyFont="1" applyFill="1" applyBorder="1"/>
    <xf numFmtId="167" fontId="76" fillId="35" borderId="2" xfId="109" applyNumberFormat="1" applyFont="1" applyFill="1" applyBorder="1"/>
    <xf numFmtId="167" fontId="62" fillId="0" borderId="0" xfId="109" applyNumberFormat="1" applyFont="1" applyAlignment="1">
      <alignment horizontal="center"/>
    </xf>
    <xf numFmtId="168" fontId="76" fillId="0" borderId="16" xfId="109" applyNumberFormat="1" applyFont="1" applyFill="1" applyBorder="1"/>
    <xf numFmtId="167" fontId="76" fillId="0" borderId="16" xfId="109" applyNumberFormat="1" applyFont="1" applyFill="1" applyBorder="1"/>
    <xf numFmtId="166" fontId="76" fillId="0" borderId="0" xfId="109" applyFont="1" applyFill="1" applyBorder="1"/>
    <xf numFmtId="168" fontId="62" fillId="0" borderId="22" xfId="109" applyNumberFormat="1" applyFont="1" applyBorder="1"/>
    <xf numFmtId="168" fontId="62" fillId="0" borderId="0" xfId="109" applyNumberFormat="1" applyFont="1" applyBorder="1"/>
    <xf numFmtId="168" fontId="62" fillId="0" borderId="22" xfId="109" applyNumberFormat="1" applyFont="1" applyFill="1" applyBorder="1"/>
    <xf numFmtId="168" fontId="62" fillId="35" borderId="24" xfId="109" applyNumberFormat="1" applyFont="1" applyFill="1" applyBorder="1"/>
    <xf numFmtId="38" fontId="76" fillId="0" borderId="24" xfId="109" applyNumberFormat="1" applyFont="1" applyFill="1" applyBorder="1"/>
    <xf numFmtId="191" fontId="88" fillId="0" borderId="0" xfId="495" applyNumberFormat="1" applyFont="1" applyAlignment="1">
      <alignment horizontal="right" vertical="top"/>
    </xf>
    <xf numFmtId="191" fontId="88" fillId="0" borderId="0" xfId="480" applyNumberFormat="1" applyFont="1" applyAlignment="1">
      <alignment horizontal="right" vertical="top"/>
    </xf>
    <xf numFmtId="191" fontId="88" fillId="0" borderId="0" xfId="109" applyNumberFormat="1" applyFont="1" applyFill="1" applyAlignment="1">
      <alignment horizontal="right" vertical="top"/>
    </xf>
    <xf numFmtId="166" fontId="88" fillId="0" borderId="0" xfId="109" applyFont="1" applyFill="1" applyAlignment="1">
      <alignment horizontal="right" vertical="top"/>
    </xf>
    <xf numFmtId="0" fontId="88" fillId="0" borderId="0" xfId="495" applyFont="1" applyAlignment="1">
      <alignment horizontal="right" vertical="top"/>
    </xf>
    <xf numFmtId="14" fontId="17" fillId="0" borderId="0" xfId="0" applyNumberFormat="1" applyFont="1" applyAlignment="1">
      <alignment horizontal="center" wrapText="1"/>
    </xf>
    <xf numFmtId="168" fontId="19" fillId="38" borderId="0" xfId="462" applyFont="1" applyFill="1"/>
    <xf numFmtId="168" fontId="19" fillId="38" borderId="15" xfId="462" applyFont="1" applyFill="1" applyBorder="1" applyAlignment="1">
      <alignment horizontal="right"/>
    </xf>
    <xf numFmtId="168" fontId="106" fillId="38" borderId="15" xfId="462" applyFont="1" applyFill="1" applyBorder="1" applyAlignment="1">
      <alignment horizontal="right"/>
    </xf>
    <xf numFmtId="168" fontId="19" fillId="38" borderId="23" xfId="462" applyFont="1" applyFill="1" applyBorder="1" applyAlignment="1">
      <alignment horizontal="right"/>
    </xf>
    <xf numFmtId="0" fontId="19" fillId="40" borderId="0" xfId="0" applyFont="1" applyFill="1" applyAlignment="1">
      <alignment horizontal="right"/>
    </xf>
    <xf numFmtId="9" fontId="87" fillId="0" borderId="0" xfId="493" applyFont="1" applyAlignment="1">
      <alignment horizontal="center"/>
    </xf>
    <xf numFmtId="9" fontId="17" fillId="0" borderId="0" xfId="493" applyFont="1" applyAlignment="1">
      <alignment horizontal="center" wrapText="1"/>
    </xf>
    <xf numFmtId="9" fontId="17" fillId="0" borderId="0" xfId="493" applyFont="1" applyAlignment="1">
      <alignment horizontal="center"/>
    </xf>
    <xf numFmtId="167" fontId="19" fillId="0" borderId="0" xfId="109" applyNumberFormat="1" applyFont="1" applyAlignment="1">
      <alignment horizontal="left"/>
    </xf>
    <xf numFmtId="167" fontId="19" fillId="0" borderId="16" xfId="109" applyNumberFormat="1" applyFont="1" applyFill="1" applyBorder="1"/>
    <xf numFmtId="0" fontId="59" fillId="0" borderId="0" xfId="0" applyFont="1"/>
    <xf numFmtId="168" fontId="19" fillId="40" borderId="0" xfId="462" applyFont="1" applyFill="1"/>
    <xf numFmtId="168" fontId="59" fillId="0" borderId="0" xfId="462" quotePrefix="1" applyFont="1" applyFill="1" applyAlignment="1">
      <alignment horizontal="left"/>
    </xf>
    <xf numFmtId="168" fontId="59" fillId="0" borderId="0" xfId="462" applyFont="1" applyFill="1" applyAlignment="1">
      <alignment horizontal="left"/>
    </xf>
    <xf numFmtId="167" fontId="59" fillId="0" borderId="0" xfId="109" applyNumberFormat="1" applyFont="1"/>
    <xf numFmtId="167" fontId="59" fillId="0" borderId="16" xfId="109" applyNumberFormat="1" applyFont="1" applyBorder="1"/>
    <xf numFmtId="167" fontId="59" fillId="0" borderId="0" xfId="109" applyNumberFormat="1" applyFont="1" applyAlignment="1">
      <alignment horizontal="right"/>
    </xf>
    <xf numFmtId="171" fontId="59" fillId="0" borderId="0" xfId="109" applyNumberFormat="1" applyFont="1" applyAlignment="1">
      <alignment horizontal="right"/>
    </xf>
    <xf numFmtId="171" fontId="59" fillId="0" borderId="0" xfId="0" applyNumberFormat="1" applyFont="1"/>
    <xf numFmtId="0" fontId="59" fillId="0" borderId="0" xfId="0" quotePrefix="1" applyFont="1" applyAlignment="1">
      <alignment horizontal="right"/>
    </xf>
    <xf numFmtId="164" fontId="59" fillId="0" borderId="16" xfId="0" applyNumberFormat="1" applyFont="1" applyBorder="1" applyAlignment="1">
      <alignment horizontal="right"/>
    </xf>
    <xf numFmtId="167" fontId="59" fillId="0" borderId="0" xfId="109" applyNumberFormat="1" applyFont="1" applyAlignment="1">
      <alignment readingOrder="2"/>
    </xf>
    <xf numFmtId="0" fontId="59" fillId="0" borderId="16" xfId="0" applyFont="1" applyBorder="1" applyAlignment="1">
      <alignment readingOrder="2"/>
    </xf>
    <xf numFmtId="0" fontId="59" fillId="0" borderId="0" xfId="0" applyFont="1" applyAlignment="1">
      <alignment readingOrder="2"/>
    </xf>
    <xf numFmtId="167" fontId="72" fillId="0" borderId="0" xfId="0" applyNumberFormat="1" applyFont="1"/>
    <xf numFmtId="171" fontId="72" fillId="0" borderId="0" xfId="0" applyNumberFormat="1" applyFont="1"/>
    <xf numFmtId="167" fontId="17" fillId="0" borderId="0" xfId="109" applyNumberFormat="1" applyFont="1" applyFill="1"/>
    <xf numFmtId="0" fontId="59" fillId="0" borderId="16" xfId="0" applyFont="1" applyBorder="1"/>
    <xf numFmtId="0" fontId="72" fillId="0" borderId="0" xfId="0" applyFont="1"/>
    <xf numFmtId="0" fontId="72" fillId="0" borderId="0" xfId="0" applyFont="1" applyAlignment="1">
      <alignment horizontal="center"/>
    </xf>
    <xf numFmtId="0" fontId="72" fillId="0" borderId="0" xfId="0" applyFont="1" applyAlignment="1">
      <alignment horizontal="center" wrapText="1"/>
    </xf>
    <xf numFmtId="167" fontId="59" fillId="0" borderId="0" xfId="109" applyNumberFormat="1" applyFont="1" applyFill="1" applyBorder="1" applyAlignment="1">
      <alignment horizontal="right"/>
    </xf>
    <xf numFmtId="167" fontId="59" fillId="0" borderId="0" xfId="109" applyNumberFormat="1" applyFont="1" applyFill="1"/>
    <xf numFmtId="0" fontId="59" fillId="0" borderId="0" xfId="0" applyFont="1" applyAlignment="1">
      <alignment horizontal="right"/>
    </xf>
    <xf numFmtId="167" fontId="59" fillId="0" borderId="0" xfId="493" applyNumberFormat="1" applyFont="1" applyFill="1" applyBorder="1" applyAlignment="1">
      <alignment horizontal="right"/>
    </xf>
    <xf numFmtId="0" fontId="141" fillId="0" borderId="0" xfId="0" applyFont="1" applyAlignment="1">
      <alignment horizontal="left" vertical="center" wrapText="1"/>
    </xf>
    <xf numFmtId="167" fontId="142" fillId="0" borderId="0" xfId="109" applyNumberFormat="1" applyFont="1" applyAlignment="1">
      <alignment horizontal="left" vertical="center"/>
    </xf>
    <xf numFmtId="168" fontId="59" fillId="0" borderId="0" xfId="109" applyNumberFormat="1" applyFont="1" applyFill="1" applyBorder="1"/>
    <xf numFmtId="167" fontId="59" fillId="0" borderId="0" xfId="493" applyNumberFormat="1" applyFont="1" applyFill="1" applyBorder="1"/>
    <xf numFmtId="166" fontId="59" fillId="0" borderId="0" xfId="109" applyFont="1" applyFill="1" applyBorder="1"/>
    <xf numFmtId="168" fontId="72" fillId="0" borderId="0" xfId="109" applyNumberFormat="1" applyFont="1" applyFill="1" applyBorder="1"/>
    <xf numFmtId="9" fontId="59" fillId="0" borderId="0" xfId="493" applyFont="1" applyFill="1" applyBorder="1"/>
    <xf numFmtId="171" fontId="59" fillId="0" borderId="16" xfId="109" applyNumberFormat="1" applyFont="1" applyBorder="1" applyAlignment="1">
      <alignment horizontal="right"/>
    </xf>
    <xf numFmtId="167" fontId="72" fillId="0" borderId="0" xfId="109" applyNumberFormat="1" applyFont="1" applyFill="1"/>
    <xf numFmtId="167" fontId="72" fillId="0" borderId="0" xfId="109" applyNumberFormat="1" applyFont="1"/>
    <xf numFmtId="167" fontId="72" fillId="0" borderId="0" xfId="493" applyNumberFormat="1" applyFont="1" applyFill="1" applyBorder="1"/>
    <xf numFmtId="14" fontId="17" fillId="0" borderId="25" xfId="0" quotePrefix="1" applyNumberFormat="1" applyFont="1" applyBorder="1" applyAlignment="1">
      <alignment horizontal="center" wrapText="1"/>
    </xf>
    <xf numFmtId="164" fontId="19" fillId="0" borderId="0" xfId="109" applyNumberFormat="1" applyFont="1" applyBorder="1"/>
    <xf numFmtId="168" fontId="19" fillId="37" borderId="0" xfId="0" applyNumberFormat="1" applyFont="1" applyFill="1"/>
    <xf numFmtId="198" fontId="19" fillId="37" borderId="0" xfId="513" applyNumberFormat="1" applyFont="1" applyFill="1"/>
    <xf numFmtId="198" fontId="114" fillId="37" borderId="0" xfId="513" applyNumberFormat="1" applyFont="1" applyFill="1"/>
    <xf numFmtId="167" fontId="59" fillId="0" borderId="0" xfId="493" applyNumberFormat="1" applyFont="1" applyFill="1" applyBorder="1" applyAlignment="1">
      <alignment wrapText="1"/>
    </xf>
    <xf numFmtId="37" fontId="85" fillId="38" borderId="0" xfId="0" applyNumberFormat="1" applyFont="1" applyFill="1"/>
    <xf numFmtId="198" fontId="143" fillId="38" borderId="0" xfId="0" applyNumberFormat="1" applyFont="1" applyFill="1"/>
    <xf numFmtId="198" fontId="85" fillId="38" borderId="0" xfId="0" applyNumberFormat="1" applyFont="1" applyFill="1"/>
    <xf numFmtId="168" fontId="19" fillId="32" borderId="0" xfId="462" applyFont="1" applyFill="1"/>
    <xf numFmtId="168" fontId="19" fillId="36" borderId="0" xfId="462" applyFont="1" applyFill="1"/>
    <xf numFmtId="168" fontId="19" fillId="42" borderId="0" xfId="462" applyFont="1" applyFill="1"/>
    <xf numFmtId="168" fontId="19" fillId="0" borderId="0" xfId="462" applyFont="1" applyFill="1" applyAlignment="1">
      <alignment vertical="top" wrapText="1"/>
    </xf>
    <xf numFmtId="168" fontId="19" fillId="0" borderId="29" xfId="462" applyFont="1" applyFill="1" applyBorder="1"/>
    <xf numFmtId="168" fontId="19" fillId="0" borderId="30" xfId="462" applyFont="1" applyFill="1" applyBorder="1"/>
    <xf numFmtId="206" fontId="76" fillId="0" borderId="0" xfId="109" applyNumberFormat="1" applyFont="1" applyBorder="1"/>
    <xf numFmtId="14" fontId="102" fillId="0" borderId="0" xfId="462" applyNumberFormat="1" applyFont="1" applyFill="1" applyBorder="1" applyAlignment="1">
      <alignment horizontal="center" wrapText="1"/>
    </xf>
    <xf numFmtId="168" fontId="92" fillId="0" borderId="0" xfId="462" applyFont="1" applyFill="1" applyBorder="1" applyAlignment="1">
      <alignment horizontal="center" wrapText="1"/>
    </xf>
    <xf numFmtId="166" fontId="19" fillId="0" borderId="0" xfId="109" applyFont="1" applyFill="1"/>
    <xf numFmtId="213" fontId="19" fillId="0" borderId="0" xfId="462" applyNumberFormat="1" applyFont="1" applyFill="1" applyAlignment="1">
      <alignment horizontal="right"/>
    </xf>
    <xf numFmtId="213" fontId="19" fillId="38" borderId="0" xfId="462" applyNumberFormat="1" applyFont="1" applyFill="1" applyAlignment="1">
      <alignment horizontal="right"/>
    </xf>
    <xf numFmtId="43" fontId="19" fillId="0" borderId="0" xfId="109" applyNumberFormat="1" applyFont="1" applyFill="1"/>
    <xf numFmtId="43" fontId="19" fillId="0" borderId="0" xfId="0" applyNumberFormat="1" applyFont="1"/>
    <xf numFmtId="166" fontId="85" fillId="0" borderId="0" xfId="109" applyFont="1"/>
    <xf numFmtId="166" fontId="85" fillId="0" borderId="0" xfId="0" applyNumberFormat="1" applyFont="1"/>
    <xf numFmtId="168" fontId="17" fillId="0" borderId="0" xfId="462" applyFont="1" applyFill="1" applyAlignment="1">
      <alignment horizontal="center"/>
    </xf>
    <xf numFmtId="168" fontId="17" fillId="0" borderId="0" xfId="462" applyFont="1" applyFill="1" applyAlignment="1">
      <alignment horizontal="center" wrapText="1"/>
    </xf>
    <xf numFmtId="209" fontId="15" fillId="0" borderId="26" xfId="0" applyNumberFormat="1" applyFont="1" applyBorder="1" applyAlignment="1">
      <alignment horizontal="center" wrapText="1"/>
    </xf>
    <xf numFmtId="209" fontId="15" fillId="0" borderId="27" xfId="0" applyNumberFormat="1" applyFont="1" applyBorder="1" applyAlignment="1">
      <alignment horizontal="center" wrapText="1"/>
    </xf>
    <xf numFmtId="0" fontId="15" fillId="0" borderId="26" xfId="0" applyFont="1" applyBorder="1" applyAlignment="1">
      <alignment horizontal="center" wrapText="1"/>
    </xf>
    <xf numFmtId="0" fontId="15" fillId="0" borderId="27" xfId="0" applyFont="1" applyBorder="1" applyAlignment="1">
      <alignment horizontal="center" wrapText="1"/>
    </xf>
    <xf numFmtId="209" fontId="15" fillId="0" borderId="16" xfId="0" applyNumberFormat="1" applyFont="1" applyBorder="1" applyAlignment="1">
      <alignment horizontal="center" wrapText="1"/>
    </xf>
    <xf numFmtId="187" fontId="15" fillId="35" borderId="26" xfId="0" quotePrefix="1" applyNumberFormat="1" applyFont="1" applyFill="1" applyBorder="1" applyAlignment="1">
      <alignment horizontal="center" wrapText="1"/>
    </xf>
    <xf numFmtId="187" fontId="15" fillId="35" borderId="5" xfId="0" applyNumberFormat="1" applyFont="1" applyFill="1" applyBorder="1" applyAlignment="1">
      <alignment horizontal="center" wrapText="1"/>
    </xf>
    <xf numFmtId="187" fontId="15" fillId="35" borderId="27" xfId="0" applyNumberFormat="1" applyFont="1" applyFill="1" applyBorder="1" applyAlignment="1">
      <alignment horizontal="center" wrapText="1"/>
    </xf>
    <xf numFmtId="0" fontId="110" fillId="0" borderId="0" xfId="0" applyFont="1" applyAlignment="1">
      <alignment horizontal="center"/>
    </xf>
    <xf numFmtId="0" fontId="85" fillId="0" borderId="0" xfId="0" applyFont="1" applyAlignment="1">
      <alignment horizontal="right"/>
    </xf>
    <xf numFmtId="0" fontId="85" fillId="0" borderId="0" xfId="0" applyFont="1" applyAlignment="1">
      <alignment horizontal="right" wrapText="1"/>
    </xf>
    <xf numFmtId="0" fontId="85" fillId="0" borderId="0" xfId="0" applyFont="1" applyAlignment="1">
      <alignment horizontal="right" vertical="center"/>
    </xf>
    <xf numFmtId="0" fontId="85" fillId="0" borderId="0" xfId="0" applyFont="1" applyAlignment="1">
      <alignment horizontal="center" vertical="center"/>
    </xf>
    <xf numFmtId="0" fontId="85" fillId="0" borderId="0" xfId="0" applyFont="1" applyAlignment="1">
      <alignment horizontal="center" wrapText="1"/>
    </xf>
    <xf numFmtId="0" fontId="85" fillId="0" borderId="0" xfId="0" applyFont="1" applyAlignment="1">
      <alignment horizontal="center"/>
    </xf>
    <xf numFmtId="167" fontId="13" fillId="0" borderId="0" xfId="109" applyNumberFormat="1" applyFont="1" applyFill="1" applyAlignment="1">
      <alignment horizontal="center" vertical="center" wrapText="1"/>
    </xf>
    <xf numFmtId="0" fontId="85" fillId="0" borderId="15" xfId="0" applyFont="1" applyBorder="1" applyAlignment="1">
      <alignment horizontal="right" vertical="center" wrapText="1"/>
    </xf>
    <xf numFmtId="0" fontId="85" fillId="0" borderId="0" xfId="0" applyFont="1" applyAlignment="1">
      <alignment horizontal="right" vertical="center" wrapText="1"/>
    </xf>
    <xf numFmtId="0" fontId="17" fillId="0" borderId="0" xfId="0" applyFont="1" applyAlignment="1">
      <alignment horizontal="center"/>
    </xf>
    <xf numFmtId="0" fontId="85" fillId="0" borderId="15" xfId="0" applyFont="1" applyBorder="1" applyAlignment="1">
      <alignment horizontal="center" vertical="center" wrapText="1"/>
    </xf>
    <xf numFmtId="0" fontId="85" fillId="0" borderId="0" xfId="0" applyFont="1" applyAlignment="1">
      <alignment horizontal="center" vertical="center" wrapText="1"/>
    </xf>
    <xf numFmtId="215" fontId="85" fillId="0" borderId="0" xfId="109" applyNumberFormat="1" applyFont="1" applyFill="1"/>
  </cellXfs>
  <cellStyles count="773">
    <cellStyle name="_155000_Misc_Deposits_03_2010_BU49" xfId="6" xr:uid="{00000000-0005-0000-0000-000005000000}"/>
    <cellStyle name="•W_laroux" xfId="10" xr:uid="{00000000-0005-0000-0000-000009000000}"/>
    <cellStyle name="•W€_laroux" xfId="9" xr:uid="{00000000-0005-0000-0000-000008000000}"/>
    <cellStyle name="=C:\WINDOWS\SYSTEM32\COMMAND.COM" xfId="7" xr:uid="{00000000-0005-0000-0000-000006000000}"/>
    <cellStyle name="=C:\WINDOWS\SYSTEM32\COMMAND.COM 2" xfId="8" xr:uid="{00000000-0005-0000-0000-000007000000}"/>
    <cellStyle name="$" xfId="1" xr:uid="{00000000-0005-0000-0000-000000000000}"/>
    <cellStyle name="$ 10" xfId="2" xr:uid="{00000000-0005-0000-0000-000001000000}"/>
    <cellStyle name="$ 10 2 2" xfId="3" xr:uid="{00000000-0005-0000-0000-000002000000}"/>
    <cellStyle name="$ 2" xfId="4" xr:uid="{00000000-0005-0000-0000-000003000000}"/>
    <cellStyle name="$ 2 2" xfId="5" xr:uid="{00000000-0005-0000-0000-000004000000}"/>
    <cellStyle name="20% - Accent1 2" xfId="11" xr:uid="{00000000-0005-0000-0000-00000A000000}"/>
    <cellStyle name="20% - Accent1 3" xfId="12" xr:uid="{00000000-0005-0000-0000-00000B000000}"/>
    <cellStyle name="20% - Accent2 2" xfId="13" xr:uid="{00000000-0005-0000-0000-00000C000000}"/>
    <cellStyle name="20% - Accent2 3" xfId="14" xr:uid="{00000000-0005-0000-0000-00000D000000}"/>
    <cellStyle name="20% - Accent3 2" xfId="15" xr:uid="{00000000-0005-0000-0000-00000E000000}"/>
    <cellStyle name="20% - Accent3 3" xfId="16" xr:uid="{00000000-0005-0000-0000-00000F000000}"/>
    <cellStyle name="20% - Accent4 2" xfId="17" xr:uid="{00000000-0005-0000-0000-000010000000}"/>
    <cellStyle name="20% - Accent4 3" xfId="18" xr:uid="{00000000-0005-0000-0000-000011000000}"/>
    <cellStyle name="20% - Accent5 2" xfId="19" xr:uid="{00000000-0005-0000-0000-000012000000}"/>
    <cellStyle name="20% - Accent5 3" xfId="20" xr:uid="{00000000-0005-0000-0000-000013000000}"/>
    <cellStyle name="20% - Accent6 2" xfId="21" xr:uid="{00000000-0005-0000-0000-000014000000}"/>
    <cellStyle name="20% - Accent6 3" xfId="22" xr:uid="{00000000-0005-0000-0000-000015000000}"/>
    <cellStyle name="40% - Accent1 2" xfId="23" xr:uid="{00000000-0005-0000-0000-000016000000}"/>
    <cellStyle name="40% - Accent1 3" xfId="24" xr:uid="{00000000-0005-0000-0000-000017000000}"/>
    <cellStyle name="40% - Accent2 2" xfId="25" xr:uid="{00000000-0005-0000-0000-000018000000}"/>
    <cellStyle name="40% - Accent2 3" xfId="26" xr:uid="{00000000-0005-0000-0000-000019000000}"/>
    <cellStyle name="40% - Accent3 2" xfId="27" xr:uid="{00000000-0005-0000-0000-00001A000000}"/>
    <cellStyle name="40% - Accent3 3" xfId="28" xr:uid="{00000000-0005-0000-0000-00001B000000}"/>
    <cellStyle name="40% - Accent4 2" xfId="29" xr:uid="{00000000-0005-0000-0000-00001C000000}"/>
    <cellStyle name="40% - Accent4 3" xfId="30" xr:uid="{00000000-0005-0000-0000-00001D000000}"/>
    <cellStyle name="40% - Accent5 2" xfId="31" xr:uid="{00000000-0005-0000-0000-00001E000000}"/>
    <cellStyle name="40% - Accent5 3" xfId="32" xr:uid="{00000000-0005-0000-0000-00001F000000}"/>
    <cellStyle name="40% - Accent6 2" xfId="33" xr:uid="{00000000-0005-0000-0000-000020000000}"/>
    <cellStyle name="40% - Accent6 3" xfId="34" xr:uid="{00000000-0005-0000-0000-000021000000}"/>
    <cellStyle name="60% - Accent1 2" xfId="35" xr:uid="{00000000-0005-0000-0000-000022000000}"/>
    <cellStyle name="60% - Accent1 3" xfId="36" xr:uid="{00000000-0005-0000-0000-000023000000}"/>
    <cellStyle name="60% - Accent2 2" xfId="37" xr:uid="{00000000-0005-0000-0000-000024000000}"/>
    <cellStyle name="60% - Accent2 3" xfId="38" xr:uid="{00000000-0005-0000-0000-000025000000}"/>
    <cellStyle name="60% - Accent3 2" xfId="39" xr:uid="{00000000-0005-0000-0000-000026000000}"/>
    <cellStyle name="60% - Accent3 3" xfId="40" xr:uid="{00000000-0005-0000-0000-000027000000}"/>
    <cellStyle name="60% - Accent4 2" xfId="41" xr:uid="{00000000-0005-0000-0000-000028000000}"/>
    <cellStyle name="60% - Accent4 3" xfId="42" xr:uid="{00000000-0005-0000-0000-000029000000}"/>
    <cellStyle name="60% - Accent5 2" xfId="43" xr:uid="{00000000-0005-0000-0000-00002A000000}"/>
    <cellStyle name="60% - Accent5 3" xfId="44" xr:uid="{00000000-0005-0000-0000-00002B000000}"/>
    <cellStyle name="60% - Accent6 2" xfId="45" xr:uid="{00000000-0005-0000-0000-00002C000000}"/>
    <cellStyle name="60% - Accent6 3" xfId="46" xr:uid="{00000000-0005-0000-0000-00002D000000}"/>
    <cellStyle name="Accent1 2" xfId="47" xr:uid="{00000000-0005-0000-0000-00002E000000}"/>
    <cellStyle name="Accent1 3" xfId="48" xr:uid="{00000000-0005-0000-0000-00002F000000}"/>
    <cellStyle name="Accent2 2" xfId="49" xr:uid="{00000000-0005-0000-0000-000030000000}"/>
    <cellStyle name="Accent2 3" xfId="50" xr:uid="{00000000-0005-0000-0000-000031000000}"/>
    <cellStyle name="Accent3 2" xfId="51" xr:uid="{00000000-0005-0000-0000-000032000000}"/>
    <cellStyle name="Accent3 3" xfId="52" xr:uid="{00000000-0005-0000-0000-000033000000}"/>
    <cellStyle name="Accent4 2" xfId="53" xr:uid="{00000000-0005-0000-0000-000034000000}"/>
    <cellStyle name="Accent4 3" xfId="54" xr:uid="{00000000-0005-0000-0000-000035000000}"/>
    <cellStyle name="Accent5 2" xfId="55" xr:uid="{00000000-0005-0000-0000-000036000000}"/>
    <cellStyle name="Accent5 3" xfId="56" xr:uid="{00000000-0005-0000-0000-000037000000}"/>
    <cellStyle name="Accent6 2" xfId="57" xr:uid="{00000000-0005-0000-0000-000038000000}"/>
    <cellStyle name="Accent6 3" xfId="58" xr:uid="{00000000-0005-0000-0000-000039000000}"/>
    <cellStyle name="args.style" xfId="59" xr:uid="{00000000-0005-0000-0000-00003A000000}"/>
    <cellStyle name="Bad 2" xfId="60" xr:uid="{00000000-0005-0000-0000-00003B000000}"/>
    <cellStyle name="Bad 3" xfId="61" xr:uid="{00000000-0005-0000-0000-00003C000000}"/>
    <cellStyle name="Body" xfId="62" xr:uid="{00000000-0005-0000-0000-00003D000000}"/>
    <cellStyle name="C00A" xfId="63" xr:uid="{00000000-0005-0000-0000-00003E000000}"/>
    <cellStyle name="C00B" xfId="64" xr:uid="{00000000-0005-0000-0000-00003F000000}"/>
    <cellStyle name="C00L" xfId="65" xr:uid="{00000000-0005-0000-0000-000040000000}"/>
    <cellStyle name="C01A" xfId="66" xr:uid="{00000000-0005-0000-0000-000041000000}"/>
    <cellStyle name="C01B" xfId="67" xr:uid="{00000000-0005-0000-0000-000042000000}"/>
    <cellStyle name="C01H" xfId="68" xr:uid="{00000000-0005-0000-0000-000043000000}"/>
    <cellStyle name="C01L" xfId="69" xr:uid="{00000000-0005-0000-0000-000044000000}"/>
    <cellStyle name="C02A" xfId="70" xr:uid="{00000000-0005-0000-0000-000045000000}"/>
    <cellStyle name="C02B" xfId="71" xr:uid="{00000000-0005-0000-0000-000046000000}"/>
    <cellStyle name="C02H" xfId="72" xr:uid="{00000000-0005-0000-0000-000047000000}"/>
    <cellStyle name="C02L" xfId="73" xr:uid="{00000000-0005-0000-0000-000048000000}"/>
    <cellStyle name="C03A" xfId="74" xr:uid="{00000000-0005-0000-0000-000049000000}"/>
    <cellStyle name="C03B" xfId="75" xr:uid="{00000000-0005-0000-0000-00004A000000}"/>
    <cellStyle name="C03H" xfId="76" xr:uid="{00000000-0005-0000-0000-00004B000000}"/>
    <cellStyle name="C03L" xfId="77" xr:uid="{00000000-0005-0000-0000-00004C000000}"/>
    <cellStyle name="C04A" xfId="78" xr:uid="{00000000-0005-0000-0000-00004D000000}"/>
    <cellStyle name="C04B" xfId="79" xr:uid="{00000000-0005-0000-0000-00004E000000}"/>
    <cellStyle name="C04H" xfId="80" xr:uid="{00000000-0005-0000-0000-00004F000000}"/>
    <cellStyle name="C04L" xfId="81" xr:uid="{00000000-0005-0000-0000-000050000000}"/>
    <cellStyle name="C05A" xfId="82" xr:uid="{00000000-0005-0000-0000-000051000000}"/>
    <cellStyle name="C05B" xfId="83" xr:uid="{00000000-0005-0000-0000-000052000000}"/>
    <cellStyle name="C05H" xfId="84" xr:uid="{00000000-0005-0000-0000-000053000000}"/>
    <cellStyle name="C05L" xfId="85" xr:uid="{00000000-0005-0000-0000-000054000000}"/>
    <cellStyle name="C06A" xfId="86" xr:uid="{00000000-0005-0000-0000-000055000000}"/>
    <cellStyle name="C06B" xfId="87" xr:uid="{00000000-0005-0000-0000-000056000000}"/>
    <cellStyle name="C06H" xfId="88" xr:uid="{00000000-0005-0000-0000-000057000000}"/>
    <cellStyle name="C06L" xfId="89" xr:uid="{00000000-0005-0000-0000-000058000000}"/>
    <cellStyle name="C07A" xfId="90" xr:uid="{00000000-0005-0000-0000-000059000000}"/>
    <cellStyle name="C07B" xfId="91" xr:uid="{00000000-0005-0000-0000-00005A000000}"/>
    <cellStyle name="C07H" xfId="92" xr:uid="{00000000-0005-0000-0000-00005B000000}"/>
    <cellStyle name="C07L" xfId="93" xr:uid="{00000000-0005-0000-0000-00005C000000}"/>
    <cellStyle name="Calc Currency (0)" xfId="94" xr:uid="{00000000-0005-0000-0000-00005D000000}"/>
    <cellStyle name="Calc Currency (0) 2" xfId="95" xr:uid="{00000000-0005-0000-0000-00005E000000}"/>
    <cellStyle name="Calc Currency (2)" xfId="96" xr:uid="{00000000-0005-0000-0000-00005F000000}"/>
    <cellStyle name="Calc Percent (0)" xfId="97" xr:uid="{00000000-0005-0000-0000-000060000000}"/>
    <cellStyle name="Calc Percent (1)" xfId="98" xr:uid="{00000000-0005-0000-0000-000061000000}"/>
    <cellStyle name="Calc Percent (1) 2" xfId="99" xr:uid="{00000000-0005-0000-0000-000062000000}"/>
    <cellStyle name="Calc Percent (2)" xfId="100" xr:uid="{00000000-0005-0000-0000-000063000000}"/>
    <cellStyle name="Calc Percent (2) 2" xfId="101" xr:uid="{00000000-0005-0000-0000-000064000000}"/>
    <cellStyle name="Calc Units (0)" xfId="102" xr:uid="{00000000-0005-0000-0000-000065000000}"/>
    <cellStyle name="Calc Units (1)" xfId="103" xr:uid="{00000000-0005-0000-0000-000066000000}"/>
    <cellStyle name="Calc Units (2)" xfId="104" xr:uid="{00000000-0005-0000-0000-000067000000}"/>
    <cellStyle name="Calculation 2" xfId="105" xr:uid="{00000000-0005-0000-0000-000068000000}"/>
    <cellStyle name="Calculation 3" xfId="106" xr:uid="{00000000-0005-0000-0000-000069000000}"/>
    <cellStyle name="Check Cell 2" xfId="107" xr:uid="{00000000-0005-0000-0000-00006A000000}"/>
    <cellStyle name="Check Cell 3" xfId="108" xr:uid="{00000000-0005-0000-0000-00006B000000}"/>
    <cellStyle name="Comma" xfId="109" builtinId="3"/>
    <cellStyle name="Comma [0]" xfId="110" builtinId="6"/>
    <cellStyle name="Comma [00]" xfId="111" xr:uid="{00000000-0005-0000-0000-00006D000000}"/>
    <cellStyle name="Comma 10" xfId="112" xr:uid="{00000000-0005-0000-0000-00006E000000}"/>
    <cellStyle name="Comma 10 2" xfId="501" xr:uid="{00000000-0005-0000-0000-00006F000000}"/>
    <cellStyle name="Comma 11" xfId="113" xr:uid="{00000000-0005-0000-0000-000070000000}"/>
    <cellStyle name="Comma 11 2" xfId="502" xr:uid="{00000000-0005-0000-0000-000071000000}"/>
    <cellStyle name="Comma 12" xfId="114" xr:uid="{00000000-0005-0000-0000-000072000000}"/>
    <cellStyle name="Comma 12 2" xfId="503" xr:uid="{00000000-0005-0000-0000-000073000000}"/>
    <cellStyle name="Comma 13" xfId="115" xr:uid="{00000000-0005-0000-0000-000074000000}"/>
    <cellStyle name="Comma 13 2" xfId="504" xr:uid="{00000000-0005-0000-0000-000075000000}"/>
    <cellStyle name="Comma 14" xfId="116" xr:uid="{00000000-0005-0000-0000-000076000000}"/>
    <cellStyle name="Comma 14 2" xfId="505" xr:uid="{00000000-0005-0000-0000-000077000000}"/>
    <cellStyle name="Comma 15" xfId="117" xr:uid="{00000000-0005-0000-0000-000078000000}"/>
    <cellStyle name="Comma 15 2" xfId="506" xr:uid="{00000000-0005-0000-0000-000079000000}"/>
    <cellStyle name="Comma 16" xfId="118" xr:uid="{00000000-0005-0000-0000-00007A000000}"/>
    <cellStyle name="Comma 16 2" xfId="507" xr:uid="{00000000-0005-0000-0000-00007B000000}"/>
    <cellStyle name="Comma 17" xfId="119" xr:uid="{00000000-0005-0000-0000-00007C000000}"/>
    <cellStyle name="Comma 17 2" xfId="508" xr:uid="{00000000-0005-0000-0000-00007D000000}"/>
    <cellStyle name="Comma 18" xfId="120" xr:uid="{00000000-0005-0000-0000-00007E000000}"/>
    <cellStyle name="Comma 18 2" xfId="509" xr:uid="{00000000-0005-0000-0000-00007F000000}"/>
    <cellStyle name="Comma 19" xfId="121" xr:uid="{00000000-0005-0000-0000-000080000000}"/>
    <cellStyle name="Comma 19 2" xfId="510" xr:uid="{00000000-0005-0000-0000-000081000000}"/>
    <cellStyle name="Comma 2" xfId="122" xr:uid="{00000000-0005-0000-0000-000082000000}"/>
    <cellStyle name="Comma 2 2" xfId="123" xr:uid="{00000000-0005-0000-0000-000083000000}"/>
    <cellStyle name="Comma 2 2 2" xfId="124" xr:uid="{00000000-0005-0000-0000-000084000000}"/>
    <cellStyle name="Comma 2 2 2 2" xfId="513" xr:uid="{00000000-0005-0000-0000-000085000000}"/>
    <cellStyle name="Comma 2 2 3" xfId="125" xr:uid="{00000000-0005-0000-0000-000086000000}"/>
    <cellStyle name="Comma 2 2 3 2" xfId="514" xr:uid="{00000000-0005-0000-0000-000087000000}"/>
    <cellStyle name="Comma 2 2 4" xfId="512" xr:uid="{00000000-0005-0000-0000-000088000000}"/>
    <cellStyle name="Comma 2 3" xfId="126" xr:uid="{00000000-0005-0000-0000-000089000000}"/>
    <cellStyle name="Comma 2 4" xfId="127" xr:uid="{00000000-0005-0000-0000-00008A000000}"/>
    <cellStyle name="Comma 2 4 2" xfId="515" xr:uid="{00000000-0005-0000-0000-00008B000000}"/>
    <cellStyle name="Comma 2 5" xfId="128" xr:uid="{00000000-0005-0000-0000-00008C000000}"/>
    <cellStyle name="Comma 2 6" xfId="511" xr:uid="{00000000-0005-0000-0000-00008D000000}"/>
    <cellStyle name="Comma 2 7" xfId="616" xr:uid="{00000000-0005-0000-0000-00008E000000}"/>
    <cellStyle name="Comma 2 7 2" xfId="716" xr:uid="{00000000-0005-0000-0000-00008F000000}"/>
    <cellStyle name="Comma 2 9" xfId="129" xr:uid="{00000000-0005-0000-0000-000090000000}"/>
    <cellStyle name="Comma 2 9 2" xfId="516" xr:uid="{00000000-0005-0000-0000-000091000000}"/>
    <cellStyle name="Comma 20" xfId="130" xr:uid="{00000000-0005-0000-0000-000092000000}"/>
    <cellStyle name="Comma 20 2" xfId="517" xr:uid="{00000000-0005-0000-0000-000093000000}"/>
    <cellStyle name="Comma 21" xfId="131" xr:uid="{00000000-0005-0000-0000-000094000000}"/>
    <cellStyle name="Comma 21 2" xfId="518" xr:uid="{00000000-0005-0000-0000-000095000000}"/>
    <cellStyle name="Comma 22" xfId="132" xr:uid="{00000000-0005-0000-0000-000096000000}"/>
    <cellStyle name="Comma 22 2" xfId="519" xr:uid="{00000000-0005-0000-0000-000097000000}"/>
    <cellStyle name="Comma 23" xfId="133" xr:uid="{00000000-0005-0000-0000-000098000000}"/>
    <cellStyle name="Comma 23 2" xfId="520" xr:uid="{00000000-0005-0000-0000-000099000000}"/>
    <cellStyle name="Comma 24" xfId="134" xr:uid="{00000000-0005-0000-0000-00009A000000}"/>
    <cellStyle name="Comma 24 2" xfId="521" xr:uid="{00000000-0005-0000-0000-00009B000000}"/>
    <cellStyle name="Comma 25" xfId="135" xr:uid="{00000000-0005-0000-0000-00009C000000}"/>
    <cellStyle name="Comma 25 2" xfId="522" xr:uid="{00000000-0005-0000-0000-00009D000000}"/>
    <cellStyle name="Comma 26" xfId="136" xr:uid="{00000000-0005-0000-0000-00009E000000}"/>
    <cellStyle name="Comma 26 2" xfId="523" xr:uid="{00000000-0005-0000-0000-00009F000000}"/>
    <cellStyle name="Comma 27" xfId="137" xr:uid="{00000000-0005-0000-0000-0000A0000000}"/>
    <cellStyle name="Comma 27 2" xfId="524" xr:uid="{00000000-0005-0000-0000-0000A1000000}"/>
    <cellStyle name="Comma 28" xfId="138" xr:uid="{00000000-0005-0000-0000-0000A2000000}"/>
    <cellStyle name="Comma 28 2" xfId="525" xr:uid="{00000000-0005-0000-0000-0000A3000000}"/>
    <cellStyle name="Comma 29" xfId="139" xr:uid="{00000000-0005-0000-0000-0000A4000000}"/>
    <cellStyle name="Comma 29 2" xfId="526" xr:uid="{00000000-0005-0000-0000-0000A5000000}"/>
    <cellStyle name="Comma 3" xfId="140" xr:uid="{00000000-0005-0000-0000-0000A6000000}"/>
    <cellStyle name="Comma 3 2" xfId="141" xr:uid="{00000000-0005-0000-0000-0000A7000000}"/>
    <cellStyle name="Comma 3 2 2" xfId="527" xr:uid="{00000000-0005-0000-0000-0000A8000000}"/>
    <cellStyle name="Comma 3 3" xfId="142" xr:uid="{00000000-0005-0000-0000-0000A9000000}"/>
    <cellStyle name="Comma 3 4" xfId="143" xr:uid="{00000000-0005-0000-0000-0000AA000000}"/>
    <cellStyle name="Comma 3 4 2" xfId="528" xr:uid="{00000000-0005-0000-0000-0000AB000000}"/>
    <cellStyle name="Comma 3 5" xfId="144" xr:uid="{00000000-0005-0000-0000-0000AC000000}"/>
    <cellStyle name="Comma 3 5 2" xfId="529" xr:uid="{00000000-0005-0000-0000-0000AD000000}"/>
    <cellStyle name="Comma 3 6" xfId="619" xr:uid="{00000000-0005-0000-0000-0000AE000000}"/>
    <cellStyle name="Comma 3 6 2" xfId="719" xr:uid="{00000000-0005-0000-0000-0000AF000000}"/>
    <cellStyle name="Comma 3 6 2 2" xfId="757" xr:uid="{00000000-0005-0000-0000-0000B0000000}"/>
    <cellStyle name="Comma 3 6 3" xfId="746" xr:uid="{00000000-0005-0000-0000-0000B1000000}"/>
    <cellStyle name="Comma 30" xfId="145" xr:uid="{00000000-0005-0000-0000-0000B2000000}"/>
    <cellStyle name="Comma 30 2" xfId="530" xr:uid="{00000000-0005-0000-0000-0000B3000000}"/>
    <cellStyle name="Comma 31" xfId="146" xr:uid="{00000000-0005-0000-0000-0000B4000000}"/>
    <cellStyle name="Comma 31 2" xfId="531" xr:uid="{00000000-0005-0000-0000-0000B5000000}"/>
    <cellStyle name="Comma 32" xfId="147" xr:uid="{00000000-0005-0000-0000-0000B6000000}"/>
    <cellStyle name="Comma 32 2" xfId="532" xr:uid="{00000000-0005-0000-0000-0000B7000000}"/>
    <cellStyle name="Comma 33" xfId="148" xr:uid="{00000000-0005-0000-0000-0000B8000000}"/>
    <cellStyle name="Comma 33 2" xfId="533" xr:uid="{00000000-0005-0000-0000-0000B9000000}"/>
    <cellStyle name="Comma 34" xfId="149" xr:uid="{00000000-0005-0000-0000-0000BA000000}"/>
    <cellStyle name="Comma 34 2" xfId="534" xr:uid="{00000000-0005-0000-0000-0000BB000000}"/>
    <cellStyle name="Comma 35" xfId="150" xr:uid="{00000000-0005-0000-0000-0000BC000000}"/>
    <cellStyle name="Comma 35 2" xfId="535" xr:uid="{00000000-0005-0000-0000-0000BD000000}"/>
    <cellStyle name="Comma 36" xfId="151" xr:uid="{00000000-0005-0000-0000-0000BE000000}"/>
    <cellStyle name="Comma 36 2" xfId="536" xr:uid="{00000000-0005-0000-0000-0000BF000000}"/>
    <cellStyle name="Comma 37" xfId="152" xr:uid="{00000000-0005-0000-0000-0000C0000000}"/>
    <cellStyle name="Comma 37 2" xfId="537" xr:uid="{00000000-0005-0000-0000-0000C1000000}"/>
    <cellStyle name="Comma 38" xfId="153" xr:uid="{00000000-0005-0000-0000-0000C2000000}"/>
    <cellStyle name="Comma 38 2" xfId="538" xr:uid="{00000000-0005-0000-0000-0000C3000000}"/>
    <cellStyle name="Comma 39" xfId="154" xr:uid="{00000000-0005-0000-0000-0000C4000000}"/>
    <cellStyle name="Comma 39 2" xfId="539" xr:uid="{00000000-0005-0000-0000-0000C5000000}"/>
    <cellStyle name="Comma 4" xfId="155" xr:uid="{00000000-0005-0000-0000-0000C6000000}"/>
    <cellStyle name="Comma 4 2" xfId="156" xr:uid="{00000000-0005-0000-0000-0000C7000000}"/>
    <cellStyle name="Comma 4 2 2" xfId="540" xr:uid="{00000000-0005-0000-0000-0000C8000000}"/>
    <cellStyle name="Comma 40" xfId="157" xr:uid="{00000000-0005-0000-0000-0000C9000000}"/>
    <cellStyle name="Comma 40 2" xfId="541" xr:uid="{00000000-0005-0000-0000-0000CA000000}"/>
    <cellStyle name="Comma 41" xfId="158" xr:uid="{00000000-0005-0000-0000-0000CB000000}"/>
    <cellStyle name="Comma 41 2" xfId="542" xr:uid="{00000000-0005-0000-0000-0000CC000000}"/>
    <cellStyle name="Comma 42" xfId="159" xr:uid="{00000000-0005-0000-0000-0000CD000000}"/>
    <cellStyle name="Comma 42 2" xfId="543" xr:uid="{00000000-0005-0000-0000-0000CE000000}"/>
    <cellStyle name="Comma 43" xfId="160" xr:uid="{00000000-0005-0000-0000-0000CF000000}"/>
    <cellStyle name="Comma 43 2" xfId="544" xr:uid="{00000000-0005-0000-0000-0000D0000000}"/>
    <cellStyle name="Comma 44" xfId="161" xr:uid="{00000000-0005-0000-0000-0000D1000000}"/>
    <cellStyle name="Comma 44 2" xfId="545" xr:uid="{00000000-0005-0000-0000-0000D2000000}"/>
    <cellStyle name="Comma 45" xfId="162" xr:uid="{00000000-0005-0000-0000-0000D3000000}"/>
    <cellStyle name="Comma 45 2" xfId="546" xr:uid="{00000000-0005-0000-0000-0000D4000000}"/>
    <cellStyle name="Comma 46" xfId="163" xr:uid="{00000000-0005-0000-0000-0000D5000000}"/>
    <cellStyle name="Comma 46 2" xfId="547" xr:uid="{00000000-0005-0000-0000-0000D6000000}"/>
    <cellStyle name="Comma 47" xfId="164" xr:uid="{00000000-0005-0000-0000-0000D7000000}"/>
    <cellStyle name="Comma 47 2" xfId="548" xr:uid="{00000000-0005-0000-0000-0000D8000000}"/>
    <cellStyle name="Comma 48" xfId="165" xr:uid="{00000000-0005-0000-0000-0000D9000000}"/>
    <cellStyle name="Comma 48 2" xfId="549" xr:uid="{00000000-0005-0000-0000-0000DA000000}"/>
    <cellStyle name="Comma 49" xfId="166" xr:uid="{00000000-0005-0000-0000-0000DB000000}"/>
    <cellStyle name="Comma 49 2" xfId="550" xr:uid="{00000000-0005-0000-0000-0000DC000000}"/>
    <cellStyle name="Comma 5" xfId="167" xr:uid="{00000000-0005-0000-0000-0000DD000000}"/>
    <cellStyle name="Comma 5 2" xfId="551" xr:uid="{00000000-0005-0000-0000-0000DE000000}"/>
    <cellStyle name="Comma 50" xfId="168" xr:uid="{00000000-0005-0000-0000-0000DF000000}"/>
    <cellStyle name="Comma 50 2" xfId="552" xr:uid="{00000000-0005-0000-0000-0000E0000000}"/>
    <cellStyle name="Comma 51" xfId="169" xr:uid="{00000000-0005-0000-0000-0000E1000000}"/>
    <cellStyle name="Comma 51 2" xfId="553" xr:uid="{00000000-0005-0000-0000-0000E2000000}"/>
    <cellStyle name="Comma 52" xfId="170" xr:uid="{00000000-0005-0000-0000-0000E3000000}"/>
    <cellStyle name="Comma 52 2" xfId="554" xr:uid="{00000000-0005-0000-0000-0000E4000000}"/>
    <cellStyle name="Comma 53" xfId="171" xr:uid="{00000000-0005-0000-0000-0000E5000000}"/>
    <cellStyle name="Comma 53 2" xfId="555" xr:uid="{00000000-0005-0000-0000-0000E6000000}"/>
    <cellStyle name="Comma 53 2 2" xfId="679" xr:uid="{00000000-0005-0000-0000-0000E7000000}"/>
    <cellStyle name="Comma 53 3" xfId="640" xr:uid="{00000000-0005-0000-0000-0000E8000000}"/>
    <cellStyle name="Comma 54" xfId="172" xr:uid="{00000000-0005-0000-0000-0000E9000000}"/>
    <cellStyle name="Comma 54 2" xfId="556" xr:uid="{00000000-0005-0000-0000-0000EA000000}"/>
    <cellStyle name="Comma 54 2 2" xfId="680" xr:uid="{00000000-0005-0000-0000-0000EB000000}"/>
    <cellStyle name="Comma 54 3" xfId="641" xr:uid="{00000000-0005-0000-0000-0000EC000000}"/>
    <cellStyle name="Comma 55" xfId="173" xr:uid="{00000000-0005-0000-0000-0000ED000000}"/>
    <cellStyle name="Comma 55 2" xfId="557" xr:uid="{00000000-0005-0000-0000-0000EE000000}"/>
    <cellStyle name="Comma 55 2 2" xfId="681" xr:uid="{00000000-0005-0000-0000-0000EF000000}"/>
    <cellStyle name="Comma 55 3" xfId="642" xr:uid="{00000000-0005-0000-0000-0000F0000000}"/>
    <cellStyle name="Comma 56" xfId="174" xr:uid="{00000000-0005-0000-0000-0000F1000000}"/>
    <cellStyle name="Comma 56 2" xfId="558" xr:uid="{00000000-0005-0000-0000-0000F2000000}"/>
    <cellStyle name="Comma 56 2 2" xfId="682" xr:uid="{00000000-0005-0000-0000-0000F3000000}"/>
    <cellStyle name="Comma 56 3" xfId="643" xr:uid="{00000000-0005-0000-0000-0000F4000000}"/>
    <cellStyle name="Comma 57" xfId="175" xr:uid="{00000000-0005-0000-0000-0000F5000000}"/>
    <cellStyle name="Comma 57 2" xfId="559" xr:uid="{00000000-0005-0000-0000-0000F6000000}"/>
    <cellStyle name="Comma 57 2 2" xfId="683" xr:uid="{00000000-0005-0000-0000-0000F7000000}"/>
    <cellStyle name="Comma 57 3" xfId="644" xr:uid="{00000000-0005-0000-0000-0000F8000000}"/>
    <cellStyle name="Comma 58" xfId="176" xr:uid="{00000000-0005-0000-0000-0000F9000000}"/>
    <cellStyle name="Comma 58 2" xfId="560" xr:uid="{00000000-0005-0000-0000-0000FA000000}"/>
    <cellStyle name="Comma 58 2 2" xfId="684" xr:uid="{00000000-0005-0000-0000-0000FB000000}"/>
    <cellStyle name="Comma 58 3" xfId="645" xr:uid="{00000000-0005-0000-0000-0000FC000000}"/>
    <cellStyle name="Comma 59" xfId="177" xr:uid="{00000000-0005-0000-0000-0000FD000000}"/>
    <cellStyle name="Comma 59 2" xfId="561" xr:uid="{00000000-0005-0000-0000-0000FE000000}"/>
    <cellStyle name="Comma 59 2 2" xfId="685" xr:uid="{00000000-0005-0000-0000-0000FF000000}"/>
    <cellStyle name="Comma 59 3" xfId="646" xr:uid="{00000000-0005-0000-0000-000000010000}"/>
    <cellStyle name="Comma 6" xfId="178" xr:uid="{00000000-0005-0000-0000-000001010000}"/>
    <cellStyle name="Comma 6 2" xfId="179" xr:uid="{00000000-0005-0000-0000-000002010000}"/>
    <cellStyle name="Comma 6 2 2" xfId="563" xr:uid="{00000000-0005-0000-0000-000003010000}"/>
    <cellStyle name="Comma 6 3" xfId="562" xr:uid="{00000000-0005-0000-0000-000004010000}"/>
    <cellStyle name="Comma 60" xfId="180" xr:uid="{00000000-0005-0000-0000-000005010000}"/>
    <cellStyle name="Comma 60 2" xfId="564" xr:uid="{00000000-0005-0000-0000-000006010000}"/>
    <cellStyle name="Comma 60 2 2" xfId="686" xr:uid="{00000000-0005-0000-0000-000007010000}"/>
    <cellStyle name="Comma 60 3" xfId="647" xr:uid="{00000000-0005-0000-0000-000008010000}"/>
    <cellStyle name="Comma 61" xfId="181" xr:uid="{00000000-0005-0000-0000-000009010000}"/>
    <cellStyle name="Comma 61 2" xfId="565" xr:uid="{00000000-0005-0000-0000-00000A010000}"/>
    <cellStyle name="Comma 61 2 2" xfId="687" xr:uid="{00000000-0005-0000-0000-00000B010000}"/>
    <cellStyle name="Comma 61 3" xfId="648" xr:uid="{00000000-0005-0000-0000-00000C010000}"/>
    <cellStyle name="Comma 62" xfId="182" xr:uid="{00000000-0005-0000-0000-00000D010000}"/>
    <cellStyle name="Comma 62 2" xfId="566" xr:uid="{00000000-0005-0000-0000-00000E010000}"/>
    <cellStyle name="Comma 62 2 2" xfId="688" xr:uid="{00000000-0005-0000-0000-00000F010000}"/>
    <cellStyle name="Comma 62 3" xfId="649" xr:uid="{00000000-0005-0000-0000-000010010000}"/>
    <cellStyle name="Comma 63" xfId="183" xr:uid="{00000000-0005-0000-0000-000011010000}"/>
    <cellStyle name="Comma 63 2" xfId="567" xr:uid="{00000000-0005-0000-0000-000012010000}"/>
    <cellStyle name="Comma 63 2 2" xfId="689" xr:uid="{00000000-0005-0000-0000-000013010000}"/>
    <cellStyle name="Comma 63 3" xfId="650" xr:uid="{00000000-0005-0000-0000-000014010000}"/>
    <cellStyle name="Comma 64" xfId="184" xr:uid="{00000000-0005-0000-0000-000015010000}"/>
    <cellStyle name="Comma 64 2" xfId="568" xr:uid="{00000000-0005-0000-0000-000016010000}"/>
    <cellStyle name="Comma 64 2 2" xfId="690" xr:uid="{00000000-0005-0000-0000-000017010000}"/>
    <cellStyle name="Comma 64 3" xfId="651" xr:uid="{00000000-0005-0000-0000-000018010000}"/>
    <cellStyle name="Comma 65" xfId="185" xr:uid="{00000000-0005-0000-0000-000019010000}"/>
    <cellStyle name="Comma 65 2" xfId="569" xr:uid="{00000000-0005-0000-0000-00001A010000}"/>
    <cellStyle name="Comma 65 2 2" xfId="691" xr:uid="{00000000-0005-0000-0000-00001B010000}"/>
    <cellStyle name="Comma 65 3" xfId="652" xr:uid="{00000000-0005-0000-0000-00001C010000}"/>
    <cellStyle name="Comma 66" xfId="186" xr:uid="{00000000-0005-0000-0000-00001D010000}"/>
    <cellStyle name="Comma 66 2" xfId="570" xr:uid="{00000000-0005-0000-0000-00001E010000}"/>
    <cellStyle name="Comma 66 3" xfId="653" xr:uid="{00000000-0005-0000-0000-00001F010000}"/>
    <cellStyle name="Comma 67" xfId="187" xr:uid="{00000000-0005-0000-0000-000020010000}"/>
    <cellStyle name="Comma 67 2" xfId="571" xr:uid="{00000000-0005-0000-0000-000021010000}"/>
    <cellStyle name="Comma 67 3" xfId="654" xr:uid="{00000000-0005-0000-0000-000022010000}"/>
    <cellStyle name="Comma 68" xfId="464" xr:uid="{00000000-0005-0000-0000-000023010000}"/>
    <cellStyle name="Comma 69" xfId="466" xr:uid="{00000000-0005-0000-0000-000024010000}"/>
    <cellStyle name="Comma 7" xfId="188" xr:uid="{00000000-0005-0000-0000-000025010000}"/>
    <cellStyle name="Comma 7 2" xfId="189" xr:uid="{00000000-0005-0000-0000-000026010000}"/>
    <cellStyle name="Comma 7 2 2" xfId="573" xr:uid="{00000000-0005-0000-0000-000027010000}"/>
    <cellStyle name="Comma 7 3" xfId="572" xr:uid="{00000000-0005-0000-0000-000028010000}"/>
    <cellStyle name="Comma 70" xfId="468" xr:uid="{00000000-0005-0000-0000-000029010000}"/>
    <cellStyle name="Comma 71" xfId="470" xr:uid="{00000000-0005-0000-0000-00002A010000}"/>
    <cellStyle name="Comma 72" xfId="472" xr:uid="{00000000-0005-0000-0000-00002B010000}"/>
    <cellStyle name="Comma 73" xfId="474" xr:uid="{00000000-0005-0000-0000-00002C010000}"/>
    <cellStyle name="Comma 73 2" xfId="598" xr:uid="{00000000-0005-0000-0000-00002D010000}"/>
    <cellStyle name="Comma 74" xfId="476" xr:uid="{00000000-0005-0000-0000-00002E010000}"/>
    <cellStyle name="Comma 75" xfId="478" xr:uid="{00000000-0005-0000-0000-00002F010000}"/>
    <cellStyle name="Comma 76" xfId="480" xr:uid="{00000000-0005-0000-0000-000030010000}"/>
    <cellStyle name="Comma 76 2" xfId="600" xr:uid="{00000000-0005-0000-0000-000031010000}"/>
    <cellStyle name="Comma 77" xfId="482" xr:uid="{00000000-0005-0000-0000-000032010000}"/>
    <cellStyle name="Comma 78" xfId="484" xr:uid="{00000000-0005-0000-0000-000033010000}"/>
    <cellStyle name="Comma 79" xfId="486" xr:uid="{00000000-0005-0000-0000-000034010000}"/>
    <cellStyle name="Comma 8" xfId="190" xr:uid="{00000000-0005-0000-0000-000035010000}"/>
    <cellStyle name="Comma 8 2" xfId="574" xr:uid="{00000000-0005-0000-0000-000036010000}"/>
    <cellStyle name="Comma 80" xfId="488" xr:uid="{00000000-0005-0000-0000-000037010000}"/>
    <cellStyle name="Comma 80 2" xfId="603" xr:uid="{00000000-0005-0000-0000-000038010000}"/>
    <cellStyle name="Comma 81" xfId="490" xr:uid="{00000000-0005-0000-0000-000039010000}"/>
    <cellStyle name="Comma 82" xfId="492" xr:uid="{00000000-0005-0000-0000-00003A010000}"/>
    <cellStyle name="Comma 82 2" xfId="605" xr:uid="{00000000-0005-0000-0000-00003B010000}"/>
    <cellStyle name="Comma 83" xfId="495" xr:uid="{00000000-0005-0000-0000-00003C010000}"/>
    <cellStyle name="Comma 83 2" xfId="608" xr:uid="{00000000-0005-0000-0000-00003D010000}"/>
    <cellStyle name="Comma 84" xfId="497" xr:uid="{00000000-0005-0000-0000-00003E010000}"/>
    <cellStyle name="Comma 85" xfId="499" xr:uid="{00000000-0005-0000-0000-00003F010000}"/>
    <cellStyle name="Comma 85 2" xfId="678" xr:uid="{00000000-0005-0000-0000-000040010000}"/>
    <cellStyle name="Comma 86" xfId="610" xr:uid="{00000000-0005-0000-0000-000041010000}"/>
    <cellStyle name="Comma 86 2" xfId="711" xr:uid="{00000000-0005-0000-0000-000042010000}"/>
    <cellStyle name="Comma 87" xfId="613" xr:uid="{00000000-0005-0000-0000-000043010000}"/>
    <cellStyle name="Comma 87 2" xfId="713" xr:uid="{00000000-0005-0000-0000-000044010000}"/>
    <cellStyle name="Comma 88" xfId="622" xr:uid="{00000000-0005-0000-0000-000045010000}"/>
    <cellStyle name="Comma 88 2" xfId="722" xr:uid="{00000000-0005-0000-0000-000046010000}"/>
    <cellStyle name="Comma 89" xfId="634" xr:uid="{00000000-0005-0000-0000-000047010000}"/>
    <cellStyle name="Comma 89 2" xfId="729" xr:uid="{00000000-0005-0000-0000-000048010000}"/>
    <cellStyle name="Comma 89 2 2" xfId="761" xr:uid="{00000000-0005-0000-0000-000049010000}"/>
    <cellStyle name="Comma 89 3" xfId="750" xr:uid="{00000000-0005-0000-0000-00004A010000}"/>
    <cellStyle name="Comma 9" xfId="191" xr:uid="{00000000-0005-0000-0000-00004B010000}"/>
    <cellStyle name="Comma 9 2" xfId="575" xr:uid="{00000000-0005-0000-0000-00004C010000}"/>
    <cellStyle name="Comma 90" xfId="638" xr:uid="{00000000-0005-0000-0000-00004D010000}"/>
    <cellStyle name="Comma 91" xfId="732" xr:uid="{00000000-0005-0000-0000-00004E010000}"/>
    <cellStyle name="Comma 92" xfId="763" xr:uid="{00000000-0005-0000-0000-00004F010000}"/>
    <cellStyle name="Comma 93" xfId="767" xr:uid="{00000000-0005-0000-0000-000050010000}"/>
    <cellStyle name="Comma 94" xfId="770" xr:uid="{00000000-0005-0000-0000-000051010000}"/>
    <cellStyle name="Comma0" xfId="192" xr:uid="{00000000-0005-0000-0000-000052010000}"/>
    <cellStyle name="Copied" xfId="193" xr:uid="{00000000-0005-0000-0000-000053010000}"/>
    <cellStyle name="Currency" xfId="772" builtinId="4"/>
    <cellStyle name="Currency [00]" xfId="194" xr:uid="{00000000-0005-0000-0000-000055010000}"/>
    <cellStyle name="Currency 2" xfId="195" xr:uid="{00000000-0005-0000-0000-000056010000}"/>
    <cellStyle name="Currency 2 2" xfId="196" xr:uid="{00000000-0005-0000-0000-000057010000}"/>
    <cellStyle name="Currency 2 2 2" xfId="655" xr:uid="{00000000-0005-0000-0000-000058010000}"/>
    <cellStyle name="Currency 2 2 2 2" xfId="753" xr:uid="{00000000-0005-0000-0000-000059010000}"/>
    <cellStyle name="Currency 2 2 3" xfId="734" xr:uid="{00000000-0005-0000-0000-00005A010000}"/>
    <cellStyle name="Currency 2 3" xfId="576" xr:uid="{00000000-0005-0000-0000-00005B010000}"/>
    <cellStyle name="Currency 3" xfId="197" xr:uid="{00000000-0005-0000-0000-00005C010000}"/>
    <cellStyle name="Currency 4" xfId="765" xr:uid="{00000000-0005-0000-0000-00005D010000}"/>
    <cellStyle name="Currency0" xfId="198" xr:uid="{00000000-0005-0000-0000-00005E010000}"/>
    <cellStyle name="Date Short" xfId="199" xr:uid="{00000000-0005-0000-0000-00005F010000}"/>
    <cellStyle name="Date Short 2" xfId="735" xr:uid="{00000000-0005-0000-0000-000060010000}"/>
    <cellStyle name="Enter Currency (0)" xfId="200" xr:uid="{00000000-0005-0000-0000-000061010000}"/>
    <cellStyle name="Enter Currency (2)" xfId="201" xr:uid="{00000000-0005-0000-0000-000062010000}"/>
    <cellStyle name="Enter Units (0)" xfId="202" xr:uid="{00000000-0005-0000-0000-000063010000}"/>
    <cellStyle name="Enter Units (1)" xfId="203" xr:uid="{00000000-0005-0000-0000-000064010000}"/>
    <cellStyle name="Enter Units (2)" xfId="204" xr:uid="{00000000-0005-0000-0000-000065010000}"/>
    <cellStyle name="Entered" xfId="205" xr:uid="{00000000-0005-0000-0000-000066010000}"/>
    <cellStyle name="Explanatory Text 2" xfId="206" xr:uid="{00000000-0005-0000-0000-000067010000}"/>
    <cellStyle name="Explanatory Text 3" xfId="207" xr:uid="{00000000-0005-0000-0000-000068010000}"/>
    <cellStyle name="Good 2" xfId="208" xr:uid="{00000000-0005-0000-0000-000069010000}"/>
    <cellStyle name="Good 3" xfId="209" xr:uid="{00000000-0005-0000-0000-00006A010000}"/>
    <cellStyle name="Grey" xfId="210" xr:uid="{00000000-0005-0000-0000-00006B010000}"/>
    <cellStyle name="Grey 2" xfId="736" xr:uid="{00000000-0005-0000-0000-00006C010000}"/>
    <cellStyle name="Header1" xfId="211" xr:uid="{00000000-0005-0000-0000-00006D010000}"/>
    <cellStyle name="Header2" xfId="212" xr:uid="{00000000-0005-0000-0000-00006E010000}"/>
    <cellStyle name="Heading 1 2" xfId="213" xr:uid="{00000000-0005-0000-0000-00006F010000}"/>
    <cellStyle name="Heading 1 3" xfId="214" xr:uid="{00000000-0005-0000-0000-000070010000}"/>
    <cellStyle name="Heading 2 2" xfId="215" xr:uid="{00000000-0005-0000-0000-000071010000}"/>
    <cellStyle name="Heading 2 3" xfId="216" xr:uid="{00000000-0005-0000-0000-000072010000}"/>
    <cellStyle name="Heading 3 2" xfId="217" xr:uid="{00000000-0005-0000-0000-000073010000}"/>
    <cellStyle name="Heading 3 3" xfId="218" xr:uid="{00000000-0005-0000-0000-000074010000}"/>
    <cellStyle name="Heading 4 2" xfId="219" xr:uid="{00000000-0005-0000-0000-000075010000}"/>
    <cellStyle name="Heading 4 3" xfId="220" xr:uid="{00000000-0005-0000-0000-000076010000}"/>
    <cellStyle name="HEADINGS" xfId="221" xr:uid="{00000000-0005-0000-0000-000077010000}"/>
    <cellStyle name="HEADINGSTOP" xfId="222" xr:uid="{00000000-0005-0000-0000-000078010000}"/>
    <cellStyle name="Hyperlink 2" xfId="223" xr:uid="{00000000-0005-0000-0000-000079010000}"/>
    <cellStyle name="Input [yellow]" xfId="224" xr:uid="{00000000-0005-0000-0000-00007A010000}"/>
    <cellStyle name="Input 10" xfId="225" xr:uid="{00000000-0005-0000-0000-00007B010000}"/>
    <cellStyle name="Input 11" xfId="226" xr:uid="{00000000-0005-0000-0000-00007C010000}"/>
    <cellStyle name="Input 12" xfId="227" xr:uid="{00000000-0005-0000-0000-00007D010000}"/>
    <cellStyle name="Input 13" xfId="228" xr:uid="{00000000-0005-0000-0000-00007E010000}"/>
    <cellStyle name="Input 14" xfId="229" xr:uid="{00000000-0005-0000-0000-00007F010000}"/>
    <cellStyle name="Input 15" xfId="230" xr:uid="{00000000-0005-0000-0000-000080010000}"/>
    <cellStyle name="Input 16" xfId="231" xr:uid="{00000000-0005-0000-0000-000081010000}"/>
    <cellStyle name="Input 17" xfId="232" xr:uid="{00000000-0005-0000-0000-000082010000}"/>
    <cellStyle name="Input 18" xfId="233" xr:uid="{00000000-0005-0000-0000-000083010000}"/>
    <cellStyle name="Input 19" xfId="234" xr:uid="{00000000-0005-0000-0000-000084010000}"/>
    <cellStyle name="Input 2" xfId="235" xr:uid="{00000000-0005-0000-0000-000085010000}"/>
    <cellStyle name="Input 20" xfId="236" xr:uid="{00000000-0005-0000-0000-000086010000}"/>
    <cellStyle name="Input 21" xfId="237" xr:uid="{00000000-0005-0000-0000-000087010000}"/>
    <cellStyle name="Input 22" xfId="238" xr:uid="{00000000-0005-0000-0000-000088010000}"/>
    <cellStyle name="Input 23" xfId="239" xr:uid="{00000000-0005-0000-0000-000089010000}"/>
    <cellStyle name="Input 24" xfId="240" xr:uid="{00000000-0005-0000-0000-00008A010000}"/>
    <cellStyle name="Input 25" xfId="241" xr:uid="{00000000-0005-0000-0000-00008B010000}"/>
    <cellStyle name="Input 26" xfId="242" xr:uid="{00000000-0005-0000-0000-00008C010000}"/>
    <cellStyle name="Input 27" xfId="243" xr:uid="{00000000-0005-0000-0000-00008D010000}"/>
    <cellStyle name="Input 28" xfId="244" xr:uid="{00000000-0005-0000-0000-00008E010000}"/>
    <cellStyle name="Input 29" xfId="245" xr:uid="{00000000-0005-0000-0000-00008F010000}"/>
    <cellStyle name="Input 3" xfId="246" xr:uid="{00000000-0005-0000-0000-000090010000}"/>
    <cellStyle name="Input 30" xfId="247" xr:uid="{00000000-0005-0000-0000-000091010000}"/>
    <cellStyle name="Input 31" xfId="248" xr:uid="{00000000-0005-0000-0000-000092010000}"/>
    <cellStyle name="Input 32" xfId="249" xr:uid="{00000000-0005-0000-0000-000093010000}"/>
    <cellStyle name="Input 4" xfId="250" xr:uid="{00000000-0005-0000-0000-000094010000}"/>
    <cellStyle name="Input 5" xfId="251" xr:uid="{00000000-0005-0000-0000-000095010000}"/>
    <cellStyle name="Input 6" xfId="252" xr:uid="{00000000-0005-0000-0000-000096010000}"/>
    <cellStyle name="Input 7" xfId="253" xr:uid="{00000000-0005-0000-0000-000097010000}"/>
    <cellStyle name="Input 8" xfId="254" xr:uid="{00000000-0005-0000-0000-000098010000}"/>
    <cellStyle name="Input 9" xfId="255" xr:uid="{00000000-0005-0000-0000-000099010000}"/>
    <cellStyle name="Lines" xfId="256" xr:uid="{00000000-0005-0000-0000-00009A010000}"/>
    <cellStyle name="Link Currency (0)" xfId="257" xr:uid="{00000000-0005-0000-0000-00009B010000}"/>
    <cellStyle name="Link Currency (2)" xfId="258" xr:uid="{00000000-0005-0000-0000-00009C010000}"/>
    <cellStyle name="Link Units (0)" xfId="259" xr:uid="{00000000-0005-0000-0000-00009D010000}"/>
    <cellStyle name="Link Units (1)" xfId="260" xr:uid="{00000000-0005-0000-0000-00009E010000}"/>
    <cellStyle name="Link Units (2)" xfId="261" xr:uid="{00000000-0005-0000-0000-00009F010000}"/>
    <cellStyle name="Linked Cell 2" xfId="262" xr:uid="{00000000-0005-0000-0000-0000A0010000}"/>
    <cellStyle name="Linked Cell 3" xfId="263" xr:uid="{00000000-0005-0000-0000-0000A1010000}"/>
    <cellStyle name="Milliers [0]_AR1194" xfId="264" xr:uid="{00000000-0005-0000-0000-0000A2010000}"/>
    <cellStyle name="Milliers_AR1194" xfId="265" xr:uid="{00000000-0005-0000-0000-0000A3010000}"/>
    <cellStyle name="Monétaire [0]_AR1194" xfId="266" xr:uid="{00000000-0005-0000-0000-0000A4010000}"/>
    <cellStyle name="Monétaire_AR1194" xfId="267" xr:uid="{00000000-0005-0000-0000-0000A5010000}"/>
    <cellStyle name="Neutral 2" xfId="268" xr:uid="{00000000-0005-0000-0000-0000A6010000}"/>
    <cellStyle name="Neutral 3" xfId="269" xr:uid="{00000000-0005-0000-0000-0000A7010000}"/>
    <cellStyle name="no dec" xfId="270" xr:uid="{00000000-0005-0000-0000-0000A8010000}"/>
    <cellStyle name="no dec 2" xfId="737" xr:uid="{00000000-0005-0000-0000-0000A9010000}"/>
    <cellStyle name="Normal" xfId="0" builtinId="0"/>
    <cellStyle name="Normal - Style1" xfId="271" xr:uid="{00000000-0005-0000-0000-0000AB010000}"/>
    <cellStyle name="Normal - Style1 2" xfId="272" xr:uid="{00000000-0005-0000-0000-0000AC010000}"/>
    <cellStyle name="Normal - Style1 3" xfId="273" xr:uid="{00000000-0005-0000-0000-0000AD010000}"/>
    <cellStyle name="Normal 10" xfId="274" xr:uid="{00000000-0005-0000-0000-0000AE010000}"/>
    <cellStyle name="Normal 10 2" xfId="275" xr:uid="{00000000-0005-0000-0000-0000AF010000}"/>
    <cellStyle name="Normal 100" xfId="632" xr:uid="{00000000-0005-0000-0000-0000B0010000}"/>
    <cellStyle name="Normal 100 2" xfId="727" xr:uid="{00000000-0005-0000-0000-0000B1010000}"/>
    <cellStyle name="Normal 100 2 2" xfId="759" xr:uid="{00000000-0005-0000-0000-0000B2010000}"/>
    <cellStyle name="Normal 100 3" xfId="748" xr:uid="{00000000-0005-0000-0000-0000B3010000}"/>
    <cellStyle name="Normal 101" xfId="633" xr:uid="{00000000-0005-0000-0000-0000B4010000}"/>
    <cellStyle name="Normal 101 2" xfId="728" xr:uid="{00000000-0005-0000-0000-0000B5010000}"/>
    <cellStyle name="Normal 101 2 2" xfId="760" xr:uid="{00000000-0005-0000-0000-0000B6010000}"/>
    <cellStyle name="Normal 101 3" xfId="749" xr:uid="{00000000-0005-0000-0000-0000B7010000}"/>
    <cellStyle name="Normal 102" xfId="635" xr:uid="{00000000-0005-0000-0000-0000B8010000}"/>
    <cellStyle name="Normal 102 2" xfId="751" xr:uid="{00000000-0005-0000-0000-0000B9010000}"/>
    <cellStyle name="Normal 103" xfId="637" xr:uid="{00000000-0005-0000-0000-0000BA010000}"/>
    <cellStyle name="Normal 104" xfId="636" xr:uid="{00000000-0005-0000-0000-0000BB010000}"/>
    <cellStyle name="Normal 104 2" xfId="752" xr:uid="{00000000-0005-0000-0000-0000BC010000}"/>
    <cellStyle name="Normal 105" xfId="731" xr:uid="{00000000-0005-0000-0000-0000BD010000}"/>
    <cellStyle name="Normal 106" xfId="730" xr:uid="{00000000-0005-0000-0000-0000BE010000}"/>
    <cellStyle name="Normal 107" xfId="762" xr:uid="{00000000-0005-0000-0000-0000BF010000}"/>
    <cellStyle name="Normal 108" xfId="766" xr:uid="{00000000-0005-0000-0000-0000C0010000}"/>
    <cellStyle name="Normal 109" xfId="768" xr:uid="{00000000-0005-0000-0000-0000C1010000}"/>
    <cellStyle name="Normal 11" xfId="276" xr:uid="{00000000-0005-0000-0000-0000C2010000}"/>
    <cellStyle name="Normal 11 2" xfId="277" xr:uid="{00000000-0005-0000-0000-0000C3010000}"/>
    <cellStyle name="Normal 110" xfId="769" xr:uid="{00000000-0005-0000-0000-0000C4010000}"/>
    <cellStyle name="Normal 111" xfId="771" xr:uid="{00000000-0005-0000-0000-0000C5010000}"/>
    <cellStyle name="Normal 12" xfId="278" xr:uid="{00000000-0005-0000-0000-0000C6010000}"/>
    <cellStyle name="Normal 13" xfId="279" xr:uid="{00000000-0005-0000-0000-0000C7010000}"/>
    <cellStyle name="Normal 14" xfId="280" xr:uid="{00000000-0005-0000-0000-0000C8010000}"/>
    <cellStyle name="Normal 15" xfId="281" xr:uid="{00000000-0005-0000-0000-0000C9010000}"/>
    <cellStyle name="Normal 15 2" xfId="282" xr:uid="{00000000-0005-0000-0000-0000CA010000}"/>
    <cellStyle name="Normal 16" xfId="283" xr:uid="{00000000-0005-0000-0000-0000CB010000}"/>
    <cellStyle name="Normal 16 2" xfId="284" xr:uid="{00000000-0005-0000-0000-0000CC010000}"/>
    <cellStyle name="Normal 16 3" xfId="285" xr:uid="{00000000-0005-0000-0000-0000CD010000}"/>
    <cellStyle name="Normal 16 3 2" xfId="578" xr:uid="{00000000-0005-0000-0000-0000CE010000}"/>
    <cellStyle name="Normal 16 3 2 2" xfId="693" xr:uid="{00000000-0005-0000-0000-0000CF010000}"/>
    <cellStyle name="Normal 16 3 3" xfId="657" xr:uid="{00000000-0005-0000-0000-0000D0010000}"/>
    <cellStyle name="Normal 16 4" xfId="577" xr:uid="{00000000-0005-0000-0000-0000D1010000}"/>
    <cellStyle name="Normal 16 4 2" xfId="692" xr:uid="{00000000-0005-0000-0000-0000D2010000}"/>
    <cellStyle name="Normal 16 5" xfId="656" xr:uid="{00000000-0005-0000-0000-0000D3010000}"/>
    <cellStyle name="Normal 17" xfId="286" xr:uid="{00000000-0005-0000-0000-0000D4010000}"/>
    <cellStyle name="Normal 18" xfId="287" xr:uid="{00000000-0005-0000-0000-0000D5010000}"/>
    <cellStyle name="Normal 19" xfId="288" xr:uid="{00000000-0005-0000-0000-0000D6010000}"/>
    <cellStyle name="Normal 2" xfId="289" xr:uid="{00000000-0005-0000-0000-0000D7010000}"/>
    <cellStyle name="Normal 2 2" xfId="290" xr:uid="{00000000-0005-0000-0000-0000D8010000}"/>
    <cellStyle name="Normal 2 2 2" xfId="291" xr:uid="{00000000-0005-0000-0000-0000D9010000}"/>
    <cellStyle name="Normal 2 2 2 2" xfId="580" xr:uid="{00000000-0005-0000-0000-0000DA010000}"/>
    <cellStyle name="Normal 2 2 2 2 2" xfId="695" xr:uid="{00000000-0005-0000-0000-0000DB010000}"/>
    <cellStyle name="Normal 2 2 2 3" xfId="659" xr:uid="{00000000-0005-0000-0000-0000DC010000}"/>
    <cellStyle name="Normal 2 2 3" xfId="292" xr:uid="{00000000-0005-0000-0000-0000DD010000}"/>
    <cellStyle name="Normal 2 2 3 2" xfId="660" xr:uid="{00000000-0005-0000-0000-0000DE010000}"/>
    <cellStyle name="Normal 2 2 3 2 2" xfId="754" xr:uid="{00000000-0005-0000-0000-0000DF010000}"/>
    <cellStyle name="Normal 2 2 3 3" xfId="738" xr:uid="{00000000-0005-0000-0000-0000E0010000}"/>
    <cellStyle name="Normal 2 2 4" xfId="293" xr:uid="{00000000-0005-0000-0000-0000E1010000}"/>
    <cellStyle name="Normal 2 2 5" xfId="579" xr:uid="{00000000-0005-0000-0000-0000E2010000}"/>
    <cellStyle name="Normal 2 2 5 2" xfId="694" xr:uid="{00000000-0005-0000-0000-0000E3010000}"/>
    <cellStyle name="Normal 2 2 6" xfId="658" xr:uid="{00000000-0005-0000-0000-0000E4010000}"/>
    <cellStyle name="Normal 2 3" xfId="294" xr:uid="{00000000-0005-0000-0000-0000E5010000}"/>
    <cellStyle name="Normal 2 4" xfId="295" xr:uid="{00000000-0005-0000-0000-0000E6010000}"/>
    <cellStyle name="Normal 2 5" xfId="296" xr:uid="{00000000-0005-0000-0000-0000E7010000}"/>
    <cellStyle name="Normal 2 6" xfId="297" xr:uid="{00000000-0005-0000-0000-0000E8010000}"/>
    <cellStyle name="Normal 2 7" xfId="615" xr:uid="{00000000-0005-0000-0000-0000E9010000}"/>
    <cellStyle name="Normal 2 7 2" xfId="715" xr:uid="{00000000-0005-0000-0000-0000EA010000}"/>
    <cellStyle name="Normal 20" xfId="298" xr:uid="{00000000-0005-0000-0000-0000EB010000}"/>
    <cellStyle name="Normal 21" xfId="299" xr:uid="{00000000-0005-0000-0000-0000EC010000}"/>
    <cellStyle name="Normal 22" xfId="300" xr:uid="{00000000-0005-0000-0000-0000ED010000}"/>
    <cellStyle name="Normal 23" xfId="301" xr:uid="{00000000-0005-0000-0000-0000EE010000}"/>
    <cellStyle name="Normal 24" xfId="302" xr:uid="{00000000-0005-0000-0000-0000EF010000}"/>
    <cellStyle name="Normal 25" xfId="303" xr:uid="{00000000-0005-0000-0000-0000F0010000}"/>
    <cellStyle name="Normal 26" xfId="304" xr:uid="{00000000-0005-0000-0000-0000F1010000}"/>
    <cellStyle name="Normal 27" xfId="305" xr:uid="{00000000-0005-0000-0000-0000F2010000}"/>
    <cellStyle name="Normal 28" xfId="306" xr:uid="{00000000-0005-0000-0000-0000F3010000}"/>
    <cellStyle name="Normal 29" xfId="307" xr:uid="{00000000-0005-0000-0000-0000F4010000}"/>
    <cellStyle name="Normal 3" xfId="308" xr:uid="{00000000-0005-0000-0000-0000F5010000}"/>
    <cellStyle name="Normal 3 2" xfId="309" xr:uid="{00000000-0005-0000-0000-0000F6010000}"/>
    <cellStyle name="Normal 3 3" xfId="310" xr:uid="{00000000-0005-0000-0000-0000F7010000}"/>
    <cellStyle name="Normal 3 4" xfId="311" xr:uid="{00000000-0005-0000-0000-0000F8010000}"/>
    <cellStyle name="Normal 3 5" xfId="312" xr:uid="{00000000-0005-0000-0000-0000F9010000}"/>
    <cellStyle name="Normal 3 6" xfId="313" xr:uid="{00000000-0005-0000-0000-0000FA010000}"/>
    <cellStyle name="Normal 3 7" xfId="617" xr:uid="{00000000-0005-0000-0000-0000FB010000}"/>
    <cellStyle name="Normal 3 7 2" xfId="717" xr:uid="{00000000-0005-0000-0000-0000FC010000}"/>
    <cellStyle name="Normal 30" xfId="314" xr:uid="{00000000-0005-0000-0000-0000FD010000}"/>
    <cellStyle name="Normal 31" xfId="315" xr:uid="{00000000-0005-0000-0000-0000FE010000}"/>
    <cellStyle name="Normal 32" xfId="316" xr:uid="{00000000-0005-0000-0000-0000FF010000}"/>
    <cellStyle name="Normal 33" xfId="317" xr:uid="{00000000-0005-0000-0000-000000020000}"/>
    <cellStyle name="Normal 34" xfId="318" xr:uid="{00000000-0005-0000-0000-000001020000}"/>
    <cellStyle name="Normal 35" xfId="319" xr:uid="{00000000-0005-0000-0000-000002020000}"/>
    <cellStyle name="Normal 36" xfId="320" xr:uid="{00000000-0005-0000-0000-000003020000}"/>
    <cellStyle name="Normal 37" xfId="321" xr:uid="{00000000-0005-0000-0000-000004020000}"/>
    <cellStyle name="Normal 38" xfId="322" xr:uid="{00000000-0005-0000-0000-000005020000}"/>
    <cellStyle name="Normal 39" xfId="323" xr:uid="{00000000-0005-0000-0000-000006020000}"/>
    <cellStyle name="Normal 4" xfId="324" xr:uid="{00000000-0005-0000-0000-000007020000}"/>
    <cellStyle name="Normal 4 2" xfId="325" xr:uid="{00000000-0005-0000-0000-000008020000}"/>
    <cellStyle name="Normal 4 3" xfId="326" xr:uid="{00000000-0005-0000-0000-000009020000}"/>
    <cellStyle name="Normal 4 4" xfId="618" xr:uid="{00000000-0005-0000-0000-00000A020000}"/>
    <cellStyle name="Normal 4 4 2" xfId="718" xr:uid="{00000000-0005-0000-0000-00000B020000}"/>
    <cellStyle name="Normal 4 4 2 2" xfId="756" xr:uid="{00000000-0005-0000-0000-00000C020000}"/>
    <cellStyle name="Normal 4 4 3" xfId="745" xr:uid="{00000000-0005-0000-0000-00000D020000}"/>
    <cellStyle name="Normal 40" xfId="327" xr:uid="{00000000-0005-0000-0000-00000E020000}"/>
    <cellStyle name="Normal 41" xfId="328" xr:uid="{00000000-0005-0000-0000-00000F020000}"/>
    <cellStyle name="Normal 42" xfId="329" xr:uid="{00000000-0005-0000-0000-000010020000}"/>
    <cellStyle name="Normal 43" xfId="330" xr:uid="{00000000-0005-0000-0000-000011020000}"/>
    <cellStyle name="Normal 43 2" xfId="581" xr:uid="{00000000-0005-0000-0000-000012020000}"/>
    <cellStyle name="Normal 43 2 2" xfId="696" xr:uid="{00000000-0005-0000-0000-000013020000}"/>
    <cellStyle name="Normal 43 3" xfId="661" xr:uid="{00000000-0005-0000-0000-000014020000}"/>
    <cellStyle name="Normal 44" xfId="331" xr:uid="{00000000-0005-0000-0000-000015020000}"/>
    <cellStyle name="Normal 45" xfId="332" xr:uid="{00000000-0005-0000-0000-000016020000}"/>
    <cellStyle name="Normal 46" xfId="333" xr:uid="{00000000-0005-0000-0000-000017020000}"/>
    <cellStyle name="Normal 47" xfId="334" xr:uid="{00000000-0005-0000-0000-000018020000}"/>
    <cellStyle name="Normal 48" xfId="335" xr:uid="{00000000-0005-0000-0000-000019020000}"/>
    <cellStyle name="Normal 49" xfId="336" xr:uid="{00000000-0005-0000-0000-00001A020000}"/>
    <cellStyle name="Normal 5" xfId="337" xr:uid="{00000000-0005-0000-0000-00001B020000}"/>
    <cellStyle name="Normal 5 2" xfId="338" xr:uid="{00000000-0005-0000-0000-00001C020000}"/>
    <cellStyle name="Normal 5 2 2" xfId="339" xr:uid="{00000000-0005-0000-0000-00001D020000}"/>
    <cellStyle name="Normal 5 3" xfId="340" xr:uid="{00000000-0005-0000-0000-00001E020000}"/>
    <cellStyle name="Normal 50" xfId="341" xr:uid="{00000000-0005-0000-0000-00001F020000}"/>
    <cellStyle name="Normal 51" xfId="342" xr:uid="{00000000-0005-0000-0000-000020020000}"/>
    <cellStyle name="Normal 52" xfId="343" xr:uid="{00000000-0005-0000-0000-000021020000}"/>
    <cellStyle name="Normal 53" xfId="344" xr:uid="{00000000-0005-0000-0000-000022020000}"/>
    <cellStyle name="Normal 54" xfId="345" xr:uid="{00000000-0005-0000-0000-000023020000}"/>
    <cellStyle name="Normal 54 2" xfId="582" xr:uid="{00000000-0005-0000-0000-000024020000}"/>
    <cellStyle name="Normal 54 2 2" xfId="697" xr:uid="{00000000-0005-0000-0000-000025020000}"/>
    <cellStyle name="Normal 54 3" xfId="662" xr:uid="{00000000-0005-0000-0000-000026020000}"/>
    <cellStyle name="Normal 55" xfId="346" xr:uid="{00000000-0005-0000-0000-000027020000}"/>
    <cellStyle name="Normal 55 2" xfId="583" xr:uid="{00000000-0005-0000-0000-000028020000}"/>
    <cellStyle name="Normal 55 2 2" xfId="698" xr:uid="{00000000-0005-0000-0000-000029020000}"/>
    <cellStyle name="Normal 55 3" xfId="663" xr:uid="{00000000-0005-0000-0000-00002A020000}"/>
    <cellStyle name="Normal 56" xfId="347" xr:uid="{00000000-0005-0000-0000-00002B020000}"/>
    <cellStyle name="Normal 56 2" xfId="584" xr:uid="{00000000-0005-0000-0000-00002C020000}"/>
    <cellStyle name="Normal 56 2 2" xfId="699" xr:uid="{00000000-0005-0000-0000-00002D020000}"/>
    <cellStyle name="Normal 56 3" xfId="664" xr:uid="{00000000-0005-0000-0000-00002E020000}"/>
    <cellStyle name="Normal 57" xfId="348" xr:uid="{00000000-0005-0000-0000-00002F020000}"/>
    <cellStyle name="Normal 57 2" xfId="585" xr:uid="{00000000-0005-0000-0000-000030020000}"/>
    <cellStyle name="Normal 57 2 2" xfId="700" xr:uid="{00000000-0005-0000-0000-000031020000}"/>
    <cellStyle name="Normal 57 3" xfId="665" xr:uid="{00000000-0005-0000-0000-000032020000}"/>
    <cellStyle name="Normal 58" xfId="349" xr:uid="{00000000-0005-0000-0000-000033020000}"/>
    <cellStyle name="Normal 58 2" xfId="586" xr:uid="{00000000-0005-0000-0000-000034020000}"/>
    <cellStyle name="Normal 58 2 2" xfId="701" xr:uid="{00000000-0005-0000-0000-000035020000}"/>
    <cellStyle name="Normal 58 3" xfId="666" xr:uid="{00000000-0005-0000-0000-000036020000}"/>
    <cellStyle name="Normal 59" xfId="350" xr:uid="{00000000-0005-0000-0000-000037020000}"/>
    <cellStyle name="Normal 59 2" xfId="587" xr:uid="{00000000-0005-0000-0000-000038020000}"/>
    <cellStyle name="Normal 59 2 2" xfId="702" xr:uid="{00000000-0005-0000-0000-000039020000}"/>
    <cellStyle name="Normal 59 3" xfId="667" xr:uid="{00000000-0005-0000-0000-00003A020000}"/>
    <cellStyle name="Normal 6" xfId="351" xr:uid="{00000000-0005-0000-0000-00003B020000}"/>
    <cellStyle name="Normal 6 2" xfId="352" xr:uid="{00000000-0005-0000-0000-00003C020000}"/>
    <cellStyle name="Normal 6 3" xfId="353" xr:uid="{00000000-0005-0000-0000-00003D020000}"/>
    <cellStyle name="Normal 6 4" xfId="620" xr:uid="{00000000-0005-0000-0000-00003E020000}"/>
    <cellStyle name="Normal 6 4 2" xfId="720" xr:uid="{00000000-0005-0000-0000-00003F020000}"/>
    <cellStyle name="Normal 6 4 2 2" xfId="758" xr:uid="{00000000-0005-0000-0000-000040020000}"/>
    <cellStyle name="Normal 6 4 3" xfId="747" xr:uid="{00000000-0005-0000-0000-000041020000}"/>
    <cellStyle name="Normal 60" xfId="354" xr:uid="{00000000-0005-0000-0000-000042020000}"/>
    <cellStyle name="Normal 60 2" xfId="588" xr:uid="{00000000-0005-0000-0000-000043020000}"/>
    <cellStyle name="Normal 60 2 2" xfId="703" xr:uid="{00000000-0005-0000-0000-000044020000}"/>
    <cellStyle name="Normal 60 3" xfId="668" xr:uid="{00000000-0005-0000-0000-000045020000}"/>
    <cellStyle name="Normal 61" xfId="355" xr:uid="{00000000-0005-0000-0000-000046020000}"/>
    <cellStyle name="Normal 61 2" xfId="589" xr:uid="{00000000-0005-0000-0000-000047020000}"/>
    <cellStyle name="Normal 61 2 2" xfId="704" xr:uid="{00000000-0005-0000-0000-000048020000}"/>
    <cellStyle name="Normal 61 3" xfId="669" xr:uid="{00000000-0005-0000-0000-000049020000}"/>
    <cellStyle name="Normal 62" xfId="356" xr:uid="{00000000-0005-0000-0000-00004A020000}"/>
    <cellStyle name="Normal 62 2" xfId="590" xr:uid="{00000000-0005-0000-0000-00004B020000}"/>
    <cellStyle name="Normal 62 2 2" xfId="705" xr:uid="{00000000-0005-0000-0000-00004C020000}"/>
    <cellStyle name="Normal 62 3" xfId="670" xr:uid="{00000000-0005-0000-0000-00004D020000}"/>
    <cellStyle name="Normal 63" xfId="357" xr:uid="{00000000-0005-0000-0000-00004E020000}"/>
    <cellStyle name="Normal 63 2" xfId="591" xr:uid="{00000000-0005-0000-0000-00004F020000}"/>
    <cellStyle name="Normal 63 2 2" xfId="706" xr:uid="{00000000-0005-0000-0000-000050020000}"/>
    <cellStyle name="Normal 63 3" xfId="671" xr:uid="{00000000-0005-0000-0000-000051020000}"/>
    <cellStyle name="Normal 64" xfId="358" xr:uid="{00000000-0005-0000-0000-000052020000}"/>
    <cellStyle name="Normal 64 2" xfId="592" xr:uid="{00000000-0005-0000-0000-000053020000}"/>
    <cellStyle name="Normal 64 2 2" xfId="707" xr:uid="{00000000-0005-0000-0000-000054020000}"/>
    <cellStyle name="Normal 64 3" xfId="672" xr:uid="{00000000-0005-0000-0000-000055020000}"/>
    <cellStyle name="Normal 65" xfId="359" xr:uid="{00000000-0005-0000-0000-000056020000}"/>
    <cellStyle name="Normal 65 2" xfId="593" xr:uid="{00000000-0005-0000-0000-000057020000}"/>
    <cellStyle name="Normal 65 2 2" xfId="708" xr:uid="{00000000-0005-0000-0000-000058020000}"/>
    <cellStyle name="Normal 65 3" xfId="673" xr:uid="{00000000-0005-0000-0000-000059020000}"/>
    <cellStyle name="Normal 66" xfId="360" xr:uid="{00000000-0005-0000-0000-00005A020000}"/>
    <cellStyle name="Normal 66 2" xfId="594" xr:uid="{00000000-0005-0000-0000-00005B020000}"/>
    <cellStyle name="Normal 66 2 2" xfId="709" xr:uid="{00000000-0005-0000-0000-00005C020000}"/>
    <cellStyle name="Normal 66 3" xfId="674" xr:uid="{00000000-0005-0000-0000-00005D020000}"/>
    <cellStyle name="Normal 67" xfId="361" xr:uid="{00000000-0005-0000-0000-00005E020000}"/>
    <cellStyle name="Normal 67 2" xfId="595" xr:uid="{00000000-0005-0000-0000-00005F020000}"/>
    <cellStyle name="Normal 68" xfId="362" xr:uid="{00000000-0005-0000-0000-000060020000}"/>
    <cellStyle name="Normal 68 2" xfId="596" xr:uid="{00000000-0005-0000-0000-000061020000}"/>
    <cellStyle name="Normal 69" xfId="463" xr:uid="{00000000-0005-0000-0000-000062020000}"/>
    <cellStyle name="Normal 7" xfId="363" xr:uid="{00000000-0005-0000-0000-000063020000}"/>
    <cellStyle name="Normal 7 2" xfId="364" xr:uid="{00000000-0005-0000-0000-000064020000}"/>
    <cellStyle name="Normal 70" xfId="465" xr:uid="{00000000-0005-0000-0000-000065020000}"/>
    <cellStyle name="Normal 71" xfId="467" xr:uid="{00000000-0005-0000-0000-000066020000}"/>
    <cellStyle name="Normal 72" xfId="469" xr:uid="{00000000-0005-0000-0000-000067020000}"/>
    <cellStyle name="Normal 73" xfId="471" xr:uid="{00000000-0005-0000-0000-000068020000}"/>
    <cellStyle name="Normal 74" xfId="473" xr:uid="{00000000-0005-0000-0000-000069020000}"/>
    <cellStyle name="Normal 74 2" xfId="597" xr:uid="{00000000-0005-0000-0000-00006A020000}"/>
    <cellStyle name="Normal 75" xfId="475" xr:uid="{00000000-0005-0000-0000-00006B020000}"/>
    <cellStyle name="Normal 76" xfId="477" xr:uid="{00000000-0005-0000-0000-00006C020000}"/>
    <cellStyle name="Normal 77" xfId="479" xr:uid="{00000000-0005-0000-0000-00006D020000}"/>
    <cellStyle name="Normal 77 2" xfId="599" xr:uid="{00000000-0005-0000-0000-00006E020000}"/>
    <cellStyle name="Normal 78" xfId="481" xr:uid="{00000000-0005-0000-0000-00006F020000}"/>
    <cellStyle name="Normal 79" xfId="483" xr:uid="{00000000-0005-0000-0000-000070020000}"/>
    <cellStyle name="Normal 79 2" xfId="606" xr:uid="{00000000-0005-0000-0000-000071020000}"/>
    <cellStyle name="Normal 8" xfId="365" xr:uid="{00000000-0005-0000-0000-000072020000}"/>
    <cellStyle name="Normal 8 2" xfId="366" xr:uid="{00000000-0005-0000-0000-000073020000}"/>
    <cellStyle name="Normal 80" xfId="485" xr:uid="{00000000-0005-0000-0000-000074020000}"/>
    <cellStyle name="Normal 81" xfId="487" xr:uid="{00000000-0005-0000-0000-000075020000}"/>
    <cellStyle name="Normal 81 2" xfId="602" xr:uid="{00000000-0005-0000-0000-000076020000}"/>
    <cellStyle name="Normal 82" xfId="489" xr:uid="{00000000-0005-0000-0000-000077020000}"/>
    <cellStyle name="Normal 83" xfId="491" xr:uid="{00000000-0005-0000-0000-000078020000}"/>
    <cellStyle name="Normal 83 2" xfId="604" xr:uid="{00000000-0005-0000-0000-000079020000}"/>
    <cellStyle name="Normal 84" xfId="494" xr:uid="{00000000-0005-0000-0000-00007A020000}"/>
    <cellStyle name="Normal 84 2" xfId="607" xr:uid="{00000000-0005-0000-0000-00007B020000}"/>
    <cellStyle name="Normal 85" xfId="496" xr:uid="{00000000-0005-0000-0000-00007C020000}"/>
    <cellStyle name="Normal 86" xfId="498" xr:uid="{00000000-0005-0000-0000-00007D020000}"/>
    <cellStyle name="Normal 86 2" xfId="677" xr:uid="{00000000-0005-0000-0000-00007E020000}"/>
    <cellStyle name="Normal 87" xfId="500" xr:uid="{00000000-0005-0000-0000-00007F020000}"/>
    <cellStyle name="Normal 88" xfId="609" xr:uid="{00000000-0005-0000-0000-000080020000}"/>
    <cellStyle name="Normal 88 2" xfId="710" xr:uid="{00000000-0005-0000-0000-000081020000}"/>
    <cellStyle name="Normal 89" xfId="611" xr:uid="{00000000-0005-0000-0000-000082020000}"/>
    <cellStyle name="Normal 9" xfId="367" xr:uid="{00000000-0005-0000-0000-000083020000}"/>
    <cellStyle name="Normal 9 2" xfId="368" xr:uid="{00000000-0005-0000-0000-000084020000}"/>
    <cellStyle name="Normal 90" xfId="612" xr:uid="{00000000-0005-0000-0000-000085020000}"/>
    <cellStyle name="Normal 90 2" xfId="712" xr:uid="{00000000-0005-0000-0000-000086020000}"/>
    <cellStyle name="Normal 91" xfId="621" xr:uid="{00000000-0005-0000-0000-000087020000}"/>
    <cellStyle name="Normal 91 2" xfId="721" xr:uid="{00000000-0005-0000-0000-000088020000}"/>
    <cellStyle name="Normal 92" xfId="624" xr:uid="{00000000-0005-0000-0000-000089020000}"/>
    <cellStyle name="Normal 92 2" xfId="724" xr:uid="{00000000-0005-0000-0000-00008A020000}"/>
    <cellStyle name="Normal 93" xfId="625" xr:uid="{00000000-0005-0000-0000-00008B020000}"/>
    <cellStyle name="Normal 93 2" xfId="725" xr:uid="{00000000-0005-0000-0000-00008C020000}"/>
    <cellStyle name="Normal 94" xfId="626" xr:uid="{00000000-0005-0000-0000-00008D020000}"/>
    <cellStyle name="Normal 94 2" xfId="726" xr:uid="{00000000-0005-0000-0000-00008E020000}"/>
    <cellStyle name="Normal 95" xfId="627" xr:uid="{00000000-0005-0000-0000-00008F020000}"/>
    <cellStyle name="Normal 96" xfId="628" xr:uid="{00000000-0005-0000-0000-000090020000}"/>
    <cellStyle name="Normal 97" xfId="629" xr:uid="{00000000-0005-0000-0000-000091020000}"/>
    <cellStyle name="Normal 98" xfId="630" xr:uid="{00000000-0005-0000-0000-000092020000}"/>
    <cellStyle name="Normal 99" xfId="631" xr:uid="{00000000-0005-0000-0000-000093020000}"/>
    <cellStyle name="Note 2" xfId="369" xr:uid="{00000000-0005-0000-0000-000094020000}"/>
    <cellStyle name="Note 3" xfId="370" xr:uid="{00000000-0005-0000-0000-000095020000}"/>
    <cellStyle name="Note 4" xfId="371" xr:uid="{00000000-0005-0000-0000-000096020000}"/>
    <cellStyle name="Note 4 2" xfId="675" xr:uid="{00000000-0005-0000-0000-000097020000}"/>
    <cellStyle name="Note 4 2 2" xfId="755" xr:uid="{00000000-0005-0000-0000-000098020000}"/>
    <cellStyle name="Note 4 3" xfId="739" xr:uid="{00000000-0005-0000-0000-000099020000}"/>
    <cellStyle name="Œ…‹æØ‚è [0.00]_laroux" xfId="372" xr:uid="{00000000-0005-0000-0000-00009A020000}"/>
    <cellStyle name="Œ…‹æØ‚è_laroux" xfId="373" xr:uid="{00000000-0005-0000-0000-00009B020000}"/>
    <cellStyle name="Output 2" xfId="374" xr:uid="{00000000-0005-0000-0000-00009C020000}"/>
    <cellStyle name="Output 3" xfId="375" xr:uid="{00000000-0005-0000-0000-00009D020000}"/>
    <cellStyle name="per.style" xfId="376" xr:uid="{00000000-0005-0000-0000-00009E020000}"/>
    <cellStyle name="per.style 2" xfId="740" xr:uid="{00000000-0005-0000-0000-00009F020000}"/>
    <cellStyle name="Percent" xfId="493" builtinId="5"/>
    <cellStyle name="Percent [0]" xfId="377" xr:uid="{00000000-0005-0000-0000-0000A1020000}"/>
    <cellStyle name="Percent [0] 2" xfId="378" xr:uid="{00000000-0005-0000-0000-0000A2020000}"/>
    <cellStyle name="Percent [00]" xfId="379" xr:uid="{00000000-0005-0000-0000-0000A3020000}"/>
    <cellStyle name="Percent [00] 2" xfId="380" xr:uid="{00000000-0005-0000-0000-0000A4020000}"/>
    <cellStyle name="Percent [2]" xfId="381" xr:uid="{00000000-0005-0000-0000-0000A5020000}"/>
    <cellStyle name="Percent [2] 2" xfId="382" xr:uid="{00000000-0005-0000-0000-0000A6020000}"/>
    <cellStyle name="Percent 10" xfId="614" xr:uid="{00000000-0005-0000-0000-0000A7020000}"/>
    <cellStyle name="Percent 10 2" xfId="714" xr:uid="{00000000-0005-0000-0000-0000A8020000}"/>
    <cellStyle name="Percent 11" xfId="623" xr:uid="{00000000-0005-0000-0000-0000A9020000}"/>
    <cellStyle name="Percent 11 2" xfId="723" xr:uid="{00000000-0005-0000-0000-0000AA020000}"/>
    <cellStyle name="Percent 12" xfId="676" xr:uid="{00000000-0005-0000-0000-0000AB020000}"/>
    <cellStyle name="Percent 13" xfId="744" xr:uid="{00000000-0005-0000-0000-0000AC020000}"/>
    <cellStyle name="Percent 14" xfId="764" xr:uid="{00000000-0005-0000-0000-0000AD020000}"/>
    <cellStyle name="Percent 2" xfId="383" xr:uid="{00000000-0005-0000-0000-0000AE020000}"/>
    <cellStyle name="Percent 2 2" xfId="384" xr:uid="{00000000-0005-0000-0000-0000AF020000}"/>
    <cellStyle name="Percent 2 3" xfId="385" xr:uid="{00000000-0005-0000-0000-0000B0020000}"/>
    <cellStyle name="Percent 3" xfId="386" xr:uid="{00000000-0005-0000-0000-0000B1020000}"/>
    <cellStyle name="Percent 4" xfId="387" xr:uid="{00000000-0005-0000-0000-0000B2020000}"/>
    <cellStyle name="Percent 5" xfId="388" xr:uid="{00000000-0005-0000-0000-0000B3020000}"/>
    <cellStyle name="Percent 6" xfId="389" xr:uid="{00000000-0005-0000-0000-0000B4020000}"/>
    <cellStyle name="Percent 7" xfId="390" xr:uid="{00000000-0005-0000-0000-0000B5020000}"/>
    <cellStyle name="Percent 8" xfId="391" xr:uid="{00000000-0005-0000-0000-0000B6020000}"/>
    <cellStyle name="Percent 9" xfId="601" xr:uid="{00000000-0005-0000-0000-0000B7020000}"/>
    <cellStyle name="PERCENTAGE" xfId="392" xr:uid="{00000000-0005-0000-0000-0000B8020000}"/>
    <cellStyle name="PillarData" xfId="393" xr:uid="{00000000-0005-0000-0000-0000B9020000}"/>
    <cellStyle name="PillarData 2" xfId="394" xr:uid="{00000000-0005-0000-0000-0000BA020000}"/>
    <cellStyle name="PillarData 3" xfId="395" xr:uid="{00000000-0005-0000-0000-0000BB020000}"/>
    <cellStyle name="PillarHeading" xfId="396" xr:uid="{00000000-0005-0000-0000-0000BC020000}"/>
    <cellStyle name="PillarText" xfId="397" xr:uid="{00000000-0005-0000-0000-0000BD020000}"/>
    <cellStyle name="PillarText 2" xfId="398" xr:uid="{00000000-0005-0000-0000-0000BE020000}"/>
    <cellStyle name="PillarText 3" xfId="399" xr:uid="{00000000-0005-0000-0000-0000BF020000}"/>
    <cellStyle name="PillarTotal" xfId="400" xr:uid="{00000000-0005-0000-0000-0000C0020000}"/>
    <cellStyle name="PrePop Currency (0)" xfId="401" xr:uid="{00000000-0005-0000-0000-0000C1020000}"/>
    <cellStyle name="PrePop Currency (2)" xfId="402" xr:uid="{00000000-0005-0000-0000-0000C2020000}"/>
    <cellStyle name="PrePop Units (0)" xfId="403" xr:uid="{00000000-0005-0000-0000-0000C3020000}"/>
    <cellStyle name="PrePop Units (1)" xfId="404" xr:uid="{00000000-0005-0000-0000-0000C4020000}"/>
    <cellStyle name="PrePop Units (2)" xfId="405" xr:uid="{00000000-0005-0000-0000-0000C5020000}"/>
    <cellStyle name="PSChar" xfId="406" xr:uid="{00000000-0005-0000-0000-0000C6020000}"/>
    <cellStyle name="PSDate" xfId="407" xr:uid="{00000000-0005-0000-0000-0000C7020000}"/>
    <cellStyle name="PSDate 2" xfId="741" xr:uid="{00000000-0005-0000-0000-0000C8020000}"/>
    <cellStyle name="PSDec" xfId="408" xr:uid="{00000000-0005-0000-0000-0000C9020000}"/>
    <cellStyle name="PSHeading" xfId="409" xr:uid="{00000000-0005-0000-0000-0000CA020000}"/>
    <cellStyle name="PSInt" xfId="410" xr:uid="{00000000-0005-0000-0000-0000CB020000}"/>
    <cellStyle name="PSSpacer" xfId="411" xr:uid="{00000000-0005-0000-0000-0000CC020000}"/>
    <cellStyle name="R00A" xfId="412" xr:uid="{00000000-0005-0000-0000-0000CD020000}"/>
    <cellStyle name="R00B" xfId="413" xr:uid="{00000000-0005-0000-0000-0000CE020000}"/>
    <cellStyle name="R00L" xfId="414" xr:uid="{00000000-0005-0000-0000-0000CF020000}"/>
    <cellStyle name="R00L 2" xfId="415" xr:uid="{00000000-0005-0000-0000-0000D0020000}"/>
    <cellStyle name="R01A" xfId="416" xr:uid="{00000000-0005-0000-0000-0000D1020000}"/>
    <cellStyle name="R01B" xfId="417" xr:uid="{00000000-0005-0000-0000-0000D2020000}"/>
    <cellStyle name="R01H" xfId="418" xr:uid="{00000000-0005-0000-0000-0000D3020000}"/>
    <cellStyle name="R01L" xfId="419" xr:uid="{00000000-0005-0000-0000-0000D4020000}"/>
    <cellStyle name="R02A" xfId="420" xr:uid="{00000000-0005-0000-0000-0000D5020000}"/>
    <cellStyle name="R02B" xfId="421" xr:uid="{00000000-0005-0000-0000-0000D6020000}"/>
    <cellStyle name="R02H" xfId="422" xr:uid="{00000000-0005-0000-0000-0000D7020000}"/>
    <cellStyle name="R02L" xfId="423" xr:uid="{00000000-0005-0000-0000-0000D8020000}"/>
    <cellStyle name="R03A" xfId="424" xr:uid="{00000000-0005-0000-0000-0000D9020000}"/>
    <cellStyle name="R03B" xfId="425" xr:uid="{00000000-0005-0000-0000-0000DA020000}"/>
    <cellStyle name="R03H" xfId="426" xr:uid="{00000000-0005-0000-0000-0000DB020000}"/>
    <cellStyle name="R03L" xfId="427" xr:uid="{00000000-0005-0000-0000-0000DC020000}"/>
    <cellStyle name="R04A" xfId="428" xr:uid="{00000000-0005-0000-0000-0000DD020000}"/>
    <cellStyle name="R04B" xfId="429" xr:uid="{00000000-0005-0000-0000-0000DE020000}"/>
    <cellStyle name="R04H" xfId="430" xr:uid="{00000000-0005-0000-0000-0000DF020000}"/>
    <cellStyle name="R04L" xfId="431" xr:uid="{00000000-0005-0000-0000-0000E0020000}"/>
    <cellStyle name="R05A" xfId="432" xr:uid="{00000000-0005-0000-0000-0000E1020000}"/>
    <cellStyle name="R05B" xfId="433" xr:uid="{00000000-0005-0000-0000-0000E2020000}"/>
    <cellStyle name="R05H" xfId="434" xr:uid="{00000000-0005-0000-0000-0000E3020000}"/>
    <cellStyle name="R05L" xfId="435" xr:uid="{00000000-0005-0000-0000-0000E4020000}"/>
    <cellStyle name="R06A" xfId="436" xr:uid="{00000000-0005-0000-0000-0000E5020000}"/>
    <cellStyle name="R06B" xfId="437" xr:uid="{00000000-0005-0000-0000-0000E6020000}"/>
    <cellStyle name="R06H" xfId="438" xr:uid="{00000000-0005-0000-0000-0000E7020000}"/>
    <cellStyle name="R06L" xfId="439" xr:uid="{00000000-0005-0000-0000-0000E8020000}"/>
    <cellStyle name="R07A" xfId="440" xr:uid="{00000000-0005-0000-0000-0000E9020000}"/>
    <cellStyle name="R07B" xfId="441" xr:uid="{00000000-0005-0000-0000-0000EA020000}"/>
    <cellStyle name="R07H" xfId="442" xr:uid="{00000000-0005-0000-0000-0000EB020000}"/>
    <cellStyle name="R07L" xfId="443" xr:uid="{00000000-0005-0000-0000-0000EC020000}"/>
    <cellStyle name="regstoresfromspecstores" xfId="444" xr:uid="{00000000-0005-0000-0000-0000ED020000}"/>
    <cellStyle name="RevList" xfId="445" xr:uid="{00000000-0005-0000-0000-0000EE020000}"/>
    <cellStyle name="SHADEDSTORES" xfId="446" xr:uid="{00000000-0005-0000-0000-0000EF020000}"/>
    <cellStyle name="specstores" xfId="447" xr:uid="{00000000-0005-0000-0000-0000F0020000}"/>
    <cellStyle name="Style 1" xfId="448" xr:uid="{00000000-0005-0000-0000-0000F1020000}"/>
    <cellStyle name="Style 1 2" xfId="449" xr:uid="{00000000-0005-0000-0000-0000F2020000}"/>
    <cellStyle name="Subtotal" xfId="450" xr:uid="{00000000-0005-0000-0000-0000F3020000}"/>
    <cellStyle name="Subtotal 2" xfId="742" xr:uid="{00000000-0005-0000-0000-0000F4020000}"/>
    <cellStyle name="Text Indent A" xfId="451" xr:uid="{00000000-0005-0000-0000-0000F5020000}"/>
    <cellStyle name="Text Indent A 2" xfId="743" xr:uid="{00000000-0005-0000-0000-0000F6020000}"/>
    <cellStyle name="Text Indent B" xfId="452" xr:uid="{00000000-0005-0000-0000-0000F7020000}"/>
    <cellStyle name="Text Indent B 2" xfId="453" xr:uid="{00000000-0005-0000-0000-0000F8020000}"/>
    <cellStyle name="Text Indent C" xfId="454" xr:uid="{00000000-0005-0000-0000-0000F9020000}"/>
    <cellStyle name="Text Indent C 2" xfId="455" xr:uid="{00000000-0005-0000-0000-0000FA020000}"/>
    <cellStyle name="Title 2" xfId="456" xr:uid="{00000000-0005-0000-0000-0000FB020000}"/>
    <cellStyle name="Title 3" xfId="457" xr:uid="{00000000-0005-0000-0000-0000FC020000}"/>
    <cellStyle name="Total 2" xfId="458" xr:uid="{00000000-0005-0000-0000-0000FD020000}"/>
    <cellStyle name="Total 3" xfId="459" xr:uid="{00000000-0005-0000-0000-0000FE020000}"/>
    <cellStyle name="Warning Text 2" xfId="460" xr:uid="{00000000-0005-0000-0000-0000FF020000}"/>
    <cellStyle name="Warning Text 3" xfId="461" xr:uid="{00000000-0005-0000-0000-000000030000}"/>
    <cellStyle name="עופר" xfId="462" xr:uid="{00000000-0005-0000-0000-000001030000}"/>
    <cellStyle name="פסיק [0] 2" xfId="639" xr:uid="{00000000-0005-0000-0000-000003030000}"/>
    <cellStyle name="פסיק [0] 3" xfId="733" xr:uid="{00000000-0005-0000-0000-00000403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6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5.xml"/><Relationship Id="rId33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4.xml"/><Relationship Id="rId32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2.xml"/><Relationship Id="rId27" Type="http://schemas.openxmlformats.org/officeDocument/2006/relationships/theme" Target="theme/theme1.xml"/><Relationship Id="rId30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23422</xdr:colOff>
      <xdr:row>4</xdr:row>
      <xdr:rowOff>78074</xdr:rowOff>
    </xdr:from>
    <xdr:to>
      <xdr:col>50</xdr:col>
      <xdr:colOff>640205</xdr:colOff>
      <xdr:row>6</xdr:row>
      <xdr:rowOff>78073</xdr:rowOff>
    </xdr:to>
    <xdr:cxnSp macro="">
      <xdr:nvCxnSpPr>
        <xdr:cNvPr id="3" name="מחבר חץ ישר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CxnSpPr/>
      </xdr:nvCxnSpPr>
      <xdr:spPr>
        <a:xfrm flipV="1">
          <a:off x="11882828" y="1061804"/>
          <a:ext cx="6347397" cy="37475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1014958</xdr:colOff>
      <xdr:row>7</xdr:row>
      <xdr:rowOff>148340</xdr:rowOff>
    </xdr:from>
    <xdr:to>
      <xdr:col>23</xdr:col>
      <xdr:colOff>601168</xdr:colOff>
      <xdr:row>8</xdr:row>
      <xdr:rowOff>7807</xdr:rowOff>
    </xdr:to>
    <xdr:cxnSp macro="">
      <xdr:nvCxnSpPr>
        <xdr:cNvPr id="5" name="מחבר חץ ישר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CxnSpPr/>
      </xdr:nvCxnSpPr>
      <xdr:spPr>
        <a:xfrm>
          <a:off x="11820368" y="1694201"/>
          <a:ext cx="640206" cy="4684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15614</xdr:colOff>
      <xdr:row>11</xdr:row>
      <xdr:rowOff>163955</xdr:rowOff>
    </xdr:from>
    <xdr:to>
      <xdr:col>23</xdr:col>
      <xdr:colOff>569938</xdr:colOff>
      <xdr:row>12</xdr:row>
      <xdr:rowOff>163955</xdr:rowOff>
    </xdr:to>
    <xdr:cxnSp macro="">
      <xdr:nvCxnSpPr>
        <xdr:cNvPr id="9" name="מחבר חץ ישר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CxnSpPr/>
      </xdr:nvCxnSpPr>
      <xdr:spPr>
        <a:xfrm>
          <a:off x="11875020" y="2459324"/>
          <a:ext cx="1608320" cy="18737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46844</xdr:colOff>
      <xdr:row>17</xdr:row>
      <xdr:rowOff>124918</xdr:rowOff>
    </xdr:from>
    <xdr:to>
      <xdr:col>46</xdr:col>
      <xdr:colOff>819775</xdr:colOff>
      <xdr:row>19</xdr:row>
      <xdr:rowOff>85881</xdr:rowOff>
    </xdr:to>
    <xdr:cxnSp macro="">
      <xdr:nvCxnSpPr>
        <xdr:cNvPr id="11" name="מחבר חץ ישר 10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CxnSpPr/>
      </xdr:nvCxnSpPr>
      <xdr:spPr>
        <a:xfrm>
          <a:off x="11906250" y="3552357"/>
          <a:ext cx="2474939" cy="32010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921270</xdr:colOff>
      <xdr:row>22</xdr:row>
      <xdr:rowOff>163955</xdr:rowOff>
    </xdr:from>
    <xdr:to>
      <xdr:col>46</xdr:col>
      <xdr:colOff>148340</xdr:colOff>
      <xdr:row>25</xdr:row>
      <xdr:rowOff>7807</xdr:rowOff>
    </xdr:to>
    <xdr:cxnSp macro="">
      <xdr:nvCxnSpPr>
        <xdr:cNvPr id="18" name="מחבר חץ ישר 17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CxnSpPr/>
      </xdr:nvCxnSpPr>
      <xdr:spPr>
        <a:xfrm>
          <a:off x="12780676" y="4489242"/>
          <a:ext cx="851004" cy="42159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48</xdr:col>
      <xdr:colOff>95250</xdr:colOff>
      <xdr:row>5</xdr:row>
      <xdr:rowOff>171451</xdr:rowOff>
    </xdr:from>
    <xdr:to>
      <xdr:col>49</xdr:col>
      <xdr:colOff>1009650</xdr:colOff>
      <xdr:row>7</xdr:row>
      <xdr:rowOff>86591</xdr:rowOff>
    </xdr:to>
    <xdr:cxnSp macro="">
      <xdr:nvCxnSpPr>
        <xdr:cNvPr id="3" name="מחבר חץ ישר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CxnSpPr/>
      </xdr:nvCxnSpPr>
      <xdr:spPr>
        <a:xfrm flipV="1">
          <a:off x="22037386" y="1401042"/>
          <a:ext cx="2265219" cy="31345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77932</xdr:colOff>
      <xdr:row>16</xdr:row>
      <xdr:rowOff>95250</xdr:rowOff>
    </xdr:from>
    <xdr:to>
      <xdr:col>49</xdr:col>
      <xdr:colOff>1697182</xdr:colOff>
      <xdr:row>16</xdr:row>
      <xdr:rowOff>138545</xdr:rowOff>
    </xdr:to>
    <xdr:cxnSp macro="">
      <xdr:nvCxnSpPr>
        <xdr:cNvPr id="4" name="מחבר חץ ישר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CxnSpPr/>
      </xdr:nvCxnSpPr>
      <xdr:spPr>
        <a:xfrm>
          <a:off x="22020068" y="3515591"/>
          <a:ext cx="2970069" cy="4329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69273</xdr:colOff>
      <xdr:row>24</xdr:row>
      <xdr:rowOff>103910</xdr:rowOff>
    </xdr:from>
    <xdr:to>
      <xdr:col>49</xdr:col>
      <xdr:colOff>1653886</xdr:colOff>
      <xdr:row>24</xdr:row>
      <xdr:rowOff>112568</xdr:rowOff>
    </xdr:to>
    <xdr:cxnSp macro="">
      <xdr:nvCxnSpPr>
        <xdr:cNvPr id="7" name="מחבר חץ ישר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CxnSpPr/>
      </xdr:nvCxnSpPr>
      <xdr:spPr>
        <a:xfrm>
          <a:off x="22011409" y="5004955"/>
          <a:ext cx="2935432" cy="865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60614</xdr:colOff>
      <xdr:row>32</xdr:row>
      <xdr:rowOff>112568</xdr:rowOff>
    </xdr:from>
    <xdr:to>
      <xdr:col>49</xdr:col>
      <xdr:colOff>1653886</xdr:colOff>
      <xdr:row>32</xdr:row>
      <xdr:rowOff>199159</xdr:rowOff>
    </xdr:to>
    <xdr:cxnSp macro="">
      <xdr:nvCxnSpPr>
        <xdr:cNvPr id="9" name="מחבר חץ ישר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CxnSpPr/>
      </xdr:nvCxnSpPr>
      <xdr:spPr>
        <a:xfrm flipV="1">
          <a:off x="22002750" y="6615545"/>
          <a:ext cx="2944091" cy="8659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34637</xdr:colOff>
      <xdr:row>34</xdr:row>
      <xdr:rowOff>207819</xdr:rowOff>
    </xdr:from>
    <xdr:to>
      <xdr:col>49</xdr:col>
      <xdr:colOff>2078182</xdr:colOff>
      <xdr:row>39</xdr:row>
      <xdr:rowOff>155863</xdr:rowOff>
    </xdr:to>
    <xdr:cxnSp macro="">
      <xdr:nvCxnSpPr>
        <xdr:cNvPr id="11" name="מחבר חץ ישר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CxnSpPr/>
      </xdr:nvCxnSpPr>
      <xdr:spPr>
        <a:xfrm>
          <a:off x="21976773" y="7204364"/>
          <a:ext cx="3394364" cy="96115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Malka/Documents/rand%20finance/kitov/2013/working%20papers/18.3.14/&#1499;&#1497;&#1496;&#1493;&#1489;%20&#1508;&#1488;&#1512;&#1502;&#1492;%20&#1492;&#1495;&#1494;&#1511;&#1493;&#1514;%2012-13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C:/C:/D:/AMSDC1-NA-V518/AMSDC1-NA-V518/AMSDC1-NA-V518/AMSDC1-NA-V518/HOUIC-NA-V501/Nathan.Fink$/Cached/My%20Documents/STV/IUP/Final/Key%20Documents/Salamander%20Financial%20Model%20V2.7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Leah-pc/g/EXCELDAT/&#1488;&#1508;&#1497;&#1511;%20&#1492;&#1497;&#1512;&#1491;&#1503;/2007/12-07/&#1488;&#1508;&#1497;&#1511;%20&#1492;&#1497;&#1512;&#1491;&#1503;%20&#1488;&#1495;&#1494;&#1511;&#1493;&#1514;%2012-07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/mitiga/budget/2021/2021-07-01%20PnL-New-21-22-Workdoc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/mitiga/budget/2021/PnL-A-HighLevel-21-23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microsoft.com/office/2019/04/relationships/externalLinkLongPath" Target="/sites/ExternalFinance/Shared%20Documents/Mitiga%20Security%20Inc/NC%20Comp/Finance%20-%20Nimrod%20comp/Audit/2021/IL%20stat%20audit/FS/Mitiga%2031.12.2021%20Harkava%20V4%20-%20NC%20version%20for%20FS%20prep%20(includes%20top%20sides%20in%20ILS).xlsx?35FDD6C7" TargetMode="External"/><Relationship Id="rId1" Type="http://schemas.openxmlformats.org/officeDocument/2006/relationships/externalLinkPath" Target="file:///35FDD6C7/Mitiga%2031.12.2021%20Harkava%20V4%20-%20NC%20version%20for%20FS%20prep%20(includes%20top%20sides%20in%20ILS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שלמות"/>
      <sheetName val="קליטה"/>
      <sheetName val="פקודות נוספות"/>
      <sheetName val="מ.בוחן גולמי"/>
      <sheetName val="קודים"/>
      <sheetName val="מאזן"/>
      <sheetName val="גליון החישובים"/>
      <sheetName val="רווח והפסד"/>
      <sheetName val="באורים"/>
      <sheetName val="תזרים מזומנים"/>
      <sheetName val="הוצ מראש והוצ לשלם"/>
      <sheetName val="ריבית רעיונית הלוואות בעלים"/>
      <sheetName val="חישוב אופציות "/>
      <sheetName val="ריבית הלוואות בינחברתיות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/>
      <sheetData sheetId="1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Capex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קליטה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 (By Q)"/>
      <sheetName val="Monthly"/>
      <sheetName val="ByGroup"/>
      <sheetName val="Expenses"/>
      <sheetName val="Sales Forecast"/>
      <sheetName val="Resources (mm)"/>
      <sheetName val="Assumptions"/>
    </sheetNames>
    <sheetDataSet>
      <sheetData sheetId="0"/>
      <sheetData sheetId="1"/>
      <sheetData sheetId="2"/>
      <sheetData sheetId="3"/>
      <sheetData sheetId="4"/>
      <sheetData sheetId="5"/>
      <sheetData sheetId="6">
        <row r="11">
          <cell r="B11">
            <v>1.3</v>
          </cell>
        </row>
        <row r="12">
          <cell r="B12">
            <v>3.3</v>
          </cell>
        </row>
        <row r="13">
          <cell r="B13">
            <v>1.4</v>
          </cell>
        </row>
        <row r="14">
          <cell r="B14">
            <v>1.2</v>
          </cell>
        </row>
        <row r="15">
          <cell r="B15">
            <v>1.25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yGroup"/>
      <sheetName val="Resources (mm)"/>
      <sheetName val="Summary"/>
      <sheetName val="Expenses"/>
      <sheetName val="Assumptions"/>
    </sheetNames>
    <sheetDataSet>
      <sheetData sheetId="0"/>
      <sheetData sheetId="1"/>
      <sheetData sheetId="2"/>
      <sheetData sheetId="3"/>
      <sheetData sheetId="4">
        <row r="3">
          <cell r="B3">
            <v>1.3</v>
          </cell>
        </row>
        <row r="4">
          <cell r="B4">
            <v>3.3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ARKAVA "/>
      <sheetName val="intercompany"/>
      <sheetName val="budget"/>
      <sheetName val="BS"/>
      <sheetName val="PL"/>
      <sheetName val="CF"/>
      <sheetName val="details"/>
      <sheetName val="cash flows"/>
      <sheetName val="TB Mitiga LTD"/>
      <sheetName val="Adj Entries Ltd"/>
      <sheetName val="codes Ltd"/>
      <sheetName val="TB US"/>
      <sheetName val="Adj. entries US"/>
      <sheetName val="codes US"/>
      <sheetName val="TB UK"/>
      <sheetName val="codes UK"/>
      <sheetName val="Adj. Entries UK"/>
      <sheetName val="TB security"/>
      <sheetName val="Adj. Entries security"/>
      <sheetName val="codes security"/>
    </sheetNames>
    <definedNames>
      <definedName name="_xlnm.Print_Titles" sheetId="0"/>
    </definedNames>
    <sheetDataSet>
      <sheetData sheetId="0">
        <row r="4">
          <cell r="A4" t="str">
            <v>code</v>
          </cell>
        </row>
      </sheetData>
      <sheetData sheetId="1">
        <row r="1">
          <cell r="B1" t="str">
            <v>Security</v>
          </cell>
        </row>
      </sheetData>
      <sheetData sheetId="2">
        <row r="5">
          <cell r="B5" t="str">
            <v>Role/Function</v>
          </cell>
        </row>
      </sheetData>
      <sheetData sheetId="3">
        <row r="1">
          <cell r="B1" t="str">
            <v>Mitiga Security Inc</v>
          </cell>
        </row>
      </sheetData>
      <sheetData sheetId="4">
        <row r="1">
          <cell r="B1" t="str">
            <v>Mitiga Security Inc.</v>
          </cell>
        </row>
      </sheetData>
      <sheetData sheetId="5">
        <row r="1">
          <cell r="A1" t="str">
            <v>Mitiga Security Inc.</v>
          </cell>
        </row>
      </sheetData>
      <sheetData sheetId="6">
        <row r="1">
          <cell r="A1" t="str">
            <v>Other expenses - R&amp;D</v>
          </cell>
        </row>
      </sheetData>
      <sheetData sheetId="7">
        <row r="3">
          <cell r="B3">
            <v>44561</v>
          </cell>
        </row>
      </sheetData>
      <sheetData sheetId="8">
        <row r="1">
          <cell r="A1" t="str">
            <v>Code</v>
          </cell>
        </row>
        <row r="35">
          <cell r="D35">
            <v>11383.25</v>
          </cell>
          <cell r="E35">
            <v>35615.699999999997</v>
          </cell>
        </row>
      </sheetData>
      <sheetData sheetId="9">
        <row r="1">
          <cell r="A1" t="str">
            <v>Mitiga Security Inc.</v>
          </cell>
        </row>
      </sheetData>
      <sheetData sheetId="10">
        <row r="1">
          <cell r="A1" t="str">
            <v>חשבון</v>
          </cell>
        </row>
      </sheetData>
      <sheetData sheetId="11">
        <row r="1">
          <cell r="A1" t="str">
            <v>קוד</v>
          </cell>
        </row>
      </sheetData>
      <sheetData sheetId="12">
        <row r="3">
          <cell r="A3" t="str">
            <v>Ent. No</v>
          </cell>
        </row>
      </sheetData>
      <sheetData sheetId="13">
        <row r="1">
          <cell r="A1" t="str">
            <v>חשבון</v>
          </cell>
        </row>
      </sheetData>
      <sheetData sheetId="14">
        <row r="1">
          <cell r="A1" t="str">
            <v>code</v>
          </cell>
        </row>
      </sheetData>
      <sheetData sheetId="15">
        <row r="1">
          <cell r="A1" t="str">
            <v>חשבון</v>
          </cell>
        </row>
      </sheetData>
      <sheetData sheetId="16">
        <row r="3">
          <cell r="A3" t="str">
            <v>Ent. No</v>
          </cell>
        </row>
      </sheetData>
      <sheetData sheetId="17">
        <row r="1">
          <cell r="A1" t="str">
            <v>code</v>
          </cell>
        </row>
      </sheetData>
      <sheetData sheetId="18">
        <row r="3">
          <cell r="A3" t="str">
            <v>Ent. No</v>
          </cell>
        </row>
      </sheetData>
      <sheetData sheetId="19">
        <row r="1">
          <cell r="A1" t="str">
            <v>Acct #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גיליון1">
    <pageSetUpPr fitToPage="1"/>
  </sheetPr>
  <dimension ref="A1:BC125"/>
  <sheetViews>
    <sheetView zoomScale="85" zoomScaleNormal="85" zoomScaleSheetLayoutView="80" workbookViewId="0">
      <pane xSplit="2" ySplit="5" topLeftCell="C64" activePane="bottomRight" state="frozen"/>
      <selection pane="topRight" activeCell="H29" sqref="H29"/>
      <selection pane="bottomLeft" activeCell="H29" sqref="H29"/>
      <selection pane="bottomRight" activeCell="D34" sqref="D34"/>
    </sheetView>
  </sheetViews>
  <sheetFormatPr baseColWidth="10" defaultColWidth="8.85546875" defaultRowHeight="13" outlineLevelCol="1"/>
  <cols>
    <col min="1" max="1" width="6.140625" style="48" customWidth="1"/>
    <col min="2" max="2" width="29.85546875" style="81" customWidth="1"/>
    <col min="3" max="3" width="11.5703125" style="75" customWidth="1" outlineLevel="1"/>
    <col min="4" max="4" width="10.140625" style="75" customWidth="1" outlineLevel="1"/>
    <col min="5" max="5" width="13.42578125" style="75" customWidth="1" outlineLevel="1"/>
    <col min="6" max="6" width="12.140625" style="75" customWidth="1"/>
    <col min="7" max="7" width="1.5703125" style="77" customWidth="1"/>
    <col min="8" max="8" width="9.85546875" style="77" customWidth="1" outlineLevel="1"/>
    <col min="9" max="9" width="9" style="77" customWidth="1" outlineLevel="1"/>
    <col min="10" max="10" width="5.42578125" style="77" customWidth="1" outlineLevel="1"/>
    <col min="11" max="11" width="7.140625" style="77" customWidth="1"/>
    <col min="12" max="12" width="1.5703125" style="77" customWidth="1"/>
    <col min="13" max="13" width="8.85546875" style="77" customWidth="1" outlineLevel="1"/>
    <col min="14" max="14" width="8.42578125" style="77" customWidth="1" outlineLevel="1"/>
    <col min="15" max="15" width="6.85546875" style="77" customWidth="1" outlineLevel="1"/>
    <col min="16" max="16" width="11" style="77" customWidth="1"/>
    <col min="17" max="17" width="1.42578125" style="77" customWidth="1"/>
    <col min="18" max="20" width="11" style="77" customWidth="1" outlineLevel="1"/>
    <col min="21" max="21" width="11" style="77" customWidth="1"/>
    <col min="22" max="22" width="9.42578125" style="77" customWidth="1"/>
    <col min="23" max="23" width="1.5703125" style="77" customWidth="1"/>
    <col min="24" max="25" width="10.85546875" style="77" customWidth="1"/>
    <col min="26" max="26" width="4.140625" style="166" bestFit="1" customWidth="1"/>
    <col min="27" max="27" width="1.85546875" style="91" customWidth="1"/>
    <col min="28" max="28" width="11.42578125" style="77" customWidth="1"/>
    <col min="29" max="29" width="9.140625" style="77" customWidth="1"/>
    <col min="30" max="30" width="12.140625" style="75" customWidth="1" collapsed="1"/>
    <col min="31" max="31" width="1.5703125" style="77" customWidth="1"/>
    <col min="32" max="32" width="9.85546875" style="77" customWidth="1" outlineLevel="1"/>
    <col min="33" max="33" width="9" style="77" customWidth="1" outlineLevel="1"/>
    <col min="34" max="34" width="5.85546875" style="77" bestFit="1" customWidth="1" outlineLevel="1"/>
    <col min="35" max="35" width="7.140625" style="77" customWidth="1"/>
    <col min="36" max="36" width="1.5703125" style="77" customWidth="1"/>
    <col min="37" max="37" width="8.85546875" style="77" customWidth="1" outlineLevel="1"/>
    <col min="38" max="38" width="7.140625" style="77" customWidth="1" outlineLevel="1"/>
    <col min="39" max="39" width="6.85546875" style="77" customWidth="1" outlineLevel="1"/>
    <col min="40" max="40" width="11" style="77" customWidth="1"/>
    <col min="41" max="41" width="1.42578125" style="77" customWidth="1"/>
    <col min="42" max="44" width="11" style="77" customWidth="1" outlineLevel="1"/>
    <col min="45" max="45" width="11" style="77" customWidth="1"/>
    <col min="46" max="46" width="9.42578125" style="77" customWidth="1"/>
    <col min="47" max="47" width="1.5703125" style="77" customWidth="1"/>
    <col min="48" max="50" width="10.85546875" style="77" customWidth="1"/>
    <col min="51" max="53" width="8.85546875" style="77"/>
    <col min="54" max="54" width="10" style="77" hidden="1" customWidth="1"/>
    <col min="55" max="55" width="81.7109375" style="77" bestFit="1" customWidth="1"/>
    <col min="56" max="16384" width="8.85546875" style="77"/>
  </cols>
  <sheetData>
    <row r="1" spans="1:55">
      <c r="C1" s="82">
        <f>+C59+C28</f>
        <v>0</v>
      </c>
      <c r="D1" s="75">
        <f>D28+D59</f>
        <v>7789953.4293990182</v>
      </c>
      <c r="E1" s="75">
        <f>E28+E59</f>
        <v>7789953.4293990182</v>
      </c>
      <c r="F1" s="82">
        <f>F28+F59</f>
        <v>0</v>
      </c>
      <c r="H1" s="82">
        <f t="shared" ref="H1:K1" si="0">H28+H59</f>
        <v>0</v>
      </c>
      <c r="I1" s="82">
        <f t="shared" si="0"/>
        <v>61840</v>
      </c>
      <c r="J1" s="82">
        <f t="shared" si="0"/>
        <v>61840</v>
      </c>
      <c r="K1" s="82">
        <f t="shared" si="0"/>
        <v>0</v>
      </c>
      <c r="M1" s="75">
        <f>+M59+M28</f>
        <v>0</v>
      </c>
      <c r="N1" s="75">
        <f>+N59+N28</f>
        <v>1443366.2253914871</v>
      </c>
      <c r="O1" s="75">
        <f>+O59+O28</f>
        <v>1443366.2253914874</v>
      </c>
      <c r="P1" s="75">
        <f>+P59+P28</f>
        <v>0</v>
      </c>
      <c r="Q1" s="75"/>
      <c r="R1" s="75">
        <f t="shared" ref="R1:T1" si="1">+R59+R28</f>
        <v>0</v>
      </c>
      <c r="S1" s="75">
        <f t="shared" si="1"/>
        <v>2697288.7306019184</v>
      </c>
      <c r="T1" s="75">
        <f t="shared" si="1"/>
        <v>2697288.730601918</v>
      </c>
      <c r="U1" s="75">
        <f>+U59+U28</f>
        <v>0</v>
      </c>
      <c r="V1" s="75">
        <f>+V59+V28</f>
        <v>0</v>
      </c>
      <c r="W1" s="75"/>
      <c r="X1" s="75">
        <f>+X59+X28</f>
        <v>43788.719999997877</v>
      </c>
      <c r="Y1" s="75">
        <f>+Y59+Y28</f>
        <v>43788.719999998808</v>
      </c>
      <c r="AD1" s="82">
        <v>0</v>
      </c>
      <c r="AF1" s="82">
        <v>0</v>
      </c>
      <c r="AG1" s="82">
        <v>61840</v>
      </c>
      <c r="AH1" s="82">
        <v>61840</v>
      </c>
      <c r="AI1" s="82">
        <v>0</v>
      </c>
      <c r="AK1" s="75">
        <v>0</v>
      </c>
      <c r="AL1" s="75">
        <v>1332357.9550000001</v>
      </c>
      <c r="AM1" s="75">
        <v>1332357.9550000001</v>
      </c>
      <c r="AN1" s="75">
        <v>0</v>
      </c>
      <c r="AO1" s="75"/>
      <c r="AP1" s="75">
        <v>-9.9999979138374329E-3</v>
      </c>
      <c r="AQ1" s="75">
        <v>2744953.8175396826</v>
      </c>
      <c r="AR1" s="75">
        <v>2744953.8175396821</v>
      </c>
      <c r="AS1" s="75">
        <v>-9.9999979138374329E-3</v>
      </c>
      <c r="AT1" s="75">
        <v>-9.9999941885471344E-3</v>
      </c>
      <c r="AU1" s="75"/>
      <c r="AV1" s="75">
        <v>0.71999999845866114</v>
      </c>
      <c r="AW1" s="75">
        <v>0.71000000089406967</v>
      </c>
      <c r="AX1" s="75"/>
    </row>
    <row r="2" spans="1:55">
      <c r="F2" s="83">
        <f>B5</f>
        <v>44561</v>
      </c>
      <c r="P2" s="44"/>
      <c r="Q2" s="44"/>
      <c r="R2" s="44"/>
      <c r="S2" s="44"/>
      <c r="T2" s="44"/>
      <c r="U2" s="44"/>
      <c r="V2" s="44"/>
      <c r="AD2" s="83">
        <v>44561</v>
      </c>
      <c r="AN2" s="44"/>
      <c r="AO2" s="44"/>
      <c r="AP2" s="44"/>
      <c r="AQ2" s="44"/>
      <c r="AR2" s="44"/>
      <c r="AS2" s="44"/>
      <c r="AT2" s="44"/>
    </row>
    <row r="3" spans="1:55" ht="26.5" customHeight="1">
      <c r="C3" s="535" t="s">
        <v>0</v>
      </c>
      <c r="D3" s="535"/>
      <c r="E3" s="535"/>
      <c r="F3" s="535"/>
      <c r="G3" s="74"/>
      <c r="H3" s="535" t="s">
        <v>1</v>
      </c>
      <c r="I3" s="535"/>
      <c r="J3" s="535"/>
      <c r="K3" s="535"/>
      <c r="L3" s="74"/>
      <c r="M3" s="534" t="s">
        <v>2</v>
      </c>
      <c r="N3" s="534"/>
      <c r="O3" s="534"/>
      <c r="P3" s="534"/>
      <c r="Q3" s="377"/>
      <c r="R3" s="535" t="s">
        <v>3</v>
      </c>
      <c r="S3" s="535"/>
      <c r="T3" s="535"/>
      <c r="U3" s="535"/>
      <c r="V3" s="150"/>
      <c r="W3" s="150"/>
      <c r="Y3" s="84"/>
      <c r="AD3" s="77"/>
      <c r="AE3" s="74"/>
      <c r="AF3" s="535" t="s">
        <v>1</v>
      </c>
      <c r="AG3" s="535"/>
      <c r="AH3" s="535"/>
      <c r="AI3" s="535"/>
      <c r="AJ3" s="74"/>
      <c r="AK3" s="534" t="s">
        <v>2</v>
      </c>
      <c r="AL3" s="534"/>
      <c r="AM3" s="534"/>
      <c r="AN3" s="534"/>
      <c r="AO3" s="377"/>
      <c r="AP3" s="535" t="s">
        <v>3</v>
      </c>
      <c r="AQ3" s="535"/>
      <c r="AR3" s="535"/>
      <c r="AS3" s="535"/>
      <c r="AT3" s="150"/>
      <c r="AU3" s="150"/>
      <c r="AW3" s="84"/>
      <c r="AX3" s="525"/>
    </row>
    <row r="4" spans="1:55" s="74" customFormat="1" ht="33.75" customHeight="1">
      <c r="A4" s="57" t="s">
        <v>4</v>
      </c>
      <c r="B4" s="101" t="s">
        <v>3</v>
      </c>
      <c r="C4" s="377" t="s">
        <v>5</v>
      </c>
      <c r="D4" s="534" t="s">
        <v>6</v>
      </c>
      <c r="E4" s="534"/>
      <c r="F4" s="19" t="s">
        <v>7</v>
      </c>
      <c r="H4" s="377" t="s">
        <v>5</v>
      </c>
      <c r="I4" s="534" t="s">
        <v>6</v>
      </c>
      <c r="J4" s="534"/>
      <c r="K4" s="19" t="s">
        <v>7</v>
      </c>
      <c r="M4" s="377" t="s">
        <v>5</v>
      </c>
      <c r="N4" s="534" t="s">
        <v>6</v>
      </c>
      <c r="O4" s="534"/>
      <c r="P4" s="19" t="s">
        <v>7</v>
      </c>
      <c r="Q4" s="19"/>
      <c r="R4" s="377" t="s">
        <v>5</v>
      </c>
      <c r="S4" s="534" t="s">
        <v>6</v>
      </c>
      <c r="T4" s="534"/>
      <c r="U4" s="19" t="s">
        <v>7</v>
      </c>
      <c r="V4" s="19" t="s">
        <v>8</v>
      </c>
      <c r="W4" s="19"/>
      <c r="X4" s="19" t="s">
        <v>9</v>
      </c>
      <c r="Y4" s="19" t="s">
        <v>10</v>
      </c>
      <c r="Z4" s="167"/>
      <c r="AA4" s="118"/>
      <c r="AC4" s="77"/>
      <c r="AD4" s="19" t="s">
        <v>7</v>
      </c>
      <c r="AF4" s="377" t="s">
        <v>5</v>
      </c>
      <c r="AG4" s="534" t="s">
        <v>6</v>
      </c>
      <c r="AH4" s="534"/>
      <c r="AI4" s="19" t="s">
        <v>7</v>
      </c>
      <c r="AK4" s="377" t="s">
        <v>5</v>
      </c>
      <c r="AL4" s="534" t="s">
        <v>6</v>
      </c>
      <c r="AM4" s="534"/>
      <c r="AN4" s="19" t="s">
        <v>7</v>
      </c>
      <c r="AO4" s="19"/>
      <c r="AP4" s="377" t="s">
        <v>5</v>
      </c>
      <c r="AQ4" s="534" t="s">
        <v>6</v>
      </c>
      <c r="AR4" s="534"/>
      <c r="AS4" s="19" t="s">
        <v>7</v>
      </c>
      <c r="AT4" s="19" t="s">
        <v>8</v>
      </c>
      <c r="AU4" s="19"/>
      <c r="AV4" s="19" t="s">
        <v>9</v>
      </c>
      <c r="AW4" s="19" t="s">
        <v>10</v>
      </c>
      <c r="AX4" s="526"/>
      <c r="AY4" s="74" t="s">
        <v>11</v>
      </c>
      <c r="AZ4" s="74" t="s">
        <v>12</v>
      </c>
      <c r="BA4" s="74" t="s">
        <v>13</v>
      </c>
      <c r="BB4" s="19" t="s">
        <v>9</v>
      </c>
      <c r="BC4" s="74" t="s">
        <v>14</v>
      </c>
    </row>
    <row r="5" spans="1:55" s="104" customFormat="1">
      <c r="A5" s="102"/>
      <c r="B5" s="103">
        <v>44561</v>
      </c>
      <c r="C5" s="43" t="s">
        <v>15</v>
      </c>
      <c r="D5" s="43" t="s">
        <v>16</v>
      </c>
      <c r="E5" s="43" t="s">
        <v>17</v>
      </c>
      <c r="F5" s="43" t="s">
        <v>15</v>
      </c>
      <c r="M5" s="43"/>
      <c r="N5" s="43"/>
      <c r="O5" s="43"/>
      <c r="P5" s="43" t="s">
        <v>15</v>
      </c>
      <c r="Q5" s="43"/>
      <c r="R5" s="43"/>
      <c r="S5" s="43"/>
      <c r="T5" s="43"/>
      <c r="U5" s="43" t="s">
        <v>15</v>
      </c>
      <c r="V5" s="43" t="s">
        <v>15</v>
      </c>
      <c r="X5" s="43" t="s">
        <v>15</v>
      </c>
      <c r="Y5" s="43" t="s">
        <v>15</v>
      </c>
      <c r="Z5" s="168"/>
      <c r="AA5" s="119"/>
      <c r="AD5" s="43" t="s">
        <v>15</v>
      </c>
      <c r="AK5" s="43"/>
      <c r="AL5" s="43"/>
      <c r="AM5" s="43"/>
      <c r="AN5" s="43" t="s">
        <v>15</v>
      </c>
      <c r="AO5" s="43"/>
      <c r="AP5" s="43"/>
      <c r="AQ5" s="43"/>
      <c r="AR5" s="43"/>
      <c r="AS5" s="43" t="s">
        <v>15</v>
      </c>
      <c r="AT5" s="43" t="s">
        <v>15</v>
      </c>
      <c r="AV5" s="43" t="s">
        <v>15</v>
      </c>
      <c r="AW5" s="43" t="s">
        <v>15</v>
      </c>
      <c r="AX5" s="43"/>
    </row>
    <row r="6" spans="1:55">
      <c r="A6" s="48">
        <v>1100</v>
      </c>
      <c r="B6" s="85" t="s">
        <v>18</v>
      </c>
      <c r="C6" s="369">
        <f>SUMIF('TB Mitiga LTD'!A:A,'HARKAVA '!A6,'TB Mitiga LTD'!D:D)</f>
        <v>919260.82</v>
      </c>
      <c r="D6" s="369">
        <f>SUMIF('Adj Entries Ltd'!$B$4:$B$954,A6,'Adj Entries Ltd'!$D$4:$D$954)</f>
        <v>3000000</v>
      </c>
      <c r="E6" s="75">
        <f>SUMIF('Adj Entries Ltd'!$B$4:$B$954,A6,'Adj Entries Ltd'!$E$4:$E$954)</f>
        <v>0</v>
      </c>
      <c r="F6" s="369">
        <f>(+C6+D6-E6)</f>
        <v>3919260.82</v>
      </c>
      <c r="H6" s="77">
        <f>SUMIF('TB US'!A:A,'HARKAVA '!A6,'TB US'!D:D)</f>
        <v>0</v>
      </c>
      <c r="I6" s="77">
        <f>SUMIF('Adj. entries US'!B:B,'HARKAVA '!A6,'Adj. entries US'!D:D)</f>
        <v>0</v>
      </c>
      <c r="J6" s="77">
        <f>SUMIF('Adj. entries US'!B:B,'HARKAVA '!A6,'Adj. entries US'!E:E)</f>
        <v>0</v>
      </c>
      <c r="K6" s="75">
        <f>H6+I6-J6</f>
        <v>0</v>
      </c>
      <c r="M6" s="75">
        <f>SUMIF('TB UK'!A:A,'HARKAVA '!A6,'TB UK'!E:E)</f>
        <v>0</v>
      </c>
      <c r="N6" s="75">
        <f>SUMIF('Adj. Entries UK'!B:B,'HARKAVA '!A6,'Adj. Entries UK'!D:D)</f>
        <v>0</v>
      </c>
      <c r="O6" s="75">
        <f>SUMIF('Adj. Entries UK'!B:B,'HARKAVA '!A6,'Adj. Entries UK'!E:E)</f>
        <v>0</v>
      </c>
      <c r="P6" s="75">
        <f>M6+N6-O6</f>
        <v>0</v>
      </c>
      <c r="Q6" s="75"/>
      <c r="R6" s="369">
        <f>SUMIF('TB security'!A:A,'HARKAVA '!A6,'TB security'!D:D)</f>
        <v>14375507.279999999</v>
      </c>
      <c r="S6" s="75">
        <f>SUMIF('Adj. Entries security'!B:B,'HARKAVA '!A6,'Adj. Entries security'!D:D)</f>
        <v>0</v>
      </c>
      <c r="T6" s="75">
        <f>SUMIF('Adj. Entries security'!B:B,'HARKAVA '!A6,'Adj. Entries security'!E:E)</f>
        <v>0</v>
      </c>
      <c r="U6" s="369">
        <f>R6+S6-T6</f>
        <v>14375507.279999999</v>
      </c>
      <c r="V6" s="75">
        <f>P6+F6+U6+K6</f>
        <v>18294768.099999998</v>
      </c>
      <c r="Y6" s="77">
        <f t="shared" ref="Y6:Y27" si="2">V6+X6</f>
        <v>18294768.099999998</v>
      </c>
      <c r="Z6" s="166" t="str">
        <f>LEFT(A6,2)</f>
        <v>11</v>
      </c>
      <c r="AD6" s="369">
        <v>3919260.82</v>
      </c>
      <c r="AF6" s="77">
        <v>0</v>
      </c>
      <c r="AG6" s="77">
        <v>0</v>
      </c>
      <c r="AH6" s="77">
        <v>0</v>
      </c>
      <c r="AI6" s="75">
        <v>0</v>
      </c>
      <c r="AK6" s="75">
        <v>0</v>
      </c>
      <c r="AL6" s="75">
        <v>0</v>
      </c>
      <c r="AM6" s="75">
        <v>0</v>
      </c>
      <c r="AN6" s="75">
        <v>0</v>
      </c>
      <c r="AO6" s="75"/>
      <c r="AP6" s="369">
        <v>14375507.279999999</v>
      </c>
      <c r="AQ6" s="75">
        <v>0</v>
      </c>
      <c r="AR6" s="75">
        <v>0</v>
      </c>
      <c r="AS6" s="369">
        <v>14375507.279999999</v>
      </c>
      <c r="AT6" s="75">
        <v>18294768.099999998</v>
      </c>
      <c r="AW6" s="77">
        <v>18294768.099999998</v>
      </c>
      <c r="AY6" s="77">
        <f>F6-AD6</f>
        <v>0</v>
      </c>
      <c r="AZ6" s="77">
        <f>P6-AN6</f>
        <v>0</v>
      </c>
      <c r="BA6" s="77">
        <f>U6-AS6</f>
        <v>0</v>
      </c>
      <c r="BB6" s="77">
        <f>X6-AV6</f>
        <v>0</v>
      </c>
    </row>
    <row r="7" spans="1:55" ht="16">
      <c r="A7" s="48">
        <v>1110</v>
      </c>
      <c r="B7" s="85" t="s">
        <v>19</v>
      </c>
      <c r="C7" s="369">
        <f>SUMIF('TB Mitiga LTD'!A:A,'HARKAVA '!A7,'TB Mitiga LTD'!D:D)</f>
        <v>84442.69</v>
      </c>
      <c r="D7" s="75">
        <f>SUMIF('Adj Entries Ltd'!$B$4:$B$954,A7,'Adj Entries Ltd'!$D$4:$D$954)</f>
        <v>0</v>
      </c>
      <c r="E7" s="75">
        <f>SUMIF('Adj Entries Ltd'!$B$4:$B$954,A7,'Adj Entries Ltd'!$E$4:$E$954)</f>
        <v>0</v>
      </c>
      <c r="F7" s="369">
        <f t="shared" ref="F7:F27" si="3">(+C7+D7-E7)</f>
        <v>84442.69</v>
      </c>
      <c r="H7" s="77">
        <f>SUMIF('TB US'!A:A,'HARKAVA '!A7,'TB US'!D:D)</f>
        <v>0</v>
      </c>
      <c r="I7" s="77">
        <f>SUMIF('Adj. entries US'!B:B,'HARKAVA '!A7,'Adj. entries US'!D:D)</f>
        <v>0</v>
      </c>
      <c r="J7" s="77">
        <f>SUMIF('Adj. entries US'!B:B,'HARKAVA '!A7,'Adj. entries US'!E:E)</f>
        <v>0</v>
      </c>
      <c r="K7" s="75">
        <f t="shared" ref="K7:K27" si="4">H7+I7-J7</f>
        <v>0</v>
      </c>
      <c r="M7" s="369">
        <f>SUMIF('TB UK'!A:A,'HARKAVA '!A7,'TB UK'!E:E)</f>
        <v>514660.89</v>
      </c>
      <c r="N7" s="75">
        <f>SUMIF('Adj. Entries UK'!B:B,'HARKAVA '!A7,'Adj. Entries UK'!D:D)</f>
        <v>0</v>
      </c>
      <c r="O7" s="75">
        <f>SUMIF('Adj. Entries UK'!B:B,'HARKAVA '!A7,'Adj. Entries UK'!E:E)</f>
        <v>0</v>
      </c>
      <c r="P7" s="369">
        <f t="shared" ref="P7:P27" si="5">M7+N7-O7</f>
        <v>514660.89</v>
      </c>
      <c r="Q7" s="75"/>
      <c r="R7" s="75">
        <f>SUMIF('TB security'!A:A,'HARKAVA '!A7,'TB security'!D:D)</f>
        <v>0</v>
      </c>
      <c r="S7" s="75">
        <f>SUMIF('Adj. Entries security'!B:B,'HARKAVA '!A7,'Adj. Entries security'!D:D)</f>
        <v>0</v>
      </c>
      <c r="T7" s="75">
        <f>SUMIF('Adj. Entries security'!B:B,'HARKAVA '!A7,'Adj. Entries security'!E:E)</f>
        <v>0</v>
      </c>
      <c r="U7" s="75">
        <f t="shared" ref="U7:U27" si="6">R7+S7-T7</f>
        <v>0</v>
      </c>
      <c r="V7" s="75">
        <f t="shared" ref="V7:V27" si="7">P7+F7+U7+K7</f>
        <v>599103.58000000007</v>
      </c>
      <c r="Y7" s="77">
        <f t="shared" si="2"/>
        <v>599103.58000000007</v>
      </c>
      <c r="Z7" s="166" t="str">
        <f>LEFT(A7,2)</f>
        <v>11</v>
      </c>
      <c r="AC7" s="149"/>
      <c r="AD7" s="369">
        <v>84442.69</v>
      </c>
      <c r="AF7" s="77">
        <v>0</v>
      </c>
      <c r="AG7" s="77">
        <v>0</v>
      </c>
      <c r="AH7" s="77">
        <v>0</v>
      </c>
      <c r="AI7" s="75">
        <v>0</v>
      </c>
      <c r="AK7" s="369">
        <v>514660.89</v>
      </c>
      <c r="AL7" s="75">
        <v>0</v>
      </c>
      <c r="AM7" s="75">
        <v>0</v>
      </c>
      <c r="AN7" s="369">
        <v>514660.89</v>
      </c>
      <c r="AO7" s="75"/>
      <c r="AP7" s="75">
        <v>0</v>
      </c>
      <c r="AQ7" s="75">
        <v>0</v>
      </c>
      <c r="AR7" s="75">
        <v>0</v>
      </c>
      <c r="AS7" s="75">
        <v>0</v>
      </c>
      <c r="AT7" s="75">
        <v>599103.58000000007</v>
      </c>
      <c r="AW7" s="77">
        <v>599103.58000000007</v>
      </c>
      <c r="AX7"/>
      <c r="AY7" s="77">
        <f t="shared" ref="AY7:AY70" si="8">F7-AD7</f>
        <v>0</v>
      </c>
      <c r="AZ7" s="77">
        <f t="shared" ref="AZ7:AZ70" si="9">P7-AN7</f>
        <v>0</v>
      </c>
      <c r="BA7" s="77">
        <f t="shared" ref="BA7:BA70" si="10">U7-AS7</f>
        <v>0</v>
      </c>
      <c r="BB7" s="77">
        <f t="shared" ref="BB7:BB70" si="11">X7-AV7</f>
        <v>0</v>
      </c>
    </row>
    <row r="8" spans="1:55" ht="16">
      <c r="A8" s="48">
        <v>1300</v>
      </c>
      <c r="B8" s="81" t="s">
        <v>20</v>
      </c>
      <c r="C8" s="369">
        <f>SUMIF('TB Mitiga LTD'!A:A,'HARKAVA '!A8,'TB Mitiga LTD'!D:D)</f>
        <v>347835.82</v>
      </c>
      <c r="D8" s="75">
        <f>SUMIF('Adj Entries Ltd'!$B$4:$B$954,A8,'Adj Entries Ltd'!$D$4:$D$954)</f>
        <v>0</v>
      </c>
      <c r="E8" s="75">
        <f>SUMIF('Adj Entries Ltd'!$B$4:$B$954,A8,'Adj Entries Ltd'!$E$4:$E$954)</f>
        <v>0</v>
      </c>
      <c r="F8" s="369">
        <f t="shared" si="3"/>
        <v>347835.82</v>
      </c>
      <c r="H8" s="77">
        <f>SUMIF('TB US'!A:A,'HARKAVA '!A8,'TB US'!D:D)</f>
        <v>0</v>
      </c>
      <c r="I8" s="77">
        <f>SUMIF('Adj. entries US'!B:B,'HARKAVA '!A8,'Adj. entries US'!D:D)</f>
        <v>0</v>
      </c>
      <c r="J8" s="77">
        <f>SUMIF('Adj. entries US'!B:B,'HARKAVA '!A8,'Adj. entries US'!E:E)</f>
        <v>0</v>
      </c>
      <c r="K8" s="75">
        <f t="shared" si="4"/>
        <v>0</v>
      </c>
      <c r="M8" s="369">
        <f>SUMIF('TB UK'!A:A,'HARKAVA '!A8,'TB UK'!E:E)</f>
        <v>20272.189999999999</v>
      </c>
      <c r="N8" s="75">
        <f>SUMIF('Adj. Entries UK'!B:B,'HARKAVA '!A8,'Adj. Entries UK'!D:D)</f>
        <v>0</v>
      </c>
      <c r="O8" s="75">
        <f>SUMIF('Adj. Entries UK'!B:B,'HARKAVA '!A8,'Adj. Entries UK'!E:E)</f>
        <v>0</v>
      </c>
      <c r="P8" s="369">
        <f t="shared" si="5"/>
        <v>20272.189999999999</v>
      </c>
      <c r="Q8" s="75"/>
      <c r="R8" s="369">
        <f>SUMIF('TB security'!A:A,'HARKAVA '!A8,'TB security'!D:D)</f>
        <v>40000</v>
      </c>
      <c r="S8" s="75">
        <f>SUMIF('Adj. Entries security'!B:B,'HARKAVA '!A8,'Adj. Entries security'!D:D)</f>
        <v>0</v>
      </c>
      <c r="T8" s="75">
        <f>SUMIF('Adj. Entries security'!B:B,'HARKAVA '!A8,'Adj. Entries security'!E:E)</f>
        <v>0</v>
      </c>
      <c r="U8" s="369">
        <f t="shared" si="6"/>
        <v>40000</v>
      </c>
      <c r="V8" s="75">
        <f t="shared" si="7"/>
        <v>408108.01</v>
      </c>
      <c r="Y8" s="77">
        <f t="shared" si="2"/>
        <v>408108.01</v>
      </c>
      <c r="Z8" s="166" t="str">
        <f>LEFT(A8,2)</f>
        <v>13</v>
      </c>
      <c r="AD8" s="369">
        <v>347835.82</v>
      </c>
      <c r="AF8" s="77">
        <v>0</v>
      </c>
      <c r="AG8" s="77">
        <v>0</v>
      </c>
      <c r="AH8" s="77">
        <v>0</v>
      </c>
      <c r="AI8" s="75">
        <v>0</v>
      </c>
      <c r="AK8" s="369">
        <v>20272.189999999999</v>
      </c>
      <c r="AL8" s="75">
        <v>0</v>
      </c>
      <c r="AM8" s="75">
        <v>0</v>
      </c>
      <c r="AN8" s="369">
        <v>20272.189999999999</v>
      </c>
      <c r="AO8" s="75"/>
      <c r="AP8" s="369">
        <v>40000</v>
      </c>
      <c r="AQ8" s="75">
        <v>0</v>
      </c>
      <c r="AR8" s="75">
        <v>0</v>
      </c>
      <c r="AS8" s="369">
        <v>40000</v>
      </c>
      <c r="AT8" s="75">
        <v>408108.01</v>
      </c>
      <c r="AW8" s="77">
        <v>408108.01</v>
      </c>
      <c r="AX8"/>
      <c r="AY8" s="77">
        <f t="shared" si="8"/>
        <v>0</v>
      </c>
      <c r="AZ8" s="77">
        <f t="shared" si="9"/>
        <v>0</v>
      </c>
      <c r="BA8" s="77">
        <f t="shared" si="10"/>
        <v>0</v>
      </c>
      <c r="BB8" s="77">
        <f t="shared" si="11"/>
        <v>0</v>
      </c>
    </row>
    <row r="9" spans="1:55" ht="16">
      <c r="A9" s="48">
        <v>1400</v>
      </c>
      <c r="B9" s="81" t="s">
        <v>21</v>
      </c>
      <c r="C9" s="369">
        <f>SUMIF('TB Mitiga LTD'!A:A,'HARKAVA '!A9,'TB Mitiga LTD'!D:D)</f>
        <v>197867.53</v>
      </c>
      <c r="D9" s="75">
        <f>SUMIF('Adj Entries Ltd'!$B$4:$B$954,A9,'Adj Entries Ltd'!$D$4:$D$954)</f>
        <v>0</v>
      </c>
      <c r="E9" s="75">
        <f>SUMIF('Adj Entries Ltd'!$B$4:$B$954,A9,'Adj Entries Ltd'!$E$4:$E$954)</f>
        <v>0</v>
      </c>
      <c r="F9" s="369">
        <f t="shared" si="3"/>
        <v>197867.53</v>
      </c>
      <c r="H9" s="77">
        <f>SUMIF('TB US'!A:A,'HARKAVA '!A9,'TB US'!D:D)</f>
        <v>0</v>
      </c>
      <c r="I9" s="77">
        <f>SUMIF('Adj. entries US'!B:B,'HARKAVA '!A9,'Adj. entries US'!D:D)</f>
        <v>0</v>
      </c>
      <c r="J9" s="77">
        <f>SUMIF('Adj. entries US'!B:B,'HARKAVA '!A9,'Adj. entries US'!E:E)</f>
        <v>0</v>
      </c>
      <c r="K9" s="75">
        <f t="shared" si="4"/>
        <v>0</v>
      </c>
      <c r="M9" s="369">
        <f>SUMIF('TB UK'!A:A,'HARKAVA '!A9,'TB UK'!E:E)</f>
        <v>119038.28</v>
      </c>
      <c r="N9" s="75">
        <f>SUMIF('Adj. Entries UK'!B:B,'HARKAVA '!A9,'Adj. Entries UK'!D:D)</f>
        <v>0</v>
      </c>
      <c r="O9" s="75">
        <f>SUMIF('Adj. Entries UK'!B:B,'HARKAVA '!A9,'Adj. Entries UK'!E:E)</f>
        <v>0</v>
      </c>
      <c r="P9" s="369">
        <f t="shared" si="5"/>
        <v>119038.28</v>
      </c>
      <c r="Q9" s="75"/>
      <c r="R9" s="369">
        <f>SUMIF('TB security'!A:A,'HARKAVA '!A9,'TB security'!D:D)</f>
        <v>270540</v>
      </c>
      <c r="S9" s="75">
        <f>SUMIF('Adj. Entries security'!B:B,'HARKAVA '!A9,'Adj. Entries security'!D:D)</f>
        <v>0</v>
      </c>
      <c r="T9" s="75">
        <f>SUMIF('Adj. Entries security'!B:B,'HARKAVA '!A9,'Adj. Entries security'!E:E)</f>
        <v>0</v>
      </c>
      <c r="U9" s="369">
        <f t="shared" si="6"/>
        <v>270540</v>
      </c>
      <c r="V9" s="75">
        <f t="shared" si="7"/>
        <v>587445.81000000006</v>
      </c>
      <c r="Y9" s="77">
        <f t="shared" si="2"/>
        <v>587445.81000000006</v>
      </c>
      <c r="Z9" s="166" t="str">
        <f>LEFT(A9,2)</f>
        <v>14</v>
      </c>
      <c r="AD9" s="369">
        <v>197867.53</v>
      </c>
      <c r="AF9" s="77">
        <v>0</v>
      </c>
      <c r="AG9" s="77">
        <v>0</v>
      </c>
      <c r="AH9" s="77">
        <v>0</v>
      </c>
      <c r="AI9" s="75">
        <v>0</v>
      </c>
      <c r="AK9" s="369">
        <v>119038.28</v>
      </c>
      <c r="AL9" s="75">
        <v>0</v>
      </c>
      <c r="AM9" s="75">
        <v>0</v>
      </c>
      <c r="AN9" s="369">
        <v>119038.28</v>
      </c>
      <c r="AO9" s="75"/>
      <c r="AP9" s="369">
        <v>270540</v>
      </c>
      <c r="AQ9" s="75">
        <v>0</v>
      </c>
      <c r="AR9" s="75">
        <v>0</v>
      </c>
      <c r="AS9" s="369">
        <v>270540</v>
      </c>
      <c r="AT9" s="75">
        <v>587445.81000000006</v>
      </c>
      <c r="AV9" s="518">
        <v>372917</v>
      </c>
      <c r="AW9" s="77">
        <v>960362.81</v>
      </c>
      <c r="AX9"/>
      <c r="AY9" s="77">
        <f t="shared" si="8"/>
        <v>0</v>
      </c>
      <c r="AZ9" s="77">
        <f t="shared" si="9"/>
        <v>0</v>
      </c>
      <c r="BA9" s="77">
        <f t="shared" si="10"/>
        <v>0</v>
      </c>
      <c r="BB9" s="77">
        <f t="shared" si="11"/>
        <v>-372917</v>
      </c>
    </row>
    <row r="10" spans="1:55" ht="16">
      <c r="A10" s="48">
        <v>1450</v>
      </c>
      <c r="B10" s="81" t="s">
        <v>22</v>
      </c>
      <c r="C10" s="369">
        <f>SUMIF('TB Mitiga LTD'!A:A,'HARKAVA '!A10,'TB Mitiga LTD'!D:D)</f>
        <v>39750</v>
      </c>
      <c r="D10" s="75">
        <f>SUMIF('Adj Entries Ltd'!$B$4:$B$954,A10,'Adj Entries Ltd'!$D$4:$D$954)</f>
        <v>0</v>
      </c>
      <c r="E10" s="75">
        <f>SUMIF('Adj Entries Ltd'!$B$4:$B$954,A10,'Adj Entries Ltd'!$E$4:$E$954)</f>
        <v>0</v>
      </c>
      <c r="F10" s="369">
        <f t="shared" si="3"/>
        <v>39750</v>
      </c>
      <c r="H10" s="77">
        <f>SUMIF('TB US'!A:A,'HARKAVA '!A10,'TB US'!D:D)</f>
        <v>0</v>
      </c>
      <c r="I10" s="77">
        <f>SUMIF('Adj. entries US'!B:B,'HARKAVA '!A10,'Adj. entries US'!D:D)</f>
        <v>0</v>
      </c>
      <c r="J10" s="77">
        <f>SUMIF('Adj. entries US'!B:B,'HARKAVA '!A10,'Adj. entries US'!E:E)</f>
        <v>0</v>
      </c>
      <c r="K10" s="75">
        <f t="shared" si="4"/>
        <v>0</v>
      </c>
      <c r="M10" s="75">
        <f>SUMIF('TB UK'!A:A,'HARKAVA '!A10,'TB UK'!E:E)</f>
        <v>0</v>
      </c>
      <c r="N10" s="75">
        <f>SUMIF('Adj. Entries UK'!B:B,'HARKAVA '!A10,'Adj. Entries UK'!D:D)</f>
        <v>0</v>
      </c>
      <c r="O10" s="75">
        <f>SUMIF('Adj. Entries UK'!B:B,'HARKAVA '!A10,'Adj. Entries UK'!E:E)</f>
        <v>0</v>
      </c>
      <c r="P10" s="75">
        <f t="shared" si="5"/>
        <v>0</v>
      </c>
      <c r="Q10" s="75"/>
      <c r="R10" s="369">
        <f>SUMIF('TB security'!A:A,'HARKAVA '!A10,'TB security'!D:D)</f>
        <v>117959</v>
      </c>
      <c r="S10" s="75">
        <f>SUMIF('Adj. Entries security'!B:B,'HARKAVA '!A10,'Adj. Entries security'!D:D)</f>
        <v>0</v>
      </c>
      <c r="T10" s="75">
        <f>SUMIF('Adj. Entries security'!B:B,'HARKAVA '!A10,'Adj. Entries security'!E:E)</f>
        <v>0</v>
      </c>
      <c r="U10" s="369">
        <f t="shared" si="6"/>
        <v>117959</v>
      </c>
      <c r="V10" s="75">
        <f t="shared" si="7"/>
        <v>157709</v>
      </c>
      <c r="Y10" s="77">
        <f t="shared" si="2"/>
        <v>157709</v>
      </c>
      <c r="Z10" s="166" t="str">
        <f>LEFT(A10,2)</f>
        <v>14</v>
      </c>
      <c r="AD10" s="369">
        <v>110000</v>
      </c>
      <c r="AF10" s="77">
        <v>0</v>
      </c>
      <c r="AG10" s="77">
        <v>0</v>
      </c>
      <c r="AH10" s="77">
        <v>0</v>
      </c>
      <c r="AI10" s="75">
        <v>0</v>
      </c>
      <c r="AK10" s="75">
        <v>0</v>
      </c>
      <c r="AL10" s="75">
        <v>0</v>
      </c>
      <c r="AM10" s="75">
        <v>0</v>
      </c>
      <c r="AN10" s="75">
        <v>0</v>
      </c>
      <c r="AO10" s="75"/>
      <c r="AP10" s="369">
        <v>47709</v>
      </c>
      <c r="AQ10" s="75">
        <v>0</v>
      </c>
      <c r="AR10" s="75">
        <v>0</v>
      </c>
      <c r="AS10" s="369">
        <v>47709</v>
      </c>
      <c r="AT10" s="75">
        <v>157709</v>
      </c>
      <c r="AW10" s="77">
        <v>157709</v>
      </c>
      <c r="AX10"/>
      <c r="AY10" s="463">
        <f t="shared" si="8"/>
        <v>-70250</v>
      </c>
      <c r="AZ10" s="77">
        <f t="shared" si="9"/>
        <v>0</v>
      </c>
      <c r="BA10" s="463">
        <f t="shared" si="10"/>
        <v>70250</v>
      </c>
      <c r="BB10" s="77">
        <f t="shared" si="11"/>
        <v>0</v>
      </c>
      <c r="BC10" s="77" t="s">
        <v>23</v>
      </c>
    </row>
    <row r="11" spans="1:55" ht="16">
      <c r="A11" s="48">
        <v>1500</v>
      </c>
      <c r="B11" s="81" t="s">
        <v>24</v>
      </c>
      <c r="C11" s="369">
        <f>SUMIF('TB Mitiga LTD'!A:A,'HARKAVA '!A11,'TB Mitiga LTD'!D:D)</f>
        <v>958184.2699999999</v>
      </c>
      <c r="D11" s="75">
        <f>SUMIF('Adj Entries Ltd'!$B$4:$B$954,A11,'Adj Entries Ltd'!$D$4:$D$954)</f>
        <v>0</v>
      </c>
      <c r="E11" s="75">
        <f>SUMIF('Adj Entries Ltd'!$B$4:$B$954,A11,'Adj Entries Ltd'!$E$4:$E$954)</f>
        <v>0</v>
      </c>
      <c r="F11" s="369">
        <f t="shared" si="3"/>
        <v>958184.2699999999</v>
      </c>
      <c r="H11" s="463">
        <f>SUMIF('TB US'!A:A,'HARKAVA '!A11,'TB US'!D:D)</f>
        <v>67042.28</v>
      </c>
      <c r="I11" s="77">
        <f>SUMIF('Adj. entries US'!B:B,'HARKAVA '!A11,'Adj. entries US'!D:D)</f>
        <v>0</v>
      </c>
      <c r="J11" s="77">
        <f>SUMIF('Adj. entries US'!B:B,'HARKAVA '!A11,'Adj. entries US'!E:E)</f>
        <v>0</v>
      </c>
      <c r="K11" s="369">
        <f t="shared" si="4"/>
        <v>67042.28</v>
      </c>
      <c r="M11" s="75">
        <f>SUMIF('TB UK'!A:A,'HARKAVA '!A11,'TB UK'!E:E)</f>
        <v>0</v>
      </c>
      <c r="N11" s="75">
        <f>SUMIF('Adj. Entries UK'!B:B,'HARKAVA '!A11,'Adj. Entries UK'!D:D)</f>
        <v>0</v>
      </c>
      <c r="O11" s="75">
        <f>SUMIF('Adj. Entries UK'!B:B,'HARKAVA '!A11,'Adj. Entries UK'!E:E)</f>
        <v>0</v>
      </c>
      <c r="P11" s="75">
        <f t="shared" si="5"/>
        <v>0</v>
      </c>
      <c r="Q11" s="75"/>
      <c r="R11" s="369">
        <f>SUMIF('TB security'!A:A,'HARKAVA '!A11,'TB security'!D:D)</f>
        <v>16350</v>
      </c>
      <c r="S11" s="75">
        <f>SUMIF('Adj. Entries security'!B:B,'HARKAVA '!A11,'Adj. Entries security'!D:D)</f>
        <v>0</v>
      </c>
      <c r="T11" s="75">
        <f>SUMIF('Adj. Entries security'!B:B,'HARKAVA '!A11,'Adj. Entries security'!E:E)</f>
        <v>0</v>
      </c>
      <c r="U11" s="369">
        <f t="shared" si="6"/>
        <v>16350</v>
      </c>
      <c r="V11" s="75">
        <f t="shared" si="7"/>
        <v>1041576.5499999999</v>
      </c>
      <c r="X11" s="77">
        <f>-V11+16350+4721</f>
        <v>-1020505.5499999999</v>
      </c>
      <c r="Y11" s="474">
        <f t="shared" si="2"/>
        <v>21071</v>
      </c>
      <c r="Z11" s="166">
        <v>16</v>
      </c>
      <c r="AD11" s="369">
        <v>958184.2699999999</v>
      </c>
      <c r="AF11" s="463">
        <v>67042.28</v>
      </c>
      <c r="AG11" s="77">
        <v>0</v>
      </c>
      <c r="AH11" s="77">
        <v>0</v>
      </c>
      <c r="AI11" s="369">
        <v>67042.28</v>
      </c>
      <c r="AK11" s="75">
        <v>0</v>
      </c>
      <c r="AL11" s="75">
        <v>0</v>
      </c>
      <c r="AM11" s="75">
        <v>0</v>
      </c>
      <c r="AN11" s="75">
        <v>0</v>
      </c>
      <c r="AO11" s="75"/>
      <c r="AP11" s="369">
        <v>16350</v>
      </c>
      <c r="AQ11" s="75">
        <v>0</v>
      </c>
      <c r="AR11" s="75">
        <v>0</v>
      </c>
      <c r="AS11" s="369">
        <v>16350</v>
      </c>
      <c r="AT11" s="75">
        <v>1041576.5499999999</v>
      </c>
      <c r="AV11" s="77">
        <v>-1020505.5499999999</v>
      </c>
      <c r="AW11" s="474">
        <v>21071</v>
      </c>
      <c r="AX11"/>
      <c r="AY11" s="77">
        <f t="shared" si="8"/>
        <v>0</v>
      </c>
      <c r="AZ11" s="77">
        <f t="shared" si="9"/>
        <v>0</v>
      </c>
      <c r="BA11" s="77">
        <f t="shared" si="10"/>
        <v>0</v>
      </c>
      <c r="BB11" s="77">
        <f t="shared" si="11"/>
        <v>0</v>
      </c>
    </row>
    <row r="12" spans="1:55" ht="16">
      <c r="A12" s="48">
        <v>1600</v>
      </c>
      <c r="B12" s="85" t="s">
        <v>25</v>
      </c>
      <c r="C12" s="369">
        <f>SUMIF('TB Mitiga LTD'!A:A,'HARKAVA '!A12,'TB Mitiga LTD'!D:D)</f>
        <v>189723.68</v>
      </c>
      <c r="D12" s="75">
        <f>SUMIF('Adj Entries Ltd'!$B$4:$B$954,A12,'Adj Entries Ltd'!$D$4:$D$954)</f>
        <v>11383.25</v>
      </c>
      <c r="E12" s="75">
        <f>SUMIF('Adj Entries Ltd'!$B$4:$B$954,A12,'Adj Entries Ltd'!$E$4:$E$954)</f>
        <v>0</v>
      </c>
      <c r="F12" s="369">
        <f t="shared" si="3"/>
        <v>201106.93</v>
      </c>
      <c r="H12" s="77">
        <f>SUMIF('TB US'!A:A,'HARKAVA '!A12,'TB US'!D:D)</f>
        <v>0</v>
      </c>
      <c r="I12" s="77">
        <f>SUMIF('Adj. entries US'!B:B,'HARKAVA '!A12,'Adj. entries US'!D:D)</f>
        <v>0</v>
      </c>
      <c r="J12" s="77">
        <f>SUMIF('Adj. entries US'!B:B,'HARKAVA '!A12,'Adj. entries US'!E:E)</f>
        <v>0</v>
      </c>
      <c r="K12" s="75">
        <f t="shared" si="4"/>
        <v>0</v>
      </c>
      <c r="M12" s="369">
        <f>SUMIF('TB UK'!A:A,'HARKAVA '!A12,'TB UK'!E:E)</f>
        <v>6166.63</v>
      </c>
      <c r="N12" s="75">
        <f>SUMIF('Adj. Entries UK'!B:B,'HARKAVA '!A12,'Adj. Entries UK'!D:D)</f>
        <v>0</v>
      </c>
      <c r="O12" s="75">
        <f>SUMIF('Adj. Entries UK'!B:B,'HARKAVA '!A12,'Adj. Entries UK'!E:E)</f>
        <v>0</v>
      </c>
      <c r="P12" s="369">
        <f t="shared" si="5"/>
        <v>6166.63</v>
      </c>
      <c r="Q12" s="75"/>
      <c r="R12" s="369">
        <f>SUMIF('TB security'!A:A,'HARKAVA '!A12,'TB security'!D:D)</f>
        <v>49885.48</v>
      </c>
      <c r="S12" s="75">
        <f>SUMIF('Adj. Entries security'!B:B,'HARKAVA '!A12,'Adj. Entries security'!D:D)</f>
        <v>0</v>
      </c>
      <c r="T12" s="75">
        <f>SUMIF('Adj. Entries security'!B:B,'HARKAVA '!A12,'Adj. Entries security'!E:E)</f>
        <v>0</v>
      </c>
      <c r="U12" s="369">
        <f t="shared" si="6"/>
        <v>49885.48</v>
      </c>
      <c r="V12" s="75">
        <f t="shared" si="7"/>
        <v>257159.04000000001</v>
      </c>
      <c r="Y12" s="474">
        <f t="shared" si="2"/>
        <v>257159.04000000001</v>
      </c>
      <c r="Z12" s="166" t="str">
        <f>LEFT(A12,2)</f>
        <v>16</v>
      </c>
      <c r="AD12" s="369">
        <v>189723.68</v>
      </c>
      <c r="AF12" s="77">
        <v>0</v>
      </c>
      <c r="AG12" s="77">
        <v>0</v>
      </c>
      <c r="AH12" s="77">
        <v>0</v>
      </c>
      <c r="AI12" s="75">
        <v>0</v>
      </c>
      <c r="AK12" s="369">
        <v>6166.63</v>
      </c>
      <c r="AL12" s="75">
        <v>0</v>
      </c>
      <c r="AM12" s="75">
        <v>0</v>
      </c>
      <c r="AN12" s="369">
        <v>6166.63</v>
      </c>
      <c r="AO12" s="75"/>
      <c r="AP12" s="369">
        <v>49885.48</v>
      </c>
      <c r="AQ12" s="75">
        <v>0</v>
      </c>
      <c r="AR12" s="75">
        <v>0</v>
      </c>
      <c r="AS12" s="369">
        <v>49885.48</v>
      </c>
      <c r="AT12" s="75">
        <v>245775.79</v>
      </c>
      <c r="AW12" s="474">
        <v>245775.79</v>
      </c>
      <c r="AX12"/>
      <c r="AY12" s="77">
        <f t="shared" si="8"/>
        <v>11383.25</v>
      </c>
      <c r="AZ12" s="77">
        <f t="shared" si="9"/>
        <v>0</v>
      </c>
      <c r="BA12" s="77">
        <f t="shared" si="10"/>
        <v>0</v>
      </c>
      <c r="BB12" s="77">
        <f t="shared" si="11"/>
        <v>0</v>
      </c>
    </row>
    <row r="13" spans="1:55" ht="16">
      <c r="A13" s="48">
        <v>1610</v>
      </c>
      <c r="B13" s="81" t="s">
        <v>26</v>
      </c>
      <c r="C13" s="369">
        <f>SUMIF('TB Mitiga LTD'!A:A,'HARKAVA '!A13,'TB Mitiga LTD'!D:D)</f>
        <v>14985.11</v>
      </c>
      <c r="D13" s="75">
        <f>SUMIF('Adj Entries Ltd'!$B$4:$B$954,A13,'Adj Entries Ltd'!$D$4:$D$954)</f>
        <v>0</v>
      </c>
      <c r="E13" s="75">
        <f>SUMIF('Adj Entries Ltd'!$B$4:$B$954,A13,'Adj Entries Ltd'!$E$4:$E$954)</f>
        <v>0</v>
      </c>
      <c r="F13" s="369">
        <f t="shared" si="3"/>
        <v>14985.11</v>
      </c>
      <c r="H13" s="77">
        <f>SUMIF('TB US'!A:A,'HARKAVA '!A13,'TB US'!D:D)</f>
        <v>0</v>
      </c>
      <c r="I13" s="77">
        <f>SUMIF('Adj. entries US'!B:B,'HARKAVA '!A13,'Adj. entries US'!D:D)</f>
        <v>0</v>
      </c>
      <c r="J13" s="77">
        <f>SUMIF('Adj. entries US'!B:B,'HARKAVA '!A13,'Adj. entries US'!E:E)</f>
        <v>0</v>
      </c>
      <c r="K13" s="75">
        <f t="shared" si="4"/>
        <v>0</v>
      </c>
      <c r="M13" s="369">
        <f>SUMIF('TB UK'!A:A,'HARKAVA '!A13,'TB UK'!E:E)</f>
        <v>5611.91</v>
      </c>
      <c r="N13" s="75">
        <f>SUMIF('Adj. Entries UK'!B:B,'HARKAVA '!A13,'Adj. Entries UK'!D:D)</f>
        <v>0</v>
      </c>
      <c r="O13" s="75">
        <f>SUMIF('Adj. Entries UK'!B:B,'HARKAVA '!A13,'Adj. Entries UK'!E:E)</f>
        <v>0</v>
      </c>
      <c r="P13" s="369">
        <f t="shared" si="5"/>
        <v>5611.91</v>
      </c>
      <c r="Q13" s="75"/>
      <c r="R13" s="75">
        <f>SUMIF('TB security'!A:A,'HARKAVA '!A13,'TB security'!D:D)</f>
        <v>0</v>
      </c>
      <c r="S13" s="75">
        <f>SUMIF('Adj. Entries security'!B:B,'HARKAVA '!A13,'Adj. Entries security'!D:D)</f>
        <v>0</v>
      </c>
      <c r="T13" s="75">
        <f>SUMIF('Adj. Entries security'!B:B,'HARKAVA '!A13,'Adj. Entries security'!E:E)</f>
        <v>0</v>
      </c>
      <c r="U13" s="75">
        <f t="shared" si="6"/>
        <v>0</v>
      </c>
      <c r="V13" s="75">
        <f t="shared" si="7"/>
        <v>20597.02</v>
      </c>
      <c r="Y13" s="474">
        <f t="shared" si="2"/>
        <v>20597.02</v>
      </c>
      <c r="Z13" s="166" t="str">
        <f>LEFT(A13,2)</f>
        <v>16</v>
      </c>
      <c r="AD13" s="369">
        <v>14985.11</v>
      </c>
      <c r="AF13" s="77">
        <v>0</v>
      </c>
      <c r="AG13" s="77">
        <v>0</v>
      </c>
      <c r="AH13" s="77">
        <v>0</v>
      </c>
      <c r="AI13" s="75">
        <v>0</v>
      </c>
      <c r="AK13" s="369">
        <v>5611.91</v>
      </c>
      <c r="AL13" s="75">
        <v>0</v>
      </c>
      <c r="AM13" s="75">
        <v>0</v>
      </c>
      <c r="AN13" s="369">
        <v>5611.91</v>
      </c>
      <c r="AO13" s="75"/>
      <c r="AP13" s="75">
        <v>0</v>
      </c>
      <c r="AQ13" s="75">
        <v>0</v>
      </c>
      <c r="AR13" s="75">
        <v>0</v>
      </c>
      <c r="AS13" s="75">
        <v>0</v>
      </c>
      <c r="AT13" s="75">
        <v>20597.02</v>
      </c>
      <c r="AW13" s="474">
        <v>20597.02</v>
      </c>
      <c r="AX13"/>
      <c r="AY13" s="77">
        <f t="shared" si="8"/>
        <v>0</v>
      </c>
      <c r="AZ13" s="77">
        <f t="shared" si="9"/>
        <v>0</v>
      </c>
      <c r="BA13" s="77">
        <f t="shared" si="10"/>
        <v>0</v>
      </c>
      <c r="BB13" s="77">
        <f t="shared" si="11"/>
        <v>0</v>
      </c>
    </row>
    <row r="14" spans="1:55" ht="16">
      <c r="A14" s="48">
        <v>1620</v>
      </c>
      <c r="B14" s="85" t="s">
        <v>27</v>
      </c>
      <c r="C14" s="369">
        <f>SUMIF('TB Mitiga LTD'!A:A,'HARKAVA '!A14,'TB Mitiga LTD'!D:D)</f>
        <v>237762.45</v>
      </c>
      <c r="D14" s="75">
        <f>SUMIF('Adj Entries Ltd'!$B$4:$B$954,A14,'Adj Entries Ltd'!$D$4:$D$954)</f>
        <v>0</v>
      </c>
      <c r="E14" s="75">
        <f>SUMIF('Adj Entries Ltd'!$B$4:$B$954,A14,'Adj Entries Ltd'!$E$4:$E$954)</f>
        <v>0</v>
      </c>
      <c r="F14" s="369">
        <f t="shared" si="3"/>
        <v>237762.45</v>
      </c>
      <c r="H14" s="77">
        <f>SUMIF('TB US'!A:A,'HARKAVA '!A14,'TB US'!D:D)</f>
        <v>0</v>
      </c>
      <c r="I14" s="77">
        <f>SUMIF('Adj. entries US'!B:B,'HARKAVA '!A14,'Adj. entries US'!D:D)</f>
        <v>0</v>
      </c>
      <c r="J14" s="77">
        <f>SUMIF('Adj. entries US'!B:B,'HARKAVA '!A14,'Adj. entries US'!E:E)</f>
        <v>0</v>
      </c>
      <c r="K14" s="75">
        <f t="shared" si="4"/>
        <v>0</v>
      </c>
      <c r="M14" s="75">
        <f>SUMIF('TB UK'!A:A,'HARKAVA '!A14,'TB UK'!E:E)</f>
        <v>0</v>
      </c>
      <c r="N14" s="75">
        <f>SUMIF('Adj. Entries UK'!B:B,'HARKAVA '!A14,'Adj. Entries UK'!D:D)</f>
        <v>0</v>
      </c>
      <c r="O14" s="75">
        <f>SUMIF('Adj. Entries UK'!B:B,'HARKAVA '!A14,'Adj. Entries UK'!E:E)</f>
        <v>0</v>
      </c>
      <c r="P14" s="75">
        <f t="shared" si="5"/>
        <v>0</v>
      </c>
      <c r="Q14" s="75"/>
      <c r="R14" s="75">
        <f>SUMIF('TB security'!A:A,'HARKAVA '!A14,'TB security'!D:D)</f>
        <v>0</v>
      </c>
      <c r="S14" s="75">
        <f>SUMIF('Adj. Entries security'!B:B,'HARKAVA '!A14,'Adj. Entries security'!D:D)</f>
        <v>0</v>
      </c>
      <c r="T14" s="75">
        <f>SUMIF('Adj. Entries security'!B:B,'HARKAVA '!A14,'Adj. Entries security'!E:E)</f>
        <v>0</v>
      </c>
      <c r="U14" s="75">
        <f t="shared" si="6"/>
        <v>0</v>
      </c>
      <c r="V14" s="75">
        <f t="shared" si="7"/>
        <v>237762.45</v>
      </c>
      <c r="Y14" s="474">
        <f t="shared" si="2"/>
        <v>237762.45</v>
      </c>
      <c r="Z14" s="166" t="str">
        <f>LEFT(A14,2)</f>
        <v>16</v>
      </c>
      <c r="AD14" s="369">
        <v>237762.45</v>
      </c>
      <c r="AF14" s="77">
        <v>0</v>
      </c>
      <c r="AG14" s="77">
        <v>0</v>
      </c>
      <c r="AH14" s="77">
        <v>0</v>
      </c>
      <c r="AI14" s="75">
        <v>0</v>
      </c>
      <c r="AK14" s="75">
        <v>0</v>
      </c>
      <c r="AL14" s="75">
        <v>0</v>
      </c>
      <c r="AM14" s="75">
        <v>0</v>
      </c>
      <c r="AN14" s="75">
        <v>0</v>
      </c>
      <c r="AO14" s="75"/>
      <c r="AP14" s="75">
        <v>0</v>
      </c>
      <c r="AQ14" s="75">
        <v>0</v>
      </c>
      <c r="AR14" s="75">
        <v>0</v>
      </c>
      <c r="AS14" s="75">
        <v>0</v>
      </c>
      <c r="AT14" s="75">
        <v>237762.45</v>
      </c>
      <c r="AW14" s="474">
        <v>237762.45</v>
      </c>
      <c r="AX14"/>
      <c r="AY14" s="77">
        <f t="shared" si="8"/>
        <v>0</v>
      </c>
      <c r="AZ14" s="77">
        <f t="shared" si="9"/>
        <v>0</v>
      </c>
      <c r="BA14" s="77">
        <f t="shared" si="10"/>
        <v>0</v>
      </c>
      <c r="BB14" s="77">
        <f t="shared" si="11"/>
        <v>0</v>
      </c>
    </row>
    <row r="15" spans="1:55" ht="16">
      <c r="A15" s="48">
        <v>1630</v>
      </c>
      <c r="B15" s="81" t="s">
        <v>28</v>
      </c>
      <c r="C15" s="75">
        <f>SUMIF('TB Mitiga LTD'!A:A,'HARKAVA '!A15,'TB Mitiga LTD'!D:D)</f>
        <v>0</v>
      </c>
      <c r="D15" s="75">
        <f>SUMIF('Adj Entries Ltd'!$B$4:$B$954,A15,'Adj Entries Ltd'!$D$4:$D$954)</f>
        <v>0</v>
      </c>
      <c r="E15" s="75">
        <f>SUMIF('Adj Entries Ltd'!$B$4:$B$954,A15,'Adj Entries Ltd'!$E$4:$E$954)</f>
        <v>0</v>
      </c>
      <c r="F15" s="75">
        <f t="shared" si="3"/>
        <v>0</v>
      </c>
      <c r="H15" s="77">
        <f>SUMIF('TB US'!A:A,'HARKAVA '!A15,'TB US'!D:D)</f>
        <v>0</v>
      </c>
      <c r="I15" s="77">
        <f>SUMIF('Adj. entries US'!B:B,'HARKAVA '!A15,'Adj. entries US'!D:D)</f>
        <v>0</v>
      </c>
      <c r="J15" s="77">
        <f>SUMIF('Adj. entries US'!B:B,'HARKAVA '!A15,'Adj. entries US'!E:E)</f>
        <v>0</v>
      </c>
      <c r="K15" s="75">
        <f t="shared" si="4"/>
        <v>0</v>
      </c>
      <c r="M15" s="75">
        <f>SUMIF('TB UK'!A:A,'HARKAVA '!A15,'TB UK'!E:E)</f>
        <v>0</v>
      </c>
      <c r="N15" s="75">
        <f>SUMIF('Adj. Entries UK'!B:B,'HARKAVA '!A15,'Adj. Entries UK'!D:D)</f>
        <v>0</v>
      </c>
      <c r="O15" s="75">
        <f>SUMIF('Adj. Entries UK'!B:B,'HARKAVA '!A15,'Adj. Entries UK'!E:E)</f>
        <v>0</v>
      </c>
      <c r="P15" s="75">
        <f t="shared" si="5"/>
        <v>0</v>
      </c>
      <c r="Q15" s="75"/>
      <c r="R15" s="75">
        <f>SUMIF('TB security'!A:A,'HARKAVA '!A15,'TB security'!D:D)</f>
        <v>0</v>
      </c>
      <c r="S15" s="75">
        <f>SUMIF('Adj. Entries security'!B:B,'HARKAVA '!A15,'Adj. Entries security'!D:D)</f>
        <v>0</v>
      </c>
      <c r="T15" s="75">
        <f>SUMIF('Adj. Entries security'!B:B,'HARKAVA '!A15,'Adj. Entries security'!E:E)</f>
        <v>0</v>
      </c>
      <c r="U15" s="75">
        <f t="shared" si="6"/>
        <v>0</v>
      </c>
      <c r="V15" s="75">
        <f t="shared" si="7"/>
        <v>0</v>
      </c>
      <c r="Y15" s="474">
        <f t="shared" si="2"/>
        <v>0</v>
      </c>
      <c r="Z15" s="166" t="str">
        <f>LEFT(A15,2)</f>
        <v>16</v>
      </c>
      <c r="AD15" s="75">
        <v>0</v>
      </c>
      <c r="AF15" s="77">
        <v>0</v>
      </c>
      <c r="AG15" s="77">
        <v>0</v>
      </c>
      <c r="AH15" s="77">
        <v>0</v>
      </c>
      <c r="AI15" s="75">
        <v>0</v>
      </c>
      <c r="AK15" s="75">
        <v>0</v>
      </c>
      <c r="AL15" s="75">
        <v>0</v>
      </c>
      <c r="AM15" s="75">
        <v>0</v>
      </c>
      <c r="AN15" s="75">
        <v>0</v>
      </c>
      <c r="AO15" s="75"/>
      <c r="AP15" s="75">
        <v>0</v>
      </c>
      <c r="AQ15" s="75">
        <v>0</v>
      </c>
      <c r="AR15" s="75">
        <v>0</v>
      </c>
      <c r="AS15" s="75">
        <v>0</v>
      </c>
      <c r="AT15" s="75">
        <v>0</v>
      </c>
      <c r="AW15" s="474">
        <v>0</v>
      </c>
      <c r="AX15"/>
      <c r="AY15" s="77">
        <f t="shared" si="8"/>
        <v>0</v>
      </c>
      <c r="AZ15" s="77">
        <f t="shared" si="9"/>
        <v>0</v>
      </c>
      <c r="BA15" s="77">
        <f t="shared" si="10"/>
        <v>0</v>
      </c>
      <c r="BB15" s="77">
        <f t="shared" si="11"/>
        <v>0</v>
      </c>
    </row>
    <row r="16" spans="1:55" ht="16">
      <c r="A16" s="48">
        <v>1640</v>
      </c>
      <c r="B16" s="81" t="s">
        <v>29</v>
      </c>
      <c r="C16" s="369">
        <f>SUMIF('TB Mitiga LTD'!A:A,'HARKAVA '!A16,'TB Mitiga LTD'!D:D)</f>
        <v>294311</v>
      </c>
      <c r="D16" s="75">
        <f>SUMIF('Adj Entries Ltd'!$B$4:$B$954,A16,'Adj Entries Ltd'!$D$4:$D$954)</f>
        <v>0</v>
      </c>
      <c r="E16" s="75">
        <f>SUMIF('Adj Entries Ltd'!$B$4:$B$954,A16,'Adj Entries Ltd'!$E$4:$E$954)</f>
        <v>0</v>
      </c>
      <c r="F16" s="369">
        <f t="shared" si="3"/>
        <v>294311</v>
      </c>
      <c r="H16" s="77">
        <f>SUMIF('TB US'!A:A,'HARKAVA '!A16,'TB US'!D:D)</f>
        <v>0</v>
      </c>
      <c r="I16" s="77">
        <f>SUMIF('Adj. entries US'!B:B,'HARKAVA '!A16,'Adj. entries US'!D:D)</f>
        <v>0</v>
      </c>
      <c r="J16" s="77">
        <f>SUMIF('Adj. entries US'!B:B,'HARKAVA '!A16,'Adj. entries US'!E:E)</f>
        <v>0</v>
      </c>
      <c r="K16" s="75">
        <f t="shared" si="4"/>
        <v>0</v>
      </c>
      <c r="M16" s="75">
        <f>SUMIF('TB UK'!A:A,'HARKAVA '!A16,'TB UK'!E:E)</f>
        <v>0</v>
      </c>
      <c r="N16" s="75">
        <f>SUMIF('Adj. Entries UK'!B:B,'HARKAVA '!A16,'Adj. Entries UK'!D:D)</f>
        <v>0</v>
      </c>
      <c r="O16" s="75">
        <f>SUMIF('Adj. Entries UK'!B:B,'HARKAVA '!A16,'Adj. Entries UK'!E:E)</f>
        <v>0</v>
      </c>
      <c r="P16" s="75">
        <f t="shared" si="5"/>
        <v>0</v>
      </c>
      <c r="Q16" s="75"/>
      <c r="R16" s="75">
        <f>SUMIF('TB security'!A:A,'HARKAVA '!A16,'TB security'!D:D)</f>
        <v>0</v>
      </c>
      <c r="S16" s="75">
        <f>SUMIF('Adj. Entries security'!B:B,'HARKAVA '!A16,'Adj. Entries security'!D:D)</f>
        <v>0</v>
      </c>
      <c r="T16" s="75">
        <f>SUMIF('Adj. Entries security'!B:B,'HARKAVA '!A16,'Adj. Entries security'!E:E)</f>
        <v>0</v>
      </c>
      <c r="U16" s="75">
        <f t="shared" si="6"/>
        <v>0</v>
      </c>
      <c r="V16" s="75">
        <f t="shared" si="7"/>
        <v>294311</v>
      </c>
      <c r="Y16" s="474">
        <f t="shared" si="2"/>
        <v>294311</v>
      </c>
      <c r="Z16" s="166" t="str">
        <f>LEFT(A16,2)</f>
        <v>16</v>
      </c>
      <c r="AD16" s="369">
        <v>294311</v>
      </c>
      <c r="AF16" s="77">
        <v>0</v>
      </c>
      <c r="AG16" s="77">
        <v>0</v>
      </c>
      <c r="AH16" s="77">
        <v>0</v>
      </c>
      <c r="AI16" s="75">
        <v>0</v>
      </c>
      <c r="AK16" s="75">
        <v>0</v>
      </c>
      <c r="AL16" s="75">
        <v>0</v>
      </c>
      <c r="AM16" s="75">
        <v>0</v>
      </c>
      <c r="AN16" s="75">
        <v>0</v>
      </c>
      <c r="AO16" s="75"/>
      <c r="AP16" s="75">
        <v>0</v>
      </c>
      <c r="AQ16" s="75">
        <v>0</v>
      </c>
      <c r="AR16" s="75">
        <v>0</v>
      </c>
      <c r="AS16" s="75">
        <v>0</v>
      </c>
      <c r="AT16" s="75">
        <v>294311</v>
      </c>
      <c r="AW16" s="474">
        <v>294311</v>
      </c>
      <c r="AX16"/>
      <c r="AY16" s="77">
        <f t="shared" si="8"/>
        <v>0</v>
      </c>
      <c r="AZ16" s="77">
        <f t="shared" si="9"/>
        <v>0</v>
      </c>
      <c r="BA16" s="77">
        <f t="shared" si="10"/>
        <v>0</v>
      </c>
      <c r="BB16" s="77">
        <f t="shared" si="11"/>
        <v>0</v>
      </c>
    </row>
    <row r="17" spans="1:54" ht="16">
      <c r="A17" s="48">
        <v>1650</v>
      </c>
      <c r="B17" s="81" t="s">
        <v>30</v>
      </c>
      <c r="C17" s="369">
        <f>SUMIF('TB Mitiga LTD'!A:A,'HARKAVA '!A17,'TB Mitiga LTD'!D:D)</f>
        <v>929980.71</v>
      </c>
      <c r="D17" s="75">
        <f>SUMIF('Adj Entries Ltd'!$B$4:$B$954,A17,'Adj Entries Ltd'!$D$4:$D$954)</f>
        <v>0</v>
      </c>
      <c r="E17" s="75">
        <f>SUMIF('Adj Entries Ltd'!$B$4:$B$954,A17,'Adj Entries Ltd'!$E$4:$E$954)</f>
        <v>0</v>
      </c>
      <c r="F17" s="369">
        <f t="shared" si="3"/>
        <v>929980.71</v>
      </c>
      <c r="H17" s="77">
        <f>SUMIF('TB US'!A:A,'HARKAVA '!A17,'TB US'!D:D)</f>
        <v>0</v>
      </c>
      <c r="I17" s="77">
        <f>SUMIF('Adj. entries US'!B:B,'HARKAVA '!A17,'Adj. entries US'!D:D)</f>
        <v>0</v>
      </c>
      <c r="J17" s="77">
        <f>SUMIF('Adj. entries US'!B:B,'HARKAVA '!A17,'Adj. entries US'!E:E)</f>
        <v>0</v>
      </c>
      <c r="K17" s="75">
        <f t="shared" si="4"/>
        <v>0</v>
      </c>
      <c r="M17" s="75">
        <f>SUMIF('TB UK'!A:A,'HARKAVA '!A17,'TB UK'!E:E)</f>
        <v>0</v>
      </c>
      <c r="N17" s="75">
        <f>SUMIF('Adj. Entries UK'!B:B,'HARKAVA '!A17,'Adj. Entries UK'!D:D)</f>
        <v>0</v>
      </c>
      <c r="O17" s="75">
        <f>SUMIF('Adj. Entries UK'!B:B,'HARKAVA '!A17,'Adj. Entries UK'!E:E)</f>
        <v>0</v>
      </c>
      <c r="P17" s="75">
        <f t="shared" si="5"/>
        <v>0</v>
      </c>
      <c r="Q17" s="75"/>
      <c r="R17" s="75">
        <f>SUMIF('TB security'!A:A,'HARKAVA '!A17,'TB security'!D:D)</f>
        <v>0</v>
      </c>
      <c r="S17" s="75">
        <f>SUMIF('Adj. Entries security'!B:B,'HARKAVA '!A17,'Adj. Entries security'!D:D)</f>
        <v>0</v>
      </c>
      <c r="T17" s="75">
        <f>SUMIF('Adj. Entries security'!B:B,'HARKAVA '!A17,'Adj. Entries security'!E:E)</f>
        <v>0</v>
      </c>
      <c r="U17" s="75">
        <f t="shared" si="6"/>
        <v>0</v>
      </c>
      <c r="V17" s="75">
        <f t="shared" si="7"/>
        <v>929980.71</v>
      </c>
      <c r="Y17" s="474">
        <f t="shared" si="2"/>
        <v>929980.71</v>
      </c>
      <c r="Z17" s="166">
        <v>16</v>
      </c>
      <c r="AD17" s="369">
        <v>929980.71</v>
      </c>
      <c r="AF17" s="77">
        <v>0</v>
      </c>
      <c r="AG17" s="77">
        <v>0</v>
      </c>
      <c r="AH17" s="77">
        <v>0</v>
      </c>
      <c r="AI17" s="75">
        <v>0</v>
      </c>
      <c r="AK17" s="75">
        <v>0</v>
      </c>
      <c r="AL17" s="75">
        <v>0</v>
      </c>
      <c r="AM17" s="75">
        <v>0</v>
      </c>
      <c r="AN17" s="75">
        <v>0</v>
      </c>
      <c r="AO17" s="75"/>
      <c r="AP17" s="75">
        <v>0</v>
      </c>
      <c r="AQ17" s="75">
        <v>0</v>
      </c>
      <c r="AR17" s="75">
        <v>0</v>
      </c>
      <c r="AS17" s="75">
        <v>0</v>
      </c>
      <c r="AT17" s="75">
        <v>929980.71</v>
      </c>
      <c r="AW17" s="474">
        <v>929980.71</v>
      </c>
      <c r="AX17"/>
      <c r="AY17" s="77">
        <f t="shared" si="8"/>
        <v>0</v>
      </c>
      <c r="AZ17" s="77">
        <f t="shared" si="9"/>
        <v>0</v>
      </c>
      <c r="BA17" s="77">
        <f t="shared" si="10"/>
        <v>0</v>
      </c>
      <c r="BB17" s="77">
        <f t="shared" si="11"/>
        <v>0</v>
      </c>
    </row>
    <row r="18" spans="1:54" ht="16">
      <c r="A18" s="48">
        <v>1660</v>
      </c>
      <c r="B18" s="81" t="s">
        <v>31</v>
      </c>
      <c r="C18" s="75">
        <f>SUMIF('TB Mitiga LTD'!A:A,'HARKAVA '!A18,'TB Mitiga LTD'!D:D)</f>
        <v>0</v>
      </c>
      <c r="D18" s="75">
        <f>SUMIF('Adj Entries Ltd'!$B$4:$B$954,A18,'Adj Entries Ltd'!$D$4:$D$954)</f>
        <v>0</v>
      </c>
      <c r="E18" s="75">
        <f>SUMIF('Adj Entries Ltd'!$B$4:$B$954,A18,'Adj Entries Ltd'!$E$4:$E$954)</f>
        <v>0</v>
      </c>
      <c r="F18" s="75">
        <f t="shared" si="3"/>
        <v>0</v>
      </c>
      <c r="H18" s="77">
        <f>SUMIF('TB US'!A:A,'HARKAVA '!A18,'TB US'!D:D)</f>
        <v>0</v>
      </c>
      <c r="I18" s="77">
        <f>SUMIF('Adj. entries US'!B:B,'HARKAVA '!A18,'Adj. entries US'!D:D)</f>
        <v>0</v>
      </c>
      <c r="J18" s="77">
        <f>SUMIF('Adj. entries US'!B:B,'HARKAVA '!A18,'Adj. entries US'!E:E)</f>
        <v>0</v>
      </c>
      <c r="K18" s="75">
        <f t="shared" si="4"/>
        <v>0</v>
      </c>
      <c r="M18" s="75">
        <f>SUMIF('TB UK'!A:A,'HARKAVA '!A18,'TB UK'!E:E)</f>
        <v>0</v>
      </c>
      <c r="N18" s="75">
        <f>SUMIF('Adj. Entries UK'!B:B,'HARKAVA '!A18,'Adj. Entries UK'!D:D)</f>
        <v>0</v>
      </c>
      <c r="O18" s="75">
        <f>SUMIF('Adj. Entries UK'!B:B,'HARKAVA '!A18,'Adj. Entries UK'!E:E)</f>
        <v>0</v>
      </c>
      <c r="P18" s="75">
        <f t="shared" ref="P18:P19" si="12">M18+N18-O18</f>
        <v>0</v>
      </c>
      <c r="Q18" s="75"/>
      <c r="R18" s="75">
        <f>SUMIF('TB security'!A:A,'HARKAVA '!A18,'TB security'!D:D)</f>
        <v>0</v>
      </c>
      <c r="S18" s="75">
        <f>SUMIF('Adj. Entries security'!B:B,'HARKAVA '!A18,'Adj. Entries security'!D:D)</f>
        <v>0</v>
      </c>
      <c r="T18" s="75">
        <f>SUMIF('Adj. Entries security'!B:B,'HARKAVA '!A18,'Adj. Entries security'!E:E)</f>
        <v>0</v>
      </c>
      <c r="U18" s="75">
        <f t="shared" si="6"/>
        <v>0</v>
      </c>
      <c r="V18" s="75">
        <f t="shared" si="7"/>
        <v>0</v>
      </c>
      <c r="Y18" s="77">
        <f t="shared" si="2"/>
        <v>0</v>
      </c>
      <c r="Z18" s="166">
        <v>19</v>
      </c>
      <c r="AD18" s="75">
        <v>0</v>
      </c>
      <c r="AF18" s="77">
        <v>0</v>
      </c>
      <c r="AG18" s="77">
        <v>0</v>
      </c>
      <c r="AH18" s="77">
        <v>0</v>
      </c>
      <c r="AI18" s="75">
        <v>0</v>
      </c>
      <c r="AK18" s="75">
        <v>0</v>
      </c>
      <c r="AL18" s="75">
        <v>0</v>
      </c>
      <c r="AM18" s="75">
        <v>0</v>
      </c>
      <c r="AN18" s="75">
        <v>0</v>
      </c>
      <c r="AO18" s="75"/>
      <c r="AP18" s="75">
        <v>0</v>
      </c>
      <c r="AQ18" s="75">
        <v>0</v>
      </c>
      <c r="AR18" s="75">
        <v>0</v>
      </c>
      <c r="AS18" s="75">
        <v>0</v>
      </c>
      <c r="AT18" s="75">
        <v>0</v>
      </c>
      <c r="AW18" s="77">
        <v>0</v>
      </c>
      <c r="AX18"/>
      <c r="AY18" s="77">
        <f t="shared" si="8"/>
        <v>0</v>
      </c>
      <c r="AZ18" s="77">
        <f t="shared" si="9"/>
        <v>0</v>
      </c>
      <c r="BA18" s="77">
        <f t="shared" si="10"/>
        <v>0</v>
      </c>
      <c r="BB18" s="77">
        <f t="shared" si="11"/>
        <v>0</v>
      </c>
    </row>
    <row r="19" spans="1:54" ht="16">
      <c r="A19" s="48">
        <v>1700</v>
      </c>
      <c r="B19" s="81" t="s">
        <v>32</v>
      </c>
      <c r="C19" s="75">
        <f>SUMIF('TB Mitiga LTD'!A:A,'HARKAVA '!A19,'TB Mitiga LTD'!D:D)</f>
        <v>0</v>
      </c>
      <c r="D19" s="75">
        <f>SUMIF('Adj Entries Ltd'!$B$4:$B$954,A19,'Adj Entries Ltd'!$D$4:$D$954)</f>
        <v>0</v>
      </c>
      <c r="E19" s="75">
        <f>SUMIF('Adj Entries Ltd'!$B$4:$B$954,A19,'Adj Entries Ltd'!$E$4:$E$954)</f>
        <v>0</v>
      </c>
      <c r="F19" s="75">
        <f t="shared" si="3"/>
        <v>0</v>
      </c>
      <c r="H19" s="77">
        <f>SUMIF('TB US'!A:A,'HARKAVA '!A19,'TB US'!D:D)</f>
        <v>0</v>
      </c>
      <c r="I19" s="77">
        <f>SUMIF('Adj. entries US'!B:B,'HARKAVA '!A19,'Adj. entries US'!D:D)</f>
        <v>0</v>
      </c>
      <c r="J19" s="77">
        <f>SUMIF('Adj. entries US'!B:B,'HARKAVA '!A19,'Adj. entries US'!E:E)</f>
        <v>0</v>
      </c>
      <c r="K19" s="75">
        <f t="shared" si="4"/>
        <v>0</v>
      </c>
      <c r="M19" s="75">
        <f>SUMIF('TB UK'!A:A,'HARKAVA '!A19,'TB UK'!E:E)</f>
        <v>0</v>
      </c>
      <c r="N19" s="75">
        <f>SUMIF('Adj. Entries UK'!B:B,'HARKAVA '!A19,'Adj. Entries UK'!D:D)</f>
        <v>0</v>
      </c>
      <c r="O19" s="75">
        <f>SUMIF('Adj. Entries UK'!B:B,'HARKAVA '!A19,'Adj. Entries UK'!E:E)</f>
        <v>0</v>
      </c>
      <c r="P19" s="75">
        <f t="shared" si="12"/>
        <v>0</v>
      </c>
      <c r="Q19" s="75"/>
      <c r="R19" s="75">
        <f>SUMIF('TB security'!A:A,'HARKAVA '!A19,'TB security'!D:D)</f>
        <v>0</v>
      </c>
      <c r="S19" s="75">
        <f>SUMIF('Adj. Entries security'!B:B,'HARKAVA '!A19,'Adj. Entries security'!D:D)</f>
        <v>0</v>
      </c>
      <c r="T19" s="75">
        <f>SUMIF('Adj. Entries security'!B:B,'HARKAVA '!A19,'Adj. Entries security'!E:E)</f>
        <v>0</v>
      </c>
      <c r="U19" s="75">
        <f t="shared" si="6"/>
        <v>0</v>
      </c>
      <c r="V19" s="75">
        <f t="shared" si="7"/>
        <v>0</v>
      </c>
      <c r="Y19" s="77">
        <f t="shared" si="2"/>
        <v>0</v>
      </c>
      <c r="Z19" s="166" t="str">
        <f>LEFT(A19,2)</f>
        <v>17</v>
      </c>
      <c r="AD19" s="75">
        <v>0</v>
      </c>
      <c r="AF19" s="77">
        <v>0</v>
      </c>
      <c r="AG19" s="77">
        <v>0</v>
      </c>
      <c r="AH19" s="77">
        <v>0</v>
      </c>
      <c r="AI19" s="75">
        <v>0</v>
      </c>
      <c r="AK19" s="75">
        <v>0</v>
      </c>
      <c r="AL19" s="75">
        <v>0</v>
      </c>
      <c r="AM19" s="75">
        <v>0</v>
      </c>
      <c r="AN19" s="75">
        <v>0</v>
      </c>
      <c r="AO19" s="75"/>
      <c r="AP19" s="75">
        <v>0</v>
      </c>
      <c r="AQ19" s="75">
        <v>0</v>
      </c>
      <c r="AR19" s="75">
        <v>0</v>
      </c>
      <c r="AS19" s="75">
        <v>0</v>
      </c>
      <c r="AT19" s="75">
        <v>0</v>
      </c>
      <c r="AW19" s="77">
        <v>0</v>
      </c>
      <c r="AX19"/>
      <c r="AY19" s="77">
        <f t="shared" si="8"/>
        <v>0</v>
      </c>
      <c r="AZ19" s="77">
        <f t="shared" si="9"/>
        <v>0</v>
      </c>
      <c r="BA19" s="77">
        <f t="shared" si="10"/>
        <v>0</v>
      </c>
      <c r="BB19" s="77">
        <f t="shared" si="11"/>
        <v>0</v>
      </c>
    </row>
    <row r="20" spans="1:54" ht="16">
      <c r="A20" s="48">
        <v>2100</v>
      </c>
      <c r="B20" s="81" t="s">
        <v>33</v>
      </c>
      <c r="C20" s="75">
        <f>SUMIF('TB Mitiga LTD'!A:A,'HARKAVA '!A20,'TB Mitiga LTD'!D:D)</f>
        <v>0</v>
      </c>
      <c r="D20" s="75">
        <f>SUMIF('Adj Entries Ltd'!$B$4:$B$954,A20,'Adj Entries Ltd'!$D$4:$D$954)</f>
        <v>0</v>
      </c>
      <c r="E20" s="75">
        <f>SUMIF('Adj Entries Ltd'!$B$4:$B$954,A20,'Adj Entries Ltd'!$E$4:$E$954)</f>
        <v>0</v>
      </c>
      <c r="F20" s="75">
        <f t="shared" si="3"/>
        <v>0</v>
      </c>
      <c r="H20" s="77">
        <f>SUMIF('TB US'!A:A,'HARKAVA '!A20,'TB US'!D:D)</f>
        <v>0</v>
      </c>
      <c r="I20" s="77">
        <f>SUMIF('Adj. entries US'!B:B,'HARKAVA '!A20,'Adj. entries US'!D:D)</f>
        <v>0</v>
      </c>
      <c r="J20" s="77">
        <f>SUMIF('Adj. entries US'!B:B,'HARKAVA '!A20,'Adj. entries US'!E:E)</f>
        <v>0</v>
      </c>
      <c r="K20" s="75">
        <f t="shared" si="4"/>
        <v>0</v>
      </c>
      <c r="M20" s="75">
        <f>SUMIF('TB UK'!A:A,'HARKAVA '!A20,'TB UK'!E:E)</f>
        <v>0</v>
      </c>
      <c r="N20" s="75">
        <f>SUMIF('Adj. Entries UK'!B:B,'HARKAVA '!A20,'Adj. Entries UK'!D:D)</f>
        <v>0</v>
      </c>
      <c r="O20" s="75">
        <f>SUMIF('Adj. Entries UK'!B:B,'HARKAVA '!A20,'Adj. Entries UK'!E:E)</f>
        <v>0</v>
      </c>
      <c r="P20" s="75">
        <f t="shared" si="5"/>
        <v>0</v>
      </c>
      <c r="Q20" s="75"/>
      <c r="R20" s="75">
        <f>SUMIF('TB security'!A:A,'HARKAVA '!A20,'TB security'!D:D)</f>
        <v>0</v>
      </c>
      <c r="S20" s="75">
        <f>SUMIF('Adj. Entries security'!B:B,'HARKAVA '!A20,'Adj. Entries security'!D:D)</f>
        <v>0</v>
      </c>
      <c r="T20" s="75">
        <f>SUMIF('Adj. Entries security'!B:B,'HARKAVA '!A20,'Adj. Entries security'!E:E)</f>
        <v>0</v>
      </c>
      <c r="U20" s="75">
        <f t="shared" si="6"/>
        <v>0</v>
      </c>
      <c r="V20" s="75">
        <f t="shared" si="7"/>
        <v>0</v>
      </c>
      <c r="Y20" s="77">
        <f t="shared" si="2"/>
        <v>0</v>
      </c>
      <c r="Z20" s="166" t="str">
        <f>LEFT(A20,2)</f>
        <v>21</v>
      </c>
      <c r="AD20" s="75">
        <v>0</v>
      </c>
      <c r="AF20" s="77">
        <v>0</v>
      </c>
      <c r="AG20" s="77">
        <v>0</v>
      </c>
      <c r="AH20" s="77">
        <v>0</v>
      </c>
      <c r="AI20" s="75">
        <v>0</v>
      </c>
      <c r="AK20" s="75">
        <v>0</v>
      </c>
      <c r="AL20" s="75">
        <v>0</v>
      </c>
      <c r="AM20" s="75">
        <v>0</v>
      </c>
      <c r="AN20" s="75">
        <v>0</v>
      </c>
      <c r="AO20" s="75"/>
      <c r="AP20" s="75">
        <v>0</v>
      </c>
      <c r="AQ20" s="75">
        <v>0</v>
      </c>
      <c r="AR20" s="75">
        <v>0</v>
      </c>
      <c r="AS20" s="75">
        <v>0</v>
      </c>
      <c r="AT20" s="75">
        <v>0</v>
      </c>
      <c r="AW20" s="77">
        <v>0</v>
      </c>
      <c r="AX20"/>
      <c r="AY20" s="77">
        <f t="shared" si="8"/>
        <v>0</v>
      </c>
      <c r="AZ20" s="77">
        <f t="shared" si="9"/>
        <v>0</v>
      </c>
      <c r="BA20" s="77">
        <f t="shared" si="10"/>
        <v>0</v>
      </c>
      <c r="BB20" s="77">
        <f t="shared" si="11"/>
        <v>0</v>
      </c>
    </row>
    <row r="21" spans="1:54" ht="16">
      <c r="A21" s="48">
        <v>2200</v>
      </c>
      <c r="B21" s="85" t="s">
        <v>34</v>
      </c>
      <c r="C21" s="75">
        <f>SUMIF('TB Mitiga LTD'!A:A,'HARKAVA '!A21,'TB Mitiga LTD'!D:D)</f>
        <v>0</v>
      </c>
      <c r="D21" s="75">
        <f>SUMIF('Adj Entries Ltd'!$B$4:$B$954,A21,'Adj Entries Ltd'!$D$4:$D$954)</f>
        <v>0</v>
      </c>
      <c r="E21" s="75">
        <f>SUMIF('Adj Entries Ltd'!$B$4:$B$954,A21,'Adj Entries Ltd'!$E$4:$E$954)</f>
        <v>0</v>
      </c>
      <c r="F21" s="75">
        <f t="shared" si="3"/>
        <v>0</v>
      </c>
      <c r="H21" s="77">
        <f>SUMIF('TB US'!A:A,'HARKAVA '!A21,'TB US'!D:D)</f>
        <v>0</v>
      </c>
      <c r="I21" s="77">
        <f>SUMIF('Adj. entries US'!B:B,'HARKAVA '!A21,'Adj. entries US'!D:D)</f>
        <v>0</v>
      </c>
      <c r="J21" s="77">
        <f>SUMIF('Adj. entries US'!B:B,'HARKAVA '!A21,'Adj. entries US'!E:E)</f>
        <v>0</v>
      </c>
      <c r="K21" s="75">
        <f t="shared" si="4"/>
        <v>0</v>
      </c>
      <c r="M21" s="75">
        <f>SUMIF('TB UK'!A:A,'HARKAVA '!A21,'TB UK'!E:E)</f>
        <v>0</v>
      </c>
      <c r="N21" s="75">
        <f>SUMIF('Adj. Entries UK'!B:B,'HARKAVA '!A21,'Adj. Entries UK'!D:D)</f>
        <v>0</v>
      </c>
      <c r="O21" s="75">
        <f>SUMIF('Adj. Entries UK'!B:B,'HARKAVA '!A21,'Adj. Entries UK'!E:E)</f>
        <v>0</v>
      </c>
      <c r="P21" s="75">
        <f t="shared" si="5"/>
        <v>0</v>
      </c>
      <c r="Q21" s="75"/>
      <c r="R21" s="75">
        <f>SUMIF('TB security'!A:A,'HARKAVA '!A21,'TB security'!D:D)</f>
        <v>0</v>
      </c>
      <c r="S21" s="75">
        <f>SUMIF('Adj. Entries security'!B:B,'HARKAVA '!A21,'Adj. Entries security'!D:D)</f>
        <v>0</v>
      </c>
      <c r="T21" s="75">
        <f>SUMIF('Adj. Entries security'!B:B,'HARKAVA '!A21,'Adj. Entries security'!E:E)</f>
        <v>0</v>
      </c>
      <c r="U21" s="75">
        <f t="shared" si="6"/>
        <v>0</v>
      </c>
      <c r="V21" s="75">
        <f t="shared" si="7"/>
        <v>0</v>
      </c>
      <c r="Y21" s="77">
        <f t="shared" si="2"/>
        <v>0</v>
      </c>
      <c r="Z21" s="166" t="str">
        <f>LEFT(A21,2)</f>
        <v>22</v>
      </c>
      <c r="AD21" s="75">
        <v>0</v>
      </c>
      <c r="AF21" s="77">
        <v>0</v>
      </c>
      <c r="AG21" s="77">
        <v>0</v>
      </c>
      <c r="AH21" s="77">
        <v>0</v>
      </c>
      <c r="AI21" s="75">
        <v>0</v>
      </c>
      <c r="AK21" s="75">
        <v>0</v>
      </c>
      <c r="AL21" s="75">
        <v>0</v>
      </c>
      <c r="AM21" s="75">
        <v>0</v>
      </c>
      <c r="AN21" s="75">
        <v>0</v>
      </c>
      <c r="AO21" s="75"/>
      <c r="AP21" s="75">
        <v>0</v>
      </c>
      <c r="AQ21" s="75">
        <v>0</v>
      </c>
      <c r="AR21" s="75">
        <v>0</v>
      </c>
      <c r="AS21" s="75">
        <v>0</v>
      </c>
      <c r="AT21" s="75">
        <v>0</v>
      </c>
      <c r="AW21" s="77">
        <v>0</v>
      </c>
      <c r="AX21"/>
      <c r="AY21" s="77">
        <f t="shared" si="8"/>
        <v>0</v>
      </c>
      <c r="AZ21" s="77">
        <f t="shared" si="9"/>
        <v>0</v>
      </c>
      <c r="BA21" s="77">
        <f t="shared" si="10"/>
        <v>0</v>
      </c>
      <c r="BB21" s="77">
        <f t="shared" si="11"/>
        <v>0</v>
      </c>
    </row>
    <row r="22" spans="1:54" ht="16">
      <c r="A22" s="48">
        <v>2300</v>
      </c>
      <c r="B22" s="81" t="s">
        <v>35</v>
      </c>
      <c r="C22" s="75">
        <f>SUMIF('TB Mitiga LTD'!A:A,'HARKAVA '!A22,'TB Mitiga LTD'!D:D)</f>
        <v>0</v>
      </c>
      <c r="D22" s="75">
        <f>SUMIF('Adj Entries Ltd'!$B$4:$B$954,A22,'Adj Entries Ltd'!$D$4:$D$954)</f>
        <v>0</v>
      </c>
      <c r="E22" s="75">
        <f>SUMIF('Adj Entries Ltd'!$B$4:$B$954,A22,'Adj Entries Ltd'!$E$4:$E$954)</f>
        <v>0</v>
      </c>
      <c r="F22" s="75">
        <f t="shared" si="3"/>
        <v>0</v>
      </c>
      <c r="H22" s="77">
        <f>SUMIF('TB US'!A:A,'HARKAVA '!A22,'TB US'!D:D)</f>
        <v>0</v>
      </c>
      <c r="I22" s="77">
        <f>SUMIF('Adj. entries US'!B:B,'HARKAVA '!A22,'Adj. entries US'!D:D)</f>
        <v>0</v>
      </c>
      <c r="J22" s="77">
        <f>SUMIF('Adj. entries US'!B:B,'HARKAVA '!A22,'Adj. entries US'!E:E)</f>
        <v>0</v>
      </c>
      <c r="K22" s="75">
        <f t="shared" si="4"/>
        <v>0</v>
      </c>
      <c r="M22" s="75">
        <f>SUMIF('TB UK'!A:A,'HARKAVA '!A22,'TB UK'!E:E)</f>
        <v>0</v>
      </c>
      <c r="N22" s="75">
        <f>SUMIF('Adj. Entries UK'!B:B,'HARKAVA '!A22,'Adj. Entries UK'!D:D)</f>
        <v>0</v>
      </c>
      <c r="O22" s="75">
        <f>SUMIF('Adj. Entries UK'!B:B,'HARKAVA '!A22,'Adj. Entries UK'!E:E)</f>
        <v>0</v>
      </c>
      <c r="P22" s="75">
        <f t="shared" si="5"/>
        <v>0</v>
      </c>
      <c r="Q22" s="75"/>
      <c r="R22" s="75">
        <f>SUMIF('TB security'!A:A,'HARKAVA '!A22,'TB security'!D:D)</f>
        <v>0</v>
      </c>
      <c r="S22" s="75">
        <f>SUMIF('Adj. Entries security'!B:B,'HARKAVA '!A22,'Adj. Entries security'!D:D)</f>
        <v>0</v>
      </c>
      <c r="T22" s="75">
        <f>SUMIF('Adj. Entries security'!B:B,'HARKAVA '!A22,'Adj. Entries security'!E:E)</f>
        <v>0</v>
      </c>
      <c r="U22" s="75">
        <f t="shared" si="6"/>
        <v>0</v>
      </c>
      <c r="V22" s="75">
        <f t="shared" si="7"/>
        <v>0</v>
      </c>
      <c r="Y22" s="77">
        <f t="shared" si="2"/>
        <v>0</v>
      </c>
      <c r="Z22" s="166" t="str">
        <f>LEFT(A22,2)</f>
        <v>23</v>
      </c>
      <c r="AD22" s="75">
        <v>0</v>
      </c>
      <c r="AF22" s="77">
        <v>0</v>
      </c>
      <c r="AG22" s="77">
        <v>0</v>
      </c>
      <c r="AH22" s="77">
        <v>0</v>
      </c>
      <c r="AI22" s="75">
        <v>0</v>
      </c>
      <c r="AK22" s="75">
        <v>0</v>
      </c>
      <c r="AL22" s="75">
        <v>0</v>
      </c>
      <c r="AM22" s="75">
        <v>0</v>
      </c>
      <c r="AN22" s="75">
        <v>0</v>
      </c>
      <c r="AO22" s="75"/>
      <c r="AP22" s="75">
        <v>0</v>
      </c>
      <c r="AQ22" s="75">
        <v>0</v>
      </c>
      <c r="AR22" s="75">
        <v>0</v>
      </c>
      <c r="AS22" s="75">
        <v>0</v>
      </c>
      <c r="AT22" s="75">
        <v>0</v>
      </c>
      <c r="AW22" s="77">
        <v>0</v>
      </c>
      <c r="AX22"/>
      <c r="AY22" s="77">
        <f t="shared" si="8"/>
        <v>0</v>
      </c>
      <c r="AZ22" s="77">
        <f t="shared" si="9"/>
        <v>0</v>
      </c>
      <c r="BA22" s="77">
        <f t="shared" si="10"/>
        <v>0</v>
      </c>
      <c r="BB22" s="77">
        <f t="shared" si="11"/>
        <v>0</v>
      </c>
    </row>
    <row r="23" spans="1:54" ht="16">
      <c r="A23" s="48">
        <v>2350</v>
      </c>
      <c r="B23" s="2" t="s">
        <v>36</v>
      </c>
      <c r="C23" s="75">
        <f>SUMIF('TB Mitiga LTD'!A:A,'HARKAVA '!A23,'TB Mitiga LTD'!D:D)</f>
        <v>0</v>
      </c>
      <c r="D23" s="75">
        <f>SUMIF('Adj Entries Ltd'!$B$4:$B$954,A23,'Adj Entries Ltd'!$D$4:$D$954)</f>
        <v>0</v>
      </c>
      <c r="E23" s="75">
        <f>SUMIF('Adj Entries Ltd'!$B$4:$B$954,A23,'Adj Entries Ltd'!$E$4:$E$954)</f>
        <v>0</v>
      </c>
      <c r="F23" s="75">
        <f t="shared" si="3"/>
        <v>0</v>
      </c>
      <c r="H23" s="77">
        <f>SUMIF('TB US'!A:A,'HARKAVA '!A23,'TB US'!D:D)</f>
        <v>0</v>
      </c>
      <c r="I23" s="77">
        <f>SUMIF('Adj. entries US'!B:B,'HARKAVA '!A23,'Adj. entries US'!D:D)</f>
        <v>0</v>
      </c>
      <c r="J23" s="77">
        <f>SUMIF('Adj. entries US'!B:B,'HARKAVA '!A23,'Adj. entries US'!E:E)</f>
        <v>0</v>
      </c>
      <c r="K23" s="75">
        <f t="shared" si="4"/>
        <v>0</v>
      </c>
      <c r="M23" s="75">
        <f>SUMIF('TB UK'!A:A,'HARKAVA '!A23,'TB UK'!E:E)</f>
        <v>0</v>
      </c>
      <c r="N23" s="75">
        <f>SUMIF('Adj. Entries UK'!B:B,'HARKAVA '!A23,'Adj. Entries UK'!D:D)</f>
        <v>0</v>
      </c>
      <c r="O23" s="75">
        <f>SUMIF('Adj. Entries UK'!B:B,'HARKAVA '!A23,'Adj. Entries UK'!E:E)</f>
        <v>0</v>
      </c>
      <c r="P23" s="75">
        <f t="shared" ref="P23" si="13">M23+N23-O23</f>
        <v>0</v>
      </c>
      <c r="Q23" s="75"/>
      <c r="R23" s="75">
        <f>SUMIF('TB security'!A:A,'HARKAVA '!A23,'TB security'!D:D)</f>
        <v>0</v>
      </c>
      <c r="S23" s="75">
        <f>SUMIF('Adj. Entries security'!B:B,'HARKAVA '!A23,'Adj. Entries security'!D:D)</f>
        <v>0</v>
      </c>
      <c r="T23" s="75">
        <f>SUMIF('Adj. Entries security'!B:B,'HARKAVA '!A23,'Adj. Entries security'!E:E)</f>
        <v>0</v>
      </c>
      <c r="U23" s="75">
        <f t="shared" si="6"/>
        <v>0</v>
      </c>
      <c r="V23" s="75">
        <f t="shared" si="7"/>
        <v>0</v>
      </c>
      <c r="Y23" s="77">
        <f t="shared" si="2"/>
        <v>0</v>
      </c>
      <c r="Z23" s="166">
        <v>25</v>
      </c>
      <c r="AD23" s="75">
        <v>0</v>
      </c>
      <c r="AF23" s="77">
        <v>0</v>
      </c>
      <c r="AG23" s="77">
        <v>0</v>
      </c>
      <c r="AH23" s="77">
        <v>0</v>
      </c>
      <c r="AI23" s="75">
        <v>0</v>
      </c>
      <c r="AK23" s="75">
        <v>0</v>
      </c>
      <c r="AL23" s="75">
        <v>0</v>
      </c>
      <c r="AM23" s="75">
        <v>0</v>
      </c>
      <c r="AN23" s="75">
        <v>0</v>
      </c>
      <c r="AO23" s="75"/>
      <c r="AP23" s="75">
        <v>0</v>
      </c>
      <c r="AQ23" s="75">
        <v>0</v>
      </c>
      <c r="AR23" s="75">
        <v>0</v>
      </c>
      <c r="AS23" s="75">
        <v>0</v>
      </c>
      <c r="AT23" s="75">
        <v>0</v>
      </c>
      <c r="AW23" s="77">
        <v>0</v>
      </c>
      <c r="AX23"/>
      <c r="AY23" s="77">
        <f t="shared" si="8"/>
        <v>0</v>
      </c>
      <c r="AZ23" s="77">
        <f t="shared" si="9"/>
        <v>0</v>
      </c>
      <c r="BA23" s="77">
        <f t="shared" si="10"/>
        <v>0</v>
      </c>
      <c r="BB23" s="77">
        <f t="shared" si="11"/>
        <v>0</v>
      </c>
    </row>
    <row r="24" spans="1:54" ht="16">
      <c r="A24" s="48">
        <v>2400</v>
      </c>
      <c r="B24" s="81" t="s">
        <v>37</v>
      </c>
      <c r="C24" s="369">
        <f>SUMIF('TB Mitiga LTD'!A:A,'HARKAVA '!A24,'TB Mitiga LTD'!D:D)</f>
        <v>129.63999999999999</v>
      </c>
      <c r="D24" s="75">
        <f>SUMIF('Adj Entries Ltd'!$B$4:$B$954,A24,'Adj Entries Ltd'!$D$4:$D$954)</f>
        <v>0</v>
      </c>
      <c r="E24" s="75">
        <f>SUMIF('Adj Entries Ltd'!$B$4:$B$954,A24,'Adj Entries Ltd'!$E$4:$E$954)</f>
        <v>0</v>
      </c>
      <c r="F24" s="369">
        <f t="shared" si="3"/>
        <v>129.63999999999999</v>
      </c>
      <c r="H24" s="77">
        <f>SUMIF('TB US'!A:A,'HARKAVA '!A24,'TB US'!D:D)</f>
        <v>0</v>
      </c>
      <c r="I24" s="77">
        <f>SUMIF('Adj. entries US'!B:B,'HARKAVA '!A24,'Adj. entries US'!D:D)</f>
        <v>0</v>
      </c>
      <c r="J24" s="77">
        <f>SUMIF('Adj. entries US'!B:B,'HARKAVA '!A24,'Adj. entries US'!E:E)</f>
        <v>0</v>
      </c>
      <c r="K24" s="75">
        <f t="shared" si="4"/>
        <v>0</v>
      </c>
      <c r="M24" s="75">
        <f>SUMIF('TB UK'!A:A,'HARKAVA '!A24,'TB UK'!E:E)</f>
        <v>0</v>
      </c>
      <c r="N24" s="75">
        <f>SUMIF('Adj. Entries UK'!B:B,'HARKAVA '!A24,'Adj. Entries UK'!D:D)</f>
        <v>0</v>
      </c>
      <c r="O24" s="75">
        <f>SUMIF('Adj. Entries UK'!B:B,'HARKAVA '!A24,'Adj. Entries UK'!E:E)</f>
        <v>0</v>
      </c>
      <c r="P24" s="75">
        <f t="shared" si="5"/>
        <v>0</v>
      </c>
      <c r="Q24" s="75"/>
      <c r="R24" s="369">
        <f>SUMIF('TB security'!A:A,'HARKAVA '!A24,'TB security'!D:D)</f>
        <v>320</v>
      </c>
      <c r="S24" s="75">
        <f>SUMIF('Adj. Entries security'!B:B,'HARKAVA '!A24,'Adj. Entries security'!D:D)</f>
        <v>0</v>
      </c>
      <c r="T24" s="75">
        <f>SUMIF('Adj. Entries security'!B:B,'HARKAVA '!A24,'Adj. Entries security'!E:E)</f>
        <v>0</v>
      </c>
      <c r="U24" s="369">
        <f t="shared" si="6"/>
        <v>320</v>
      </c>
      <c r="V24" s="75">
        <f t="shared" si="7"/>
        <v>449.64</v>
      </c>
      <c r="X24" s="77">
        <f>-V24</f>
        <v>-449.64</v>
      </c>
      <c r="Y24" s="77">
        <f t="shared" si="2"/>
        <v>0</v>
      </c>
      <c r="Z24" s="166" t="str">
        <f>LEFT(A24,2)</f>
        <v>24</v>
      </c>
      <c r="AD24" s="369">
        <v>129.63999999999999</v>
      </c>
      <c r="AF24" s="77">
        <v>0</v>
      </c>
      <c r="AG24" s="77">
        <v>0</v>
      </c>
      <c r="AH24" s="77">
        <v>0</v>
      </c>
      <c r="AI24" s="75">
        <v>0</v>
      </c>
      <c r="AK24" s="75">
        <v>0</v>
      </c>
      <c r="AL24" s="75">
        <v>0</v>
      </c>
      <c r="AM24" s="75">
        <v>0</v>
      </c>
      <c r="AN24" s="75">
        <v>0</v>
      </c>
      <c r="AO24" s="75"/>
      <c r="AP24" s="369">
        <v>320</v>
      </c>
      <c r="AQ24" s="75">
        <v>0</v>
      </c>
      <c r="AR24" s="75">
        <v>0</v>
      </c>
      <c r="AS24" s="369">
        <v>320</v>
      </c>
      <c r="AT24" s="75">
        <v>449.64</v>
      </c>
      <c r="AV24" s="77">
        <v>-449.64</v>
      </c>
      <c r="AW24" s="77">
        <v>0</v>
      </c>
      <c r="AX24"/>
      <c r="AY24" s="77">
        <f t="shared" si="8"/>
        <v>0</v>
      </c>
      <c r="AZ24" s="77">
        <f t="shared" si="9"/>
        <v>0</v>
      </c>
      <c r="BA24" s="77">
        <f t="shared" si="10"/>
        <v>0</v>
      </c>
      <c r="BB24" s="77">
        <f t="shared" si="11"/>
        <v>0</v>
      </c>
    </row>
    <row r="25" spans="1:54" ht="16">
      <c r="A25" s="48">
        <v>3100</v>
      </c>
      <c r="B25" s="81" t="s">
        <v>38</v>
      </c>
      <c r="C25" s="369">
        <f>SUMIF('TB Mitiga LTD'!A:A,'HARKAVA '!A25,'TB Mitiga LTD'!D:D)</f>
        <v>1431538.94</v>
      </c>
      <c r="D25" s="75">
        <f>SUMIF('Adj Entries Ltd'!$B$4:$B$954,A25,'Adj Entries Ltd'!$D$4:$D$954)</f>
        <v>0</v>
      </c>
      <c r="E25" s="75">
        <f>SUMIF('Adj Entries Ltd'!$B$4:$B$954,A25,'Adj Entries Ltd'!$E$4:$E$954)</f>
        <v>11383.25</v>
      </c>
      <c r="F25" s="369">
        <f t="shared" si="3"/>
        <v>1420155.69</v>
      </c>
      <c r="H25" s="77">
        <f>SUMIF('TB US'!A:A,'HARKAVA '!A25,'TB US'!D:D)</f>
        <v>0</v>
      </c>
      <c r="I25" s="77">
        <f>SUMIF('Adj. entries US'!B:B,'HARKAVA '!A25,'Adj. entries US'!D:D)</f>
        <v>0</v>
      </c>
      <c r="J25" s="77">
        <f>SUMIF('Adj. entries US'!B:B,'HARKAVA '!A25,'Adj. entries US'!E:E)</f>
        <v>0</v>
      </c>
      <c r="K25" s="75">
        <f t="shared" si="4"/>
        <v>0</v>
      </c>
      <c r="M25" s="369">
        <f>SUMIF('TB UK'!A:A,'HARKAVA '!A25,'TB UK'!E:E)</f>
        <v>26887.96</v>
      </c>
      <c r="N25" s="75">
        <f>SUMIF('Adj. Entries UK'!B:B,'HARKAVA '!A25,'Adj. Entries UK'!D:D)</f>
        <v>0</v>
      </c>
      <c r="O25" s="75">
        <f>SUMIF('Adj. Entries UK'!B:B,'HARKAVA '!A25,'Adj. Entries UK'!E:E)</f>
        <v>0</v>
      </c>
      <c r="P25" s="369">
        <f t="shared" si="5"/>
        <v>26887.96</v>
      </c>
      <c r="Q25" s="75"/>
      <c r="R25" s="369">
        <f>SUMIF('TB security'!A:A,'HARKAVA '!A25,'TB security'!D:D)</f>
        <v>50601.48</v>
      </c>
      <c r="S25" s="75">
        <f>SUMIF('Adj. Entries security'!B:B,'HARKAVA '!A25,'Adj. Entries security'!D:D)</f>
        <v>0</v>
      </c>
      <c r="T25" s="75">
        <f>SUMIF('Adj. Entries security'!B:B,'HARKAVA '!A25,'Adj. Entries security'!E:E)</f>
        <v>0</v>
      </c>
      <c r="U25" s="369">
        <f t="shared" si="6"/>
        <v>50601.48</v>
      </c>
      <c r="V25" s="75">
        <f t="shared" si="7"/>
        <v>1497645.13</v>
      </c>
      <c r="Y25" s="77">
        <f t="shared" si="2"/>
        <v>1497645.13</v>
      </c>
      <c r="Z25" s="166" t="str">
        <f>LEFT(A25,2)</f>
        <v>31</v>
      </c>
      <c r="AD25" s="369">
        <v>1431538.94</v>
      </c>
      <c r="AF25" s="77">
        <v>0</v>
      </c>
      <c r="AG25" s="77">
        <v>0</v>
      </c>
      <c r="AH25" s="77">
        <v>0</v>
      </c>
      <c r="AI25" s="75">
        <v>0</v>
      </c>
      <c r="AK25" s="369">
        <v>26887.96</v>
      </c>
      <c r="AL25" s="75">
        <v>0</v>
      </c>
      <c r="AM25" s="75">
        <v>0</v>
      </c>
      <c r="AN25" s="369">
        <v>26887.96</v>
      </c>
      <c r="AO25" s="75"/>
      <c r="AP25" s="369">
        <v>50601.48</v>
      </c>
      <c r="AQ25" s="75">
        <v>0</v>
      </c>
      <c r="AR25" s="75">
        <v>0</v>
      </c>
      <c r="AS25" s="369">
        <v>50601.48</v>
      </c>
      <c r="AT25" s="75">
        <v>1509028.38</v>
      </c>
      <c r="AW25" s="77">
        <v>1509028.38</v>
      </c>
      <c r="AX25"/>
      <c r="AY25" s="77">
        <f t="shared" si="8"/>
        <v>-11383.25</v>
      </c>
      <c r="AZ25" s="77">
        <f t="shared" si="9"/>
        <v>0</v>
      </c>
      <c r="BA25" s="77">
        <f t="shared" si="10"/>
        <v>0</v>
      </c>
      <c r="BB25" s="77">
        <f t="shared" si="11"/>
        <v>0</v>
      </c>
    </row>
    <row r="26" spans="1:54" ht="16">
      <c r="A26" s="48">
        <v>3110</v>
      </c>
      <c r="B26" s="85" t="s">
        <v>39</v>
      </c>
      <c r="C26" s="369">
        <f>SUMIF('TB Mitiga LTD'!A:A,'HARKAVA '!A26,'TB Mitiga LTD'!D:D)</f>
        <v>-93369</v>
      </c>
      <c r="D26" s="75">
        <f>SUMIF('Adj Entries Ltd'!$B$4:$B$954,A26,'Adj Entries Ltd'!$D$4:$D$954)</f>
        <v>0</v>
      </c>
      <c r="E26" s="75">
        <f>SUMIF('Adj Entries Ltd'!$B$4:$B$954,A26,'Adj Entries Ltd'!$E$4:$E$954)</f>
        <v>0</v>
      </c>
      <c r="F26" s="369">
        <f t="shared" si="3"/>
        <v>-93369</v>
      </c>
      <c r="H26" s="77">
        <f>SUMIF('TB US'!A:A,'HARKAVA '!A26,'TB US'!D:D)</f>
        <v>0</v>
      </c>
      <c r="I26" s="77">
        <f>SUMIF('Adj. entries US'!B:B,'HARKAVA '!A26,'Adj. entries US'!D:D)</f>
        <v>0</v>
      </c>
      <c r="J26" s="77">
        <f>SUMIF('Adj. entries US'!B:B,'HARKAVA '!A26,'Adj. entries US'!E:E)</f>
        <v>0</v>
      </c>
      <c r="K26" s="75">
        <f t="shared" si="4"/>
        <v>0</v>
      </c>
      <c r="M26" s="369">
        <f>SUMIF('TB UK'!A:A,'HARKAVA '!A26,'TB UK'!E:E)</f>
        <v>-9443</v>
      </c>
      <c r="N26" s="75">
        <f>SUMIF('Adj. Entries UK'!B:B,'HARKAVA '!A26,'Adj. Entries UK'!D:D)</f>
        <v>0</v>
      </c>
      <c r="O26" s="75">
        <f>SUMIF('Adj. Entries UK'!B:B,'HARKAVA '!A26,'Adj. Entries UK'!E:E)</f>
        <v>0</v>
      </c>
      <c r="P26" s="369">
        <f t="shared" si="5"/>
        <v>-9443</v>
      </c>
      <c r="Q26" s="75"/>
      <c r="R26" s="369">
        <f>SUMIF('TB security'!A:A,'HARKAVA '!A26,'TB security'!D:D)</f>
        <v>-3702</v>
      </c>
      <c r="S26" s="75">
        <f>SUMIF('Adj. Entries security'!B:B,'HARKAVA '!A26,'Adj. Entries security'!D:D)</f>
        <v>0</v>
      </c>
      <c r="T26" s="75">
        <f>SUMIF('Adj. Entries security'!B:B,'HARKAVA '!A26,'Adj. Entries security'!E:E)</f>
        <v>0</v>
      </c>
      <c r="U26" s="369">
        <f t="shared" si="6"/>
        <v>-3702</v>
      </c>
      <c r="V26" s="75">
        <f t="shared" si="7"/>
        <v>-106514</v>
      </c>
      <c r="Y26" s="77">
        <f t="shared" si="2"/>
        <v>-106514</v>
      </c>
      <c r="Z26" s="166" t="str">
        <f>LEFT(A26,2)</f>
        <v>31</v>
      </c>
      <c r="AD26" s="369">
        <v>-93369</v>
      </c>
      <c r="AF26" s="77">
        <v>0</v>
      </c>
      <c r="AG26" s="77">
        <v>0</v>
      </c>
      <c r="AH26" s="77">
        <v>0</v>
      </c>
      <c r="AI26" s="75">
        <v>0</v>
      </c>
      <c r="AK26" s="369">
        <v>-9443</v>
      </c>
      <c r="AL26" s="75">
        <v>0</v>
      </c>
      <c r="AM26" s="75">
        <v>0</v>
      </c>
      <c r="AN26" s="369">
        <v>-9443</v>
      </c>
      <c r="AO26" s="75"/>
      <c r="AP26" s="369">
        <v>-3702</v>
      </c>
      <c r="AQ26" s="75">
        <v>0</v>
      </c>
      <c r="AR26" s="75">
        <v>0</v>
      </c>
      <c r="AS26" s="369">
        <v>-3702</v>
      </c>
      <c r="AT26" s="75">
        <v>-106514</v>
      </c>
      <c r="AW26" s="77">
        <v>-106514</v>
      </c>
      <c r="AX26"/>
      <c r="AY26" s="77">
        <f t="shared" si="8"/>
        <v>0</v>
      </c>
      <c r="AZ26" s="77">
        <f t="shared" si="9"/>
        <v>0</v>
      </c>
      <c r="BA26" s="77">
        <f t="shared" si="10"/>
        <v>0</v>
      </c>
      <c r="BB26" s="77">
        <f t="shared" si="11"/>
        <v>0</v>
      </c>
    </row>
    <row r="27" spans="1:54" ht="16">
      <c r="A27" s="48">
        <v>3200</v>
      </c>
      <c r="B27" s="81" t="s">
        <v>40</v>
      </c>
      <c r="C27" s="75">
        <f>SUMIF('TB Mitiga LTD'!A:A,'HARKAVA '!A27,'TB Mitiga LTD'!D:D)</f>
        <v>0</v>
      </c>
      <c r="D27" s="75">
        <f>SUMIF('Adj Entries Ltd'!$B$4:$B$954,A27,'Adj Entries Ltd'!$D$4:$D$954)</f>
        <v>0</v>
      </c>
      <c r="E27" s="75">
        <f>SUMIF('Adj Entries Ltd'!$B$4:$B$954,A27,'Adj Entries Ltd'!$E$4:$E$954)</f>
        <v>0</v>
      </c>
      <c r="F27" s="75">
        <f t="shared" si="3"/>
        <v>0</v>
      </c>
      <c r="H27" s="77">
        <f>SUMIF('TB US'!A:A,'HARKAVA '!A27,'TB US'!D:D)</f>
        <v>0</v>
      </c>
      <c r="I27" s="77">
        <f>SUMIF('Adj. entries US'!B:B,'HARKAVA '!A27,'Adj. entries US'!D:D)</f>
        <v>0</v>
      </c>
      <c r="J27" s="77">
        <f>SUMIF('Adj. entries US'!B:B,'HARKAVA '!A27,'Adj. entries US'!E:E)</f>
        <v>0</v>
      </c>
      <c r="K27" s="75">
        <f t="shared" si="4"/>
        <v>0</v>
      </c>
      <c r="M27" s="75">
        <f>SUMIF('TB UK'!A:A,'HARKAVA '!A27,'TB UK'!E:E)</f>
        <v>0</v>
      </c>
      <c r="N27" s="75">
        <f>SUMIF('Adj. Entries UK'!B:B,'HARKAVA '!A27,'Adj. Entries UK'!D:D)</f>
        <v>0</v>
      </c>
      <c r="O27" s="75">
        <f>SUMIF('Adj. Entries UK'!B:B,'HARKAVA '!A27,'Adj. Entries UK'!E:E)</f>
        <v>0</v>
      </c>
      <c r="P27" s="75">
        <f t="shared" si="5"/>
        <v>0</v>
      </c>
      <c r="Q27" s="75"/>
      <c r="R27" s="75">
        <f>SUMIF('TB security'!A:A,'HARKAVA '!A27,'TB security'!D:D)</f>
        <v>0</v>
      </c>
      <c r="S27" s="75">
        <f>SUMIF('Adj. Entries security'!B:B,'HARKAVA '!A27,'Adj. Entries security'!D:D)</f>
        <v>0</v>
      </c>
      <c r="T27" s="75">
        <f>SUMIF('Adj. Entries security'!B:B,'HARKAVA '!A27,'Adj. Entries security'!E:E)</f>
        <v>0</v>
      </c>
      <c r="U27" s="75">
        <f t="shared" si="6"/>
        <v>0</v>
      </c>
      <c r="V27" s="75">
        <f t="shared" si="7"/>
        <v>0</v>
      </c>
      <c r="Y27" s="77">
        <f t="shared" si="2"/>
        <v>0</v>
      </c>
      <c r="Z27" s="166" t="str">
        <f>LEFT(A27,2)</f>
        <v>32</v>
      </c>
      <c r="AD27" s="75">
        <v>0</v>
      </c>
      <c r="AF27" s="77">
        <v>0</v>
      </c>
      <c r="AG27" s="77">
        <v>0</v>
      </c>
      <c r="AH27" s="77">
        <v>0</v>
      </c>
      <c r="AI27" s="75">
        <v>0</v>
      </c>
      <c r="AK27" s="75">
        <v>0</v>
      </c>
      <c r="AL27" s="75">
        <v>0</v>
      </c>
      <c r="AM27" s="75">
        <v>0</v>
      </c>
      <c r="AN27" s="75">
        <v>0</v>
      </c>
      <c r="AO27" s="75"/>
      <c r="AP27" s="75">
        <v>0</v>
      </c>
      <c r="AQ27" s="75">
        <v>0</v>
      </c>
      <c r="AR27" s="75">
        <v>0</v>
      </c>
      <c r="AS27" s="75">
        <v>0</v>
      </c>
      <c r="AT27" s="75">
        <v>0</v>
      </c>
      <c r="AW27" s="77">
        <v>0</v>
      </c>
      <c r="AX27"/>
      <c r="AY27" s="523">
        <f t="shared" si="8"/>
        <v>0</v>
      </c>
      <c r="AZ27" s="523">
        <f t="shared" si="9"/>
        <v>0</v>
      </c>
      <c r="BA27" s="523">
        <f t="shared" si="10"/>
        <v>0</v>
      </c>
      <c r="BB27" s="523">
        <f t="shared" si="11"/>
        <v>0</v>
      </c>
    </row>
    <row r="28" spans="1:54" s="88" customFormat="1" ht="16">
      <c r="A28" s="86"/>
      <c r="B28" s="87"/>
      <c r="C28" s="464">
        <f>SUM(C6:C27)</f>
        <v>5552403.6600000001</v>
      </c>
      <c r="D28" s="464">
        <f>SUM(D6:D27)</f>
        <v>3011383.25</v>
      </c>
      <c r="E28" s="80">
        <f>SUM(E6:E27)</f>
        <v>11383.25</v>
      </c>
      <c r="F28" s="464">
        <f>SUM(F6:F27)</f>
        <v>8552403.6600000001</v>
      </c>
      <c r="G28" s="80"/>
      <c r="H28" s="464">
        <f>SUM(H6:H27)</f>
        <v>67042.28</v>
      </c>
      <c r="I28" s="80">
        <f>SUM(I6:I27)</f>
        <v>0</v>
      </c>
      <c r="J28" s="80">
        <f>SUM(J6:J27)</f>
        <v>0</v>
      </c>
      <c r="K28" s="464">
        <f>SUM(K6:K27)</f>
        <v>67042.28</v>
      </c>
      <c r="L28" s="80"/>
      <c r="M28" s="464">
        <f>SUM(M6:M27)</f>
        <v>683194.86</v>
      </c>
      <c r="N28" s="80">
        <f>SUM(N6:N27)</f>
        <v>0</v>
      </c>
      <c r="O28" s="80">
        <f>SUM(O6:O27)</f>
        <v>0</v>
      </c>
      <c r="P28" s="464">
        <f>SUM(P6:P27)</f>
        <v>683194.86</v>
      </c>
      <c r="Q28" s="80"/>
      <c r="R28" s="464">
        <f>SUM(R6:R27)</f>
        <v>14917461.24</v>
      </c>
      <c r="S28" s="80">
        <f>SUM(S6:S27)</f>
        <v>0</v>
      </c>
      <c r="T28" s="80">
        <f>SUM(T6:T27)</f>
        <v>0</v>
      </c>
      <c r="U28" s="464">
        <f>SUM(U6:U27)</f>
        <v>14917461.24</v>
      </c>
      <c r="V28" s="80">
        <f>SUM(V6:V27)</f>
        <v>24220102.039999999</v>
      </c>
      <c r="X28" s="80">
        <f>SUM(X6:X27)</f>
        <v>-1020955.19</v>
      </c>
      <c r="Y28" s="80">
        <f>SUM(Y6:Y27)</f>
        <v>23199146.849999998</v>
      </c>
      <c r="Z28" s="166" t="str">
        <f>LEFT(A28,2)</f>
        <v/>
      </c>
      <c r="AA28" s="91"/>
      <c r="AD28" s="464">
        <v>8622653.6600000001</v>
      </c>
      <c r="AE28" s="80"/>
      <c r="AF28" s="464">
        <v>67042.28</v>
      </c>
      <c r="AG28" s="80">
        <v>0</v>
      </c>
      <c r="AH28" s="80">
        <v>0</v>
      </c>
      <c r="AI28" s="464">
        <v>67042.28</v>
      </c>
      <c r="AJ28" s="80"/>
      <c r="AK28" s="464">
        <v>683194.86</v>
      </c>
      <c r="AL28" s="80">
        <v>0</v>
      </c>
      <c r="AM28" s="80">
        <v>0</v>
      </c>
      <c r="AN28" s="464">
        <v>683194.86</v>
      </c>
      <c r="AO28" s="80"/>
      <c r="AP28" s="464">
        <v>14847211.24</v>
      </c>
      <c r="AQ28" s="80">
        <v>0</v>
      </c>
      <c r="AR28" s="80">
        <v>0</v>
      </c>
      <c r="AS28" s="464">
        <v>14847211.24</v>
      </c>
      <c r="AT28" s="80">
        <v>24220102.039999999</v>
      </c>
      <c r="AV28" s="80">
        <v>-648038.18999999994</v>
      </c>
      <c r="AW28" s="80">
        <v>23572063.849999998</v>
      </c>
      <c r="AX28"/>
      <c r="AY28" s="77">
        <f t="shared" si="8"/>
        <v>-70250</v>
      </c>
      <c r="AZ28" s="77">
        <f t="shared" si="9"/>
        <v>0</v>
      </c>
      <c r="BA28" s="77">
        <f t="shared" si="10"/>
        <v>70250</v>
      </c>
      <c r="BB28" s="77">
        <f t="shared" si="11"/>
        <v>-372917</v>
      </c>
    </row>
    <row r="29" spans="1:54" ht="16">
      <c r="AX29"/>
      <c r="AY29" s="77">
        <f t="shared" si="8"/>
        <v>0</v>
      </c>
      <c r="AZ29" s="77">
        <f t="shared" si="9"/>
        <v>0</v>
      </c>
      <c r="BA29" s="77">
        <f t="shared" si="10"/>
        <v>0</v>
      </c>
      <c r="BB29" s="77">
        <f t="shared" si="11"/>
        <v>0</v>
      </c>
    </row>
    <row r="30" spans="1:54" ht="16">
      <c r="B30" s="89"/>
      <c r="AX30"/>
      <c r="AY30" s="77">
        <f t="shared" si="8"/>
        <v>0</v>
      </c>
      <c r="AZ30" s="77">
        <f t="shared" si="9"/>
        <v>0</v>
      </c>
      <c r="BA30" s="77">
        <f t="shared" si="10"/>
        <v>0</v>
      </c>
      <c r="BB30" s="77">
        <f t="shared" si="11"/>
        <v>0</v>
      </c>
    </row>
    <row r="31" spans="1:54" ht="16">
      <c r="C31" s="90"/>
      <c r="Z31" s="166" t="str">
        <f>LEFT(A31,2)</f>
        <v/>
      </c>
      <c r="AX31"/>
      <c r="AY31" s="77">
        <f t="shared" si="8"/>
        <v>0</v>
      </c>
      <c r="AZ31" s="77">
        <f t="shared" si="9"/>
        <v>0</v>
      </c>
      <c r="BA31" s="77">
        <f t="shared" si="10"/>
        <v>0</v>
      </c>
      <c r="BB31" s="77">
        <f t="shared" si="11"/>
        <v>0</v>
      </c>
    </row>
    <row r="32" spans="1:54" ht="16">
      <c r="A32" s="48">
        <v>3300</v>
      </c>
      <c r="B32" s="81" t="s">
        <v>41</v>
      </c>
      <c r="C32" s="75">
        <f>SUMIF('TB Mitiga LTD'!A:A,'HARKAVA '!A32,'TB Mitiga LTD'!D:D)</f>
        <v>0</v>
      </c>
      <c r="D32" s="75">
        <f>SUMIF('Adj Entries Ltd'!$B$4:$B$954,A32,'Adj Entries Ltd'!$D$4:$D$954)</f>
        <v>0</v>
      </c>
      <c r="E32" s="75">
        <f>SUMIF('Adj Entries Ltd'!$B$4:$B$954,A32,'Adj Entries Ltd'!$E$4:$E$954)</f>
        <v>0</v>
      </c>
      <c r="F32" s="75">
        <f t="shared" ref="F32" si="14">(+C32+D32-E32)</f>
        <v>0</v>
      </c>
      <c r="H32" s="77">
        <f>SUMIF('TB US'!A:A,'HARKAVA '!A32,'TB US'!D:D)</f>
        <v>0</v>
      </c>
      <c r="I32" s="77">
        <f>SUMIF('Adj. entries US'!B:B,'HARKAVA '!A32,'Adj. entries US'!D:D)</f>
        <v>0</v>
      </c>
      <c r="J32" s="77">
        <f>SUMIF('Adj. entries US'!B:B,'HARKAVA '!A32,'Adj. entries US'!E:E)</f>
        <v>0</v>
      </c>
      <c r="K32" s="75">
        <f t="shared" ref="K32:K57" si="15">H32+I32-J32</f>
        <v>0</v>
      </c>
      <c r="M32" s="75">
        <f>SUMIF('TB UK'!A:A,'HARKAVA '!A32,'TB UK'!E:E)</f>
        <v>0</v>
      </c>
      <c r="N32" s="75">
        <f>SUMIF('Adj. Entries UK'!B:B,'HARKAVA '!A32,'Adj. Entries UK'!D:D)</f>
        <v>0</v>
      </c>
      <c r="O32" s="75">
        <f>SUMIF('Adj. Entries UK'!B:B,'HARKAVA '!A32,'Adj. Entries UK'!E:E)</f>
        <v>0</v>
      </c>
      <c r="P32" s="75">
        <f t="shared" ref="P32:P57" si="16">M32+N32-O32</f>
        <v>0</v>
      </c>
      <c r="Q32" s="75"/>
      <c r="R32" s="75">
        <f>SUMIF('TB security'!A:A,'HARKAVA '!A32,'TB security'!D:D)</f>
        <v>0</v>
      </c>
      <c r="S32" s="75">
        <f>SUMIF('Adj. Entries security'!B:B,'HARKAVA '!A32,'Adj. Entries security'!D:D)</f>
        <v>0</v>
      </c>
      <c r="T32" s="75">
        <f>SUMIF('Adj. Entries security'!B:B,'HARKAVA '!A32,'Adj. Entries security'!E:E)</f>
        <v>0</v>
      </c>
      <c r="U32" s="75">
        <f t="shared" ref="U32:U57" si="17">R32+S32-T32</f>
        <v>0</v>
      </c>
      <c r="V32" s="75">
        <f t="shared" ref="V32:V57" si="18">P32+F32+U32+K32</f>
        <v>0</v>
      </c>
      <c r="Y32" s="77">
        <f t="shared" ref="Y32:Y57" si="19">V32+X32</f>
        <v>0</v>
      </c>
      <c r="Z32" s="166">
        <v>33</v>
      </c>
      <c r="AD32" s="75">
        <v>0</v>
      </c>
      <c r="AF32" s="77">
        <v>0</v>
      </c>
      <c r="AG32" s="77">
        <v>0</v>
      </c>
      <c r="AH32" s="77">
        <v>0</v>
      </c>
      <c r="AI32" s="75">
        <v>0</v>
      </c>
      <c r="AK32" s="75">
        <v>0</v>
      </c>
      <c r="AL32" s="75">
        <v>0</v>
      </c>
      <c r="AM32" s="75">
        <v>0</v>
      </c>
      <c r="AN32" s="75">
        <v>0</v>
      </c>
      <c r="AO32" s="75"/>
      <c r="AP32" s="75">
        <v>0</v>
      </c>
      <c r="AQ32" s="75">
        <v>0</v>
      </c>
      <c r="AR32" s="75">
        <v>0</v>
      </c>
      <c r="AS32" s="75">
        <v>0</v>
      </c>
      <c r="AT32" s="75">
        <v>0</v>
      </c>
      <c r="AW32" s="77">
        <v>0</v>
      </c>
      <c r="AX32"/>
      <c r="AY32" s="77">
        <f t="shared" si="8"/>
        <v>0</v>
      </c>
      <c r="AZ32" s="77">
        <f t="shared" si="9"/>
        <v>0</v>
      </c>
      <c r="BA32" s="77">
        <f t="shared" si="10"/>
        <v>0</v>
      </c>
      <c r="BB32" s="77">
        <f t="shared" si="11"/>
        <v>0</v>
      </c>
    </row>
    <row r="33" spans="1:55" ht="16">
      <c r="A33" s="48">
        <v>3400</v>
      </c>
      <c r="B33" s="81" t="s">
        <v>42</v>
      </c>
      <c r="C33" s="369">
        <f>SUMIF('TB Mitiga LTD'!A:A,'HARKAVA '!A33,'TB Mitiga LTD'!D:D)</f>
        <v>-552171.50999999989</v>
      </c>
      <c r="D33" s="75">
        <f>SUMIF('Adj Entries Ltd'!$B$4:$B$954,A33,'Adj Entries Ltd'!$D$4:$D$954)</f>
        <v>0</v>
      </c>
      <c r="E33" s="369">
        <f>SUMIF('Adj Entries Ltd'!$B$4:$B$954,A33,'Adj Entries Ltd'!$E$4:$E$954)</f>
        <v>2081.9935691318328</v>
      </c>
      <c r="F33" s="369">
        <f t="shared" ref="F33:F57" si="20">(+C33+D33-E33)</f>
        <v>-554253.50356913172</v>
      </c>
      <c r="H33" s="77">
        <f>SUMIF('TB US'!A:A,'HARKAVA '!A33,'TB US'!D:D)</f>
        <v>0</v>
      </c>
      <c r="I33" s="77">
        <f>SUMIF('Adj. entries US'!B:B,'HARKAVA '!A33,'Adj. entries US'!D:D)</f>
        <v>0</v>
      </c>
      <c r="J33" s="77">
        <f>SUMIF('Adj. entries US'!B:B,'HARKAVA '!A33,'Adj. entries US'!E:E)</f>
        <v>0</v>
      </c>
      <c r="K33" s="75">
        <f t="shared" si="15"/>
        <v>0</v>
      </c>
      <c r="M33" s="369">
        <f>SUMIF('TB UK'!A:A,'HARKAVA '!A33,'TB UK'!E:E)</f>
        <v>-2567.0299999999997</v>
      </c>
      <c r="N33" s="75">
        <f>SUMIF('Adj. Entries UK'!B:B,'HARKAVA '!A33,'Adj. Entries UK'!D:D)</f>
        <v>0</v>
      </c>
      <c r="O33" s="75">
        <f>SUMIF('Adj. Entries UK'!B:B,'HARKAVA '!A33,'Adj. Entries UK'!E:E)</f>
        <v>0</v>
      </c>
      <c r="P33" s="369">
        <f>M33+N33-O33</f>
        <v>-2567.0299999999997</v>
      </c>
      <c r="Q33" s="75"/>
      <c r="R33" s="369">
        <f>SUMIF('TB security'!A:A,'HARKAVA '!A33,'TB security'!D:D)</f>
        <v>-115788.09</v>
      </c>
      <c r="S33" s="75">
        <f>SUMIF('Adj. Entries security'!B:B,'HARKAVA '!A33,'Adj. Entries security'!D:D)</f>
        <v>0</v>
      </c>
      <c r="T33" s="75">
        <f>SUMIF('Adj. Entries security'!B:B,'HARKAVA '!A33,'Adj. Entries security'!E:E)</f>
        <v>0</v>
      </c>
      <c r="U33" s="369">
        <f t="shared" si="17"/>
        <v>-115788.09</v>
      </c>
      <c r="V33" s="75">
        <f t="shared" si="18"/>
        <v>-672608.62356913171</v>
      </c>
      <c r="Y33" s="77">
        <f t="shared" si="19"/>
        <v>-672608.62356913171</v>
      </c>
      <c r="Z33" s="166" t="str">
        <f>LEFT(A33,2)</f>
        <v>34</v>
      </c>
      <c r="AC33" s="81"/>
      <c r="AD33" s="369">
        <v>-554253.50356913172</v>
      </c>
      <c r="AF33" s="77">
        <v>0</v>
      </c>
      <c r="AG33" s="77">
        <v>0</v>
      </c>
      <c r="AH33" s="77">
        <v>0</v>
      </c>
      <c r="AI33" s="75">
        <v>0</v>
      </c>
      <c r="AK33" s="369">
        <v>-2567.0299999999997</v>
      </c>
      <c r="AL33" s="75">
        <v>0</v>
      </c>
      <c r="AM33" s="75">
        <v>0</v>
      </c>
      <c r="AN33" s="369">
        <v>-2567.0299999999997</v>
      </c>
      <c r="AO33" s="75"/>
      <c r="AP33" s="369">
        <v>-115788.09</v>
      </c>
      <c r="AQ33" s="75">
        <v>0</v>
      </c>
      <c r="AR33" s="75">
        <v>0</v>
      </c>
      <c r="AS33" s="369">
        <v>-115788.09</v>
      </c>
      <c r="AT33" s="75">
        <v>-672608.62356913171</v>
      </c>
      <c r="AW33" s="77">
        <v>-672608.62356913171</v>
      </c>
      <c r="AX33"/>
      <c r="AY33" s="77">
        <f t="shared" si="8"/>
        <v>0</v>
      </c>
      <c r="AZ33" s="77">
        <f t="shared" si="9"/>
        <v>0</v>
      </c>
      <c r="BA33" s="77">
        <f t="shared" si="10"/>
        <v>0</v>
      </c>
      <c r="BB33" s="77">
        <f t="shared" si="11"/>
        <v>0</v>
      </c>
    </row>
    <row r="34" spans="1:55" ht="16">
      <c r="A34" s="48">
        <v>3500</v>
      </c>
      <c r="B34" s="81" t="s">
        <v>43</v>
      </c>
      <c r="C34" s="369">
        <f>SUMIF('TB Mitiga LTD'!A:A,'HARKAVA '!A34,'TB Mitiga LTD'!D:D)</f>
        <v>-5950440.3799999999</v>
      </c>
      <c r="D34" s="528">
        <f>SUMIF('Adj Entries Ltd'!$B$4:$B$954,A34,'Adj Entries Ltd'!$D$4:$D$954)</f>
        <v>61840</v>
      </c>
      <c r="E34" s="529">
        <f>SUMIF('Adj Entries Ltd'!$B$4:$B$954,A34,'Adj Entries Ltd'!$E$4:$E$954)</f>
        <v>5771962</v>
      </c>
      <c r="F34" s="369">
        <f t="shared" si="20"/>
        <v>-11660562.379999999</v>
      </c>
      <c r="H34" s="463">
        <f>SUMIF('TB US'!A:A,'HARKAVA '!A34,'TB US'!D:D)</f>
        <v>-2502.0300000000002</v>
      </c>
      <c r="I34" s="77">
        <f>SUMIF('Adj. entries US'!B:B,'HARKAVA '!A34,'Adj. entries US'!D:D)</f>
        <v>0</v>
      </c>
      <c r="J34" s="77">
        <f>SUMIF('Adj. entries US'!B:B,'HARKAVA '!A34,'Adj. entries US'!E:E)</f>
        <v>61840</v>
      </c>
      <c r="K34" s="369">
        <f t="shared" si="15"/>
        <v>-64342.03</v>
      </c>
      <c r="M34" s="369">
        <f>SUMIF('TB UK'!A:A,'HARKAVA '!A34,'TB UK'!E:E)</f>
        <v>-1602566.15</v>
      </c>
      <c r="N34" s="75">
        <f>SUMIF('Adj. Entries UK'!B:B,'HARKAVA '!A34,'Adj. Entries UK'!D:D)</f>
        <v>1265642.5249999999</v>
      </c>
      <c r="O34" s="75">
        <f>SUMIF('Adj. Entries UK'!B:B,'HARKAVA '!A34,'Adj. Entries UK'!E:E)</f>
        <v>0</v>
      </c>
      <c r="P34" s="369">
        <f t="shared" si="16"/>
        <v>-336923.625</v>
      </c>
      <c r="Q34" s="75"/>
      <c r="R34" s="369">
        <f>SUMIF('TB security'!A:A,'HARKAVA '!A34,'TB security'!D:D)</f>
        <v>9535002.290000001</v>
      </c>
      <c r="S34" s="75">
        <f>SUMIF('Adj. Entries security'!B:B,'HARKAVA '!A34,'Adj. Entries security'!D:D)</f>
        <v>1877446</v>
      </c>
      <c r="T34" s="75">
        <f>SUMIF('Adj. Entries security'!B:B,'HARKAVA '!A34,'Adj. Entries security'!E:E)</f>
        <v>414915</v>
      </c>
      <c r="U34" s="369">
        <f t="shared" si="17"/>
        <v>10997533.290000001</v>
      </c>
      <c r="V34" s="75">
        <f t="shared" si="18"/>
        <v>-1064294.744999998</v>
      </c>
      <c r="X34" s="77">
        <f>-V34</f>
        <v>1064294.744999998</v>
      </c>
      <c r="Y34" s="77">
        <f t="shared" si="19"/>
        <v>0</v>
      </c>
      <c r="Z34" s="166">
        <v>36</v>
      </c>
      <c r="AC34" s="81"/>
      <c r="AD34" s="369">
        <v>-11546524.379999999</v>
      </c>
      <c r="AF34" s="463">
        <v>-2502.0300000000002</v>
      </c>
      <c r="AG34" s="77">
        <v>0</v>
      </c>
      <c r="AH34" s="77">
        <v>61840</v>
      </c>
      <c r="AI34" s="369">
        <v>-64342.03</v>
      </c>
      <c r="AK34" s="369">
        <v>-1602566.15</v>
      </c>
      <c r="AL34" s="75">
        <v>1149913</v>
      </c>
      <c r="AM34" s="75">
        <v>0</v>
      </c>
      <c r="AN34" s="369">
        <v>-452653.14999999991</v>
      </c>
      <c r="AO34" s="75"/>
      <c r="AP34" s="369">
        <v>9535002.290000001</v>
      </c>
      <c r="AQ34" s="75">
        <v>1922926</v>
      </c>
      <c r="AR34" s="75">
        <v>414915</v>
      </c>
      <c r="AS34" s="369">
        <v>11043013.290000001</v>
      </c>
      <c r="AT34" s="75">
        <v>-1020506.2699999984</v>
      </c>
      <c r="AV34" s="77">
        <v>1020506.2699999984</v>
      </c>
      <c r="AW34" s="77">
        <v>0</v>
      </c>
      <c r="AX34"/>
      <c r="AY34" s="77">
        <f t="shared" si="8"/>
        <v>-114038</v>
      </c>
      <c r="AZ34" s="77">
        <f t="shared" si="9"/>
        <v>115729.52499999991</v>
      </c>
      <c r="BA34" s="77">
        <f t="shared" si="10"/>
        <v>-45480</v>
      </c>
      <c r="BB34" s="77">
        <f t="shared" si="11"/>
        <v>43788.474999999627</v>
      </c>
      <c r="BC34" s="77" t="s">
        <v>44</v>
      </c>
    </row>
    <row r="35" spans="1:55" ht="16">
      <c r="A35" s="48">
        <v>3600</v>
      </c>
      <c r="B35" s="81" t="s">
        <v>45</v>
      </c>
      <c r="C35" s="369">
        <f>SUMIF('TB Mitiga LTD'!A:A,'HARKAVA '!A35,'TB Mitiga LTD'!D:D)</f>
        <v>-1008607.18</v>
      </c>
      <c r="D35" s="75">
        <f>SUMIF('Adj Entries Ltd'!$B$4:$B$954,A35,'Adj Entries Ltd'!$D$4:$D$954)</f>
        <v>0</v>
      </c>
      <c r="E35" s="75">
        <f>SUMIF('Adj Entries Ltd'!$B$4:$B$954,A35,'Adj Entries Ltd'!$E$4:$E$954)</f>
        <v>0</v>
      </c>
      <c r="F35" s="369">
        <f t="shared" si="20"/>
        <v>-1008607.18</v>
      </c>
      <c r="H35" s="77">
        <f>SUMIF('TB US'!A:A,'HARKAVA '!A35,'TB US'!D:D)</f>
        <v>0</v>
      </c>
      <c r="I35" s="77">
        <f>SUMIF('Adj. entries US'!B:B,'HARKAVA '!A35,'Adj. entries US'!D:D)</f>
        <v>0</v>
      </c>
      <c r="J35" s="77">
        <f>SUMIF('Adj. entries US'!B:B,'HARKAVA '!A35,'Adj. entries US'!E:E)</f>
        <v>0</v>
      </c>
      <c r="K35" s="75">
        <f t="shared" si="15"/>
        <v>0</v>
      </c>
      <c r="M35" s="369">
        <f>SUMIF('TB UK'!A:A,'HARKAVA '!A35,'TB UK'!E:E)</f>
        <v>-233604.75999999998</v>
      </c>
      <c r="N35" s="75">
        <f>SUMIF('Adj. Entries UK'!B:B,'HARKAVA '!A35,'Adj. Entries UK'!D:D)</f>
        <v>0</v>
      </c>
      <c r="O35" s="75">
        <f>SUMIF('Adj. Entries UK'!B:B,'HARKAVA '!A35,'Adj. Entries UK'!E:E)</f>
        <v>0</v>
      </c>
      <c r="P35" s="369">
        <f t="shared" si="16"/>
        <v>-233604.75999999998</v>
      </c>
      <c r="Q35" s="75"/>
      <c r="R35" s="369">
        <f>SUMIF('TB security'!A:A,'HARKAVA '!A35,'TB security'!D:D)</f>
        <v>-287579</v>
      </c>
      <c r="S35" s="75">
        <f>SUMIF('Adj. Entries security'!B:B,'HARKAVA '!A35,'Adj. Entries security'!D:D)</f>
        <v>0</v>
      </c>
      <c r="T35" s="75">
        <f>SUMIF('Adj. Entries security'!B:B,'HARKAVA '!A35,'Adj. Entries security'!E:E)</f>
        <v>0</v>
      </c>
      <c r="U35" s="369">
        <f t="shared" si="17"/>
        <v>-287579</v>
      </c>
      <c r="V35" s="75">
        <f t="shared" si="18"/>
        <v>-1529790.94</v>
      </c>
      <c r="Y35" s="474">
        <f t="shared" si="19"/>
        <v>-1529790.94</v>
      </c>
      <c r="Z35" s="166" t="str">
        <f>LEFT(A35,2)</f>
        <v>36</v>
      </c>
      <c r="AC35" s="81"/>
      <c r="AD35" s="369">
        <v>-1008607.18</v>
      </c>
      <c r="AF35" s="77">
        <v>0</v>
      </c>
      <c r="AG35" s="77">
        <v>0</v>
      </c>
      <c r="AH35" s="77">
        <v>0</v>
      </c>
      <c r="AI35" s="75">
        <v>0</v>
      </c>
      <c r="AK35" s="369">
        <v>-233604.75999999998</v>
      </c>
      <c r="AL35" s="75">
        <v>0</v>
      </c>
      <c r="AM35" s="75">
        <v>0</v>
      </c>
      <c r="AN35" s="369">
        <v>-233604.75999999998</v>
      </c>
      <c r="AO35" s="75"/>
      <c r="AP35" s="369">
        <v>-287579</v>
      </c>
      <c r="AQ35" s="75">
        <v>0</v>
      </c>
      <c r="AR35" s="75">
        <v>0</v>
      </c>
      <c r="AS35" s="369">
        <v>-287579</v>
      </c>
      <c r="AT35" s="75">
        <v>-1529790.94</v>
      </c>
      <c r="AW35" s="474">
        <v>-1529790.94</v>
      </c>
      <c r="AX35"/>
      <c r="AY35" s="77">
        <f t="shared" si="8"/>
        <v>0</v>
      </c>
      <c r="AZ35" s="77">
        <f t="shared" si="9"/>
        <v>0</v>
      </c>
      <c r="BA35" s="77">
        <f t="shared" si="10"/>
        <v>0</v>
      </c>
      <c r="BB35" s="77">
        <f t="shared" si="11"/>
        <v>0</v>
      </c>
    </row>
    <row r="36" spans="1:55" ht="16">
      <c r="A36" s="48">
        <v>3650</v>
      </c>
      <c r="B36" s="85" t="s">
        <v>46</v>
      </c>
      <c r="C36" s="75">
        <f>SUMIF('TB Mitiga LTD'!A:A,'HARKAVA '!A36,'TB Mitiga LTD'!D:D)</f>
        <v>0</v>
      </c>
      <c r="D36" s="75">
        <f>SUMIF('Adj Entries Ltd'!$B$4:$B$954,A36,'Adj Entries Ltd'!$D$4:$D$954)</f>
        <v>0</v>
      </c>
      <c r="E36" s="75">
        <f>SUMIF('Adj Entries Ltd'!$B$4:$B$954,A36,'Adj Entries Ltd'!$E$4:$E$954)</f>
        <v>0</v>
      </c>
      <c r="F36" s="75">
        <f t="shared" si="20"/>
        <v>0</v>
      </c>
      <c r="H36" s="77">
        <f>SUMIF('TB US'!A:A,'HARKAVA '!A36,'TB US'!D:D)</f>
        <v>0</v>
      </c>
      <c r="I36" s="77">
        <f>SUMIF('Adj. entries US'!B:B,'HARKAVA '!A36,'Adj. entries US'!D:D)</f>
        <v>0</v>
      </c>
      <c r="J36" s="77">
        <f>SUMIF('Adj. entries US'!B:B,'HARKAVA '!A36,'Adj. entries US'!E:E)</f>
        <v>0</v>
      </c>
      <c r="K36" s="75">
        <f t="shared" si="15"/>
        <v>0</v>
      </c>
      <c r="M36" s="369">
        <f>SUMIF('TB UK'!A:A,'HARKAVA '!A36,'TB UK'!E:E)</f>
        <v>-7196.9500000000007</v>
      </c>
      <c r="N36" s="75">
        <f>SUMIF('Adj. Entries UK'!B:B,'HARKAVA '!A36,'Adj. Entries UK'!D:D)</f>
        <v>0</v>
      </c>
      <c r="O36" s="75">
        <f>SUMIF('Adj. Entries UK'!B:B,'HARKAVA '!A36,'Adj. Entries UK'!E:E)</f>
        <v>0</v>
      </c>
      <c r="P36" s="369">
        <f t="shared" si="16"/>
        <v>-7196.9500000000007</v>
      </c>
      <c r="Q36" s="75"/>
      <c r="R36" s="75">
        <f>SUMIF('TB security'!A:A,'HARKAVA '!A36,'TB security'!D:D)</f>
        <v>0</v>
      </c>
      <c r="S36" s="75">
        <f>SUMIF('Adj. Entries security'!B:B,'HARKAVA '!A36,'Adj. Entries security'!D:D)</f>
        <v>0</v>
      </c>
      <c r="T36" s="75">
        <f>SUMIF('Adj. Entries security'!B:B,'HARKAVA '!A36,'Adj. Entries security'!E:E)</f>
        <v>0</v>
      </c>
      <c r="U36" s="75">
        <f t="shared" si="17"/>
        <v>0</v>
      </c>
      <c r="V36" s="75">
        <f t="shared" si="18"/>
        <v>-7196.9500000000007</v>
      </c>
      <c r="Y36" s="474">
        <f t="shared" si="19"/>
        <v>-7196.9500000000007</v>
      </c>
      <c r="Z36" s="166">
        <v>36</v>
      </c>
      <c r="AC36" s="85"/>
      <c r="AD36" s="75">
        <v>0</v>
      </c>
      <c r="AF36" s="77">
        <v>0</v>
      </c>
      <c r="AG36" s="77">
        <v>0</v>
      </c>
      <c r="AH36" s="77">
        <v>0</v>
      </c>
      <c r="AI36" s="75">
        <v>0</v>
      </c>
      <c r="AK36" s="369">
        <v>-7196.9500000000007</v>
      </c>
      <c r="AL36" s="75">
        <v>0</v>
      </c>
      <c r="AM36" s="75">
        <v>0</v>
      </c>
      <c r="AN36" s="369">
        <v>-7196.9500000000007</v>
      </c>
      <c r="AO36" s="75"/>
      <c r="AP36" s="75">
        <v>0</v>
      </c>
      <c r="AQ36" s="75">
        <v>0</v>
      </c>
      <c r="AR36" s="75">
        <v>0</v>
      </c>
      <c r="AS36" s="75">
        <v>0</v>
      </c>
      <c r="AT36" s="75">
        <v>-7196.9500000000007</v>
      </c>
      <c r="AW36" s="474">
        <v>-7196.9500000000007</v>
      </c>
      <c r="AX36"/>
      <c r="AY36" s="77">
        <f t="shared" si="8"/>
        <v>0</v>
      </c>
      <c r="AZ36" s="77">
        <f t="shared" si="9"/>
        <v>0</v>
      </c>
      <c r="BA36" s="77">
        <f t="shared" si="10"/>
        <v>0</v>
      </c>
      <c r="BB36" s="77">
        <f t="shared" si="11"/>
        <v>0</v>
      </c>
    </row>
    <row r="37" spans="1:55" ht="16">
      <c r="A37" s="48">
        <v>3800</v>
      </c>
      <c r="B37" s="85" t="s">
        <v>47</v>
      </c>
      <c r="C37" s="369">
        <f>SUMIF('TB Mitiga LTD'!A:A,'HARKAVA '!A37,'TB Mitiga LTD'!D:D)</f>
        <v>-53416</v>
      </c>
      <c r="D37" s="75">
        <f>SUMIF('Adj Entries Ltd'!$B$4:$B$954,A37,'Adj Entries Ltd'!$D$4:$D$954)</f>
        <v>0</v>
      </c>
      <c r="E37" s="75">
        <f>SUMIF('Adj Entries Ltd'!$B$4:$B$954,A37,'Adj Entries Ltd'!$E$4:$E$954)</f>
        <v>0</v>
      </c>
      <c r="F37" s="369">
        <f t="shared" si="20"/>
        <v>-53416</v>
      </c>
      <c r="H37" s="77">
        <f>SUMIF('TB US'!A:A,'HARKAVA '!A37,'TB US'!D:D)</f>
        <v>0</v>
      </c>
      <c r="I37" s="77">
        <f>SUMIF('Adj. entries US'!B:B,'HARKAVA '!A37,'Adj. entries US'!D:D)</f>
        <v>0</v>
      </c>
      <c r="J37" s="77">
        <f>SUMIF('Adj. entries US'!B:B,'HARKAVA '!A37,'Adj. entries US'!E:E)</f>
        <v>0</v>
      </c>
      <c r="K37" s="75">
        <f t="shared" si="15"/>
        <v>0</v>
      </c>
      <c r="M37" s="75">
        <f>SUMIF('TB UK'!A:A,'HARKAVA '!A37,'TB UK'!E:E)</f>
        <v>-123540</v>
      </c>
      <c r="N37" s="75">
        <f>SUMIF('Adj. Entries UK'!B:B,'HARKAVA '!A37,'Adj. Entries UK'!D:D)</f>
        <v>0</v>
      </c>
      <c r="O37" s="75">
        <f>SUMIF('Adj. Entries UK'!B:B,'HARKAVA '!A37,'Adj. Entries UK'!E:E)</f>
        <v>0</v>
      </c>
      <c r="P37" s="369">
        <f t="shared" si="16"/>
        <v>-123540</v>
      </c>
      <c r="Q37" s="75"/>
      <c r="R37" s="369">
        <f>SUMIF('TB security'!A:A,'HARKAVA '!A37,'TB security'!D:D)</f>
        <v>-376253</v>
      </c>
      <c r="S37" s="75">
        <f>SUMIF('Adj. Entries security'!B:B,'HARKAVA '!A37,'Adj. Entries security'!D:D)</f>
        <v>0</v>
      </c>
      <c r="T37" s="75">
        <f>SUMIF('Adj. Entries security'!B:B,'HARKAVA '!A37,'Adj. Entries security'!E:E)</f>
        <v>0</v>
      </c>
      <c r="U37" s="369">
        <f t="shared" si="17"/>
        <v>-376253</v>
      </c>
      <c r="V37" s="75">
        <f t="shared" si="18"/>
        <v>-553209</v>
      </c>
      <c r="Y37" s="77">
        <f t="shared" si="19"/>
        <v>-553209</v>
      </c>
      <c r="Z37" s="166">
        <v>38</v>
      </c>
      <c r="AC37" s="85"/>
      <c r="AD37" s="369">
        <v>-53416</v>
      </c>
      <c r="AF37" s="77">
        <v>0</v>
      </c>
      <c r="AG37" s="77">
        <v>0</v>
      </c>
      <c r="AH37" s="77">
        <v>0</v>
      </c>
      <c r="AI37" s="75">
        <v>0</v>
      </c>
      <c r="AK37" s="75">
        <v>0</v>
      </c>
      <c r="AL37" s="75">
        <v>0</v>
      </c>
      <c r="AM37" s="75">
        <v>0</v>
      </c>
      <c r="AN37" s="75">
        <v>0</v>
      </c>
      <c r="AO37" s="75"/>
      <c r="AP37" s="369">
        <v>-376253</v>
      </c>
      <c r="AQ37" s="75">
        <v>0</v>
      </c>
      <c r="AR37" s="75">
        <v>0</v>
      </c>
      <c r="AS37" s="369">
        <v>-376253</v>
      </c>
      <c r="AT37" s="75">
        <v>-429669</v>
      </c>
      <c r="AV37" s="77">
        <v>-372917</v>
      </c>
      <c r="AW37" s="77">
        <v>-802586</v>
      </c>
      <c r="AX37"/>
      <c r="AY37" s="77">
        <f>F37-AD37</f>
        <v>0</v>
      </c>
      <c r="AZ37" s="519">
        <f t="shared" si="9"/>
        <v>-123540</v>
      </c>
      <c r="BA37" s="77">
        <f t="shared" si="10"/>
        <v>0</v>
      </c>
      <c r="BB37" s="77">
        <f t="shared" si="11"/>
        <v>372917</v>
      </c>
      <c r="BC37" s="77" t="s">
        <v>48</v>
      </c>
    </row>
    <row r="38" spans="1:55" ht="16">
      <c r="A38" s="48">
        <v>3900</v>
      </c>
      <c r="B38" s="81" t="s">
        <v>24</v>
      </c>
      <c r="C38" s="369">
        <f>SUMIF('TB Mitiga LTD'!A:A,'HARKAVA '!A38,'TB Mitiga LTD'!D:D)</f>
        <v>23616.199999999997</v>
      </c>
      <c r="D38" s="75">
        <f>SUMIF('Adj Entries Ltd'!$B$4:$B$954,A38,'Adj Entries Ltd'!$D$4:$D$954)</f>
        <v>0</v>
      </c>
      <c r="E38" s="369">
        <f>SUMIF('Adj Entries Ltd'!$B$4:$B$954,A38,'Adj Entries Ltd'!$E$4:$E$954)</f>
        <v>25401.929260450161</v>
      </c>
      <c r="F38" s="369">
        <f t="shared" si="20"/>
        <v>-1785.7292604501636</v>
      </c>
      <c r="H38" s="77">
        <f>SUMIF('TB US'!A:A,'HARKAVA '!A38,'TB US'!D:D)</f>
        <v>0</v>
      </c>
      <c r="I38" s="77">
        <f>SUMIF('Adj. entries US'!B:B,'HARKAVA '!A38,'Adj. entries US'!D:D)</f>
        <v>0</v>
      </c>
      <c r="J38" s="77">
        <f>SUMIF('Adj. entries US'!B:B,'HARKAVA '!A38,'Adj. entries US'!E:E)</f>
        <v>0</v>
      </c>
      <c r="K38" s="75">
        <f t="shared" si="15"/>
        <v>0</v>
      </c>
      <c r="M38" s="369">
        <f>SUMIF('TB UK'!A:A,'HARKAVA '!A38,'TB UK'!E:E)</f>
        <v>-12422.61</v>
      </c>
      <c r="N38" s="75">
        <f>SUMIF('Adj. Entries UK'!B:B,'HARKAVA '!A38,'Adj. Entries UK'!D:D)</f>
        <v>0</v>
      </c>
      <c r="O38" s="75">
        <f>SUMIF('Adj. Entries UK'!B:B,'HARKAVA '!A38,'Adj. Entries UK'!E:E)</f>
        <v>0</v>
      </c>
      <c r="P38" s="369">
        <f t="shared" si="16"/>
        <v>-12422.61</v>
      </c>
      <c r="Q38" s="75"/>
      <c r="R38" s="75">
        <f>SUMIF('TB security'!A:A,'HARKAVA '!A38,'TB security'!D:D)</f>
        <v>0</v>
      </c>
      <c r="S38" s="75">
        <f>SUMIF('Adj. Entries security'!B:B,'HARKAVA '!A38,'Adj. Entries security'!D:D)</f>
        <v>0</v>
      </c>
      <c r="T38" s="75">
        <f>SUMIF('Adj. Entries security'!B:B,'HARKAVA '!A38,'Adj. Entries security'!E:E)</f>
        <v>0</v>
      </c>
      <c r="U38" s="75">
        <f t="shared" si="17"/>
        <v>0</v>
      </c>
      <c r="V38" s="75">
        <f t="shared" si="18"/>
        <v>-14208.339260450164</v>
      </c>
      <c r="Y38" s="474">
        <f t="shared" si="19"/>
        <v>-14208.339260450164</v>
      </c>
      <c r="Z38" s="166">
        <v>36</v>
      </c>
      <c r="AC38" s="81"/>
      <c r="AD38" s="369">
        <v>-1785.7292604501636</v>
      </c>
      <c r="AF38" s="77">
        <v>0</v>
      </c>
      <c r="AG38" s="77">
        <v>0</v>
      </c>
      <c r="AH38" s="77">
        <v>0</v>
      </c>
      <c r="AI38" s="75">
        <v>0</v>
      </c>
      <c r="AK38" s="369">
        <v>-12422.61</v>
      </c>
      <c r="AL38" s="75">
        <v>0</v>
      </c>
      <c r="AM38" s="75">
        <v>0</v>
      </c>
      <c r="AN38" s="369">
        <v>-12422.61</v>
      </c>
      <c r="AO38" s="75"/>
      <c r="AP38" s="75">
        <v>0</v>
      </c>
      <c r="AQ38" s="75">
        <v>0</v>
      </c>
      <c r="AR38" s="75">
        <v>0</v>
      </c>
      <c r="AS38" s="75">
        <v>0</v>
      </c>
      <c r="AT38" s="75">
        <v>-14208.339260450164</v>
      </c>
      <c r="AW38" s="474">
        <v>-14208.339260450164</v>
      </c>
      <c r="AX38"/>
      <c r="AY38" s="77">
        <f t="shared" si="8"/>
        <v>0</v>
      </c>
      <c r="AZ38" s="77">
        <f t="shared" si="9"/>
        <v>0</v>
      </c>
      <c r="BA38" s="77">
        <f t="shared" si="10"/>
        <v>0</v>
      </c>
      <c r="BB38" s="77">
        <f t="shared" si="11"/>
        <v>0</v>
      </c>
    </row>
    <row r="39" spans="1:55" ht="16">
      <c r="A39" s="48">
        <v>3910</v>
      </c>
      <c r="B39" s="81" t="s">
        <v>49</v>
      </c>
      <c r="C39" s="369">
        <f>SUMIF('TB Mitiga LTD'!A:A,'HARKAVA '!A39,'TB Mitiga LTD'!D:D)</f>
        <v>-148353.23000000001</v>
      </c>
      <c r="D39" s="369">
        <f>SUMIF('Adj Entries Ltd'!$B$4:$B$954,A39,'Adj Entries Ltd'!$D$4:$D$954)</f>
        <v>27483.922829581992</v>
      </c>
      <c r="E39" s="75">
        <f>SUMIF('Adj Entries Ltd'!$B$4:$B$954,A39,'Adj Entries Ltd'!$E$4:$E$954)</f>
        <v>0</v>
      </c>
      <c r="F39" s="369">
        <f t="shared" si="20"/>
        <v>-120869.30717041802</v>
      </c>
      <c r="H39" s="77">
        <f>SUMIF('TB US'!A:A,'HARKAVA '!A39,'TB US'!D:D)</f>
        <v>0</v>
      </c>
      <c r="I39" s="77">
        <f>SUMIF('Adj. entries US'!B:B,'HARKAVA '!A39,'Adj. entries US'!D:D)</f>
        <v>0</v>
      </c>
      <c r="J39" s="77">
        <f>SUMIF('Adj. entries US'!B:B,'HARKAVA '!A39,'Adj. entries US'!E:E)</f>
        <v>0</v>
      </c>
      <c r="K39" s="75">
        <f t="shared" si="15"/>
        <v>0</v>
      </c>
      <c r="M39" s="369">
        <f>SUMIF('TB UK'!A:A,'HARKAVA '!A39,'TB UK'!E:E)</f>
        <v>-1935.99</v>
      </c>
      <c r="N39" s="75">
        <f>SUMIF('Adj. Entries UK'!B:B,'HARKAVA '!A39,'Adj. Entries UK'!D:D)</f>
        <v>0</v>
      </c>
      <c r="O39" s="75">
        <f>SUMIF('Adj. Entries UK'!B:B,'HARKAVA '!A39,'Adj. Entries UK'!E:E)</f>
        <v>0</v>
      </c>
      <c r="P39" s="369">
        <f t="shared" si="16"/>
        <v>-1935.99</v>
      </c>
      <c r="Q39" s="75"/>
      <c r="R39" s="369">
        <f>SUMIF('TB security'!A:A,'HARKAVA '!A39,'TB security'!D:D)</f>
        <v>-77992.19</v>
      </c>
      <c r="S39" s="75">
        <f>SUMIF('Adj. Entries security'!B:B,'HARKAVA '!A39,'Adj. Entries security'!D:D)</f>
        <v>0</v>
      </c>
      <c r="T39" s="75">
        <f>SUMIF('Adj. Entries security'!B:B,'HARKAVA '!A39,'Adj. Entries security'!E:E)</f>
        <v>0</v>
      </c>
      <c r="U39" s="369">
        <f t="shared" si="17"/>
        <v>-77992.19</v>
      </c>
      <c r="V39" s="75">
        <f t="shared" si="18"/>
        <v>-200797.48717041803</v>
      </c>
      <c r="Y39" s="474">
        <f t="shared" si="19"/>
        <v>-200797.48717041803</v>
      </c>
      <c r="Z39" s="166">
        <v>36</v>
      </c>
      <c r="AC39" s="81"/>
      <c r="AD39" s="369">
        <v>-120869.30717041802</v>
      </c>
      <c r="AF39" s="77">
        <v>0</v>
      </c>
      <c r="AG39" s="77">
        <v>0</v>
      </c>
      <c r="AH39" s="77">
        <v>0</v>
      </c>
      <c r="AI39" s="75">
        <v>0</v>
      </c>
      <c r="AK39" s="369">
        <v>-1935.99</v>
      </c>
      <c r="AL39" s="75">
        <v>0</v>
      </c>
      <c r="AM39" s="75">
        <v>0</v>
      </c>
      <c r="AN39" s="369">
        <v>-1935.99</v>
      </c>
      <c r="AO39" s="75"/>
      <c r="AP39" s="369">
        <v>-52792.19</v>
      </c>
      <c r="AQ39" s="75">
        <v>0</v>
      </c>
      <c r="AR39" s="75">
        <v>0</v>
      </c>
      <c r="AS39" s="369">
        <v>-52792.19</v>
      </c>
      <c r="AT39" s="75">
        <v>-175597.48717041803</v>
      </c>
      <c r="AW39" s="474">
        <v>-175597.48717041803</v>
      </c>
      <c r="AX39"/>
      <c r="AY39" s="77">
        <f t="shared" si="8"/>
        <v>0</v>
      </c>
      <c r="AZ39" s="77">
        <f t="shared" si="9"/>
        <v>0</v>
      </c>
      <c r="BA39" s="520">
        <f t="shared" si="10"/>
        <v>-25200</v>
      </c>
      <c r="BB39" s="77">
        <f t="shared" si="11"/>
        <v>0</v>
      </c>
      <c r="BC39" s="77" t="s">
        <v>50</v>
      </c>
    </row>
    <row r="40" spans="1:55" ht="16">
      <c r="A40" s="48">
        <v>3915</v>
      </c>
      <c r="B40" s="81" t="s">
        <v>51</v>
      </c>
      <c r="C40" s="75">
        <f>SUMIF('TB Mitiga LTD'!A:A,'HARKAVA '!A40,'TB Mitiga LTD'!D:D)</f>
        <v>0</v>
      </c>
      <c r="D40" s="75">
        <f>SUMIF('Adj Entries Ltd'!$B$4:$B$954,A40,'Adj Entries Ltd'!$D$4:$D$954)</f>
        <v>0</v>
      </c>
      <c r="E40" s="75">
        <f>SUMIF('Adj Entries Ltd'!$B$4:$B$954,A40,'Adj Entries Ltd'!$E$4:$E$954)</f>
        <v>0</v>
      </c>
      <c r="F40" s="75">
        <f t="shared" si="20"/>
        <v>0</v>
      </c>
      <c r="H40" s="77">
        <f>SUMIF('TB US'!A:A,'HARKAVA '!A40,'TB US'!D:D)</f>
        <v>0</v>
      </c>
      <c r="I40" s="77">
        <f>SUMIF('Adj. entries US'!B:B,'HARKAVA '!A40,'Adj. entries US'!D:D)</f>
        <v>0</v>
      </c>
      <c r="J40" s="77">
        <f>SUMIF('Adj. entries US'!B:B,'HARKAVA '!A40,'Adj. entries US'!E:E)</f>
        <v>0</v>
      </c>
      <c r="K40" s="75">
        <f t="shared" si="15"/>
        <v>0</v>
      </c>
      <c r="M40" s="75">
        <f>SUMIF('TB UK'!A:A,'HARKAVA '!A40,'TB UK'!E:E)</f>
        <v>0</v>
      </c>
      <c r="N40" s="75">
        <f>SUMIF('Adj. Entries UK'!B:B,'HARKAVA '!A40,'Adj. Entries UK'!D:D)</f>
        <v>0</v>
      </c>
      <c r="O40" s="75">
        <f>SUMIF('Adj. Entries UK'!B:B,'HARKAVA '!A40,'Adj. Entries UK'!E:E)</f>
        <v>0</v>
      </c>
      <c r="P40" s="75">
        <f t="shared" ref="P40" si="21">M40+N40-O40</f>
        <v>0</v>
      </c>
      <c r="Q40" s="75"/>
      <c r="R40" s="75">
        <f>SUMIF('TB security'!A:A,'HARKAVA '!A40,'TB security'!D:D)</f>
        <v>0</v>
      </c>
      <c r="S40" s="75">
        <f>SUMIF('Adj. Entries security'!B:B,'HARKAVA '!A40,'Adj. Entries security'!D:D)</f>
        <v>0</v>
      </c>
      <c r="T40" s="75">
        <f>SUMIF('Adj. Entries security'!B:B,'HARKAVA '!A40,'Adj. Entries security'!E:E)</f>
        <v>0</v>
      </c>
      <c r="U40" s="75">
        <f t="shared" si="17"/>
        <v>0</v>
      </c>
      <c r="V40" s="75">
        <f t="shared" si="18"/>
        <v>0</v>
      </c>
      <c r="Y40" s="77">
        <f t="shared" si="19"/>
        <v>0</v>
      </c>
      <c r="Z40" s="166">
        <v>40</v>
      </c>
      <c r="AC40" s="81"/>
      <c r="AD40" s="75">
        <v>0</v>
      </c>
      <c r="AF40" s="77">
        <v>0</v>
      </c>
      <c r="AG40" s="77">
        <v>0</v>
      </c>
      <c r="AH40" s="77">
        <v>0</v>
      </c>
      <c r="AI40" s="75">
        <v>0</v>
      </c>
      <c r="AK40" s="75">
        <v>0</v>
      </c>
      <c r="AL40" s="75">
        <v>0</v>
      </c>
      <c r="AM40" s="75">
        <v>0</v>
      </c>
      <c r="AN40" s="75">
        <v>0</v>
      </c>
      <c r="AO40" s="75"/>
      <c r="AP40" s="75">
        <v>0</v>
      </c>
      <c r="AQ40" s="75">
        <v>0</v>
      </c>
      <c r="AR40" s="75">
        <v>0</v>
      </c>
      <c r="AS40" s="75">
        <v>0</v>
      </c>
      <c r="AT40" s="75">
        <v>0</v>
      </c>
      <c r="AW40" s="77">
        <v>0</v>
      </c>
      <c r="AX40"/>
      <c r="AY40" s="77">
        <f t="shared" si="8"/>
        <v>0</v>
      </c>
      <c r="AZ40" s="77">
        <f t="shared" si="9"/>
        <v>0</v>
      </c>
      <c r="BA40" s="77">
        <f t="shared" si="10"/>
        <v>0</v>
      </c>
      <c r="BB40" s="77">
        <f t="shared" si="11"/>
        <v>0</v>
      </c>
    </row>
    <row r="41" spans="1:55" ht="16">
      <c r="A41" s="48">
        <v>3920</v>
      </c>
      <c r="B41" s="81" t="s">
        <v>52</v>
      </c>
      <c r="C41" s="75">
        <f>SUMIF('TB Mitiga LTD'!A:A,'HARKAVA '!A41,'TB Mitiga LTD'!D:D)</f>
        <v>0</v>
      </c>
      <c r="D41" s="75">
        <f>SUMIF('Adj Entries Ltd'!$B$4:$B$954,A41,'Adj Entries Ltd'!$D$4:$D$954)</f>
        <v>0</v>
      </c>
      <c r="E41" s="75">
        <f>SUMIF('Adj Entries Ltd'!$B$4:$B$954,A41,'Adj Entries Ltd'!$E$4:$E$954)</f>
        <v>0</v>
      </c>
      <c r="F41" s="75">
        <f t="shared" si="20"/>
        <v>0</v>
      </c>
      <c r="H41" s="77">
        <f>SUMIF('TB US'!A:A,'HARKAVA '!A41,'TB US'!D:D)</f>
        <v>0</v>
      </c>
      <c r="I41" s="77">
        <f>SUMIF('Adj. entries US'!B:B,'HARKAVA '!A41,'Adj. entries US'!D:D)</f>
        <v>0</v>
      </c>
      <c r="J41" s="77">
        <f>SUMIF('Adj. entries US'!B:B,'HARKAVA '!A41,'Adj. entries US'!E:E)</f>
        <v>0</v>
      </c>
      <c r="K41" s="75">
        <f t="shared" si="15"/>
        <v>0</v>
      </c>
      <c r="M41" s="75">
        <f>SUMIF('TB UK'!A:A,'HARKAVA '!A41,'TB UK'!E:E)</f>
        <v>0</v>
      </c>
      <c r="N41" s="75">
        <f>SUMIF('Adj. Entries UK'!B:B,'HARKAVA '!A41,'Adj. Entries UK'!D:D)</f>
        <v>0</v>
      </c>
      <c r="O41" s="75">
        <f>SUMIF('Adj. Entries UK'!B:B,'HARKAVA '!A41,'Adj. Entries UK'!E:E)</f>
        <v>0</v>
      </c>
      <c r="P41" s="75">
        <f t="shared" si="16"/>
        <v>0</v>
      </c>
      <c r="Q41" s="75"/>
      <c r="R41" s="75">
        <f>SUMIF('TB security'!A:A,'HARKAVA '!A41,'TB security'!D:D)</f>
        <v>0</v>
      </c>
      <c r="S41" s="75">
        <f>SUMIF('Adj. Entries security'!B:B,'HARKAVA '!A41,'Adj. Entries security'!D:D)</f>
        <v>0</v>
      </c>
      <c r="T41" s="75">
        <f>SUMIF('Adj. Entries security'!B:B,'HARKAVA '!A41,'Adj. Entries security'!E:E)</f>
        <v>0</v>
      </c>
      <c r="U41" s="75">
        <f t="shared" si="17"/>
        <v>0</v>
      </c>
      <c r="V41" s="75">
        <f t="shared" si="18"/>
        <v>0</v>
      </c>
      <c r="Y41" s="77">
        <f t="shared" si="19"/>
        <v>0</v>
      </c>
      <c r="Z41" s="166">
        <v>37</v>
      </c>
      <c r="AC41" s="81"/>
      <c r="AD41" s="75">
        <v>0</v>
      </c>
      <c r="AF41" s="77">
        <v>0</v>
      </c>
      <c r="AG41" s="77">
        <v>0</v>
      </c>
      <c r="AH41" s="77">
        <v>0</v>
      </c>
      <c r="AI41" s="75">
        <v>0</v>
      </c>
      <c r="AK41" s="75">
        <v>0</v>
      </c>
      <c r="AL41" s="75">
        <v>0</v>
      </c>
      <c r="AM41" s="75">
        <v>0</v>
      </c>
      <c r="AN41" s="75">
        <v>0</v>
      </c>
      <c r="AO41" s="75"/>
      <c r="AP41" s="75">
        <v>0</v>
      </c>
      <c r="AQ41" s="75">
        <v>0</v>
      </c>
      <c r="AR41" s="75">
        <v>0</v>
      </c>
      <c r="AS41" s="75">
        <v>0</v>
      </c>
      <c r="AT41" s="75">
        <v>0</v>
      </c>
      <c r="AW41" s="77">
        <v>0</v>
      </c>
      <c r="AX41"/>
      <c r="AY41" s="77">
        <f t="shared" si="8"/>
        <v>0</v>
      </c>
      <c r="AZ41" s="77">
        <f t="shared" si="9"/>
        <v>0</v>
      </c>
      <c r="BA41" s="77">
        <f t="shared" si="10"/>
        <v>0</v>
      </c>
      <c r="BB41" s="77">
        <f t="shared" si="11"/>
        <v>0</v>
      </c>
    </row>
    <row r="42" spans="1:55" ht="16">
      <c r="A42" s="48">
        <v>3930</v>
      </c>
      <c r="B42" s="81" t="s">
        <v>53</v>
      </c>
      <c r="C42" s="75">
        <f>SUMIF('TB Mitiga LTD'!A:A,'HARKAVA '!A42,'TB Mitiga LTD'!D:D)</f>
        <v>0</v>
      </c>
      <c r="D42" s="75">
        <f>SUMIF('Adj Entries Ltd'!$B$4:$B$954,A42,'Adj Entries Ltd'!$D$4:$D$954)</f>
        <v>0</v>
      </c>
      <c r="E42" s="75">
        <f>SUMIF('Adj Entries Ltd'!$B$4:$B$954,A42,'Adj Entries Ltd'!$E$4:$E$954)</f>
        <v>0</v>
      </c>
      <c r="F42" s="75">
        <f t="shared" si="20"/>
        <v>0</v>
      </c>
      <c r="H42" s="77">
        <f>SUMIF('TB US'!A:A,'HARKAVA '!A42,'TB US'!D:D)</f>
        <v>0</v>
      </c>
      <c r="I42" s="77">
        <f>SUMIF('Adj. entries US'!B:B,'HARKAVA '!A42,'Adj. entries US'!D:D)</f>
        <v>0</v>
      </c>
      <c r="J42" s="77">
        <f>SUMIF('Adj. entries US'!B:B,'HARKAVA '!A42,'Adj. entries US'!E:E)</f>
        <v>0</v>
      </c>
      <c r="K42" s="75">
        <f t="shared" si="15"/>
        <v>0</v>
      </c>
      <c r="M42" s="75">
        <f>SUMIF('TB UK'!A:A,'HARKAVA '!A42,'TB UK'!E:E)</f>
        <v>0</v>
      </c>
      <c r="N42" s="75">
        <f>SUMIF('Adj. Entries UK'!B:B,'HARKAVA '!A42,'Adj. Entries UK'!D:D)</f>
        <v>0</v>
      </c>
      <c r="O42" s="75">
        <f>SUMIF('Adj. Entries UK'!B:B,'HARKAVA '!A42,'Adj. Entries UK'!E:E)</f>
        <v>0</v>
      </c>
      <c r="P42" s="75">
        <f t="shared" ref="P42" si="22">M42+N42-O42</f>
        <v>0</v>
      </c>
      <c r="Q42" s="75"/>
      <c r="R42" s="75">
        <f>SUMIF('TB security'!A:A,'HARKAVA '!A42,'TB security'!D:D)</f>
        <v>0</v>
      </c>
      <c r="S42" s="75">
        <f>SUMIF('Adj. Entries security'!B:B,'HARKAVA '!A42,'Adj. Entries security'!D:D)</f>
        <v>0</v>
      </c>
      <c r="T42" s="75">
        <f>SUMIF('Adj. Entries security'!B:B,'HARKAVA '!A42,'Adj. Entries security'!E:E)</f>
        <v>0</v>
      </c>
      <c r="U42" s="75">
        <f t="shared" si="17"/>
        <v>0</v>
      </c>
      <c r="V42" s="75">
        <f t="shared" si="18"/>
        <v>0</v>
      </c>
      <c r="Y42" s="77">
        <f t="shared" si="19"/>
        <v>0</v>
      </c>
      <c r="Z42" s="166">
        <v>38</v>
      </c>
      <c r="AC42" s="81"/>
      <c r="AD42" s="75">
        <v>0</v>
      </c>
      <c r="AF42" s="77">
        <v>0</v>
      </c>
      <c r="AG42" s="77">
        <v>0</v>
      </c>
      <c r="AH42" s="77">
        <v>0</v>
      </c>
      <c r="AI42" s="75">
        <v>0</v>
      </c>
      <c r="AK42" s="75">
        <v>0</v>
      </c>
      <c r="AL42" s="75">
        <v>0</v>
      </c>
      <c r="AM42" s="75">
        <v>0</v>
      </c>
      <c r="AN42" s="75">
        <v>0</v>
      </c>
      <c r="AO42" s="75"/>
      <c r="AP42" s="75">
        <v>0</v>
      </c>
      <c r="AQ42" s="75">
        <v>0</v>
      </c>
      <c r="AR42" s="75">
        <v>0</v>
      </c>
      <c r="AS42" s="75">
        <v>0</v>
      </c>
      <c r="AT42" s="75">
        <v>0</v>
      </c>
      <c r="AW42" s="77">
        <v>0</v>
      </c>
      <c r="AX42"/>
      <c r="AY42" s="77">
        <f t="shared" si="8"/>
        <v>0</v>
      </c>
      <c r="AZ42" s="77">
        <f t="shared" si="9"/>
        <v>0</v>
      </c>
      <c r="BA42" s="77">
        <f t="shared" si="10"/>
        <v>0</v>
      </c>
      <c r="BB42" s="77">
        <f t="shared" si="11"/>
        <v>0</v>
      </c>
    </row>
    <row r="43" spans="1:55" ht="16">
      <c r="A43" s="48">
        <v>3950</v>
      </c>
      <c r="B43" s="81" t="s">
        <v>54</v>
      </c>
      <c r="C43" s="75">
        <f>SUMIF('TB Mitiga LTD'!A:A,'HARKAVA '!A43,'TB Mitiga LTD'!D:D)</f>
        <v>0</v>
      </c>
      <c r="D43" s="75">
        <f>SUMIF('Adj Entries Ltd'!$B$4:$B$954,A43,'Adj Entries Ltd'!$D$4:$D$954)</f>
        <v>0</v>
      </c>
      <c r="E43" s="75">
        <f>SUMIF('Adj Entries Ltd'!$B$4:$B$954,A43,'Adj Entries Ltd'!$E$4:$E$954)</f>
        <v>0</v>
      </c>
      <c r="F43" s="75">
        <f t="shared" si="20"/>
        <v>0</v>
      </c>
      <c r="H43" s="77">
        <f>SUMIF('TB US'!A:A,'HARKAVA '!A43,'TB US'!D:D)</f>
        <v>0</v>
      </c>
      <c r="I43" s="77">
        <f>SUMIF('Adj. entries US'!B:B,'HARKAVA '!A43,'Adj. entries US'!D:D)</f>
        <v>0</v>
      </c>
      <c r="J43" s="77">
        <f>SUMIF('Adj. entries US'!B:B,'HARKAVA '!A43,'Adj. entries US'!E:E)</f>
        <v>0</v>
      </c>
      <c r="K43" s="75">
        <f t="shared" si="15"/>
        <v>0</v>
      </c>
      <c r="M43" s="75">
        <f>SUMIF('TB UK'!A:A,'HARKAVA '!A43,'TB UK'!E:E)</f>
        <v>0</v>
      </c>
      <c r="N43" s="75">
        <f>SUMIF('Adj. Entries UK'!B:B,'HARKAVA '!A43,'Adj. Entries UK'!D:D)</f>
        <v>0</v>
      </c>
      <c r="O43" s="75">
        <f>SUMIF('Adj. Entries UK'!B:B,'HARKAVA '!A43,'Adj. Entries UK'!E:E)</f>
        <v>0</v>
      </c>
      <c r="P43" s="75">
        <f>M43+N43-O43</f>
        <v>0</v>
      </c>
      <c r="Q43" s="75"/>
      <c r="R43" s="75">
        <f>SUMIF('TB security'!A:A,'HARKAVA '!A43,'TB security'!D:D)</f>
        <v>0</v>
      </c>
      <c r="S43" s="75">
        <f>SUMIF('Adj. Entries security'!B:B,'HARKAVA '!A43,'Adj. Entries security'!D:D)</f>
        <v>0</v>
      </c>
      <c r="T43" s="75">
        <f>SUMIF('Adj. Entries security'!B:B,'HARKAVA '!A43,'Adj. Entries security'!E:E)</f>
        <v>0</v>
      </c>
      <c r="U43" s="75">
        <f t="shared" si="17"/>
        <v>0</v>
      </c>
      <c r="V43" s="75">
        <f t="shared" si="18"/>
        <v>0</v>
      </c>
      <c r="Y43" s="77">
        <f t="shared" si="19"/>
        <v>0</v>
      </c>
      <c r="Z43" s="166">
        <v>39</v>
      </c>
      <c r="AC43" s="81"/>
      <c r="AD43" s="75">
        <v>0</v>
      </c>
      <c r="AF43" s="77">
        <v>0</v>
      </c>
      <c r="AG43" s="77">
        <v>0</v>
      </c>
      <c r="AH43" s="77">
        <v>0</v>
      </c>
      <c r="AI43" s="75">
        <v>0</v>
      </c>
      <c r="AK43" s="75">
        <v>0</v>
      </c>
      <c r="AL43" s="75">
        <v>0</v>
      </c>
      <c r="AM43" s="75">
        <v>0</v>
      </c>
      <c r="AN43" s="75">
        <v>0</v>
      </c>
      <c r="AO43" s="75"/>
      <c r="AP43" s="75">
        <v>0</v>
      </c>
      <c r="AQ43" s="75">
        <v>0</v>
      </c>
      <c r="AR43" s="75">
        <v>0</v>
      </c>
      <c r="AS43" s="75">
        <v>0</v>
      </c>
      <c r="AT43" s="75">
        <v>0</v>
      </c>
      <c r="AW43" s="77">
        <v>0</v>
      </c>
      <c r="AX43"/>
      <c r="AY43" s="77">
        <f t="shared" si="8"/>
        <v>0</v>
      </c>
      <c r="AZ43" s="77">
        <f t="shared" si="9"/>
        <v>0</v>
      </c>
      <c r="BA43" s="77">
        <f t="shared" si="10"/>
        <v>0</v>
      </c>
      <c r="BB43" s="77">
        <f t="shared" si="11"/>
        <v>0</v>
      </c>
    </row>
    <row r="44" spans="1:55" ht="16">
      <c r="A44" s="48">
        <v>4200</v>
      </c>
      <c r="B44" s="81" t="s">
        <v>55</v>
      </c>
      <c r="C44" s="75">
        <f>SUMIF('TB Mitiga LTD'!A:A,'HARKAVA '!A44,'TB Mitiga LTD'!D:D)</f>
        <v>0</v>
      </c>
      <c r="D44" s="75">
        <f>SUMIF('Adj Entries Ltd'!$B$4:$B$954,A44,'Adj Entries Ltd'!$D$4:$D$954)</f>
        <v>0</v>
      </c>
      <c r="E44" s="75">
        <f>SUMIF('Adj Entries Ltd'!$B$4:$B$954,A44,'Adj Entries Ltd'!$E$4:$E$954)</f>
        <v>0</v>
      </c>
      <c r="F44" s="75">
        <f t="shared" si="20"/>
        <v>0</v>
      </c>
      <c r="H44" s="77">
        <f>SUMIF('TB US'!A:A,'HARKAVA '!A44,'TB US'!D:D)</f>
        <v>0</v>
      </c>
      <c r="I44" s="77">
        <f>SUMIF('Adj. entries US'!B:B,'HARKAVA '!A44,'Adj. entries US'!D:D)</f>
        <v>0</v>
      </c>
      <c r="J44" s="77">
        <f>SUMIF('Adj. entries US'!B:B,'HARKAVA '!A44,'Adj. entries US'!E:E)</f>
        <v>0</v>
      </c>
      <c r="K44" s="75">
        <f t="shared" si="15"/>
        <v>0</v>
      </c>
      <c r="M44" s="75">
        <f>SUMIF('TB UK'!A:A,'HARKAVA '!A44,'TB UK'!E:E)</f>
        <v>0</v>
      </c>
      <c r="N44" s="75">
        <f>SUMIF('Adj. Entries UK'!B:B,'HARKAVA '!A44,'Adj. Entries UK'!D:D)</f>
        <v>0</v>
      </c>
      <c r="O44" s="75">
        <f>SUMIF('Adj. Entries UK'!B:B,'HARKAVA '!A44,'Adj. Entries UK'!E:E)</f>
        <v>0</v>
      </c>
      <c r="P44" s="75">
        <f t="shared" si="16"/>
        <v>0</v>
      </c>
      <c r="Q44" s="75"/>
      <c r="R44" s="75">
        <f>SUMIF('TB security'!A:A,'HARKAVA '!A44,'TB security'!D:D)</f>
        <v>0</v>
      </c>
      <c r="S44" s="75">
        <f>SUMIF('Adj. Entries security'!B:B,'HARKAVA '!A44,'Adj. Entries security'!D:D)</f>
        <v>0</v>
      </c>
      <c r="T44" s="75">
        <f>SUMIF('Adj. Entries security'!B:B,'HARKAVA '!A44,'Adj. Entries security'!E:E)</f>
        <v>0</v>
      </c>
      <c r="U44" s="75">
        <f t="shared" si="17"/>
        <v>0</v>
      </c>
      <c r="V44" s="75">
        <f t="shared" si="18"/>
        <v>0</v>
      </c>
      <c r="Y44" s="77">
        <f t="shared" si="19"/>
        <v>0</v>
      </c>
      <c r="Z44" s="166" t="str">
        <f t="shared" ref="Z44:Z49" si="23">LEFT(A44,2)</f>
        <v>42</v>
      </c>
      <c r="AD44" s="75">
        <v>0</v>
      </c>
      <c r="AF44" s="77">
        <v>0</v>
      </c>
      <c r="AG44" s="77">
        <v>0</v>
      </c>
      <c r="AH44" s="77">
        <v>0</v>
      </c>
      <c r="AI44" s="75">
        <v>0</v>
      </c>
      <c r="AK44" s="75">
        <v>0</v>
      </c>
      <c r="AL44" s="75">
        <v>0</v>
      </c>
      <c r="AM44" s="75">
        <v>0</v>
      </c>
      <c r="AN44" s="75">
        <v>0</v>
      </c>
      <c r="AO44" s="75"/>
      <c r="AP44" s="75">
        <v>0</v>
      </c>
      <c r="AQ44" s="75">
        <v>0</v>
      </c>
      <c r="AR44" s="75">
        <v>0</v>
      </c>
      <c r="AS44" s="75">
        <v>0</v>
      </c>
      <c r="AT44" s="75">
        <v>0</v>
      </c>
      <c r="AW44" s="77">
        <v>0</v>
      </c>
      <c r="AX44"/>
      <c r="AY44" s="77">
        <f t="shared" si="8"/>
        <v>0</v>
      </c>
      <c r="AZ44" s="77">
        <f t="shared" si="9"/>
        <v>0</v>
      </c>
      <c r="BA44" s="77">
        <f t="shared" si="10"/>
        <v>0</v>
      </c>
      <c r="BB44" s="77">
        <f t="shared" si="11"/>
        <v>0</v>
      </c>
    </row>
    <row r="45" spans="1:55" ht="16">
      <c r="A45" s="48">
        <v>4300</v>
      </c>
      <c r="B45" s="81" t="s">
        <v>56</v>
      </c>
      <c r="C45" s="75">
        <f>SUMIF('TB Mitiga LTD'!A:A,'HARKAVA '!A45,'TB Mitiga LTD'!D:D)</f>
        <v>0</v>
      </c>
      <c r="D45" s="75">
        <f>SUMIF('Adj Entries Ltd'!$B$4:$B$954,A45,'Adj Entries Ltd'!$D$4:$D$954)</f>
        <v>0</v>
      </c>
      <c r="E45" s="75">
        <f>SUMIF('Adj Entries Ltd'!$B$4:$B$954,A45,'Adj Entries Ltd'!$E$4:$E$954)</f>
        <v>0</v>
      </c>
      <c r="F45" s="75">
        <f t="shared" si="20"/>
        <v>0</v>
      </c>
      <c r="H45" s="77">
        <f>SUMIF('TB US'!A:A,'HARKAVA '!A45,'TB US'!D:D)</f>
        <v>0</v>
      </c>
      <c r="I45" s="77">
        <f>SUMIF('Adj. entries US'!B:B,'HARKAVA '!A45,'Adj. entries US'!D:D)</f>
        <v>0</v>
      </c>
      <c r="J45" s="77">
        <f>SUMIF('Adj. entries US'!B:B,'HARKAVA '!A45,'Adj. entries US'!E:E)</f>
        <v>0</v>
      </c>
      <c r="K45" s="75">
        <f t="shared" si="15"/>
        <v>0</v>
      </c>
      <c r="M45" s="75">
        <f>SUMIF('TB UK'!A:A,'HARKAVA '!A45,'TB UK'!E:E)</f>
        <v>0</v>
      </c>
      <c r="N45" s="75">
        <f>SUMIF('Adj. Entries UK'!B:B,'HARKAVA '!A45,'Adj. Entries UK'!D:D)</f>
        <v>0</v>
      </c>
      <c r="O45" s="75">
        <f>SUMIF('Adj. Entries UK'!B:B,'HARKAVA '!A45,'Adj. Entries UK'!E:E)</f>
        <v>0</v>
      </c>
      <c r="P45" s="75">
        <f t="shared" si="16"/>
        <v>0</v>
      </c>
      <c r="Q45" s="75"/>
      <c r="R45" s="75">
        <f>SUMIF('TB security'!A:A,'HARKAVA '!A45,'TB security'!D:D)</f>
        <v>0</v>
      </c>
      <c r="S45" s="75">
        <f>SUMIF('Adj. Entries security'!B:B,'HARKAVA '!A45,'Adj. Entries security'!D:D)</f>
        <v>0</v>
      </c>
      <c r="T45" s="75">
        <f>SUMIF('Adj. Entries security'!B:B,'HARKAVA '!A45,'Adj. Entries security'!E:E)</f>
        <v>0</v>
      </c>
      <c r="U45" s="75">
        <f t="shared" si="17"/>
        <v>0</v>
      </c>
      <c r="V45" s="75">
        <f t="shared" si="18"/>
        <v>0</v>
      </c>
      <c r="Y45" s="77">
        <f t="shared" si="19"/>
        <v>0</v>
      </c>
      <c r="Z45" s="166" t="str">
        <f t="shared" si="23"/>
        <v>43</v>
      </c>
      <c r="AD45" s="75">
        <v>0</v>
      </c>
      <c r="AF45" s="77">
        <v>0</v>
      </c>
      <c r="AG45" s="77">
        <v>0</v>
      </c>
      <c r="AH45" s="77">
        <v>0</v>
      </c>
      <c r="AI45" s="75">
        <v>0</v>
      </c>
      <c r="AK45" s="75">
        <v>0</v>
      </c>
      <c r="AL45" s="75">
        <v>0</v>
      </c>
      <c r="AM45" s="75">
        <v>0</v>
      </c>
      <c r="AN45" s="75">
        <v>0</v>
      </c>
      <c r="AO45" s="75"/>
      <c r="AP45" s="75">
        <v>0</v>
      </c>
      <c r="AQ45" s="75">
        <v>0</v>
      </c>
      <c r="AR45" s="75">
        <v>0</v>
      </c>
      <c r="AS45" s="75">
        <v>0</v>
      </c>
      <c r="AT45" s="75">
        <v>0</v>
      </c>
      <c r="AW45" s="77">
        <v>0</v>
      </c>
      <c r="AX45"/>
      <c r="AY45" s="77">
        <f t="shared" si="8"/>
        <v>0</v>
      </c>
      <c r="AZ45" s="77">
        <f t="shared" si="9"/>
        <v>0</v>
      </c>
      <c r="BA45" s="77">
        <f t="shared" si="10"/>
        <v>0</v>
      </c>
      <c r="BB45" s="77">
        <f t="shared" si="11"/>
        <v>0</v>
      </c>
    </row>
    <row r="46" spans="1:55" ht="16">
      <c r="A46" s="48">
        <v>4400</v>
      </c>
      <c r="B46" s="81" t="s">
        <v>57</v>
      </c>
      <c r="C46" s="75">
        <f>SUMIF('TB Mitiga LTD'!A:A,'HARKAVA '!A46,'TB Mitiga LTD'!D:D)</f>
        <v>0</v>
      </c>
      <c r="D46" s="75">
        <f>SUMIF('Adj Entries Ltd'!$B$4:$B$954,A46,'Adj Entries Ltd'!$D$4:$D$954)</f>
        <v>0</v>
      </c>
      <c r="E46" s="75">
        <f>SUMIF('Adj Entries Ltd'!$B$4:$B$954,A46,'Adj Entries Ltd'!$E$4:$E$954)</f>
        <v>0</v>
      </c>
      <c r="F46" s="75">
        <f t="shared" si="20"/>
        <v>0</v>
      </c>
      <c r="H46" s="77">
        <f>SUMIF('TB US'!A:A,'HARKAVA '!A46,'TB US'!D:D)</f>
        <v>0</v>
      </c>
      <c r="I46" s="77">
        <f>SUMIF('Adj. entries US'!B:B,'HARKAVA '!A46,'Adj. entries US'!D:D)</f>
        <v>0</v>
      </c>
      <c r="J46" s="77">
        <f>SUMIF('Adj. entries US'!B:B,'HARKAVA '!A46,'Adj. entries US'!E:E)</f>
        <v>0</v>
      </c>
      <c r="K46" s="75">
        <f t="shared" si="15"/>
        <v>0</v>
      </c>
      <c r="M46" s="75">
        <f>SUMIF('TB UK'!A:A,'HARKAVA '!A46,'TB UK'!E:E)</f>
        <v>0</v>
      </c>
      <c r="N46" s="75">
        <f>SUMIF('Adj. Entries UK'!B:B,'HARKAVA '!A46,'Adj. Entries UK'!D:D)</f>
        <v>0</v>
      </c>
      <c r="O46" s="75">
        <f>SUMIF('Adj. Entries UK'!B:B,'HARKAVA '!A46,'Adj. Entries UK'!E:E)</f>
        <v>0</v>
      </c>
      <c r="P46" s="75">
        <f t="shared" si="16"/>
        <v>0</v>
      </c>
      <c r="Q46" s="75"/>
      <c r="R46" s="75">
        <f>SUMIF('TB security'!A:A,'HARKAVA '!A46,'TB security'!D:D)</f>
        <v>0</v>
      </c>
      <c r="S46" s="75">
        <f>SUMIF('Adj. Entries security'!B:B,'HARKAVA '!A46,'Adj. Entries security'!D:D)</f>
        <v>0</v>
      </c>
      <c r="T46" s="75">
        <f>SUMIF('Adj. Entries security'!B:B,'HARKAVA '!A46,'Adj. Entries security'!E:E)</f>
        <v>0</v>
      </c>
      <c r="U46" s="75">
        <f t="shared" si="17"/>
        <v>0</v>
      </c>
      <c r="V46" s="75">
        <f t="shared" si="18"/>
        <v>0</v>
      </c>
      <c r="Y46" s="77">
        <f t="shared" si="19"/>
        <v>0</v>
      </c>
      <c r="Z46" s="166" t="str">
        <f t="shared" si="23"/>
        <v>44</v>
      </c>
      <c r="AD46" s="75">
        <v>0</v>
      </c>
      <c r="AF46" s="77">
        <v>0</v>
      </c>
      <c r="AG46" s="77">
        <v>0</v>
      </c>
      <c r="AH46" s="77">
        <v>0</v>
      </c>
      <c r="AI46" s="75">
        <v>0</v>
      </c>
      <c r="AK46" s="75">
        <v>0</v>
      </c>
      <c r="AL46" s="75">
        <v>0</v>
      </c>
      <c r="AM46" s="75">
        <v>0</v>
      </c>
      <c r="AN46" s="75">
        <v>0</v>
      </c>
      <c r="AO46" s="75"/>
      <c r="AP46" s="75">
        <v>0</v>
      </c>
      <c r="AQ46" s="75">
        <v>0</v>
      </c>
      <c r="AR46" s="75">
        <v>0</v>
      </c>
      <c r="AS46" s="75">
        <v>0</v>
      </c>
      <c r="AT46" s="75">
        <v>0</v>
      </c>
      <c r="AW46" s="77">
        <v>0</v>
      </c>
      <c r="AX46"/>
      <c r="AY46" s="77">
        <f t="shared" si="8"/>
        <v>0</v>
      </c>
      <c r="AZ46" s="77">
        <f t="shared" si="9"/>
        <v>0</v>
      </c>
      <c r="BA46" s="77">
        <f t="shared" si="10"/>
        <v>0</v>
      </c>
      <c r="BB46" s="77">
        <f t="shared" si="11"/>
        <v>0</v>
      </c>
    </row>
    <row r="47" spans="1:55" ht="16">
      <c r="A47" s="48">
        <v>4450</v>
      </c>
      <c r="B47" s="81" t="s">
        <v>58</v>
      </c>
      <c r="C47" s="75">
        <f>SUMIF('TB Mitiga LTD'!A:A,'HARKAVA '!A47,'TB Mitiga LTD'!D:D)</f>
        <v>0</v>
      </c>
      <c r="D47" s="75">
        <f>SUMIF('Adj Entries Ltd'!$B$4:$B$954,A47,'Adj Entries Ltd'!$D$4:$D$954)</f>
        <v>0</v>
      </c>
      <c r="E47" s="75">
        <f>SUMIF('Adj Entries Ltd'!$B$4:$B$954,A47,'Adj Entries Ltd'!$E$4:$E$954)</f>
        <v>0</v>
      </c>
      <c r="F47" s="75">
        <f t="shared" si="20"/>
        <v>0</v>
      </c>
      <c r="H47" s="77">
        <f>SUMIF('TB US'!A:A,'HARKAVA '!A47,'TB US'!D:D)</f>
        <v>0</v>
      </c>
      <c r="I47" s="77">
        <f>SUMIF('Adj. entries US'!B:B,'HARKAVA '!A47,'Adj. entries US'!D:D)</f>
        <v>0</v>
      </c>
      <c r="J47" s="77">
        <f>SUMIF('Adj. entries US'!B:B,'HARKAVA '!A47,'Adj. entries US'!E:E)</f>
        <v>0</v>
      </c>
      <c r="K47" s="75">
        <f t="shared" si="15"/>
        <v>0</v>
      </c>
      <c r="M47" s="75">
        <f>SUMIF('TB UK'!A:A,'HARKAVA '!A47,'TB UK'!E:E)</f>
        <v>0</v>
      </c>
      <c r="N47" s="75">
        <f>SUMIF('Adj. Entries UK'!B:B,'HARKAVA '!A47,'Adj. Entries UK'!D:D)</f>
        <v>0</v>
      </c>
      <c r="O47" s="75">
        <f>SUMIF('Adj. Entries UK'!B:B,'HARKAVA '!A47,'Adj. Entries UK'!E:E)</f>
        <v>0</v>
      </c>
      <c r="P47" s="75">
        <f t="shared" si="16"/>
        <v>0</v>
      </c>
      <c r="Q47" s="75"/>
      <c r="R47" s="75">
        <f>SUMIF('TB security'!A:A,'HARKAVA '!A47,'TB security'!D:D)</f>
        <v>0</v>
      </c>
      <c r="S47" s="75">
        <f>SUMIF('Adj. Entries security'!B:B,'HARKAVA '!A47,'Adj. Entries security'!D:D)</f>
        <v>0</v>
      </c>
      <c r="T47" s="75">
        <f>SUMIF('Adj. Entries security'!B:B,'HARKAVA '!A47,'Adj. Entries security'!E:E)</f>
        <v>0</v>
      </c>
      <c r="U47" s="75">
        <f t="shared" si="17"/>
        <v>0</v>
      </c>
      <c r="V47" s="75">
        <f t="shared" si="18"/>
        <v>0</v>
      </c>
      <c r="Y47" s="77">
        <f t="shared" si="19"/>
        <v>0</v>
      </c>
      <c r="Z47" s="166" t="str">
        <f t="shared" si="23"/>
        <v>44</v>
      </c>
      <c r="AB47" s="81"/>
      <c r="AD47" s="75">
        <v>0</v>
      </c>
      <c r="AF47" s="77">
        <v>0</v>
      </c>
      <c r="AG47" s="77">
        <v>0</v>
      </c>
      <c r="AH47" s="77">
        <v>0</v>
      </c>
      <c r="AI47" s="75">
        <v>0</v>
      </c>
      <c r="AK47" s="75">
        <v>0</v>
      </c>
      <c r="AL47" s="75">
        <v>0</v>
      </c>
      <c r="AM47" s="75">
        <v>0</v>
      </c>
      <c r="AN47" s="75">
        <v>0</v>
      </c>
      <c r="AO47" s="75"/>
      <c r="AP47" s="75">
        <v>0</v>
      </c>
      <c r="AQ47" s="75">
        <v>0</v>
      </c>
      <c r="AR47" s="75">
        <v>0</v>
      </c>
      <c r="AS47" s="75">
        <v>0</v>
      </c>
      <c r="AT47" s="75">
        <v>0</v>
      </c>
      <c r="AW47" s="77">
        <v>0</v>
      </c>
      <c r="AX47"/>
      <c r="AY47" s="77">
        <f t="shared" si="8"/>
        <v>0</v>
      </c>
      <c r="AZ47" s="77">
        <f t="shared" si="9"/>
        <v>0</v>
      </c>
      <c r="BA47" s="77">
        <f t="shared" si="10"/>
        <v>0</v>
      </c>
      <c r="BB47" s="77">
        <f t="shared" si="11"/>
        <v>0</v>
      </c>
    </row>
    <row r="48" spans="1:55" ht="16">
      <c r="A48" s="48">
        <v>4500</v>
      </c>
      <c r="B48" s="81" t="s">
        <v>59</v>
      </c>
      <c r="C48" s="75">
        <f>SUMIF('TB Mitiga LTD'!A:A,'HARKAVA '!A48,'TB Mitiga LTD'!D:D)</f>
        <v>0</v>
      </c>
      <c r="D48" s="75">
        <f>SUMIF('Adj Entries Ltd'!$B$4:$B$954,A48,'Adj Entries Ltd'!$D$4:$D$954)</f>
        <v>0</v>
      </c>
      <c r="E48" s="75">
        <f>SUMIF('Adj Entries Ltd'!$B$4:$B$954,A48,'Adj Entries Ltd'!$E$4:$E$954)</f>
        <v>0</v>
      </c>
      <c r="F48" s="75">
        <f t="shared" si="20"/>
        <v>0</v>
      </c>
      <c r="H48" s="77">
        <f>SUMIF('TB US'!A:A,'HARKAVA '!A48,'TB US'!D:D)</f>
        <v>0</v>
      </c>
      <c r="I48" s="77">
        <f>SUMIF('Adj. entries US'!B:B,'HARKAVA '!A48,'Adj. entries US'!D:D)</f>
        <v>0</v>
      </c>
      <c r="J48" s="77">
        <f>SUMIF('Adj. entries US'!B:B,'HARKAVA '!A48,'Adj. entries US'!E:E)</f>
        <v>0</v>
      </c>
      <c r="K48" s="75">
        <f t="shared" si="15"/>
        <v>0</v>
      </c>
      <c r="M48" s="75">
        <f>SUMIF('TB UK'!A:A,'HARKAVA '!A48,'TB UK'!E:E)</f>
        <v>0</v>
      </c>
      <c r="N48" s="75">
        <f>SUMIF('Adj. Entries UK'!B:B,'HARKAVA '!A48,'Adj. Entries UK'!D:D)</f>
        <v>0</v>
      </c>
      <c r="O48" s="75">
        <f>SUMIF('Adj. Entries UK'!B:B,'HARKAVA '!A48,'Adj. Entries UK'!E:E)</f>
        <v>0</v>
      </c>
      <c r="P48" s="75">
        <f t="shared" si="16"/>
        <v>0</v>
      </c>
      <c r="Q48" s="75"/>
      <c r="R48" s="75">
        <f>SUMIF('TB security'!A:A,'HARKAVA '!A48,'TB security'!D:D)</f>
        <v>0</v>
      </c>
      <c r="S48" s="75">
        <f>SUMIF('Adj. Entries security'!B:B,'HARKAVA '!A48,'Adj. Entries security'!D:D)</f>
        <v>0</v>
      </c>
      <c r="T48" s="75">
        <f>SUMIF('Adj. Entries security'!B:B,'HARKAVA '!A48,'Adj. Entries security'!E:E)</f>
        <v>0</v>
      </c>
      <c r="U48" s="75">
        <f t="shared" si="17"/>
        <v>0</v>
      </c>
      <c r="V48" s="75">
        <f t="shared" si="18"/>
        <v>0</v>
      </c>
      <c r="Y48" s="77">
        <f t="shared" si="19"/>
        <v>0</v>
      </c>
      <c r="Z48" s="166" t="str">
        <f t="shared" si="23"/>
        <v>45</v>
      </c>
      <c r="AB48" s="81"/>
      <c r="AD48" s="75">
        <v>0</v>
      </c>
      <c r="AF48" s="77">
        <v>0</v>
      </c>
      <c r="AG48" s="77">
        <v>0</v>
      </c>
      <c r="AH48" s="77">
        <v>0</v>
      </c>
      <c r="AI48" s="75">
        <v>0</v>
      </c>
      <c r="AK48" s="75">
        <v>0</v>
      </c>
      <c r="AL48" s="75">
        <v>0</v>
      </c>
      <c r="AM48" s="75">
        <v>0</v>
      </c>
      <c r="AN48" s="75">
        <v>0</v>
      </c>
      <c r="AO48" s="75"/>
      <c r="AP48" s="75">
        <v>0</v>
      </c>
      <c r="AQ48" s="75">
        <v>0</v>
      </c>
      <c r="AR48" s="75">
        <v>0</v>
      </c>
      <c r="AS48" s="75">
        <v>0</v>
      </c>
      <c r="AT48" s="75">
        <v>0</v>
      </c>
      <c r="AW48" s="77">
        <v>0</v>
      </c>
      <c r="AX48"/>
      <c r="AY48" s="77">
        <f t="shared" si="8"/>
        <v>0</v>
      </c>
      <c r="AZ48" s="77">
        <f t="shared" si="9"/>
        <v>0</v>
      </c>
      <c r="BA48" s="77">
        <f t="shared" si="10"/>
        <v>0</v>
      </c>
      <c r="BB48" s="77">
        <f t="shared" si="11"/>
        <v>0</v>
      </c>
    </row>
    <row r="49" spans="1:55" ht="16">
      <c r="A49" s="48">
        <v>4600</v>
      </c>
      <c r="B49" s="81" t="s">
        <v>60</v>
      </c>
      <c r="C49" s="369">
        <f>SUMIF('TB Mitiga LTD'!A:A,'HARKAVA '!A49,'TB Mitiga LTD'!D:D)</f>
        <v>-794855.31</v>
      </c>
      <c r="D49" s="75">
        <f>SUMIF('Adj Entries Ltd'!$B$4:$B$954,A49,'Adj Entries Ltd'!$D$4:$D$954)</f>
        <v>0</v>
      </c>
      <c r="E49" s="75">
        <f>SUMIF('Adj Entries Ltd'!$B$4:$B$954,A49,'Adj Entries Ltd'!$E$4:$E$954)</f>
        <v>0</v>
      </c>
      <c r="F49" s="369">
        <f t="shared" si="20"/>
        <v>-794855.31</v>
      </c>
      <c r="H49" s="77">
        <f>SUMIF('TB US'!A:A,'HARKAVA '!A49,'TB US'!D:D)</f>
        <v>0</v>
      </c>
      <c r="I49" s="77">
        <f>SUMIF('Adj. entries US'!B:B,'HARKAVA '!A49,'Adj. entries US'!D:D)</f>
        <v>0</v>
      </c>
      <c r="J49" s="77">
        <f>SUMIF('Adj. entries US'!B:B,'HARKAVA '!A49,'Adj. entries US'!E:E)</f>
        <v>0</v>
      </c>
      <c r="K49" s="75">
        <f t="shared" si="15"/>
        <v>0</v>
      </c>
      <c r="M49" s="75">
        <f>SUMIF('TB UK'!A:A,'HARKAVA '!A49,'TB UK'!E:E)</f>
        <v>0</v>
      </c>
      <c r="N49" s="75">
        <f>SUMIF('Adj. Entries UK'!B:B,'HARKAVA '!A49,'Adj. Entries UK'!D:D)</f>
        <v>0</v>
      </c>
      <c r="O49" s="75">
        <f>SUMIF('Adj. Entries UK'!B:B,'HARKAVA '!A49,'Adj. Entries UK'!E:E)</f>
        <v>0</v>
      </c>
      <c r="P49" s="75">
        <f t="shared" ref="P49" si="24">M49+N49-O49</f>
        <v>0</v>
      </c>
      <c r="Q49" s="75"/>
      <c r="R49" s="75">
        <f>SUMIF('TB security'!A:A,'HARKAVA '!A49,'TB security'!D:D)</f>
        <v>0</v>
      </c>
      <c r="S49" s="75">
        <f>SUMIF('Adj. Entries security'!B:B,'HARKAVA '!A49,'Adj. Entries security'!D:D)</f>
        <v>0</v>
      </c>
      <c r="T49" s="75">
        <f>SUMIF('Adj. Entries security'!B:B,'HARKAVA '!A49,'Adj. Entries security'!E:E)</f>
        <v>0</v>
      </c>
      <c r="U49" s="75">
        <f t="shared" si="17"/>
        <v>0</v>
      </c>
      <c r="V49" s="75">
        <f t="shared" si="18"/>
        <v>-794855.31</v>
      </c>
      <c r="Y49" s="77">
        <f t="shared" si="19"/>
        <v>-794855.31</v>
      </c>
      <c r="Z49" s="166" t="str">
        <f t="shared" si="23"/>
        <v>46</v>
      </c>
      <c r="AB49" s="81"/>
      <c r="AD49" s="369">
        <v>-794855.31</v>
      </c>
      <c r="AF49" s="77">
        <v>0</v>
      </c>
      <c r="AG49" s="77">
        <v>0</v>
      </c>
      <c r="AH49" s="77">
        <v>0</v>
      </c>
      <c r="AI49" s="75">
        <v>0</v>
      </c>
      <c r="AK49" s="75">
        <v>0</v>
      </c>
      <c r="AL49" s="75">
        <v>0</v>
      </c>
      <c r="AM49" s="75">
        <v>0</v>
      </c>
      <c r="AN49" s="75">
        <v>0</v>
      </c>
      <c r="AO49" s="75"/>
      <c r="AP49" s="75">
        <v>0</v>
      </c>
      <c r="AQ49" s="75">
        <v>0</v>
      </c>
      <c r="AR49" s="75">
        <v>0</v>
      </c>
      <c r="AS49" s="75">
        <v>0</v>
      </c>
      <c r="AT49" s="75">
        <v>-794855.31</v>
      </c>
      <c r="AW49" s="77">
        <v>-794855.31</v>
      </c>
      <c r="AX49"/>
      <c r="AY49" s="77">
        <f t="shared" si="8"/>
        <v>0</v>
      </c>
      <c r="AZ49" s="77">
        <f t="shared" si="9"/>
        <v>0</v>
      </c>
      <c r="BA49" s="77">
        <f t="shared" si="10"/>
        <v>0</v>
      </c>
      <c r="BB49" s="77">
        <f t="shared" si="11"/>
        <v>0</v>
      </c>
    </row>
    <row r="50" spans="1:55" ht="16">
      <c r="A50" s="48">
        <v>4900</v>
      </c>
      <c r="B50" s="81" t="s">
        <v>61</v>
      </c>
      <c r="C50" s="369">
        <f>SUMIF('TB Mitiga LTD'!A:A,'HARKAVA '!A50,'TB Mitiga LTD'!D:D)</f>
        <v>-7414943.1199999992</v>
      </c>
      <c r="D50" s="75">
        <f>SUMIF('Adj Entries Ltd'!$B$4:$B$954,A50,'Adj Entries Ltd'!$D$4:$D$954)</f>
        <v>0</v>
      </c>
      <c r="E50" s="75">
        <f>SUMIF('Adj Entries Ltd'!$B$4:$B$954,A50,'Adj Entries Ltd'!$E$4:$E$954)</f>
        <v>34894.910000000003</v>
      </c>
      <c r="F50" s="369">
        <f t="shared" si="20"/>
        <v>-7449838.0299999993</v>
      </c>
      <c r="H50" s="77">
        <f>SUMIF('TB US'!A:A,'HARKAVA '!A50,'TB US'!D:D)</f>
        <v>0</v>
      </c>
      <c r="I50" s="77">
        <f>SUMIF('Adj. entries US'!B:B,'HARKAVA '!A50,'Adj. entries US'!D:D)</f>
        <v>0</v>
      </c>
      <c r="J50" s="77">
        <f>SUMIF('Adj. entries US'!B:B,'HARKAVA '!A50,'Adj. entries US'!E:E)</f>
        <v>0</v>
      </c>
      <c r="K50" s="75">
        <f t="shared" si="15"/>
        <v>0</v>
      </c>
      <c r="M50" s="369">
        <f>SUMIF('TB UK'!A:A,'HARKAVA '!A50,'TB UK'!E:E)</f>
        <v>-129.63999999999999</v>
      </c>
      <c r="N50" s="75">
        <f>SUMIF('Adj. Entries UK'!B:B,'HARKAVA '!A50,'Adj. Entries UK'!D:D)</f>
        <v>0</v>
      </c>
      <c r="O50" s="75">
        <f>SUMIF('Adj. Entries UK'!B:B,'HARKAVA '!A50,'Adj. Entries UK'!E:E)</f>
        <v>0</v>
      </c>
      <c r="P50" s="369">
        <f t="shared" si="16"/>
        <v>-129.63999999999999</v>
      </c>
      <c r="Q50" s="75"/>
      <c r="R50" s="369">
        <f>SUMIF('TB security'!A:A,'HARKAVA '!A50,'TB security'!D:D)</f>
        <v>-25015507.5</v>
      </c>
      <c r="S50" s="75">
        <f>SUMIF('Adj. Entries security'!B:B,'HARKAVA '!A50,'Adj. Entries security'!D:D)</f>
        <v>0</v>
      </c>
      <c r="T50" s="75">
        <f>SUMIF('Adj. Entries security'!B:B,'HARKAVA '!A50,'Adj. Entries security'!E:E)</f>
        <v>0</v>
      </c>
      <c r="U50" s="369">
        <f t="shared" si="17"/>
        <v>-25015507.5</v>
      </c>
      <c r="V50" s="75">
        <f t="shared" si="18"/>
        <v>-32465475.169999998</v>
      </c>
      <c r="X50" s="77">
        <f>-X24</f>
        <v>449.64</v>
      </c>
      <c r="Y50" s="77">
        <f t="shared" si="19"/>
        <v>-32465025.529999997</v>
      </c>
      <c r="Z50" s="166">
        <v>49</v>
      </c>
      <c r="AB50" s="81"/>
      <c r="AD50" s="369">
        <v>-7414943.1199999992</v>
      </c>
      <c r="AF50" s="77">
        <v>0</v>
      </c>
      <c r="AG50" s="77">
        <v>0</v>
      </c>
      <c r="AH50" s="77">
        <v>0</v>
      </c>
      <c r="AI50" s="75">
        <v>0</v>
      </c>
      <c r="AK50" s="369">
        <v>-129.63999999999999</v>
      </c>
      <c r="AL50" s="75">
        <v>0</v>
      </c>
      <c r="AM50" s="75">
        <v>0</v>
      </c>
      <c r="AN50" s="369">
        <v>-129.63999999999999</v>
      </c>
      <c r="AO50" s="75"/>
      <c r="AP50" s="369">
        <v>-25015507.5</v>
      </c>
      <c r="AQ50" s="75">
        <v>0</v>
      </c>
      <c r="AR50" s="75">
        <v>0</v>
      </c>
      <c r="AS50" s="369">
        <v>-25015507.5</v>
      </c>
      <c r="AT50" s="75">
        <v>-32430580.259999998</v>
      </c>
      <c r="AV50" s="77">
        <v>449.64</v>
      </c>
      <c r="AW50" s="77">
        <v>-32430130.619999997</v>
      </c>
      <c r="AX50"/>
      <c r="AY50" s="77">
        <f t="shared" si="8"/>
        <v>-34894.910000000149</v>
      </c>
      <c r="AZ50" s="77">
        <f t="shared" si="9"/>
        <v>0</v>
      </c>
      <c r="BA50" s="77">
        <f t="shared" si="10"/>
        <v>0</v>
      </c>
      <c r="BB50" s="77">
        <f t="shared" si="11"/>
        <v>0</v>
      </c>
    </row>
    <row r="51" spans="1:55" s="2" customFormat="1" ht="16">
      <c r="A51" s="48">
        <v>5100</v>
      </c>
      <c r="B51" s="81" t="s">
        <v>62</v>
      </c>
      <c r="C51" s="369">
        <f>SUMIF('TB Mitiga LTD'!A:A,'HARKAVA '!A51,'TB Mitiga LTD'!D:D)</f>
        <v>-56651</v>
      </c>
      <c r="D51" s="75">
        <f>SUMIF('Adj Entries Ltd'!$B$4:$B$954,A51,'Adj Entries Ltd'!$D$4:$D$954)</f>
        <v>0</v>
      </c>
      <c r="E51" s="369">
        <f>SUMIF('Adj Entries Ltd'!$B$4:$B$954,A51,'Adj Entries Ltd'!$E$4:$E$954)</f>
        <v>27746.947589855838</v>
      </c>
      <c r="F51" s="369">
        <f t="shared" si="20"/>
        <v>-84397.947589855845</v>
      </c>
      <c r="H51" s="77">
        <f>SUMIF('TB US'!A:A,'HARKAVA '!A51,'TB US'!D:D)</f>
        <v>0</v>
      </c>
      <c r="I51" s="77">
        <f>SUMIF('Adj. entries US'!B:B,'HARKAVA '!A51,'Adj. entries US'!D:D)</f>
        <v>0</v>
      </c>
      <c r="J51" s="77">
        <f>SUMIF('Adj. entries US'!B:B,'HARKAVA '!A51,'Adj. entries US'!E:E)</f>
        <v>0</v>
      </c>
      <c r="K51" s="75">
        <f t="shared" si="15"/>
        <v>0</v>
      </c>
      <c r="M51" s="369">
        <f>SUMIF('TB UK'!A:A,'HARKAVA '!A51,'TB UK'!E:E)</f>
        <v>0</v>
      </c>
      <c r="N51" s="75">
        <f>SUMIF('Adj. Entries UK'!B:B,'HARKAVA '!A51,'Adj. Entries UK'!D:D)</f>
        <v>0</v>
      </c>
      <c r="O51" s="369">
        <f>SUMIF('Adj. Entries UK'!B:B,'HARKAVA '!A51,'Adj. Entries UK'!E:E)</f>
        <v>8351.7453914872895</v>
      </c>
      <c r="P51" s="369">
        <f t="shared" si="16"/>
        <v>-8351.7453914872895</v>
      </c>
      <c r="Q51" s="75"/>
      <c r="R51" s="369">
        <f>SUMIF('TB security'!A:A,'HARKAVA '!A51,'TB security'!D:D)</f>
        <v>-5338</v>
      </c>
      <c r="S51" s="75">
        <f>SUMIF('Adj. Entries security'!B:B,'HARKAVA '!A51,'Adj. Entries security'!D:D)</f>
        <v>0</v>
      </c>
      <c r="T51" s="369">
        <f>SUMIF('Adj. Entries security'!B:B,'HARKAVA '!A51,'Adj. Entries security'!E:E)</f>
        <v>6332.9130622359016</v>
      </c>
      <c r="U51" s="369">
        <f t="shared" si="17"/>
        <v>-11670.913062235901</v>
      </c>
      <c r="V51" s="75">
        <f t="shared" si="18"/>
        <v>-104420.60604357903</v>
      </c>
      <c r="X51" s="77"/>
      <c r="Y51" s="77">
        <f t="shared" si="19"/>
        <v>-104420.60604357903</v>
      </c>
      <c r="Z51" s="166">
        <v>49.5</v>
      </c>
      <c r="AB51" s="81"/>
      <c r="AC51" s="77"/>
      <c r="AD51" s="369">
        <v>-95274</v>
      </c>
      <c r="AF51" s="77">
        <v>0</v>
      </c>
      <c r="AG51" s="77">
        <v>0</v>
      </c>
      <c r="AH51" s="77">
        <v>0</v>
      </c>
      <c r="AI51" s="75">
        <v>0</v>
      </c>
      <c r="AK51" s="369">
        <v>0</v>
      </c>
      <c r="AL51" s="75">
        <v>0</v>
      </c>
      <c r="AM51" s="369">
        <v>13073</v>
      </c>
      <c r="AN51" s="369">
        <v>-13073</v>
      </c>
      <c r="AO51" s="75"/>
      <c r="AP51" s="369">
        <v>-5338</v>
      </c>
      <c r="AQ51" s="75">
        <v>0</v>
      </c>
      <c r="AR51" s="369">
        <v>8518</v>
      </c>
      <c r="AS51" s="369">
        <v>-13856</v>
      </c>
      <c r="AT51" s="75">
        <v>-122203</v>
      </c>
      <c r="AV51" s="77"/>
      <c r="AW51" s="77">
        <v>-122203</v>
      </c>
      <c r="AX51"/>
      <c r="AY51" s="77">
        <f t="shared" si="8"/>
        <v>10876.052410144155</v>
      </c>
      <c r="AZ51" s="77">
        <f t="shared" si="9"/>
        <v>4721.2546085127105</v>
      </c>
      <c r="BA51" s="77">
        <f t="shared" si="10"/>
        <v>2185.0869377640993</v>
      </c>
      <c r="BB51" s="77">
        <f t="shared" si="11"/>
        <v>0</v>
      </c>
      <c r="BC51" s="2" t="s">
        <v>63</v>
      </c>
    </row>
    <row r="52" spans="1:55" s="2" customFormat="1" ht="16">
      <c r="A52" s="48">
        <v>5101</v>
      </c>
      <c r="B52" s="81" t="s">
        <v>64</v>
      </c>
      <c r="C52" s="75">
        <f>SUMIF('TB Mitiga LTD'!A:A,'HARKAVA '!A52,'TB Mitiga LTD'!D:D)</f>
        <v>0</v>
      </c>
      <c r="D52" s="75">
        <f>SUMIF('Adj Entries Ltd'!$B$4:$B$954,A52,'Adj Entries Ltd'!$D$4:$D$954)</f>
        <v>0</v>
      </c>
      <c r="E52" s="75">
        <f>SUMIF('Adj Entries Ltd'!$B$4:$B$954,A52,'Adj Entries Ltd'!$E$4:$E$954)</f>
        <v>0</v>
      </c>
      <c r="F52" s="75">
        <f t="shared" si="20"/>
        <v>0</v>
      </c>
      <c r="H52" s="77">
        <f>SUMIF('TB US'!A:A,'HARKAVA '!A52,'TB US'!D:D)</f>
        <v>0</v>
      </c>
      <c r="I52" s="77">
        <f>SUMIF('Adj. entries US'!B:B,'HARKAVA '!A52,'Adj. entries US'!D:D)</f>
        <v>0</v>
      </c>
      <c r="J52" s="77">
        <f>SUMIF('Adj. entries US'!B:B,'HARKAVA '!A52,'Adj. entries US'!E:E)</f>
        <v>0</v>
      </c>
      <c r="K52" s="75">
        <f t="shared" si="15"/>
        <v>0</v>
      </c>
      <c r="M52" s="75">
        <f>SUMIF('TB UK'!A:A,'HARKAVA '!A52,'TB UK'!E:E)</f>
        <v>0</v>
      </c>
      <c r="N52" s="75">
        <f>SUMIF('Adj. Entries UK'!B:B,'HARKAVA '!A52,'Adj. Entries UK'!D:D)</f>
        <v>0</v>
      </c>
      <c r="O52" s="75">
        <f>SUMIF('Adj. Entries UK'!B:B,'HARKAVA '!A52,'Adj. Entries UK'!E:E)</f>
        <v>0</v>
      </c>
      <c r="P52" s="75">
        <f t="shared" si="16"/>
        <v>0</v>
      </c>
      <c r="Q52" s="75"/>
      <c r="R52" s="75">
        <f>SUMIF('TB security'!A:A,'HARKAVA '!A52,'TB security'!D:D)</f>
        <v>0</v>
      </c>
      <c r="S52" s="75">
        <f>SUMIF('Adj. Entries security'!B:B,'HARKAVA '!A52,'Adj. Entries security'!D:D)</f>
        <v>0</v>
      </c>
      <c r="T52" s="75">
        <f>SUMIF('Adj. Entries security'!B:B,'HARKAVA '!A52,'Adj. Entries security'!E:E)</f>
        <v>0</v>
      </c>
      <c r="U52" s="75">
        <f t="shared" si="17"/>
        <v>0</v>
      </c>
      <c r="V52" s="75">
        <f t="shared" si="18"/>
        <v>0</v>
      </c>
      <c r="X52" s="77"/>
      <c r="Y52" s="77">
        <f t="shared" si="19"/>
        <v>0</v>
      </c>
      <c r="Z52" s="166">
        <v>50</v>
      </c>
      <c r="AB52" s="81"/>
      <c r="AC52" s="77"/>
      <c r="AD52" s="75">
        <v>0</v>
      </c>
      <c r="AF52" s="77">
        <v>0</v>
      </c>
      <c r="AG52" s="77">
        <v>0</v>
      </c>
      <c r="AH52" s="77">
        <v>0</v>
      </c>
      <c r="AI52" s="75">
        <v>0</v>
      </c>
      <c r="AK52" s="75">
        <v>0</v>
      </c>
      <c r="AL52" s="75">
        <v>0</v>
      </c>
      <c r="AM52" s="75">
        <v>0</v>
      </c>
      <c r="AN52" s="75">
        <v>0</v>
      </c>
      <c r="AO52" s="75"/>
      <c r="AP52" s="75">
        <v>0</v>
      </c>
      <c r="AQ52" s="75">
        <v>0</v>
      </c>
      <c r="AR52" s="75">
        <v>0</v>
      </c>
      <c r="AS52" s="75">
        <v>0</v>
      </c>
      <c r="AT52" s="75">
        <v>0</v>
      </c>
      <c r="AV52" s="77"/>
      <c r="AW52" s="77">
        <v>0</v>
      </c>
      <c r="AX52"/>
      <c r="AY52" s="77">
        <f t="shared" si="8"/>
        <v>0</v>
      </c>
      <c r="AZ52" s="77">
        <f t="shared" si="9"/>
        <v>0</v>
      </c>
      <c r="BA52" s="77">
        <f t="shared" si="10"/>
        <v>0</v>
      </c>
      <c r="BB52" s="77">
        <f t="shared" si="11"/>
        <v>0</v>
      </c>
    </row>
    <row r="53" spans="1:55" s="2" customFormat="1" ht="16">
      <c r="A53" s="48">
        <v>5103</v>
      </c>
      <c r="B53" s="81" t="s">
        <v>65</v>
      </c>
      <c r="C53" s="75">
        <f>SUMIF('TB Mitiga LTD'!A:A,'HARKAVA '!A53,'TB Mitiga LTD'!D:D)</f>
        <v>0</v>
      </c>
      <c r="D53" s="75">
        <f>SUMIF('Adj Entries Ltd'!$B$4:$B$954,A53,'Adj Entries Ltd'!$D$4:$D$954)</f>
        <v>0</v>
      </c>
      <c r="E53" s="75">
        <f>SUMIF('Adj Entries Ltd'!$B$4:$B$954,A53,'Adj Entries Ltd'!$E$4:$E$954)</f>
        <v>0</v>
      </c>
      <c r="F53" s="75">
        <f t="shared" si="20"/>
        <v>0</v>
      </c>
      <c r="H53" s="77">
        <f>SUMIF('TB US'!A:A,'HARKAVA '!A53,'TB US'!D:D)</f>
        <v>0</v>
      </c>
      <c r="I53" s="77">
        <f>SUMIF('Adj. entries US'!B:B,'HARKAVA '!A53,'Adj. entries US'!D:D)</f>
        <v>0</v>
      </c>
      <c r="J53" s="77">
        <f>SUMIF('Adj. entries US'!B:B,'HARKAVA '!A53,'Adj. entries US'!E:E)</f>
        <v>0</v>
      </c>
      <c r="K53" s="75">
        <f t="shared" si="15"/>
        <v>0</v>
      </c>
      <c r="M53" s="75">
        <f>SUMIF('TB UK'!A:A,'HARKAVA '!A53,'TB UK'!E:E)</f>
        <v>0</v>
      </c>
      <c r="N53" s="75">
        <f>SUMIF('Adj. Entries UK'!B:B,'HARKAVA '!A53,'Adj. Entries UK'!D:D)</f>
        <v>0</v>
      </c>
      <c r="O53" s="75">
        <f>SUMIF('Adj. Entries UK'!B:B,'HARKAVA '!A53,'Adj. Entries UK'!E:E)</f>
        <v>0</v>
      </c>
      <c r="P53" s="75">
        <f t="shared" si="16"/>
        <v>0</v>
      </c>
      <c r="Q53" s="75"/>
      <c r="R53" s="75">
        <f>SUMIF('TB security'!A:A,'HARKAVA '!A53,'TB security'!D:D)</f>
        <v>0</v>
      </c>
      <c r="S53" s="75">
        <f>SUMIF('Adj. Entries security'!B:B,'HARKAVA '!A53,'Adj. Entries security'!D:D)</f>
        <v>0</v>
      </c>
      <c r="T53" s="75">
        <f>SUMIF('Adj. Entries security'!B:B,'HARKAVA '!A53,'Adj. Entries security'!E:E)</f>
        <v>0</v>
      </c>
      <c r="U53" s="75">
        <f t="shared" si="17"/>
        <v>0</v>
      </c>
      <c r="V53" s="75">
        <f t="shared" si="18"/>
        <v>0</v>
      </c>
      <c r="X53" s="77"/>
      <c r="Y53" s="77">
        <f t="shared" si="19"/>
        <v>0</v>
      </c>
      <c r="Z53" s="166">
        <v>50.5</v>
      </c>
      <c r="AB53" s="81"/>
      <c r="AC53" s="77"/>
      <c r="AD53" s="75">
        <v>0</v>
      </c>
      <c r="AF53" s="77">
        <v>0</v>
      </c>
      <c r="AG53" s="77">
        <v>0</v>
      </c>
      <c r="AH53" s="77">
        <v>0</v>
      </c>
      <c r="AI53" s="75">
        <v>0</v>
      </c>
      <c r="AK53" s="75">
        <v>0</v>
      </c>
      <c r="AL53" s="75">
        <v>0</v>
      </c>
      <c r="AM53" s="75">
        <v>0</v>
      </c>
      <c r="AN53" s="75">
        <v>0</v>
      </c>
      <c r="AO53" s="75"/>
      <c r="AP53" s="75">
        <v>0</v>
      </c>
      <c r="AQ53" s="75">
        <v>0</v>
      </c>
      <c r="AR53" s="75">
        <v>0</v>
      </c>
      <c r="AS53" s="75">
        <v>0</v>
      </c>
      <c r="AT53" s="75">
        <v>0</v>
      </c>
      <c r="AV53" s="77"/>
      <c r="AW53" s="77">
        <v>0</v>
      </c>
      <c r="AX53"/>
      <c r="AY53" s="77">
        <f t="shared" si="8"/>
        <v>0</v>
      </c>
      <c r="AZ53" s="77">
        <f t="shared" si="9"/>
        <v>0</v>
      </c>
      <c r="BA53" s="77">
        <f t="shared" si="10"/>
        <v>0</v>
      </c>
      <c r="BB53" s="77">
        <f t="shared" si="11"/>
        <v>0</v>
      </c>
    </row>
    <row r="54" spans="1:55" s="2" customFormat="1" ht="16">
      <c r="A54" s="48">
        <v>5105</v>
      </c>
      <c r="B54" s="81" t="s">
        <v>66</v>
      </c>
      <c r="C54" s="75">
        <f>SUMIF('TB Mitiga LTD'!A:A,'HARKAVA '!A54,'TB Mitiga LTD'!D:D)</f>
        <v>0</v>
      </c>
      <c r="D54" s="75">
        <f>SUMIF('Adj Entries Ltd'!$B$4:$B$954,A54,'Adj Entries Ltd'!$D$4:$D$954)</f>
        <v>0</v>
      </c>
      <c r="E54" s="75">
        <f>SUMIF('Adj Entries Ltd'!$B$4:$B$954,A54,'Adj Entries Ltd'!$E$4:$E$954)</f>
        <v>0</v>
      </c>
      <c r="F54" s="75">
        <f t="shared" si="20"/>
        <v>0</v>
      </c>
      <c r="H54" s="77">
        <f>SUMIF('TB US'!A:A,'HARKAVA '!A54,'TB US'!D:D)</f>
        <v>0</v>
      </c>
      <c r="I54" s="77">
        <f>SUMIF('Adj. entries US'!B:B,'HARKAVA '!A54,'Adj. entries US'!D:D)</f>
        <v>0</v>
      </c>
      <c r="J54" s="77">
        <f>SUMIF('Adj. entries US'!B:B,'HARKAVA '!A54,'Adj. entries US'!E:E)</f>
        <v>0</v>
      </c>
      <c r="K54" s="75">
        <f t="shared" si="15"/>
        <v>0</v>
      </c>
      <c r="M54" s="75">
        <f>SUMIF('TB UK'!A:A,'HARKAVA '!A54,'TB UK'!E:E)</f>
        <v>0</v>
      </c>
      <c r="N54" s="75">
        <f>SUMIF('Adj. Entries UK'!B:B,'HARKAVA '!A54,'Adj. Entries UK'!D:D)</f>
        <v>0</v>
      </c>
      <c r="O54" s="75">
        <f>SUMIF('Adj. Entries UK'!B:B,'HARKAVA '!A54,'Adj. Entries UK'!E:E)</f>
        <v>0</v>
      </c>
      <c r="P54" s="75">
        <f>M54+N54-O54</f>
        <v>0</v>
      </c>
      <c r="Q54" s="75"/>
      <c r="R54" s="75">
        <f>SUMIF('TB security'!A:A,'HARKAVA '!A54,'TB security'!D:D)</f>
        <v>0</v>
      </c>
      <c r="S54" s="75">
        <f>SUMIF('Adj. Entries security'!B:B,'HARKAVA '!A54,'Adj. Entries security'!D:D)</f>
        <v>0</v>
      </c>
      <c r="T54" s="75">
        <f>SUMIF('Adj. Entries security'!B:B,'HARKAVA '!A54,'Adj. Entries security'!E:E)</f>
        <v>0</v>
      </c>
      <c r="U54" s="75">
        <f t="shared" si="17"/>
        <v>0</v>
      </c>
      <c r="V54" s="75">
        <f t="shared" si="18"/>
        <v>0</v>
      </c>
      <c r="X54" s="77"/>
      <c r="Y54" s="77">
        <f t="shared" si="19"/>
        <v>0</v>
      </c>
      <c r="Z54" s="166">
        <v>50.6</v>
      </c>
      <c r="AB54" s="81"/>
      <c r="AC54" s="77"/>
      <c r="AD54" s="75">
        <v>0</v>
      </c>
      <c r="AF54" s="77">
        <v>0</v>
      </c>
      <c r="AG54" s="77">
        <v>0</v>
      </c>
      <c r="AH54" s="77">
        <v>0</v>
      </c>
      <c r="AI54" s="75">
        <v>0</v>
      </c>
      <c r="AK54" s="75">
        <v>0</v>
      </c>
      <c r="AL54" s="75">
        <v>0</v>
      </c>
      <c r="AM54" s="75">
        <v>0</v>
      </c>
      <c r="AN54" s="75">
        <v>0</v>
      </c>
      <c r="AO54" s="75"/>
      <c r="AP54" s="75">
        <v>0</v>
      </c>
      <c r="AQ54" s="75">
        <v>0</v>
      </c>
      <c r="AR54" s="75">
        <v>0</v>
      </c>
      <c r="AS54" s="75">
        <v>0</v>
      </c>
      <c r="AT54" s="75">
        <v>0</v>
      </c>
      <c r="AV54" s="77"/>
      <c r="AW54" s="77">
        <v>0</v>
      </c>
      <c r="AX54"/>
      <c r="AY54" s="77">
        <f t="shared" si="8"/>
        <v>0</v>
      </c>
      <c r="AZ54" s="77">
        <f t="shared" si="9"/>
        <v>0</v>
      </c>
      <c r="BA54" s="77">
        <f t="shared" si="10"/>
        <v>0</v>
      </c>
      <c r="BB54" s="77">
        <f t="shared" si="11"/>
        <v>0</v>
      </c>
    </row>
    <row r="55" spans="1:55" s="2" customFormat="1" ht="16">
      <c r="A55" s="48">
        <v>5106</v>
      </c>
      <c r="B55" s="81" t="s">
        <v>67</v>
      </c>
      <c r="C55" s="75">
        <f>SUMIF('TB Mitiga LTD'!A:A,'HARKAVA '!A55,'TB Mitiga LTD'!D:D)</f>
        <v>0</v>
      </c>
      <c r="D55" s="75">
        <f>SUMIF('Adj Entries Ltd'!$B$4:$B$954,A55,'Adj Entries Ltd'!$D$4:$D$954)</f>
        <v>0</v>
      </c>
      <c r="E55" s="75">
        <f>SUMIF('Adj Entries Ltd'!$B$4:$B$954,A55,'Adj Entries Ltd'!$E$4:$E$954)</f>
        <v>0</v>
      </c>
      <c r="F55" s="75">
        <f t="shared" si="20"/>
        <v>0</v>
      </c>
      <c r="H55" s="77">
        <f>SUMIF('TB US'!A:A,'HARKAVA '!A55,'TB US'!D:D)</f>
        <v>0</v>
      </c>
      <c r="I55" s="77">
        <f>SUMIF('Adj. entries US'!B:B,'HARKAVA '!A55,'Adj. entries US'!D:D)</f>
        <v>0</v>
      </c>
      <c r="J55" s="77">
        <f>SUMIF('Adj. entries US'!B:B,'HARKAVA '!A55,'Adj. entries US'!E:E)</f>
        <v>0</v>
      </c>
      <c r="K55" s="75">
        <f t="shared" si="15"/>
        <v>0</v>
      </c>
      <c r="M55" s="75">
        <f>SUMIF('TB UK'!A:A,'HARKAVA '!A55,'TB UK'!E:E)</f>
        <v>0</v>
      </c>
      <c r="N55" s="75">
        <f>SUMIF('Adj. Entries UK'!B:B,'HARKAVA '!A55,'Adj. Entries UK'!D:D)</f>
        <v>0</v>
      </c>
      <c r="O55" s="75">
        <f>SUMIF('Adj. Entries UK'!B:B,'HARKAVA '!A55,'Adj. Entries UK'!E:E)</f>
        <v>0</v>
      </c>
      <c r="P55" s="75">
        <f t="shared" si="16"/>
        <v>0</v>
      </c>
      <c r="Q55" s="75"/>
      <c r="R55" s="75">
        <f>SUMIF('TB security'!A:A,'HARKAVA '!A55,'TB security'!D:D)</f>
        <v>0</v>
      </c>
      <c r="S55" s="75">
        <f>SUMIF('Adj. Entries security'!B:B,'HARKAVA '!A55,'Adj. Entries security'!D:D)</f>
        <v>0</v>
      </c>
      <c r="T55" s="75">
        <f>SUMIF('Adj. Entries security'!B:B,'HARKAVA '!A55,'Adj. Entries security'!E:E)</f>
        <v>0</v>
      </c>
      <c r="U55" s="75">
        <f t="shared" si="17"/>
        <v>0</v>
      </c>
      <c r="V55" s="75">
        <f t="shared" si="18"/>
        <v>0</v>
      </c>
      <c r="X55" s="77"/>
      <c r="Y55" s="77">
        <f t="shared" si="19"/>
        <v>0</v>
      </c>
      <c r="Z55" s="166">
        <v>50.7</v>
      </c>
      <c r="AB55" s="81"/>
      <c r="AC55" s="77"/>
      <c r="AD55" s="75">
        <v>0</v>
      </c>
      <c r="AF55" s="77">
        <v>0</v>
      </c>
      <c r="AG55" s="77">
        <v>0</v>
      </c>
      <c r="AH55" s="77">
        <v>0</v>
      </c>
      <c r="AI55" s="75">
        <v>0</v>
      </c>
      <c r="AK55" s="75">
        <v>0</v>
      </c>
      <c r="AL55" s="75">
        <v>0</v>
      </c>
      <c r="AM55" s="75">
        <v>0</v>
      </c>
      <c r="AN55" s="75">
        <v>0</v>
      </c>
      <c r="AO55" s="75"/>
      <c r="AP55" s="75">
        <v>0</v>
      </c>
      <c r="AQ55" s="75">
        <v>0</v>
      </c>
      <c r="AR55" s="75">
        <v>0</v>
      </c>
      <c r="AS55" s="75">
        <v>0</v>
      </c>
      <c r="AT55" s="75">
        <v>0</v>
      </c>
      <c r="AV55" s="77"/>
      <c r="AW55" s="77">
        <v>0</v>
      </c>
      <c r="AX55"/>
      <c r="AY55" s="77">
        <f t="shared" si="8"/>
        <v>0</v>
      </c>
      <c r="AZ55" s="77">
        <f t="shared" si="9"/>
        <v>0</v>
      </c>
      <c r="BA55" s="77">
        <f t="shared" si="10"/>
        <v>0</v>
      </c>
      <c r="BB55" s="77">
        <f t="shared" si="11"/>
        <v>0</v>
      </c>
    </row>
    <row r="56" spans="1:55" s="2" customFormat="1" ht="16">
      <c r="A56" s="48">
        <v>5107</v>
      </c>
      <c r="B56" s="81" t="s">
        <v>68</v>
      </c>
      <c r="C56" s="75">
        <f>SUMIF('TB Mitiga LTD'!A:A,'HARKAVA '!A56,'TB Mitiga LTD'!D:D)</f>
        <v>0</v>
      </c>
      <c r="D56" s="75">
        <f>SUMIF('Adj Entries Ltd'!$B$4:$B$954,A56,'Adj Entries Ltd'!$D$4:$D$954)</f>
        <v>0</v>
      </c>
      <c r="E56" s="75">
        <f>SUMIF('Adj Entries Ltd'!$B$4:$B$954,A56,'Adj Entries Ltd'!$E$4:$E$954)</f>
        <v>0</v>
      </c>
      <c r="F56" s="75">
        <f t="shared" si="20"/>
        <v>0</v>
      </c>
      <c r="H56" s="77">
        <f>SUMIF('TB US'!A:A,'HARKAVA '!A56,'TB US'!D:D)</f>
        <v>0</v>
      </c>
      <c r="I56" s="77">
        <f>SUMIF('Adj. entries US'!B:B,'HARKAVA '!A56,'Adj. entries US'!D:D)</f>
        <v>0</v>
      </c>
      <c r="J56" s="77">
        <f>SUMIF('Adj. entries US'!B:B,'HARKAVA '!A56,'Adj. entries US'!E:E)</f>
        <v>0</v>
      </c>
      <c r="K56" s="75">
        <f t="shared" si="15"/>
        <v>0</v>
      </c>
      <c r="M56" s="75">
        <f>SUMIF('TB UK'!A:A,'HARKAVA '!A56,'TB UK'!E:E)</f>
        <v>0</v>
      </c>
      <c r="N56" s="75">
        <f>SUMIF('Adj. Entries UK'!B:B,'HARKAVA '!A56,'Adj. Entries UK'!D:D)</f>
        <v>0</v>
      </c>
      <c r="O56" s="75">
        <f>SUMIF('Adj. Entries UK'!B:B,'HARKAVA '!A56,'Adj. Entries UK'!E:E)</f>
        <v>0</v>
      </c>
      <c r="P56" s="75">
        <f t="shared" si="16"/>
        <v>0</v>
      </c>
      <c r="Q56" s="75"/>
      <c r="R56" s="75">
        <f>SUMIF('TB security'!A:A,'HARKAVA '!A56,'TB security'!D:D)</f>
        <v>0</v>
      </c>
      <c r="S56" s="75">
        <f>SUMIF('Adj. Entries security'!B:B,'HARKAVA '!A56,'Adj. Entries security'!D:D)</f>
        <v>0</v>
      </c>
      <c r="T56" s="75">
        <f>SUMIF('Adj. Entries security'!B:B,'HARKAVA '!A56,'Adj. Entries security'!E:E)</f>
        <v>0</v>
      </c>
      <c r="U56" s="75">
        <f t="shared" si="17"/>
        <v>0</v>
      </c>
      <c r="V56" s="75">
        <f t="shared" si="18"/>
        <v>0</v>
      </c>
      <c r="X56" s="77"/>
      <c r="Y56" s="77">
        <f t="shared" si="19"/>
        <v>0</v>
      </c>
      <c r="Z56" s="166">
        <v>51</v>
      </c>
      <c r="AB56" s="81"/>
      <c r="AC56" s="77"/>
      <c r="AD56" s="75">
        <v>0</v>
      </c>
      <c r="AF56" s="77">
        <v>0</v>
      </c>
      <c r="AG56" s="77">
        <v>0</v>
      </c>
      <c r="AH56" s="77">
        <v>0</v>
      </c>
      <c r="AI56" s="75">
        <v>0</v>
      </c>
      <c r="AK56" s="75">
        <v>0</v>
      </c>
      <c r="AL56" s="75">
        <v>0</v>
      </c>
      <c r="AM56" s="75">
        <v>0</v>
      </c>
      <c r="AN56" s="75">
        <v>0</v>
      </c>
      <c r="AO56" s="75"/>
      <c r="AP56" s="75">
        <v>0</v>
      </c>
      <c r="AQ56" s="75">
        <v>0</v>
      </c>
      <c r="AR56" s="75">
        <v>0</v>
      </c>
      <c r="AS56" s="75">
        <v>0</v>
      </c>
      <c r="AT56" s="75">
        <v>0</v>
      </c>
      <c r="AV56" s="77"/>
      <c r="AW56" s="77">
        <v>0</v>
      </c>
      <c r="AX56"/>
      <c r="AY56" s="77">
        <f t="shared" si="8"/>
        <v>0</v>
      </c>
      <c r="AZ56" s="77">
        <f t="shared" si="9"/>
        <v>0</v>
      </c>
      <c r="BA56" s="77">
        <f t="shared" si="10"/>
        <v>0</v>
      </c>
      <c r="BB56" s="77">
        <f t="shared" si="11"/>
        <v>0</v>
      </c>
    </row>
    <row r="57" spans="1:55" s="91" customFormat="1" ht="16">
      <c r="A57" s="48">
        <v>5110</v>
      </c>
      <c r="B57" s="81" t="s">
        <v>69</v>
      </c>
      <c r="C57" s="369">
        <f>SUMIF('TB Mitiga LTD'!A:A,'HARKAVA '!A57,'TB Mitiga LTD'!D:D)</f>
        <v>3480454.58</v>
      </c>
      <c r="D57" s="75">
        <f>SUMIF('Adj Entries Ltd'!$B$4:$B$954,A57,'Adj Entries Ltd'!$D$4:$D$954)</f>
        <v>0</v>
      </c>
      <c r="E57" s="75">
        <f>SUMIF('Adj Entries Ltd'!$B$4:$B$954,A57,'Adj Entries Ltd'!$E$4:$E$954)</f>
        <v>0</v>
      </c>
      <c r="F57" s="369">
        <f t="shared" si="20"/>
        <v>3480454.58</v>
      </c>
      <c r="H57" s="463">
        <f>SUMIF('TB US'!A:A,'HARKAVA '!A57,'TB US'!D:D)</f>
        <v>-1079.8499999999999</v>
      </c>
      <c r="I57" s="77">
        <f>SUMIF('Adj. entries US'!B:B,'HARKAVA '!A57,'Adj. entries US'!D:D)</f>
        <v>0</v>
      </c>
      <c r="J57" s="77">
        <f>SUMIF('Adj. entries US'!B:B,'HARKAVA '!A57,'Adj. entries US'!E:E)</f>
        <v>0</v>
      </c>
      <c r="K57" s="369">
        <f t="shared" si="15"/>
        <v>-1079.8499999999999</v>
      </c>
      <c r="M57" s="369">
        <f>SUMIF('TB UK'!A:A,'HARKAVA '!A57,'TB UK'!E:E)</f>
        <v>73812.55</v>
      </c>
      <c r="N57" s="75">
        <f>SUMIF('Adj. Entries UK'!B:B,'HARKAVA '!A57,'Adj. Entries UK'!D:D)</f>
        <v>0</v>
      </c>
      <c r="O57" s="75">
        <f>SUMIF('Adj. Entries UK'!B:B,'HARKAVA '!A57,'Adj. Entries UK'!E:E)</f>
        <v>0</v>
      </c>
      <c r="P57" s="369">
        <f t="shared" si="16"/>
        <v>73812.55</v>
      </c>
      <c r="Q57" s="75"/>
      <c r="R57" s="369">
        <f>SUMIF('TB security'!A:A,'HARKAVA '!A57,'TB security'!D:D)</f>
        <v>-9871.2800000000007</v>
      </c>
      <c r="S57" s="75">
        <f>SUMIF('Adj. Entries security'!B:B,'HARKAVA '!A57,'Adj. Entries security'!D:D)</f>
        <v>0</v>
      </c>
      <c r="T57" s="75">
        <f>SUMIF('Adj. Entries security'!B:B,'HARKAVA '!A57,'Adj. Entries security'!E:E)</f>
        <v>0</v>
      </c>
      <c r="U57" s="369">
        <f t="shared" si="17"/>
        <v>-9871.2800000000007</v>
      </c>
      <c r="V57" s="75">
        <f t="shared" si="18"/>
        <v>3543316</v>
      </c>
      <c r="X57" s="77"/>
      <c r="Y57" s="77">
        <f t="shared" si="19"/>
        <v>3543316</v>
      </c>
      <c r="Z57" s="166">
        <v>51</v>
      </c>
      <c r="AB57" s="81"/>
      <c r="AC57" s="81"/>
      <c r="AD57" s="369">
        <v>3480454.58</v>
      </c>
      <c r="AF57" s="463">
        <v>-1079.8499999999999</v>
      </c>
      <c r="AG57" s="77">
        <v>0</v>
      </c>
      <c r="AH57" s="77">
        <v>0</v>
      </c>
      <c r="AI57" s="369">
        <v>-1079.8499999999999</v>
      </c>
      <c r="AK57" s="369">
        <v>73812.55</v>
      </c>
      <c r="AL57" s="75">
        <v>0</v>
      </c>
      <c r="AM57" s="75">
        <v>0</v>
      </c>
      <c r="AN57" s="369">
        <v>73812.55</v>
      </c>
      <c r="AO57" s="75"/>
      <c r="AP57" s="369">
        <v>-9871.2800000000007</v>
      </c>
      <c r="AQ57" s="75">
        <v>0</v>
      </c>
      <c r="AR57" s="75">
        <v>0</v>
      </c>
      <c r="AS57" s="369">
        <v>-9871.2800000000007</v>
      </c>
      <c r="AT57" s="75">
        <v>3543316</v>
      </c>
      <c r="AV57" s="77"/>
      <c r="AW57" s="77">
        <v>3543316</v>
      </c>
      <c r="AX57"/>
      <c r="AY57" s="77">
        <f t="shared" si="8"/>
        <v>0</v>
      </c>
      <c r="AZ57" s="77">
        <f t="shared" si="9"/>
        <v>0</v>
      </c>
      <c r="BA57" s="77">
        <f t="shared" si="10"/>
        <v>0</v>
      </c>
      <c r="BB57" s="77">
        <f t="shared" si="11"/>
        <v>0</v>
      </c>
    </row>
    <row r="58" spans="1:55" ht="16">
      <c r="A58" s="48">
        <v>5120</v>
      </c>
      <c r="B58" s="81" t="s">
        <v>70</v>
      </c>
      <c r="C58" s="369">
        <f>C114</f>
        <v>6922963.2899999991</v>
      </c>
      <c r="D58" s="369">
        <f t="shared" ref="D58:V58" si="25">D114</f>
        <v>4689246.2565694358</v>
      </c>
      <c r="E58" s="369">
        <f t="shared" si="25"/>
        <v>1916482.39897958</v>
      </c>
      <c r="F58" s="369">
        <f t="shared" si="25"/>
        <v>9695727.1475898549</v>
      </c>
      <c r="G58" s="75"/>
      <c r="H58" s="369">
        <f t="shared" si="25"/>
        <v>-63460.4</v>
      </c>
      <c r="I58" s="75">
        <f t="shared" si="25"/>
        <v>61840</v>
      </c>
      <c r="J58" s="75">
        <f t="shared" si="25"/>
        <v>0</v>
      </c>
      <c r="K58" s="369">
        <f t="shared" si="25"/>
        <v>-1620.4</v>
      </c>
      <c r="L58" s="75"/>
      <c r="M58" s="369">
        <f t="shared" si="25"/>
        <v>1226955.72</v>
      </c>
      <c r="N58" s="369">
        <f t="shared" si="25"/>
        <v>177723.70039148728</v>
      </c>
      <c r="O58" s="369">
        <f t="shared" si="25"/>
        <v>1435014.48</v>
      </c>
      <c r="P58" s="369">
        <f t="shared" si="25"/>
        <v>-30335.059608512765</v>
      </c>
      <c r="Q58" s="75"/>
      <c r="R58" s="369">
        <f t="shared" si="25"/>
        <v>1435865.5299999998</v>
      </c>
      <c r="S58" s="369">
        <f t="shared" si="25"/>
        <v>819842.73060191842</v>
      </c>
      <c r="T58" s="369">
        <f t="shared" si="25"/>
        <v>2276040.8175396821</v>
      </c>
      <c r="U58" s="369">
        <f t="shared" si="25"/>
        <v>-20332.556937764493</v>
      </c>
      <c r="V58" s="75">
        <f t="shared" si="25"/>
        <v>9643439.1310435776</v>
      </c>
      <c r="W58" s="75"/>
      <c r="X58" s="75">
        <f>X114</f>
        <v>-0.47500000009313226</v>
      </c>
      <c r="Y58" s="92">
        <f>Y114</f>
        <v>9643438.6560435779</v>
      </c>
      <c r="Z58" s="169">
        <v>51</v>
      </c>
      <c r="AB58" s="81"/>
      <c r="AD58" s="369">
        <v>9487420.290000001</v>
      </c>
      <c r="AE58" s="75"/>
      <c r="AF58" s="369">
        <v>-63460.4</v>
      </c>
      <c r="AG58" s="75">
        <v>61840</v>
      </c>
      <c r="AH58" s="75">
        <v>0</v>
      </c>
      <c r="AI58" s="369">
        <v>-1620.4</v>
      </c>
      <c r="AJ58" s="75"/>
      <c r="AK58" s="369">
        <v>1103415.72</v>
      </c>
      <c r="AL58" s="369">
        <v>182444.95499999999</v>
      </c>
      <c r="AM58" s="369">
        <v>1319284.9550000001</v>
      </c>
      <c r="AN58" s="369">
        <v>-33424.280000000115</v>
      </c>
      <c r="AO58" s="75"/>
      <c r="AP58" s="369">
        <v>1480915.5199999998</v>
      </c>
      <c r="AQ58" s="369">
        <v>822027.81753968261</v>
      </c>
      <c r="AR58" s="369">
        <v>2321520.8175396821</v>
      </c>
      <c r="AS58" s="369">
        <v>-18577.480000000291</v>
      </c>
      <c r="AT58" s="75">
        <v>9433798.129999999</v>
      </c>
      <c r="AU58" s="75"/>
      <c r="AV58" s="75">
        <v>0</v>
      </c>
      <c r="AW58" s="92">
        <v>9433798.129999999</v>
      </c>
      <c r="AX58"/>
      <c r="AY58" s="523">
        <f t="shared" si="8"/>
        <v>208306.85758985393</v>
      </c>
      <c r="AZ58" s="523">
        <f t="shared" si="9"/>
        <v>3089.2203914873498</v>
      </c>
      <c r="BA58" s="523">
        <f>U58-AS58</f>
        <v>-1755.0769377642027</v>
      </c>
      <c r="BB58" s="523">
        <f t="shared" si="11"/>
        <v>-0.47500000009313226</v>
      </c>
    </row>
    <row r="59" spans="1:55" ht="16">
      <c r="A59" s="86"/>
      <c r="B59" s="87"/>
      <c r="C59" s="80">
        <f t="shared" ref="C59:V59" si="26">SUM(C32:C58)</f>
        <v>-5552403.6600000001</v>
      </c>
      <c r="D59" s="80">
        <f t="shared" si="26"/>
        <v>4778570.1793990182</v>
      </c>
      <c r="E59" s="80">
        <f t="shared" si="26"/>
        <v>7778570.1793990182</v>
      </c>
      <c r="F59" s="80">
        <f t="shared" si="26"/>
        <v>-8552403.6599999964</v>
      </c>
      <c r="G59" s="80"/>
      <c r="H59" s="464">
        <f t="shared" si="26"/>
        <v>-67042.28</v>
      </c>
      <c r="I59" s="80">
        <f t="shared" si="26"/>
        <v>61840</v>
      </c>
      <c r="J59" s="80">
        <f t="shared" si="26"/>
        <v>61840</v>
      </c>
      <c r="K59" s="466">
        <f t="shared" si="26"/>
        <v>-67042.28</v>
      </c>
      <c r="L59" s="80"/>
      <c r="M59" s="80">
        <f t="shared" si="26"/>
        <v>-683194.85999999987</v>
      </c>
      <c r="N59" s="93">
        <f t="shared" si="26"/>
        <v>1443366.2253914871</v>
      </c>
      <c r="O59" s="93">
        <f t="shared" si="26"/>
        <v>1443366.2253914874</v>
      </c>
      <c r="P59" s="93">
        <f t="shared" si="26"/>
        <v>-683194.86</v>
      </c>
      <c r="Q59" s="93"/>
      <c r="R59" s="93">
        <f t="shared" si="26"/>
        <v>-14917461.239999998</v>
      </c>
      <c r="S59" s="93">
        <f t="shared" si="26"/>
        <v>2697288.7306019184</v>
      </c>
      <c r="T59" s="93">
        <f t="shared" si="26"/>
        <v>2697288.730601918</v>
      </c>
      <c r="U59" s="93">
        <f t="shared" si="26"/>
        <v>-14917461.239999998</v>
      </c>
      <c r="V59" s="93">
        <f t="shared" si="26"/>
        <v>-24220102.039999999</v>
      </c>
      <c r="W59" s="92"/>
      <c r="X59" s="93">
        <f>SUM(X32:X58)</f>
        <v>1064743.9099999978</v>
      </c>
      <c r="Y59" s="92">
        <f>SUM(Y32:Y58)</f>
        <v>-23155358.129999999</v>
      </c>
      <c r="Z59" s="170" t="str">
        <f>LEFT(A59,2)</f>
        <v/>
      </c>
      <c r="AD59" s="80">
        <v>-8622653.6599999946</v>
      </c>
      <c r="AE59" s="80"/>
      <c r="AF59" s="464">
        <v>-67042.28</v>
      </c>
      <c r="AG59" s="80">
        <v>61840</v>
      </c>
      <c r="AH59" s="80">
        <v>61840</v>
      </c>
      <c r="AI59" s="466">
        <v>-67042.28</v>
      </c>
      <c r="AJ59" s="80"/>
      <c r="AK59" s="80">
        <v>-683194.85999999987</v>
      </c>
      <c r="AL59" s="93">
        <v>1332357.9550000001</v>
      </c>
      <c r="AM59" s="93">
        <v>1332357.9550000001</v>
      </c>
      <c r="AN59" s="93">
        <v>-683194.86</v>
      </c>
      <c r="AO59" s="93"/>
      <c r="AP59" s="93">
        <v>-14847211.249999998</v>
      </c>
      <c r="AQ59" s="93">
        <v>2744953.8175396826</v>
      </c>
      <c r="AR59" s="93">
        <v>2744953.8175396821</v>
      </c>
      <c r="AS59" s="93">
        <v>-14847211.249999998</v>
      </c>
      <c r="AT59" s="93">
        <v>-24220102.049999993</v>
      </c>
      <c r="AU59" s="92"/>
      <c r="AV59" s="93">
        <v>648038.9099999984</v>
      </c>
      <c r="AW59" s="92">
        <v>-23572063.139999997</v>
      </c>
      <c r="AX59"/>
      <c r="AY59" s="522">
        <f t="shared" si="8"/>
        <v>70249.999999998137</v>
      </c>
      <c r="AZ59" s="522">
        <f t="shared" si="9"/>
        <v>0</v>
      </c>
      <c r="BA59" s="522">
        <f t="shared" si="10"/>
        <v>-70249.990000000224</v>
      </c>
      <c r="BB59" s="522">
        <f t="shared" si="11"/>
        <v>416704.99999999942</v>
      </c>
    </row>
    <row r="60" spans="1:55" ht="16">
      <c r="C60" s="2"/>
      <c r="Z60" s="166" t="str">
        <f>LEFT(A60,2)</f>
        <v/>
      </c>
      <c r="AX60"/>
      <c r="BB60" s="77">
        <f t="shared" si="11"/>
        <v>0</v>
      </c>
    </row>
    <row r="61" spans="1:55" ht="16">
      <c r="I61" s="75"/>
      <c r="N61" s="75"/>
      <c r="S61" s="75"/>
      <c r="Z61" s="166" t="str">
        <f>LEFT(A61,2)</f>
        <v/>
      </c>
      <c r="AG61" s="75"/>
      <c r="AL61" s="75"/>
      <c r="AQ61" s="75"/>
      <c r="AX61"/>
      <c r="BB61" s="77">
        <f t="shared" si="11"/>
        <v>0</v>
      </c>
    </row>
    <row r="62" spans="1:55" ht="13.5" customHeight="1">
      <c r="K62" s="75"/>
      <c r="P62" s="75"/>
      <c r="U62" s="75"/>
      <c r="Z62" s="166" t="str">
        <f>LEFT(A62,2)</f>
        <v/>
      </c>
      <c r="AI62" s="75"/>
      <c r="AN62" s="75"/>
      <c r="AS62" s="75"/>
      <c r="AX62"/>
      <c r="BB62" s="77">
        <f t="shared" si="11"/>
        <v>0</v>
      </c>
    </row>
    <row r="63" spans="1:55" ht="40.5" customHeight="1">
      <c r="A63" s="48">
        <v>5200</v>
      </c>
      <c r="B63" s="81" t="s">
        <v>71</v>
      </c>
      <c r="C63" s="369">
        <f>SUMIF('TB Mitiga LTD'!A:A,'HARKAVA '!A63,'TB Mitiga LTD'!D:D)</f>
        <v>-687421.09</v>
      </c>
      <c r="D63" s="75">
        <f>SUMIF('Adj Entries Ltd'!$B$4:$B$954,A63,'Adj Entries Ltd'!$D$4:$D$954)</f>
        <v>0</v>
      </c>
      <c r="E63" s="75">
        <f>SUMIF('Adj Entries Ltd'!$B$4:$B$954,A63,'Adj Entries Ltd'!$E$4:$E$954)</f>
        <v>0</v>
      </c>
      <c r="F63" s="369">
        <f t="shared" ref="F63:F73" si="27">(+C63+D63-E63)</f>
        <v>-687421.09</v>
      </c>
      <c r="H63" s="463">
        <f>SUMIF('TB US'!A:A,'HARKAVA '!A63,'TB US'!D:D)</f>
        <v>-64800</v>
      </c>
      <c r="I63" s="77">
        <f>SUMIF('Adj. entries US'!B:B,'HARKAVA '!A63,'Adj. entries US'!D:D)</f>
        <v>0</v>
      </c>
      <c r="J63" s="77">
        <f>SUMIF('Adj. entries US'!B:B,'HARKAVA '!A63,'Adj. entries US'!E:E)</f>
        <v>0</v>
      </c>
      <c r="K63" s="369">
        <f t="shared" ref="K63:K113" si="28">H63+I63-J63</f>
        <v>-64800</v>
      </c>
      <c r="M63" s="369">
        <f>SUMIF('TB UK'!A:A,'HARKAVA '!A63,'TB UK'!E:E)</f>
        <v>-55512.800000000003</v>
      </c>
      <c r="N63" s="75">
        <f>SUMIF('Adj. Entries UK'!B:B,'HARKAVA '!A63,'Adj. Entries UK'!D:D)</f>
        <v>0</v>
      </c>
      <c r="O63" s="75">
        <f>SUMIF('Adj. Entries UK'!B:B,'HARKAVA '!A63,'Adj. Entries UK'!E:E)</f>
        <v>0</v>
      </c>
      <c r="P63" s="369">
        <f t="shared" ref="P63:P113" si="29">M63+N63-O63</f>
        <v>-55512.800000000003</v>
      </c>
      <c r="Q63" s="75"/>
      <c r="R63" s="369">
        <f>SUMIF('TB security'!A:A,'HARKAVA '!A63,'TB security'!D:D)</f>
        <v>-813339</v>
      </c>
      <c r="S63" s="75">
        <f>SUMIF('Adj. Entries security'!B:B,'HARKAVA '!A63,'Adj. Entries security'!D:E)</f>
        <v>0</v>
      </c>
      <c r="T63" s="75">
        <f>SUMIF('Adj. Entries security'!B:B,'HARKAVA '!A63,'Adj. Entries security'!E:E)</f>
        <v>0</v>
      </c>
      <c r="U63" s="369">
        <f t="shared" ref="U63:U113" si="30">R63+S63-T63</f>
        <v>-813339</v>
      </c>
      <c r="V63" s="75">
        <f t="shared" ref="V63:V113" si="31">P63+F63+U63+K63</f>
        <v>-1621072.8900000001</v>
      </c>
      <c r="Y63" s="77">
        <f t="shared" ref="Y63:Y94" si="32">V63+X63</f>
        <v>-1621072.8900000001</v>
      </c>
      <c r="Z63" s="171">
        <f>A63</f>
        <v>5200</v>
      </c>
      <c r="AD63" s="369">
        <v>-757671.09</v>
      </c>
      <c r="AF63" s="463">
        <v>-64800</v>
      </c>
      <c r="AG63" s="77">
        <v>0</v>
      </c>
      <c r="AH63" s="77">
        <v>0</v>
      </c>
      <c r="AI63" s="369">
        <v>-64800</v>
      </c>
      <c r="AK63" s="369">
        <v>-179052.79999999999</v>
      </c>
      <c r="AL63" s="75">
        <v>0</v>
      </c>
      <c r="AM63" s="75">
        <v>0</v>
      </c>
      <c r="AN63" s="369">
        <v>-179052.79999999999</v>
      </c>
      <c r="AO63" s="75"/>
      <c r="AP63" s="369">
        <v>-743089</v>
      </c>
      <c r="AQ63" s="75">
        <v>0</v>
      </c>
      <c r="AR63" s="75">
        <v>0</v>
      </c>
      <c r="AS63" s="369">
        <v>-743089</v>
      </c>
      <c r="AT63" s="75">
        <v>-1744612.89</v>
      </c>
      <c r="AW63" s="77">
        <v>-1744612.89</v>
      </c>
      <c r="AX63"/>
      <c r="AY63" s="463">
        <f t="shared" si="8"/>
        <v>70250</v>
      </c>
      <c r="AZ63" s="519">
        <f t="shared" si="9"/>
        <v>123539.99999999999</v>
      </c>
      <c r="BA63" s="463">
        <f t="shared" si="10"/>
        <v>-70250</v>
      </c>
      <c r="BB63" s="77">
        <f t="shared" si="11"/>
        <v>0</v>
      </c>
      <c r="BC63" s="521" t="s">
        <v>72</v>
      </c>
    </row>
    <row r="64" spans="1:55" ht="16">
      <c r="A64" s="48">
        <v>5201</v>
      </c>
      <c r="B64" s="81" t="s">
        <v>73</v>
      </c>
      <c r="C64" s="75">
        <f>SUMIF('TB Mitiga LTD'!A:A,'HARKAVA '!A64,'TB Mitiga LTD'!D:D)</f>
        <v>0</v>
      </c>
      <c r="D64" s="75">
        <f>SUMIF('Adj Entries Ltd'!$B$4:$B$954,A64,'Adj Entries Ltd'!$D$4:$D$954)</f>
        <v>0</v>
      </c>
      <c r="E64" s="75">
        <f>SUMIF('Adj Entries Ltd'!$B$4:$B$954,A64,'Adj Entries Ltd'!$E$4:$E$954)</f>
        <v>61840</v>
      </c>
      <c r="F64" s="75">
        <f t="shared" si="27"/>
        <v>-61840</v>
      </c>
      <c r="H64" s="77">
        <f>SUMIF('TB US'!A:A,'HARKAVA '!A64,'TB US'!D:D)</f>
        <v>0</v>
      </c>
      <c r="I64" s="77">
        <f>SUMIF('Adj. entries US'!B:B,'HARKAVA '!A64,'Adj. entries US'!D:D)</f>
        <v>0</v>
      </c>
      <c r="J64" s="77">
        <f>SUMIF('Adj. entries US'!B:B,'HARKAVA '!A64,'Adj. entries US'!E:E)</f>
        <v>0</v>
      </c>
      <c r="K64" s="75">
        <f t="shared" si="28"/>
        <v>0</v>
      </c>
      <c r="M64" s="75">
        <f>SUMIF('TB UK'!A:A,'HARKAVA '!A64,'TB UK'!E:E)</f>
        <v>0</v>
      </c>
      <c r="N64" s="75">
        <f>SUMIF('Adj. Entries UK'!B:B,'HARKAVA '!A64,'Adj. Entries UK'!D:D)</f>
        <v>0</v>
      </c>
      <c r="O64" s="369">
        <f>SUMIF('Adj. Entries UK'!B:B,'HARKAVA '!A64,'Adj. Entries UK'!E:E)</f>
        <v>1265642.5249999999</v>
      </c>
      <c r="P64" s="369">
        <f t="shared" si="29"/>
        <v>-1265642.5249999999</v>
      </c>
      <c r="Q64" s="75"/>
      <c r="R64" s="75">
        <f>SUMIF('TB security'!A:A,'HARKAVA '!A64,'TB security'!D:D)</f>
        <v>0</v>
      </c>
      <c r="S64" s="75">
        <f>SUMIF('Adj. Entries security'!B:B,'HARKAVA '!A64,'Adj. Entries security'!D:E)</f>
        <v>0</v>
      </c>
      <c r="T64" s="75">
        <f>SUMIF('Adj. Entries security'!B:B,'HARKAVA '!A64,'Adj. Entries security'!E:E)</f>
        <v>1877446</v>
      </c>
      <c r="U64" s="75">
        <f t="shared" si="30"/>
        <v>-1877446</v>
      </c>
      <c r="V64" s="75">
        <f t="shared" si="31"/>
        <v>-3204928.5249999999</v>
      </c>
      <c r="X64" s="77">
        <f>-V64</f>
        <v>3204928.5249999999</v>
      </c>
      <c r="Y64" s="77">
        <f t="shared" si="32"/>
        <v>0</v>
      </c>
      <c r="Z64" s="171"/>
      <c r="AD64" s="75">
        <v>-61840</v>
      </c>
      <c r="AF64" s="77">
        <v>0</v>
      </c>
      <c r="AG64" s="77">
        <v>0</v>
      </c>
      <c r="AH64" s="77">
        <v>0</v>
      </c>
      <c r="AI64" s="75">
        <v>0</v>
      </c>
      <c r="AK64" s="75">
        <v>0</v>
      </c>
      <c r="AL64" s="75">
        <v>0</v>
      </c>
      <c r="AM64" s="369">
        <v>1149913</v>
      </c>
      <c r="AN64" s="369">
        <v>-1149913</v>
      </c>
      <c r="AO64" s="75"/>
      <c r="AP64" s="75">
        <v>0</v>
      </c>
      <c r="AQ64" s="75">
        <v>0</v>
      </c>
      <c r="AR64" s="75">
        <v>1922926</v>
      </c>
      <c r="AS64" s="75">
        <v>-1922926</v>
      </c>
      <c r="AT64" s="75">
        <v>-3134679</v>
      </c>
      <c r="AV64" s="77">
        <v>3134679</v>
      </c>
      <c r="AW64" s="77">
        <v>0</v>
      </c>
      <c r="AX64"/>
      <c r="AY64" s="77">
        <f t="shared" si="8"/>
        <v>0</v>
      </c>
      <c r="AZ64" s="77">
        <f t="shared" si="9"/>
        <v>-115729.52499999991</v>
      </c>
      <c r="BA64" s="77">
        <f t="shared" si="10"/>
        <v>45480</v>
      </c>
      <c r="BB64" s="77">
        <f t="shared" si="11"/>
        <v>70249.524999999907</v>
      </c>
      <c r="BC64" s="77" t="s">
        <v>44</v>
      </c>
    </row>
    <row r="65" spans="1:55" ht="16">
      <c r="A65" s="48">
        <v>5300</v>
      </c>
      <c r="B65" s="81" t="s">
        <v>74</v>
      </c>
      <c r="C65" s="369">
        <f>SUMIF('TB Mitiga LTD'!A:A,'HARKAVA '!A65,'TB Mitiga LTD'!D:D)</f>
        <v>1671592.25</v>
      </c>
      <c r="D65" s="75">
        <f>SUMIF('Adj Entries Ltd'!$B$4:$B$954,A65,'Adj Entries Ltd'!$D$4:$D$954)</f>
        <v>0</v>
      </c>
      <c r="E65" s="369">
        <f>SUMIF('Adj Entries Ltd'!$B$4:$B$954,A65,'Adj Entries Ltd'!$E$4:$E$954)</f>
        <v>1118927.9649999999</v>
      </c>
      <c r="F65" s="369">
        <f t="shared" si="27"/>
        <v>552664.28500000015</v>
      </c>
      <c r="H65" s="77">
        <f>SUMIF('TB US'!A:A,'HARKAVA '!A65,'TB US'!D:D)</f>
        <v>0</v>
      </c>
      <c r="I65" s="77">
        <f>SUMIF('Adj. entries US'!B:B,'HARKAVA '!A65,'Adj. entries US'!D:D)</f>
        <v>0</v>
      </c>
      <c r="J65" s="77">
        <f>SUMIF('Adj. entries US'!B:B,'HARKAVA '!A65,'Adj. entries US'!E:E)</f>
        <v>0</v>
      </c>
      <c r="K65" s="75">
        <f t="shared" si="28"/>
        <v>0</v>
      </c>
      <c r="M65" s="369">
        <f>SUMIF('TB UK'!A:A,'HARKAVA '!A65,'TB UK'!E:E)</f>
        <v>194256.38</v>
      </c>
      <c r="N65" s="369">
        <f>SUMIF('Adj. Entries UK'!B:B,'HARKAVA '!A65,'Adj. Entries UK'!D:D)</f>
        <v>106492</v>
      </c>
      <c r="O65" s="75">
        <f>SUMIF('Adj. Entries UK'!B:B,'HARKAVA '!A65,'Adj. Entries UK'!E:E)</f>
        <v>55908.28</v>
      </c>
      <c r="P65" s="369">
        <f t="shared" si="29"/>
        <v>244840.1</v>
      </c>
      <c r="Q65" s="75"/>
      <c r="R65" s="369">
        <f>SUMIF('TB security'!A:A,'HARKAVA '!A65,'TB security'!D:D)</f>
        <v>649580.66999999993</v>
      </c>
      <c r="S65" s="75">
        <f>SUMIF('Adj. Entries security'!B:B,'HARKAVA '!A65,'Adj. Entries security'!D:E)</f>
        <v>0</v>
      </c>
      <c r="T65" s="369">
        <f>SUMIF('Adj. Entries security'!B:B,'HARKAVA '!A65,'Adj. Entries security'!E:E)</f>
        <v>310897.93</v>
      </c>
      <c r="U65" s="369">
        <f t="shared" si="30"/>
        <v>338682.73999999993</v>
      </c>
      <c r="V65" s="75">
        <f t="shared" si="31"/>
        <v>1136187.125</v>
      </c>
      <c r="Y65" s="77">
        <f t="shared" si="32"/>
        <v>1136187.125</v>
      </c>
      <c r="Z65" s="171">
        <f>A65</f>
        <v>5300</v>
      </c>
      <c r="AD65" s="369">
        <v>552664.28500000015</v>
      </c>
      <c r="AF65" s="77">
        <v>0</v>
      </c>
      <c r="AG65" s="77">
        <v>0</v>
      </c>
      <c r="AH65" s="77">
        <v>0</v>
      </c>
      <c r="AI65" s="75">
        <v>0</v>
      </c>
      <c r="AK65" s="369">
        <v>194256.38</v>
      </c>
      <c r="AL65" s="369">
        <v>106492</v>
      </c>
      <c r="AM65" s="75">
        <v>55908.28</v>
      </c>
      <c r="AN65" s="369">
        <v>244840.1</v>
      </c>
      <c r="AO65" s="75"/>
      <c r="AP65" s="369">
        <v>649580.66999999993</v>
      </c>
      <c r="AQ65" s="75">
        <v>0</v>
      </c>
      <c r="AR65" s="369">
        <v>310897.93</v>
      </c>
      <c r="AS65" s="369">
        <v>338682.73999999993</v>
      </c>
      <c r="AT65" s="75">
        <v>1136187.125</v>
      </c>
      <c r="AW65" s="77">
        <v>1136187.125</v>
      </c>
      <c r="AX65"/>
      <c r="AY65" s="77">
        <f t="shared" si="8"/>
        <v>0</v>
      </c>
      <c r="AZ65" s="77">
        <f t="shared" si="9"/>
        <v>0</v>
      </c>
      <c r="BA65" s="77">
        <f t="shared" si="10"/>
        <v>0</v>
      </c>
      <c r="BB65" s="77">
        <f t="shared" si="11"/>
        <v>0</v>
      </c>
    </row>
    <row r="66" spans="1:55" ht="16">
      <c r="A66" s="48">
        <v>5310</v>
      </c>
      <c r="B66" s="81" t="s">
        <v>75</v>
      </c>
      <c r="C66" s="369">
        <f>SUMIF('TB Mitiga LTD'!A:A,'HARKAVA '!A66,'TB Mitiga LTD'!D:D)</f>
        <v>189300.92</v>
      </c>
      <c r="D66" s="75">
        <f>SUMIF('Adj Entries Ltd'!$B$4:$B$954,A66,'Adj Entries Ltd'!$D$4:$D$954)</f>
        <v>0</v>
      </c>
      <c r="E66" s="369">
        <f>SUMIF('Adj Entries Ltd'!$B$4:$B$954,A66,'Adj Entries Ltd'!$E$4:$E$954)</f>
        <v>108192.235</v>
      </c>
      <c r="F66" s="369">
        <f t="shared" si="27"/>
        <v>81108.685000000012</v>
      </c>
      <c r="H66" s="77">
        <f>SUMIF('TB US'!A:A,'HARKAVA '!A66,'TB US'!D:D)</f>
        <v>0</v>
      </c>
      <c r="I66" s="77">
        <f>SUMIF('Adj. entries US'!B:B,'HARKAVA '!A66,'Adj. entries US'!D:D)</f>
        <v>0</v>
      </c>
      <c r="J66" s="77">
        <f>SUMIF('Adj. entries US'!B:B,'HARKAVA '!A66,'Adj. entries US'!E:E)</f>
        <v>0</v>
      </c>
      <c r="K66" s="75"/>
      <c r="M66" s="75">
        <f>SUMIF('TB UK'!A:A,'HARKAVA '!A66,'TB UK'!E:E)</f>
        <v>0</v>
      </c>
      <c r="N66" s="75"/>
      <c r="O66" s="75">
        <f>SUMIF('Adj. Entries UK'!B:B,'HARKAVA '!A66,'Adj. Entries UK'!E:E)</f>
        <v>0</v>
      </c>
      <c r="P66" s="75">
        <f t="shared" si="29"/>
        <v>0</v>
      </c>
      <c r="Q66" s="75"/>
      <c r="R66" s="75">
        <f>SUMIF('TB security'!A:A,'HARKAVA '!A66,'TB security'!D:D)</f>
        <v>0</v>
      </c>
      <c r="S66" s="75">
        <f>SUMIF('Adj. Entries security'!B:B,'HARKAVA '!A66,'Adj. Entries security'!D:E)</f>
        <v>0</v>
      </c>
      <c r="T66" s="75">
        <f>SUMIF('Adj. Entries security'!B:B,'HARKAVA '!A66,'Adj. Entries security'!E:E)</f>
        <v>0</v>
      </c>
      <c r="U66" s="75">
        <f t="shared" si="30"/>
        <v>0</v>
      </c>
      <c r="V66" s="75">
        <f t="shared" si="31"/>
        <v>81108.685000000012</v>
      </c>
      <c r="Y66" s="77">
        <f t="shared" si="32"/>
        <v>81108.685000000012</v>
      </c>
      <c r="Z66" s="171">
        <v>5300</v>
      </c>
      <c r="AD66" s="369">
        <v>81108.685000000012</v>
      </c>
      <c r="AF66" s="77">
        <v>0</v>
      </c>
      <c r="AG66" s="77">
        <v>0</v>
      </c>
      <c r="AH66" s="77">
        <v>0</v>
      </c>
      <c r="AI66" s="75"/>
      <c r="AK66" s="75">
        <v>0</v>
      </c>
      <c r="AL66" s="75"/>
      <c r="AM66" s="75">
        <v>0</v>
      </c>
      <c r="AN66" s="75">
        <v>0</v>
      </c>
      <c r="AO66" s="75"/>
      <c r="AP66" s="75">
        <v>0</v>
      </c>
      <c r="AQ66" s="75">
        <v>0</v>
      </c>
      <c r="AR66" s="75">
        <v>0</v>
      </c>
      <c r="AS66" s="75">
        <v>0</v>
      </c>
      <c r="AT66" s="75">
        <v>81108.685000000012</v>
      </c>
      <c r="AW66" s="77">
        <v>81108.685000000012</v>
      </c>
      <c r="AX66"/>
      <c r="AY66" s="77">
        <f t="shared" si="8"/>
        <v>0</v>
      </c>
      <c r="AZ66" s="77">
        <f t="shared" si="9"/>
        <v>0</v>
      </c>
      <c r="BA66" s="77">
        <f t="shared" si="10"/>
        <v>0</v>
      </c>
      <c r="BB66" s="77">
        <f t="shared" si="11"/>
        <v>0</v>
      </c>
    </row>
    <row r="67" spans="1:55" ht="16">
      <c r="A67" s="48">
        <v>5311</v>
      </c>
      <c r="B67" s="81" t="s">
        <v>76</v>
      </c>
      <c r="C67" s="369">
        <f>SUMIF('TB Mitiga LTD'!A:A,'HARKAVA '!A67,'TB Mitiga LTD'!D:D)</f>
        <v>14526.32</v>
      </c>
      <c r="D67" s="369">
        <f>SUMIF('Adj Entries Ltd'!$B$4:$B$954,A67,'Adj Entries Ltd'!$D$4:$D$954)</f>
        <v>6909.1703129703346</v>
      </c>
      <c r="E67" s="75">
        <f>SUMIF('Adj Entries Ltd'!$B$4:$B$954,A67,'Adj Entries Ltd'!$E$4:$E$954)</f>
        <v>6583.8050000000003</v>
      </c>
      <c r="F67" s="369">
        <f t="shared" si="27"/>
        <v>14851.685312970334</v>
      </c>
      <c r="K67" s="75"/>
      <c r="M67" s="369">
        <f>SUMIF('TB UK'!A:A,'HARKAVA '!A67,'TB UK'!E:E)</f>
        <v>4620.7299999999996</v>
      </c>
      <c r="N67" s="75"/>
      <c r="O67" s="75">
        <f>SUMIF('Adj. Entries UK'!B:B,'HARKAVA '!A67,'Adj. Entries UK'!E:E)</f>
        <v>2310.3649999999998</v>
      </c>
      <c r="P67" s="369">
        <f t="shared" si="29"/>
        <v>2310.3649999999998</v>
      </c>
      <c r="Q67" s="75"/>
      <c r="R67" s="75">
        <f>SUMIF('TB security'!A:A,'HARKAVA '!A67,'TB security'!D:D)</f>
        <v>0</v>
      </c>
      <c r="S67" s="75"/>
      <c r="T67" s="75">
        <f>SUMIF('Adj. Entries security'!B:B,'HARKAVA '!A67,'Adj. Entries security'!E:E)</f>
        <v>-5202</v>
      </c>
      <c r="U67" s="75">
        <f t="shared" si="30"/>
        <v>5202</v>
      </c>
      <c r="V67" s="75">
        <f t="shared" si="31"/>
        <v>22364.050312970336</v>
      </c>
      <c r="Y67" s="77">
        <f t="shared" si="32"/>
        <v>22364.050312970336</v>
      </c>
      <c r="Z67" s="171">
        <v>5311</v>
      </c>
      <c r="AD67" s="369">
        <v>24236.514999999999</v>
      </c>
      <c r="AI67" s="75"/>
      <c r="AK67" s="369">
        <v>4620.7299999999996</v>
      </c>
      <c r="AL67" s="75"/>
      <c r="AM67" s="75">
        <v>2310.3649999999998</v>
      </c>
      <c r="AN67" s="369">
        <v>2310.3649999999998</v>
      </c>
      <c r="AO67" s="75"/>
      <c r="AP67" s="75">
        <v>0</v>
      </c>
      <c r="AQ67" s="75"/>
      <c r="AR67" s="75">
        <v>-5202</v>
      </c>
      <c r="AS67" s="75">
        <v>5202</v>
      </c>
      <c r="AT67" s="75">
        <v>31748.879999999997</v>
      </c>
      <c r="AW67" s="77">
        <v>31748.879999999997</v>
      </c>
      <c r="AX67"/>
      <c r="AY67" s="77">
        <f t="shared" si="8"/>
        <v>-9384.8296870296654</v>
      </c>
      <c r="AZ67" s="77">
        <f t="shared" si="9"/>
        <v>0</v>
      </c>
      <c r="BA67" s="77">
        <f t="shared" si="10"/>
        <v>0</v>
      </c>
      <c r="BB67" s="77">
        <f t="shared" si="11"/>
        <v>0</v>
      </c>
      <c r="BC67" s="2" t="s">
        <v>63</v>
      </c>
    </row>
    <row r="68" spans="1:55" ht="16">
      <c r="A68" s="48">
        <v>5320</v>
      </c>
      <c r="B68" s="81" t="s">
        <v>77</v>
      </c>
      <c r="C68" s="369">
        <f>SUMIF('TB Mitiga LTD'!A:A,'HARKAVA '!A68,'TB Mitiga LTD'!D:D)</f>
        <v>99857.200000000012</v>
      </c>
      <c r="D68" s="75">
        <f>SUMIF('Adj Entries Ltd'!$B$4:$B$954,A68,'Adj Entries Ltd'!$D$4:$D$954)</f>
        <v>0</v>
      </c>
      <c r="E68" s="75">
        <f>SUMIF('Adj Entries Ltd'!$B$4:$B$954,A68,'Adj Entries Ltd'!$E$4:$E$954)</f>
        <v>13576.715000000011</v>
      </c>
      <c r="F68" s="369">
        <f t="shared" si="27"/>
        <v>86280.485000000001</v>
      </c>
      <c r="H68" s="77">
        <f>SUMIF('TB US'!A:A,'HARKAVA '!A68,'TB US'!D:D)</f>
        <v>0</v>
      </c>
      <c r="I68" s="77">
        <f>SUMIF('Adj. entries US'!B:B,'HARKAVA '!A68,'Adj. entries US'!D:D)</f>
        <v>0</v>
      </c>
      <c r="J68" s="77">
        <f>SUMIF('Adj. entries US'!B:B,'HARKAVA '!A68,'Adj. entries US'!E:E)</f>
        <v>0</v>
      </c>
      <c r="K68" s="75">
        <f t="shared" si="28"/>
        <v>0</v>
      </c>
      <c r="M68" s="75">
        <f>SUMIF('TB UK'!A:A,'HARKAVA '!A68,'TB UK'!E:E)</f>
        <v>0</v>
      </c>
      <c r="N68" s="75">
        <f>SUMIF('Adj. Entries UK'!B:B,'HARKAVA '!A68,'Adj. Entries UK'!D:D)</f>
        <v>0</v>
      </c>
      <c r="O68" s="75">
        <f>SUMIF('Adj. Entries UK'!B:B,'HARKAVA '!A68,'Adj. Entries UK'!E:E)</f>
        <v>0</v>
      </c>
      <c r="P68" s="75">
        <f t="shared" si="29"/>
        <v>0</v>
      </c>
      <c r="Q68" s="75"/>
      <c r="R68" s="369">
        <f>SUMIF('TB security'!A:A,'HARKAVA '!A68,'TB security'!D:D)</f>
        <v>31670</v>
      </c>
      <c r="S68" s="75">
        <f>SUMIF('Adj. Entries security'!B:B,'HARKAVA '!A68,'Adj. Entries security'!D:E)</f>
        <v>0</v>
      </c>
      <c r="T68" s="75">
        <f>SUMIF('Adj. Entries security'!B:B,'HARKAVA '!A68,'Adj. Entries security'!E:E)</f>
        <v>2200</v>
      </c>
      <c r="U68" s="369">
        <f t="shared" si="30"/>
        <v>29470</v>
      </c>
      <c r="V68" s="75">
        <f t="shared" si="31"/>
        <v>115750.485</v>
      </c>
      <c r="Y68" s="77">
        <f t="shared" si="32"/>
        <v>115750.485</v>
      </c>
      <c r="Z68" s="171">
        <f>A68</f>
        <v>5320</v>
      </c>
      <c r="AD68" s="369">
        <v>86280.485000000001</v>
      </c>
      <c r="AF68" s="77">
        <v>0</v>
      </c>
      <c r="AG68" s="77">
        <v>0</v>
      </c>
      <c r="AH68" s="77">
        <v>0</v>
      </c>
      <c r="AI68" s="75">
        <v>0</v>
      </c>
      <c r="AK68" s="75">
        <v>0</v>
      </c>
      <c r="AL68" s="75">
        <v>0</v>
      </c>
      <c r="AM68" s="75">
        <v>0</v>
      </c>
      <c r="AN68" s="75">
        <v>0</v>
      </c>
      <c r="AO68" s="75"/>
      <c r="AP68" s="369">
        <v>31670</v>
      </c>
      <c r="AQ68" s="75">
        <v>0</v>
      </c>
      <c r="AR68" s="75">
        <v>2200</v>
      </c>
      <c r="AS68" s="369">
        <v>29470</v>
      </c>
      <c r="AT68" s="75">
        <v>115750.485</v>
      </c>
      <c r="AW68" s="77">
        <v>115750.485</v>
      </c>
      <c r="AX68"/>
      <c r="AY68" s="77">
        <f t="shared" si="8"/>
        <v>0</v>
      </c>
      <c r="AZ68" s="77">
        <f t="shared" si="9"/>
        <v>0</v>
      </c>
      <c r="BA68" s="77">
        <f t="shared" si="10"/>
        <v>0</v>
      </c>
      <c r="BB68" s="77">
        <f t="shared" si="11"/>
        <v>0</v>
      </c>
    </row>
    <row r="69" spans="1:55" ht="16">
      <c r="A69" s="48">
        <v>5330</v>
      </c>
      <c r="B69" s="81" t="s">
        <v>78</v>
      </c>
      <c r="C69" s="369">
        <f>SUMIF('TB Mitiga LTD'!A:A,'HARKAVA '!A69,'TB Mitiga LTD'!D:D)</f>
        <v>58962.71</v>
      </c>
      <c r="D69" s="369">
        <f>SUMIF('Adj Entries Ltd'!$B$4:$B$954,A69,'Adj Entries Ltd'!$D$4:$D$954)</f>
        <v>203147.40900479053</v>
      </c>
      <c r="E69" s="75">
        <f>SUMIF('Adj Entries Ltd'!$B$4:$B$954,A69,'Adj Entries Ltd'!$E$4:$E$954)</f>
        <v>40936.294502395263</v>
      </c>
      <c r="F69" s="369">
        <f t="shared" si="27"/>
        <v>221173.82450239526</v>
      </c>
      <c r="H69" s="77">
        <f>SUMIF('TB US'!A:A,'HARKAVA '!A69,'TB US'!D:D)</f>
        <v>0</v>
      </c>
      <c r="I69" s="77">
        <f>SUMIF('Adj. entries US'!B:B,'HARKAVA '!A69,'Adj. entries US'!D:D)</f>
        <v>0</v>
      </c>
      <c r="J69" s="77">
        <f>SUMIF('Adj. entries US'!B:B,'HARKAVA '!A69,'Adj. entries US'!E:E)</f>
        <v>0</v>
      </c>
      <c r="K69" s="75">
        <f t="shared" si="28"/>
        <v>0</v>
      </c>
      <c r="M69" s="369">
        <f>SUMIF('TB UK'!A:A,'HARKAVA '!A69,'TB UK'!E:E)</f>
        <v>15634.259999999998</v>
      </c>
      <c r="N69" s="75">
        <f>SUMIF('Adj. Entries UK'!B:B,'HARKAVA '!A69,'Adj. Entries UK'!D:D)</f>
        <v>0</v>
      </c>
      <c r="O69" s="75">
        <f>SUMIF('Adj. Entries UK'!B:B,'HARKAVA '!A69,'Adj. Entries UK'!E:E)</f>
        <v>4661.3099999999995</v>
      </c>
      <c r="P69" s="369">
        <f t="shared" si="29"/>
        <v>10972.949999999999</v>
      </c>
      <c r="Q69" s="75"/>
      <c r="R69" s="369">
        <f>SUMIF('TB security'!A:A,'HARKAVA '!A69,'TB security'!D:D)</f>
        <v>12544.62</v>
      </c>
      <c r="S69" s="369">
        <f>SUMIF('Adj. Entries security'!B:B,'HARKAVA '!A69,'Adj. Entries security'!D:E)</f>
        <v>35790.54793650793</v>
      </c>
      <c r="T69" s="75">
        <f>SUMIF('Adj. Entries security'!B:B,'HARKAVA '!A69,'Adj. Entries security'!E:E)</f>
        <v>24054.418968253965</v>
      </c>
      <c r="U69" s="369">
        <f t="shared" si="30"/>
        <v>24280.748968253967</v>
      </c>
      <c r="V69" s="75">
        <f t="shared" si="31"/>
        <v>256427.52347064923</v>
      </c>
      <c r="Y69" s="77">
        <f t="shared" si="32"/>
        <v>256427.52347064923</v>
      </c>
      <c r="Z69" s="171">
        <f>A69</f>
        <v>5330</v>
      </c>
      <c r="AD69" s="369">
        <v>221173.82450239526</v>
      </c>
      <c r="AF69" s="77">
        <v>0</v>
      </c>
      <c r="AG69" s="77">
        <v>0</v>
      </c>
      <c r="AH69" s="77">
        <v>0</v>
      </c>
      <c r="AI69" s="75">
        <v>0</v>
      </c>
      <c r="AK69" s="369">
        <v>15634.259999999998</v>
      </c>
      <c r="AL69" s="75">
        <v>0</v>
      </c>
      <c r="AM69" s="75">
        <v>4661.3099999999995</v>
      </c>
      <c r="AN69" s="369">
        <v>10972.949999999999</v>
      </c>
      <c r="AO69" s="75"/>
      <c r="AP69" s="369">
        <v>12544.62</v>
      </c>
      <c r="AQ69" s="369">
        <v>35790.54793650793</v>
      </c>
      <c r="AR69" s="75">
        <v>24054.418968253965</v>
      </c>
      <c r="AS69" s="369">
        <v>24280.748968253967</v>
      </c>
      <c r="AT69" s="75">
        <v>256427.52347064923</v>
      </c>
      <c r="AW69" s="77">
        <v>256427.52347064923</v>
      </c>
      <c r="AX69"/>
      <c r="AY69" s="77">
        <f t="shared" si="8"/>
        <v>0</v>
      </c>
      <c r="AZ69" s="77">
        <f t="shared" si="9"/>
        <v>0</v>
      </c>
      <c r="BA69" s="77">
        <f t="shared" si="10"/>
        <v>0</v>
      </c>
      <c r="BB69" s="77">
        <f t="shared" si="11"/>
        <v>0</v>
      </c>
    </row>
    <row r="70" spans="1:55" ht="16">
      <c r="A70" s="48">
        <v>5400</v>
      </c>
      <c r="B70" s="81" t="s">
        <v>79</v>
      </c>
      <c r="C70" s="369">
        <f>SUMIF('TB Mitiga LTD'!A:A,'HARKAVA '!A70,'TB Mitiga LTD'!D:D)</f>
        <v>2482625.0299999998</v>
      </c>
      <c r="D70" s="369">
        <f>SUMIF('Adj Entries Ltd'!$B$4:$B$954,A70,'Adj Entries Ltd'!$D$4:$D$954)</f>
        <v>1118927.9649999999</v>
      </c>
      <c r="E70" s="369">
        <f>SUMIF('Adj Entries Ltd'!$B$4:$B$954,A70,'Adj Entries Ltd'!$E$4:$E$954)</f>
        <v>20000</v>
      </c>
      <c r="F70" s="369">
        <f t="shared" si="27"/>
        <v>3581552.9949999996</v>
      </c>
      <c r="H70" s="77">
        <f>SUMIF('TB US'!A:A,'HARKAVA '!A70,'TB US'!D:D)</f>
        <v>0</v>
      </c>
      <c r="I70" s="77">
        <f>SUMIF('Adj. entries US'!B:B,'HARKAVA '!A70,'Adj. entries US'!D:D)</f>
        <v>0</v>
      </c>
      <c r="J70" s="77">
        <f>SUMIF('Adj. entries US'!B:B,'HARKAVA '!A70,'Adj. entries US'!E:E)</f>
        <v>0</v>
      </c>
      <c r="K70" s="75">
        <f t="shared" si="28"/>
        <v>0</v>
      </c>
      <c r="M70" s="75">
        <f>SUMIF('TB UK'!A:A,'HARKAVA '!A70,'TB UK'!E:E)</f>
        <v>0</v>
      </c>
      <c r="N70" s="75">
        <f>SUMIF('Adj. Entries UK'!B:B,'HARKAVA '!A70,'Adj. Entries UK'!D:D)</f>
        <v>55908.28</v>
      </c>
      <c r="O70" s="75">
        <f>SUMIF('Adj. Entries UK'!B:B,'HARKAVA '!A70,'Adj. Entries UK'!E:E)</f>
        <v>0</v>
      </c>
      <c r="P70" s="75">
        <f t="shared" si="29"/>
        <v>55908.28</v>
      </c>
      <c r="Q70" s="75"/>
      <c r="R70" s="75">
        <f>SUMIF('TB security'!A:A,'HARKAVA '!A70,'TB security'!D:D)</f>
        <v>0</v>
      </c>
      <c r="S70" s="75">
        <f>SUMIF('Adj. Entries security'!B:B,'HARKAVA '!A70,'Adj. Entries security'!D:E)</f>
        <v>142244.93</v>
      </c>
      <c r="T70" s="75">
        <f>SUMIF('Adj. Entries security'!B:B,'HARKAVA '!A70,'Adj. Entries security'!E:E)</f>
        <v>0</v>
      </c>
      <c r="U70" s="75">
        <f t="shared" si="30"/>
        <v>142244.93</v>
      </c>
      <c r="V70" s="75">
        <f t="shared" si="31"/>
        <v>3779706.2049999996</v>
      </c>
      <c r="Y70" s="77">
        <f t="shared" si="32"/>
        <v>3779706.2049999996</v>
      </c>
      <c r="Z70" s="171">
        <f>A70</f>
        <v>5400</v>
      </c>
      <c r="AC70" s="94"/>
      <c r="AD70" s="369">
        <v>3581552.9949999996</v>
      </c>
      <c r="AF70" s="77">
        <v>0</v>
      </c>
      <c r="AG70" s="77">
        <v>0</v>
      </c>
      <c r="AH70" s="77">
        <v>0</v>
      </c>
      <c r="AI70" s="75">
        <v>0</v>
      </c>
      <c r="AK70" s="75">
        <v>0</v>
      </c>
      <c r="AL70" s="75">
        <v>55908.28</v>
      </c>
      <c r="AM70" s="75">
        <v>0</v>
      </c>
      <c r="AN70" s="75">
        <v>55908.28</v>
      </c>
      <c r="AO70" s="75"/>
      <c r="AP70" s="75">
        <v>0</v>
      </c>
      <c r="AQ70" s="75">
        <v>142244.93</v>
      </c>
      <c r="AR70" s="75">
        <v>0</v>
      </c>
      <c r="AS70" s="75">
        <v>142244.93</v>
      </c>
      <c r="AT70" s="75">
        <v>3779706.2049999996</v>
      </c>
      <c r="AW70" s="77">
        <v>3779706.2049999996</v>
      </c>
      <c r="AX70"/>
      <c r="AY70" s="77">
        <f t="shared" si="8"/>
        <v>0</v>
      </c>
      <c r="AZ70" s="77">
        <f t="shared" si="9"/>
        <v>0</v>
      </c>
      <c r="BA70" s="77">
        <f t="shared" si="10"/>
        <v>0</v>
      </c>
      <c r="BB70" s="77">
        <f t="shared" si="11"/>
        <v>0</v>
      </c>
    </row>
    <row r="71" spans="1:55" ht="16">
      <c r="A71" s="48">
        <v>5405</v>
      </c>
      <c r="B71" s="81" t="s">
        <v>80</v>
      </c>
      <c r="C71" s="369">
        <f>SUMIF('TB Mitiga LTD'!A:A,'HARKAVA '!A71,'TB Mitiga LTD'!D:D)</f>
        <v>272586.36</v>
      </c>
      <c r="D71" s="75">
        <f>SUMIF('Adj Entries Ltd'!$B$4:$B$954,A71,'Adj Entries Ltd'!$D$4:$D$954)</f>
        <v>13541.735000000001</v>
      </c>
      <c r="E71" s="369">
        <f>SUMIF('Adj Entries Ltd'!$B$4:$B$954,A71,'Adj Entries Ltd'!$E$4:$E$954)</f>
        <v>54771</v>
      </c>
      <c r="F71" s="369">
        <f t="shared" si="27"/>
        <v>231357.09499999997</v>
      </c>
      <c r="I71" s="77">
        <f>SUMIF('Adj. entries US'!B:B,'HARKAVA '!A71,'Adj. entries US'!D:D)</f>
        <v>0</v>
      </c>
      <c r="J71" s="77">
        <f>SUMIF('Adj. entries US'!B:B,'HARKAVA '!A71,'Adj. entries US'!E:E)</f>
        <v>0</v>
      </c>
      <c r="K71" s="75"/>
      <c r="M71" s="75">
        <f>SUMIF('TB UK'!A:A,'HARKAVA '!A71,'TB UK'!E:E)</f>
        <v>0</v>
      </c>
      <c r="N71" s="75">
        <f>SUMIF('Adj. Entries UK'!B:B,'HARKAVA '!A71,'Adj. Entries UK'!D:D)</f>
        <v>0</v>
      </c>
      <c r="O71" s="75">
        <f>SUMIF('Adj. Entries UK'!B:B,'HARKAVA '!A71,'Adj. Entries UK'!E:E)</f>
        <v>0</v>
      </c>
      <c r="P71" s="75">
        <f t="shared" ref="P71" si="33">M71+N71-O71</f>
        <v>0</v>
      </c>
      <c r="Q71" s="75"/>
      <c r="R71" s="75">
        <f>SUMIF('TB security'!A:A,'HARKAVA '!A71,'TB security'!D:D)</f>
        <v>0</v>
      </c>
      <c r="S71" s="75">
        <f>SUMIF('Adj. Entries security'!B:B,'HARKAVA '!A71,'Adj. Entries security'!D:E)</f>
        <v>0</v>
      </c>
      <c r="T71" s="75">
        <f>SUMIF('Adj. Entries security'!B:B,'HARKAVA '!A71,'Adj. Entries security'!E:E)</f>
        <v>0</v>
      </c>
      <c r="U71" s="75">
        <f t="shared" si="30"/>
        <v>0</v>
      </c>
      <c r="V71" s="75">
        <f t="shared" si="31"/>
        <v>231357.09499999997</v>
      </c>
      <c r="Y71" s="77">
        <f t="shared" si="32"/>
        <v>231357.09499999997</v>
      </c>
      <c r="Z71" s="171">
        <v>5400</v>
      </c>
      <c r="AC71" s="94"/>
      <c r="AD71" s="369">
        <v>231357.09499999997</v>
      </c>
      <c r="AG71" s="77">
        <v>0</v>
      </c>
      <c r="AH71" s="77">
        <v>0</v>
      </c>
      <c r="AI71" s="75"/>
      <c r="AK71" s="75">
        <v>0</v>
      </c>
      <c r="AL71" s="75">
        <v>0</v>
      </c>
      <c r="AM71" s="75">
        <v>0</v>
      </c>
      <c r="AN71" s="75">
        <v>0</v>
      </c>
      <c r="AO71" s="75"/>
      <c r="AP71" s="75">
        <v>0</v>
      </c>
      <c r="AQ71" s="75">
        <v>0</v>
      </c>
      <c r="AR71" s="75">
        <v>0</v>
      </c>
      <c r="AS71" s="75">
        <v>0</v>
      </c>
      <c r="AT71" s="75">
        <v>231357.09499999997</v>
      </c>
      <c r="AW71" s="77">
        <v>231357.09499999997</v>
      </c>
      <c r="AX71"/>
      <c r="AY71" s="77">
        <f t="shared" ref="AY71:AY113" si="34">F71-AD71</f>
        <v>0</v>
      </c>
      <c r="AZ71" s="77">
        <f t="shared" ref="AZ71:AZ113" si="35">P71-AN71</f>
        <v>0</v>
      </c>
      <c r="BA71" s="77">
        <f t="shared" ref="BA71:BA113" si="36">U71-AS71</f>
        <v>0</v>
      </c>
      <c r="BB71" s="77">
        <f t="shared" ref="BB71:BB113" si="37">X71-AV71</f>
        <v>0</v>
      </c>
    </row>
    <row r="72" spans="1:55" ht="16">
      <c r="A72" s="48">
        <v>5410</v>
      </c>
      <c r="B72" s="2" t="s">
        <v>81</v>
      </c>
      <c r="C72" s="369">
        <f>SUMIF('TB Mitiga LTD'!A:A,'HARKAVA '!A72,'TB Mitiga LTD'!D:D)</f>
        <v>932650.60999999987</v>
      </c>
      <c r="D72" s="75">
        <f>SUMIF('Adj Entries Ltd'!$B$4:$B$954,A72,'Adj Entries Ltd'!$D$4:$D$954)</f>
        <v>13576.715000000011</v>
      </c>
      <c r="E72" s="75">
        <f>SUMIF('Adj Entries Ltd'!$B$4:$B$954,A72,'Adj Entries Ltd'!$E$4:$E$954)</f>
        <v>0</v>
      </c>
      <c r="F72" s="369">
        <f t="shared" si="27"/>
        <v>946227.32499999984</v>
      </c>
      <c r="H72" s="77">
        <f>SUMIF('TB US'!A:A,'HARKAVA '!A72,'TB US'!D:D)</f>
        <v>0</v>
      </c>
      <c r="I72" s="77">
        <f>SUMIF('Adj. entries US'!B:B,'HARKAVA '!A72,'Adj. entries US'!D:D)</f>
        <v>0</v>
      </c>
      <c r="J72" s="77">
        <f>SUMIF('Adj. entries US'!B:B,'HARKAVA '!A72,'Adj. entries US'!E:E)</f>
        <v>0</v>
      </c>
      <c r="K72" s="75">
        <f t="shared" si="28"/>
        <v>0</v>
      </c>
      <c r="M72" s="369">
        <f>SUMIF('TB UK'!A:A,'HARKAVA '!A72,'TB UK'!E:E)</f>
        <v>635.11</v>
      </c>
      <c r="N72" s="75">
        <f>SUMIF('Adj. Entries UK'!B:B,'HARKAVA '!A72,'Adj. Entries UK'!D:D)</f>
        <v>0</v>
      </c>
      <c r="O72" s="75">
        <f>SUMIF('Adj. Entries UK'!B:B,'HARKAVA '!A72,'Adj. Entries UK'!E:E)</f>
        <v>0</v>
      </c>
      <c r="P72" s="369">
        <f t="shared" si="29"/>
        <v>635.11</v>
      </c>
      <c r="Q72" s="75"/>
      <c r="R72" s="369">
        <f>SUMIF('TB security'!A:A,'HARKAVA '!A72,'TB security'!D:D)</f>
        <v>2337.39</v>
      </c>
      <c r="S72" s="75">
        <f>SUMIF('Adj. Entries security'!B:B,'HARKAVA '!A72,'Adj. Entries security'!D:E)</f>
        <v>2200</v>
      </c>
      <c r="T72" s="75">
        <f>SUMIF('Adj. Entries security'!B:B,'HARKAVA '!A72,'Adj. Entries security'!E:E)</f>
        <v>0</v>
      </c>
      <c r="U72" s="369">
        <f t="shared" si="30"/>
        <v>4537.3899999999994</v>
      </c>
      <c r="V72" s="75">
        <f t="shared" si="31"/>
        <v>951399.82499999984</v>
      </c>
      <c r="Y72" s="77">
        <f t="shared" si="32"/>
        <v>951399.82499999984</v>
      </c>
      <c r="Z72" s="171">
        <f>A72</f>
        <v>5410</v>
      </c>
      <c r="AC72" s="94"/>
      <c r="AD72" s="369">
        <v>946227.32499999984</v>
      </c>
      <c r="AF72" s="77">
        <v>0</v>
      </c>
      <c r="AG72" s="77">
        <v>0</v>
      </c>
      <c r="AH72" s="77">
        <v>0</v>
      </c>
      <c r="AI72" s="75">
        <v>0</v>
      </c>
      <c r="AK72" s="369">
        <v>635.11</v>
      </c>
      <c r="AL72" s="75">
        <v>0</v>
      </c>
      <c r="AM72" s="75">
        <v>0</v>
      </c>
      <c r="AN72" s="369">
        <v>635.11</v>
      </c>
      <c r="AO72" s="75"/>
      <c r="AP72" s="369">
        <v>2337.39</v>
      </c>
      <c r="AQ72" s="75">
        <v>2200</v>
      </c>
      <c r="AR72" s="75">
        <v>0</v>
      </c>
      <c r="AS72" s="369">
        <v>4537.3899999999994</v>
      </c>
      <c r="AT72" s="75">
        <v>951399.82499999984</v>
      </c>
      <c r="AW72" s="77">
        <v>951399.82499999984</v>
      </c>
      <c r="AX72"/>
      <c r="AY72" s="77">
        <f t="shared" si="34"/>
        <v>0</v>
      </c>
      <c r="AZ72" s="77">
        <f t="shared" si="35"/>
        <v>0</v>
      </c>
      <c r="BA72" s="77">
        <f t="shared" si="36"/>
        <v>0</v>
      </c>
      <c r="BB72" s="77">
        <f t="shared" si="37"/>
        <v>0</v>
      </c>
    </row>
    <row r="73" spans="1:55" ht="16">
      <c r="A73" s="48">
        <v>5411</v>
      </c>
      <c r="B73" s="81" t="s">
        <v>82</v>
      </c>
      <c r="C73" s="369">
        <f>SUMIF('TB Mitiga LTD'!A:A,'HARKAVA '!A73,'TB Mitiga LTD'!D:D)</f>
        <v>103077.98</v>
      </c>
      <c r="D73" s="369">
        <f>SUMIF('Adj Entries Ltd'!$B$4:$B$954,A73,'Adj Entries Ltd'!$D$4:$D$954)</f>
        <v>23594.582276885503</v>
      </c>
      <c r="E73" s="75">
        <f>SUMIF('Adj Entries Ltd'!$B$4:$B$954,A73,'Adj Entries Ltd'!$E$4:$E$954)</f>
        <v>0</v>
      </c>
      <c r="F73" s="369">
        <f t="shared" si="27"/>
        <v>126672.5622768855</v>
      </c>
      <c r="K73" s="75">
        <f t="shared" ref="K73" si="38">H73+I73-J73</f>
        <v>0</v>
      </c>
      <c r="M73" s="75">
        <f>SUMIF('TB UK'!A:A,'HARKAVA '!A73,'TB UK'!E:E)</f>
        <v>0</v>
      </c>
      <c r="N73" s="75">
        <f>SUMIF('Adj. Entries UK'!B:B,'HARKAVA '!A73,'Adj. Entries UK'!D:D)</f>
        <v>2310.3649999999998</v>
      </c>
      <c r="O73" s="75">
        <f>SUMIF('Adj. Entries UK'!B:B,'HARKAVA '!A73,'Adj. Entries UK'!E:E)</f>
        <v>0</v>
      </c>
      <c r="P73" s="75">
        <f t="shared" ref="P73" si="39">M73+N73-O73</f>
        <v>2310.3649999999998</v>
      </c>
      <c r="Q73" s="75"/>
      <c r="R73" s="75">
        <f>SUMIF('TB security'!A:A,'HARKAVA '!A73,'TB security'!D:D)</f>
        <v>0</v>
      </c>
      <c r="S73" s="75">
        <f>SUMIF('Adj. Entries security'!B:B,'HARKAVA '!A73,'Adj. Entries security'!D:E)</f>
        <v>-5202</v>
      </c>
      <c r="T73" s="75">
        <f>SUMIF('Adj. Entries security'!B:B,'HARKAVA '!A73,'Adj. Entries security'!E:E)</f>
        <v>0</v>
      </c>
      <c r="U73" s="75">
        <f t="shared" ref="U73" si="40">R73+S73-T73</f>
        <v>-5202</v>
      </c>
      <c r="V73" s="75">
        <f t="shared" si="31"/>
        <v>123780.9272768855</v>
      </c>
      <c r="Y73" s="77">
        <f t="shared" si="32"/>
        <v>123780.9272768855</v>
      </c>
      <c r="Z73" s="171">
        <v>5411</v>
      </c>
      <c r="AC73" s="94"/>
      <c r="AD73" s="369">
        <v>128163.785</v>
      </c>
      <c r="AI73" s="75">
        <v>0</v>
      </c>
      <c r="AK73" s="75">
        <v>0</v>
      </c>
      <c r="AL73" s="75">
        <v>2310.3649999999998</v>
      </c>
      <c r="AM73" s="75">
        <v>0</v>
      </c>
      <c r="AN73" s="75">
        <v>2310.3649999999998</v>
      </c>
      <c r="AO73" s="75"/>
      <c r="AP73" s="75">
        <v>0</v>
      </c>
      <c r="AQ73" s="75">
        <v>-5202</v>
      </c>
      <c r="AR73" s="75">
        <v>0</v>
      </c>
      <c r="AS73" s="75">
        <v>-5202</v>
      </c>
      <c r="AT73" s="75">
        <v>125272.15000000001</v>
      </c>
      <c r="AW73" s="77">
        <v>125272.15000000001</v>
      </c>
      <c r="AX73"/>
      <c r="AY73" s="77">
        <f t="shared" si="34"/>
        <v>-1491.222723114508</v>
      </c>
      <c r="AZ73" s="77">
        <f t="shared" si="35"/>
        <v>0</v>
      </c>
      <c r="BA73" s="77">
        <f t="shared" si="36"/>
        <v>0</v>
      </c>
      <c r="BB73" s="77">
        <f t="shared" si="37"/>
        <v>0</v>
      </c>
      <c r="BC73" s="2" t="s">
        <v>63</v>
      </c>
    </row>
    <row r="74" spans="1:55" ht="16">
      <c r="A74" s="48">
        <v>5416</v>
      </c>
      <c r="B74" s="2" t="s">
        <v>83</v>
      </c>
      <c r="C74" s="369">
        <f>SUMIF('TB Mitiga LTD'!A:A,'HARKAVA '!A74,'TB Mitiga LTD'!D:D)</f>
        <v>48058.27</v>
      </c>
      <c r="D74" s="369">
        <f>SUMIF('Adj Entries Ltd'!$B$4:$B$954,A74,'Adj Entries Ltd'!$D$4:$D$954)</f>
        <v>329443.26997478941</v>
      </c>
      <c r="E74" s="75">
        <f>SUMIF('Adj Entries Ltd'!$B$4:$B$954,A74,'Adj Entries Ltd'!$E$4:$E$954)</f>
        <v>0</v>
      </c>
      <c r="F74" s="369">
        <f t="shared" ref="F74:F78" si="41">(+C74+D74-E74)</f>
        <v>377501.53997478943</v>
      </c>
      <c r="H74" s="77">
        <f>SUMIF('TB US'!A:A,'HARKAVA '!A74,'TB US'!D:D)</f>
        <v>0</v>
      </c>
      <c r="I74" s="77">
        <f>SUMIF('Adj. entries US'!B:B,'HARKAVA '!A74,'Adj. entries US'!D:D)</f>
        <v>0</v>
      </c>
      <c r="J74" s="77">
        <f>SUMIF('Adj. entries US'!B:B,'HARKAVA '!A74,'Adj. entries US'!E:E)</f>
        <v>0</v>
      </c>
      <c r="K74" s="75">
        <f t="shared" si="28"/>
        <v>0</v>
      </c>
      <c r="M74" s="75">
        <f>SUMIF('TB UK'!A:A,'HARKAVA '!A74,'TB UK'!E:E)</f>
        <v>0</v>
      </c>
      <c r="N74" s="75">
        <f>SUMIF('Adj. Entries UK'!B:B,'HARKAVA '!A74,'Adj. Entries UK'!D:D)</f>
        <v>4661.3099999999995</v>
      </c>
      <c r="O74" s="75">
        <f>SUMIF('Adj. Entries UK'!B:B,'HARKAVA '!A74,'Adj. Entries UK'!E:E)</f>
        <v>0</v>
      </c>
      <c r="P74" s="75">
        <f t="shared" ref="P74:P75" si="42">M74+N74-O74</f>
        <v>4661.3099999999995</v>
      </c>
      <c r="Q74" s="75"/>
      <c r="R74" s="75">
        <f>SUMIF('TB security'!A:A,'HARKAVA '!A74,'TB security'!D:D)</f>
        <v>0</v>
      </c>
      <c r="S74" s="75">
        <f>SUMIF('Adj. Entries security'!B:B,'HARKAVA '!A74,'Adj. Entries security'!D:E)</f>
        <v>24054.418968253965</v>
      </c>
      <c r="T74" s="75">
        <f>SUMIF('Adj. Entries security'!B:B,'HARKAVA '!A74,'Adj. Entries security'!E:E)</f>
        <v>0</v>
      </c>
      <c r="U74" s="75">
        <f t="shared" si="30"/>
        <v>24054.418968253965</v>
      </c>
      <c r="V74" s="75">
        <f t="shared" si="31"/>
        <v>406217.26894304337</v>
      </c>
      <c r="Y74" s="77">
        <f t="shared" si="32"/>
        <v>406217.26894304337</v>
      </c>
      <c r="Z74" s="171">
        <f>A74</f>
        <v>5416</v>
      </c>
      <c r="AD74" s="369">
        <v>377501.53997478943</v>
      </c>
      <c r="AF74" s="77">
        <v>0</v>
      </c>
      <c r="AG74" s="77">
        <v>0</v>
      </c>
      <c r="AH74" s="77">
        <v>0</v>
      </c>
      <c r="AI74" s="75">
        <v>0</v>
      </c>
      <c r="AK74" s="75">
        <v>0</v>
      </c>
      <c r="AL74" s="75">
        <v>4661.3099999999995</v>
      </c>
      <c r="AM74" s="75">
        <v>0</v>
      </c>
      <c r="AN74" s="75">
        <v>4661.3099999999995</v>
      </c>
      <c r="AO74" s="75"/>
      <c r="AP74" s="75">
        <v>0</v>
      </c>
      <c r="AQ74" s="75">
        <v>24054.418968253965</v>
      </c>
      <c r="AR74" s="75">
        <v>0</v>
      </c>
      <c r="AS74" s="75">
        <v>24054.418968253965</v>
      </c>
      <c r="AT74" s="75">
        <v>406217.26894304337</v>
      </c>
      <c r="AW74" s="77">
        <v>406217.26894304337</v>
      </c>
      <c r="AX74"/>
      <c r="AY74" s="77">
        <f t="shared" si="34"/>
        <v>0</v>
      </c>
      <c r="AZ74" s="77">
        <f t="shared" si="35"/>
        <v>0</v>
      </c>
      <c r="BA74" s="77">
        <f t="shared" si="36"/>
        <v>0</v>
      </c>
      <c r="BB74" s="77">
        <f t="shared" si="37"/>
        <v>0</v>
      </c>
    </row>
    <row r="75" spans="1:55" ht="16">
      <c r="A75" s="48">
        <v>5417</v>
      </c>
      <c r="B75" s="2" t="s">
        <v>84</v>
      </c>
      <c r="C75" s="75">
        <f>SUMIF('TB Mitiga LTD'!A:A,'HARKAVA '!A75,'TB Mitiga LTD'!D:D)</f>
        <v>0</v>
      </c>
      <c r="D75" s="75">
        <f>SUMIF('Adj Entries Ltd'!$B$4:$B$954,A75,'Adj Entries Ltd'!$D$4:$D$954)</f>
        <v>0</v>
      </c>
      <c r="E75" s="75">
        <f>SUMIF('Adj Entries Ltd'!$B$4:$B$954,A75,'Adj Entries Ltd'!$E$4:$E$954)</f>
        <v>0</v>
      </c>
      <c r="F75" s="75">
        <f t="shared" ref="F75" si="43">(+C75+D75-E75)</f>
        <v>0</v>
      </c>
      <c r="H75" s="77">
        <f>SUMIF('TB US'!A:A,'HARKAVA '!A75,'TB US'!D:D)</f>
        <v>0</v>
      </c>
      <c r="I75" s="77">
        <f>SUMIF('Adj. entries US'!B:B,'HARKAVA '!A75,'Adj. entries US'!D:D)</f>
        <v>0</v>
      </c>
      <c r="J75" s="77">
        <f>SUMIF('Adj. entries US'!B:B,'HARKAVA '!A75,'Adj. entries US'!E:E)</f>
        <v>0</v>
      </c>
      <c r="K75" s="75">
        <f t="shared" si="28"/>
        <v>0</v>
      </c>
      <c r="M75" s="75">
        <f>SUMIF('TB UK'!A:A,'HARKAVA '!A75,'TB UK'!E:E)</f>
        <v>0</v>
      </c>
      <c r="N75" s="75">
        <f>SUMIF('Adj. Entries UK'!B:B,'HARKAVA '!A75,'Adj. Entries UK'!D:D)</f>
        <v>0</v>
      </c>
      <c r="O75" s="75">
        <f>SUMIF('Adj. Entries UK'!B:B,'HARKAVA '!A75,'Adj. Entries UK'!E:E)</f>
        <v>0</v>
      </c>
      <c r="P75" s="75">
        <f t="shared" si="42"/>
        <v>0</v>
      </c>
      <c r="Q75" s="75"/>
      <c r="R75" s="75">
        <f>SUMIF('TB security'!A:A,'HARKAVA '!A75,'TB security'!D:D)</f>
        <v>0</v>
      </c>
      <c r="S75" s="75">
        <f>SUMIF('Adj. Entries security'!B:B,'HARKAVA '!A75,'Adj. Entries security'!D:E)</f>
        <v>0</v>
      </c>
      <c r="T75" s="75">
        <f>SUMIF('Adj. Entries security'!B:B,'HARKAVA '!A75,'Adj. Entries security'!E:E)</f>
        <v>0</v>
      </c>
      <c r="U75" s="75">
        <f t="shared" si="30"/>
        <v>0</v>
      </c>
      <c r="V75" s="75">
        <f t="shared" si="31"/>
        <v>0</v>
      </c>
      <c r="Y75" s="77">
        <f t="shared" si="32"/>
        <v>0</v>
      </c>
      <c r="Z75" s="171">
        <f>A75</f>
        <v>5417</v>
      </c>
      <c r="AD75" s="75">
        <v>0</v>
      </c>
      <c r="AF75" s="77">
        <v>0</v>
      </c>
      <c r="AG75" s="77">
        <v>0</v>
      </c>
      <c r="AH75" s="77">
        <v>0</v>
      </c>
      <c r="AI75" s="75">
        <v>0</v>
      </c>
      <c r="AK75" s="75">
        <v>0</v>
      </c>
      <c r="AL75" s="75">
        <v>0</v>
      </c>
      <c r="AM75" s="75">
        <v>0</v>
      </c>
      <c r="AN75" s="75">
        <v>0</v>
      </c>
      <c r="AO75" s="75"/>
      <c r="AP75" s="75">
        <v>0</v>
      </c>
      <c r="AQ75" s="75">
        <v>0</v>
      </c>
      <c r="AR75" s="75">
        <v>0</v>
      </c>
      <c r="AS75" s="75">
        <v>0</v>
      </c>
      <c r="AT75" s="75">
        <v>0</v>
      </c>
      <c r="AW75" s="77">
        <v>0</v>
      </c>
      <c r="AX75"/>
      <c r="AY75" s="77">
        <f t="shared" si="34"/>
        <v>0</v>
      </c>
      <c r="AZ75" s="77">
        <f t="shared" si="35"/>
        <v>0</v>
      </c>
      <c r="BA75" s="77">
        <f t="shared" si="36"/>
        <v>0</v>
      </c>
      <c r="BB75" s="77">
        <f t="shared" si="37"/>
        <v>0</v>
      </c>
    </row>
    <row r="76" spans="1:55" ht="16">
      <c r="A76" s="48">
        <v>5420</v>
      </c>
      <c r="B76" s="81" t="s">
        <v>85</v>
      </c>
      <c r="C76" s="369">
        <f>SUMIF('TB Mitiga LTD'!A:A,'HARKAVA '!A76,'TB Mitiga LTD'!D:D)</f>
        <v>23799.72</v>
      </c>
      <c r="D76" s="75">
        <f>SUMIF('Adj Entries Ltd'!$B$4:$B$954,A76,'Adj Entries Ltd'!$D$4:$D$954)</f>
        <v>0</v>
      </c>
      <c r="E76" s="75">
        <f>SUMIF('Adj Entries Ltd'!$B$4:$B$954,A76,'Adj Entries Ltd'!$E$4:$E$954)</f>
        <v>0</v>
      </c>
      <c r="F76" s="369">
        <f t="shared" si="41"/>
        <v>23799.72</v>
      </c>
      <c r="H76" s="77">
        <f>SUMIF('TB US'!A:A,'HARKAVA '!A76,'TB US'!D:D)</f>
        <v>0</v>
      </c>
      <c r="I76" s="77">
        <f>SUMIF('Adj. entries US'!B:B,'HARKAVA '!A76,'Adj. entries US'!D:D)</f>
        <v>0</v>
      </c>
      <c r="J76" s="77">
        <f>SUMIF('Adj. entries US'!B:B,'HARKAVA '!A76,'Adj. entries US'!E:E)</f>
        <v>0</v>
      </c>
      <c r="K76" s="75">
        <f t="shared" si="28"/>
        <v>0</v>
      </c>
      <c r="M76" s="75">
        <f>SUMIF('TB UK'!A:A,'HARKAVA '!A76,'TB UK'!E:E)</f>
        <v>0</v>
      </c>
      <c r="N76" s="75">
        <f>SUMIF('Adj. Entries UK'!B:B,'HARKAVA '!A76,'Adj. Entries UK'!D:D)</f>
        <v>0</v>
      </c>
      <c r="O76" s="75">
        <f>SUMIF('Adj. Entries UK'!B:B,'HARKAVA '!A76,'Adj. Entries UK'!E:E)</f>
        <v>0</v>
      </c>
      <c r="P76" s="75">
        <f t="shared" si="29"/>
        <v>0</v>
      </c>
      <c r="Q76" s="75"/>
      <c r="R76" s="75">
        <f>SUMIF('TB security'!A:A,'HARKAVA '!A76,'TB security'!D:D)</f>
        <v>0</v>
      </c>
      <c r="S76" s="75">
        <f>SUMIF('Adj. Entries security'!B:B,'HARKAVA '!A76,'Adj. Entries security'!D:E)</f>
        <v>0</v>
      </c>
      <c r="T76" s="75">
        <f>SUMIF('Adj. Entries security'!B:B,'HARKAVA '!A76,'Adj. Entries security'!E:E)</f>
        <v>0</v>
      </c>
      <c r="U76" s="75">
        <f t="shared" si="30"/>
        <v>0</v>
      </c>
      <c r="V76" s="75">
        <f t="shared" si="31"/>
        <v>23799.72</v>
      </c>
      <c r="Y76" s="77">
        <f t="shared" si="32"/>
        <v>23799.72</v>
      </c>
      <c r="Z76" s="171">
        <v>5416</v>
      </c>
      <c r="AD76" s="369">
        <v>23799.72</v>
      </c>
      <c r="AF76" s="77">
        <v>0</v>
      </c>
      <c r="AG76" s="77">
        <v>0</v>
      </c>
      <c r="AH76" s="77">
        <v>0</v>
      </c>
      <c r="AI76" s="75">
        <v>0</v>
      </c>
      <c r="AK76" s="75">
        <v>0</v>
      </c>
      <c r="AL76" s="75">
        <v>0</v>
      </c>
      <c r="AM76" s="75">
        <v>0</v>
      </c>
      <c r="AN76" s="75">
        <v>0</v>
      </c>
      <c r="AO76" s="75"/>
      <c r="AP76" s="75">
        <v>0</v>
      </c>
      <c r="AQ76" s="75">
        <v>0</v>
      </c>
      <c r="AR76" s="75">
        <v>0</v>
      </c>
      <c r="AS76" s="75">
        <v>0</v>
      </c>
      <c r="AT76" s="75">
        <v>23799.72</v>
      </c>
      <c r="AW76" s="77">
        <v>23799.72</v>
      </c>
      <c r="AX76"/>
      <c r="AY76" s="77">
        <f t="shared" si="34"/>
        <v>0</v>
      </c>
      <c r="AZ76" s="77">
        <f t="shared" si="35"/>
        <v>0</v>
      </c>
      <c r="BA76" s="77">
        <f t="shared" si="36"/>
        <v>0</v>
      </c>
      <c r="BB76" s="77">
        <f t="shared" si="37"/>
        <v>0</v>
      </c>
    </row>
    <row r="77" spans="1:55" ht="16">
      <c r="A77" s="48">
        <v>5430</v>
      </c>
      <c r="B77" s="81" t="s">
        <v>86</v>
      </c>
      <c r="C77" s="369">
        <f>SUMIF('TB Mitiga LTD'!A:A,'HARKAVA '!A77,'TB Mitiga LTD'!D:D)</f>
        <v>30845.74</v>
      </c>
      <c r="D77" s="75">
        <f>SUMIF('Adj Entries Ltd'!$B$4:$B$954,A77,'Adj Entries Ltd'!$D$4:$D$954)</f>
        <v>0</v>
      </c>
      <c r="E77" s="75">
        <f>SUMIF('Adj Entries Ltd'!$B$4:$B$954,A77,'Adj Entries Ltd'!$E$4:$E$954)</f>
        <v>0</v>
      </c>
      <c r="F77" s="369">
        <f t="shared" si="41"/>
        <v>30845.74</v>
      </c>
      <c r="H77" s="77">
        <f>SUMIF('TB US'!A:A,'HARKAVA '!A77,'TB US'!D:D)</f>
        <v>0</v>
      </c>
      <c r="I77" s="77">
        <f>SUMIF('Adj. entries US'!B:B,'HARKAVA '!A77,'Adj. entries US'!D:D)</f>
        <v>0</v>
      </c>
      <c r="J77" s="77">
        <f>SUMIF('Adj. entries US'!B:B,'HARKAVA '!A77,'Adj. entries US'!E:E)</f>
        <v>0</v>
      </c>
      <c r="K77" s="75">
        <f t="shared" si="28"/>
        <v>0</v>
      </c>
      <c r="M77" s="75">
        <f>SUMIF('TB UK'!A:A,'HARKAVA '!A77,'TB UK'!E:E)</f>
        <v>0</v>
      </c>
      <c r="N77" s="75">
        <f>SUMIF('Adj. Entries UK'!B:B,'HARKAVA '!A77,'Adj. Entries UK'!D:D)</f>
        <v>0</v>
      </c>
      <c r="O77" s="75">
        <f>SUMIF('Adj. Entries UK'!B:B,'HARKAVA '!A77,'Adj. Entries UK'!E:E)</f>
        <v>0</v>
      </c>
      <c r="P77" s="75">
        <f t="shared" si="29"/>
        <v>0</v>
      </c>
      <c r="Q77" s="75"/>
      <c r="R77" s="75">
        <f>SUMIF('TB security'!A:A,'HARKAVA '!A77,'TB security'!D:D)</f>
        <v>0</v>
      </c>
      <c r="S77" s="75">
        <f>SUMIF('Adj. Entries security'!B:B,'HARKAVA '!A77,'Adj. Entries security'!D:E)</f>
        <v>0</v>
      </c>
      <c r="T77" s="75">
        <f>SUMIF('Adj. Entries security'!B:B,'HARKAVA '!A77,'Adj. Entries security'!E:E)</f>
        <v>0</v>
      </c>
      <c r="U77" s="75">
        <f t="shared" si="30"/>
        <v>0</v>
      </c>
      <c r="V77" s="75">
        <f t="shared" si="31"/>
        <v>30845.74</v>
      </c>
      <c r="Y77" s="77">
        <f t="shared" si="32"/>
        <v>30845.74</v>
      </c>
      <c r="Z77" s="171">
        <v>5416</v>
      </c>
      <c r="AD77" s="369">
        <v>30845.74</v>
      </c>
      <c r="AF77" s="77">
        <v>0</v>
      </c>
      <c r="AG77" s="77">
        <v>0</v>
      </c>
      <c r="AH77" s="77">
        <v>0</v>
      </c>
      <c r="AI77" s="75">
        <v>0</v>
      </c>
      <c r="AK77" s="75">
        <v>0</v>
      </c>
      <c r="AL77" s="75">
        <v>0</v>
      </c>
      <c r="AM77" s="75">
        <v>0</v>
      </c>
      <c r="AN77" s="75">
        <v>0</v>
      </c>
      <c r="AO77" s="75"/>
      <c r="AP77" s="75">
        <v>0</v>
      </c>
      <c r="AQ77" s="75">
        <v>0</v>
      </c>
      <c r="AR77" s="75">
        <v>0</v>
      </c>
      <c r="AS77" s="75">
        <v>0</v>
      </c>
      <c r="AT77" s="75">
        <v>30845.74</v>
      </c>
      <c r="AW77" s="77">
        <v>30845.74</v>
      </c>
      <c r="AX77"/>
      <c r="AY77" s="77">
        <f t="shared" si="34"/>
        <v>0</v>
      </c>
      <c r="AZ77" s="77">
        <f t="shared" si="35"/>
        <v>0</v>
      </c>
      <c r="BA77" s="77">
        <f t="shared" si="36"/>
        <v>0</v>
      </c>
      <c r="BB77" s="77">
        <f t="shared" si="37"/>
        <v>0</v>
      </c>
    </row>
    <row r="78" spans="1:55" ht="16">
      <c r="A78" s="48">
        <v>5440</v>
      </c>
      <c r="B78" s="81" t="s">
        <v>87</v>
      </c>
      <c r="C78" s="75">
        <f>SUMIF('TB Mitiga LTD'!A:A,'HARKAVA '!A78,'TB Mitiga LTD'!D:D)</f>
        <v>0</v>
      </c>
      <c r="D78" s="75">
        <f>SUMIF('Adj Entries Ltd'!$B$4:$B$954,A78,'Adj Entries Ltd'!$D$4:$D$954)</f>
        <v>0</v>
      </c>
      <c r="E78" s="75">
        <f>SUMIF('Adj Entries Ltd'!$B$4:$B$954,A78,'Adj Entries Ltd'!$E$4:$E$954)</f>
        <v>0</v>
      </c>
      <c r="F78" s="75">
        <f t="shared" si="41"/>
        <v>0</v>
      </c>
      <c r="H78" s="77">
        <f>SUMIF('TB US'!A:A,'HARKAVA '!A78,'TB US'!D:D)</f>
        <v>0</v>
      </c>
      <c r="I78" s="77">
        <f>SUMIF('Adj. entries US'!B:B,'HARKAVA '!A78,'Adj. entries US'!D:D)</f>
        <v>0</v>
      </c>
      <c r="J78" s="77">
        <f>SUMIF('Adj. entries US'!B:B,'HARKAVA '!A78,'Adj. entries US'!E:E)</f>
        <v>0</v>
      </c>
      <c r="K78" s="75">
        <f t="shared" si="28"/>
        <v>0</v>
      </c>
      <c r="M78" s="75">
        <f>SUMIF('TB UK'!A:A,'HARKAVA '!A78,'TB UK'!E:E)</f>
        <v>0</v>
      </c>
      <c r="N78" s="75">
        <f>SUMIF('Adj. Entries UK'!B:B,'HARKAVA '!A78,'Adj. Entries UK'!D:D)</f>
        <v>0</v>
      </c>
      <c r="O78" s="75">
        <f>SUMIF('Adj. Entries UK'!B:B,'HARKAVA '!A78,'Adj. Entries UK'!E:E)</f>
        <v>0</v>
      </c>
      <c r="P78" s="75">
        <f t="shared" si="29"/>
        <v>0</v>
      </c>
      <c r="Q78" s="75"/>
      <c r="R78" s="75">
        <f>SUMIF('TB security'!A:A,'HARKAVA '!A78,'TB security'!D:D)</f>
        <v>0</v>
      </c>
      <c r="S78" s="75">
        <f>SUMIF('Adj. Entries security'!B:B,'HARKAVA '!A78,'Adj. Entries security'!D:E)</f>
        <v>0</v>
      </c>
      <c r="T78" s="75">
        <f>SUMIF('Adj. Entries security'!B:B,'HARKAVA '!A78,'Adj. Entries security'!E:E)</f>
        <v>0</v>
      </c>
      <c r="U78" s="75">
        <f t="shared" si="30"/>
        <v>0</v>
      </c>
      <c r="V78" s="75">
        <f t="shared" si="31"/>
        <v>0</v>
      </c>
      <c r="Y78" s="77">
        <f t="shared" si="32"/>
        <v>0</v>
      </c>
      <c r="Z78" s="171">
        <f>A78</f>
        <v>5440</v>
      </c>
      <c r="AD78" s="75">
        <v>0</v>
      </c>
      <c r="AF78" s="77">
        <v>0</v>
      </c>
      <c r="AG78" s="77">
        <v>0</v>
      </c>
      <c r="AH78" s="77">
        <v>0</v>
      </c>
      <c r="AI78" s="75">
        <v>0</v>
      </c>
      <c r="AK78" s="75">
        <v>0</v>
      </c>
      <c r="AL78" s="75">
        <v>0</v>
      </c>
      <c r="AM78" s="75">
        <v>0</v>
      </c>
      <c r="AN78" s="75">
        <v>0</v>
      </c>
      <c r="AO78" s="75"/>
      <c r="AP78" s="75">
        <v>0</v>
      </c>
      <c r="AQ78" s="75">
        <v>0</v>
      </c>
      <c r="AR78" s="75">
        <v>0</v>
      </c>
      <c r="AS78" s="75">
        <v>0</v>
      </c>
      <c r="AT78" s="75">
        <v>0</v>
      </c>
      <c r="AW78" s="77">
        <v>0</v>
      </c>
      <c r="AX78"/>
      <c r="AY78" s="77">
        <f t="shared" si="34"/>
        <v>0</v>
      </c>
      <c r="AZ78" s="77">
        <f t="shared" si="35"/>
        <v>0</v>
      </c>
      <c r="BA78" s="77">
        <f t="shared" si="36"/>
        <v>0</v>
      </c>
      <c r="BB78" s="77">
        <f t="shared" si="37"/>
        <v>0</v>
      </c>
    </row>
    <row r="79" spans="1:55" ht="16">
      <c r="A79" s="48">
        <v>5500</v>
      </c>
      <c r="B79" s="81" t="s">
        <v>88</v>
      </c>
      <c r="C79" s="369">
        <f>SUMIF('TB Mitiga LTD'!A:A,'HARKAVA '!A79,'TB Mitiga LTD'!D:D)</f>
        <v>30995.539999999997</v>
      </c>
      <c r="D79" s="75">
        <f>SUMIF('Adj Entries Ltd'!$B$4:$B$954,A79,'Adj Entries Ltd'!$D$4:$D$954)</f>
        <v>0</v>
      </c>
      <c r="E79" s="75">
        <f>SUMIF('Adj Entries Ltd'!$B$4:$B$954,A79,'Adj Entries Ltd'!$E$4:$E$954)</f>
        <v>0</v>
      </c>
      <c r="F79" s="369">
        <f t="shared" ref="F79:F111" si="44">(+C79+D79-E79)</f>
        <v>30995.539999999997</v>
      </c>
      <c r="H79" s="77">
        <f>SUMIF('TB US'!A:A,'HARKAVA '!A79,'TB US'!D:D)</f>
        <v>0</v>
      </c>
      <c r="I79" s="77">
        <f>SUMIF('Adj. entries US'!B:B,'HARKAVA '!A79,'Adj. entries US'!D:D)</f>
        <v>0</v>
      </c>
      <c r="J79" s="77">
        <f>SUMIF('Adj. entries US'!B:B,'HARKAVA '!A79,'Adj. entries US'!E:E)</f>
        <v>0</v>
      </c>
      <c r="K79" s="75">
        <f t="shared" si="28"/>
        <v>0</v>
      </c>
      <c r="M79" s="369">
        <f>SUMIF('TB UK'!A:A,'HARKAVA '!A79,'TB UK'!E:E)</f>
        <v>524284.73999999993</v>
      </c>
      <c r="N79" s="75">
        <f>SUMIF('Adj. Entries UK'!B:B,'HARKAVA '!A79,'Adj. Entries UK'!D:D)</f>
        <v>0</v>
      </c>
      <c r="O79" s="369">
        <f>SUMIF('Adj. Entries UK'!B:B,'HARKAVA '!A79,'Adj. Entries UK'!E:E)</f>
        <v>106492</v>
      </c>
      <c r="P79" s="369">
        <f t="shared" si="29"/>
        <v>417792.73999999993</v>
      </c>
      <c r="Q79" s="75"/>
      <c r="R79" s="369">
        <f>SUMIF('TB security'!A:A,'HARKAVA '!A79,'TB security'!D:D)</f>
        <v>758669.2699999999</v>
      </c>
      <c r="S79" s="75">
        <f>SUMIF('Adj. Entries security'!B:B,'HARKAVA '!A79,'Adj. Entries security'!D:E)</f>
        <v>0</v>
      </c>
      <c r="T79" s="75">
        <f>SUMIF('Adj. Entries security'!B:B,'HARKAVA '!A79,'Adj. Entries security'!E:E)</f>
        <v>0</v>
      </c>
      <c r="U79" s="369">
        <f t="shared" si="30"/>
        <v>758669.2699999999</v>
      </c>
      <c r="V79" s="75">
        <f t="shared" si="31"/>
        <v>1207457.5499999998</v>
      </c>
      <c r="Y79" s="77">
        <f t="shared" si="32"/>
        <v>1207457.5499999998</v>
      </c>
      <c r="Z79" s="171">
        <f>A79</f>
        <v>5500</v>
      </c>
      <c r="AD79" s="369">
        <v>30995.539999999997</v>
      </c>
      <c r="AF79" s="77">
        <v>0</v>
      </c>
      <c r="AG79" s="77">
        <v>0</v>
      </c>
      <c r="AH79" s="77">
        <v>0</v>
      </c>
      <c r="AI79" s="75">
        <v>0</v>
      </c>
      <c r="AK79" s="369">
        <v>524284.73999999993</v>
      </c>
      <c r="AL79" s="75">
        <v>0</v>
      </c>
      <c r="AM79" s="369">
        <v>106492</v>
      </c>
      <c r="AN79" s="369">
        <v>417792.73999999993</v>
      </c>
      <c r="AO79" s="75"/>
      <c r="AP79" s="369">
        <v>758669.2699999999</v>
      </c>
      <c r="AQ79" s="75">
        <v>0</v>
      </c>
      <c r="AR79" s="75">
        <v>0</v>
      </c>
      <c r="AS79" s="369">
        <v>758669.2699999999</v>
      </c>
      <c r="AT79" s="75">
        <v>1207457.5499999998</v>
      </c>
      <c r="AW79" s="77">
        <v>1207457.5499999998</v>
      </c>
      <c r="AX79"/>
      <c r="AY79" s="77">
        <f t="shared" si="34"/>
        <v>0</v>
      </c>
      <c r="AZ79" s="77">
        <f t="shared" si="35"/>
        <v>0</v>
      </c>
      <c r="BA79" s="77">
        <f t="shared" si="36"/>
        <v>0</v>
      </c>
      <c r="BB79" s="77">
        <f t="shared" si="37"/>
        <v>0</v>
      </c>
    </row>
    <row r="80" spans="1:55" ht="16">
      <c r="A80" s="48">
        <v>5505</v>
      </c>
      <c r="B80" s="81" t="s">
        <v>89</v>
      </c>
      <c r="C80" s="369">
        <f>SUMIF('TB Mitiga LTD'!A:A,'HARKAVA '!A80,'TB Mitiga LTD'!D:D)</f>
        <v>1147.9100000000001</v>
      </c>
      <c r="D80" s="75">
        <f>SUMIF('Adj Entries Ltd'!$B$4:$B$954,A80,'Adj Entries Ltd'!$D$4:$D$954)</f>
        <v>0</v>
      </c>
      <c r="E80" s="75">
        <f>SUMIF('Adj Entries Ltd'!$B$4:$B$954,A80,'Adj Entries Ltd'!$E$4:$E$954)</f>
        <v>0</v>
      </c>
      <c r="F80" s="369">
        <f t="shared" si="44"/>
        <v>1147.9100000000001</v>
      </c>
      <c r="K80" s="75">
        <f t="shared" si="28"/>
        <v>0</v>
      </c>
      <c r="M80" s="369">
        <f>SUMIF('TB UK'!A:A,'HARKAVA '!A80,'TB UK'!E:E)</f>
        <v>5386.85</v>
      </c>
      <c r="N80" s="369">
        <f>SUMIF('Adj. Entries UK'!B:B,'HARKAVA '!A80,'Adj. Entries UK'!D:D)</f>
        <v>8351.7453914872895</v>
      </c>
      <c r="O80" s="75">
        <f>SUMIF('Adj. Entries UK'!B:B,'HARKAVA '!A80,'Adj. Entries UK'!E:E)</f>
        <v>0</v>
      </c>
      <c r="P80" s="369">
        <f t="shared" si="29"/>
        <v>13738.59539148729</v>
      </c>
      <c r="Q80" s="75"/>
      <c r="R80" s="369">
        <f>SUMIF('TB security'!A:A,'HARKAVA '!A80,'TB security'!D:D)</f>
        <v>0</v>
      </c>
      <c r="S80" s="369">
        <f>SUMIF('Adj. Entries security'!B:B,'HARKAVA '!A80,'Adj. Entries security'!D:E)</f>
        <v>-701.08693776409859</v>
      </c>
      <c r="T80" s="75">
        <f>SUMIF('Adj. Entries security'!B:B,'HARKAVA '!A80,'Adj. Entries security'!E:E)</f>
        <v>0</v>
      </c>
      <c r="U80" s="369">
        <f t="shared" ref="U80" si="45">R80+S80-T80</f>
        <v>-701.08693776409859</v>
      </c>
      <c r="V80" s="75">
        <f t="shared" si="31"/>
        <v>14185.41845372319</v>
      </c>
      <c r="Y80" s="77">
        <f t="shared" si="32"/>
        <v>14185.41845372319</v>
      </c>
      <c r="Z80" s="171">
        <v>5505</v>
      </c>
      <c r="AD80" s="369">
        <v>1147.9100000000001</v>
      </c>
      <c r="AI80" s="75">
        <v>0</v>
      </c>
      <c r="AK80" s="369">
        <v>5386.85</v>
      </c>
      <c r="AL80" s="369">
        <v>13073</v>
      </c>
      <c r="AM80" s="75">
        <v>0</v>
      </c>
      <c r="AN80" s="369">
        <v>18459.849999999999</v>
      </c>
      <c r="AO80" s="75"/>
      <c r="AP80" s="369">
        <v>0</v>
      </c>
      <c r="AQ80" s="369">
        <v>1484</v>
      </c>
      <c r="AR80" s="75">
        <v>0</v>
      </c>
      <c r="AS80" s="369">
        <v>1484</v>
      </c>
      <c r="AT80" s="75">
        <v>21091.759999999998</v>
      </c>
      <c r="AW80" s="77">
        <v>21091.759999999998</v>
      </c>
      <c r="AX80"/>
      <c r="AY80" s="77">
        <f t="shared" si="34"/>
        <v>0</v>
      </c>
      <c r="AZ80" s="77">
        <f t="shared" si="35"/>
        <v>-4721.2546085127087</v>
      </c>
      <c r="BA80" s="77">
        <f t="shared" si="36"/>
        <v>-2185.0869377640984</v>
      </c>
      <c r="BB80" s="77">
        <f t="shared" si="37"/>
        <v>0</v>
      </c>
      <c r="BC80" s="2" t="s">
        <v>63</v>
      </c>
    </row>
    <row r="81" spans="1:55" ht="16">
      <c r="A81" s="48">
        <v>5508</v>
      </c>
      <c r="B81" s="81" t="s">
        <v>90</v>
      </c>
      <c r="C81" s="75">
        <f>SUMIF('TB Mitiga LTD'!A:A,'HARKAVA '!A81,'TB Mitiga LTD'!D:D)</f>
        <v>0</v>
      </c>
      <c r="D81" s="75">
        <f>SUMIF('Adj Entries Ltd'!$B$4:$B$954,A81,'Adj Entries Ltd'!$D$4:$D$954)</f>
        <v>0</v>
      </c>
      <c r="E81" s="75">
        <f>SUMIF('Adj Entries Ltd'!$B$4:$B$954,A81,'Adj Entries Ltd'!$E$4:$E$954)</f>
        <v>0</v>
      </c>
      <c r="F81" s="75">
        <f>(+C81+D81-E81)</f>
        <v>0</v>
      </c>
      <c r="H81" s="77">
        <f>SUMIF('TB US'!A:A,'HARKAVA '!A81,'TB US'!D:D)</f>
        <v>0</v>
      </c>
      <c r="I81" s="77">
        <f>SUMIF('Adj. entries US'!B:B,'HARKAVA '!A81,'Adj. entries US'!D:D)</f>
        <v>0</v>
      </c>
      <c r="J81" s="77">
        <f>SUMIF('Adj. entries US'!B:B,'HARKAVA '!A81,'Adj. entries US'!E:E)</f>
        <v>0</v>
      </c>
      <c r="K81" s="75">
        <f t="shared" si="28"/>
        <v>0</v>
      </c>
      <c r="M81" s="75">
        <f>SUMIF('TB UK'!A:A,'HARKAVA '!A81,'TB UK'!E:E)</f>
        <v>0</v>
      </c>
      <c r="N81" s="75">
        <f>SUMIF('Adj. Entries UK'!B:B,'HARKAVA '!A81,'Adj. Entries UK'!D:D)</f>
        <v>0</v>
      </c>
      <c r="O81" s="75">
        <f>SUMIF('Adj. Entries UK'!B:B,'HARKAVA '!A81,'Adj. Entries UK'!E:E)</f>
        <v>0</v>
      </c>
      <c r="P81" s="75">
        <f>M81+N81-O81</f>
        <v>0</v>
      </c>
      <c r="Q81" s="75"/>
      <c r="R81" s="75">
        <f>SUMIF('TB security'!A:A,'HARKAVA '!A81,'TB security'!D:D)</f>
        <v>0</v>
      </c>
      <c r="S81" s="75">
        <f>SUMIF('Adj. Entries security'!B:B,'HARKAVA '!A81,'Adj. Entries security'!D:E)</f>
        <v>0</v>
      </c>
      <c r="T81" s="75">
        <f>SUMIF('Adj. Entries security'!B:B,'HARKAVA '!A81,'Adj. Entries security'!E:E)</f>
        <v>0</v>
      </c>
      <c r="U81" s="75">
        <f t="shared" si="30"/>
        <v>0</v>
      </c>
      <c r="V81" s="75">
        <f t="shared" si="31"/>
        <v>0</v>
      </c>
      <c r="Y81" s="77">
        <f t="shared" si="32"/>
        <v>0</v>
      </c>
      <c r="Z81" s="171">
        <f>A81</f>
        <v>5508</v>
      </c>
      <c r="AD81" s="75">
        <v>0</v>
      </c>
      <c r="AF81" s="77">
        <v>0</v>
      </c>
      <c r="AG81" s="77">
        <v>0</v>
      </c>
      <c r="AH81" s="77">
        <v>0</v>
      </c>
      <c r="AI81" s="75">
        <v>0</v>
      </c>
      <c r="AK81" s="75">
        <v>0</v>
      </c>
      <c r="AL81" s="75">
        <v>0</v>
      </c>
      <c r="AM81" s="75">
        <v>0</v>
      </c>
      <c r="AN81" s="75">
        <v>0</v>
      </c>
      <c r="AO81" s="75"/>
      <c r="AP81" s="75">
        <v>0</v>
      </c>
      <c r="AQ81" s="75">
        <v>0</v>
      </c>
      <c r="AR81" s="75">
        <v>0</v>
      </c>
      <c r="AS81" s="75">
        <v>0</v>
      </c>
      <c r="AT81" s="75">
        <v>0</v>
      </c>
      <c r="AW81" s="77">
        <v>0</v>
      </c>
      <c r="AX81"/>
      <c r="AY81" s="77">
        <f t="shared" si="34"/>
        <v>0</v>
      </c>
      <c r="AZ81" s="77">
        <f t="shared" si="35"/>
        <v>0</v>
      </c>
      <c r="BA81" s="77">
        <f t="shared" si="36"/>
        <v>0</v>
      </c>
      <c r="BB81" s="77">
        <f t="shared" si="37"/>
        <v>0</v>
      </c>
    </row>
    <row r="82" spans="1:55" ht="16">
      <c r="A82" s="48">
        <v>5510</v>
      </c>
      <c r="B82" s="81" t="s">
        <v>91</v>
      </c>
      <c r="C82" s="369">
        <f>SUMIF('TB Mitiga LTD'!A:A,'HARKAVA '!A82,'TB Mitiga LTD'!D:D)</f>
        <v>36378.959999999999</v>
      </c>
      <c r="D82" s="75">
        <f>SUMIF('Adj Entries Ltd'!$B$4:$B$954,A82,'Adj Entries Ltd'!$D$4:$D$954)</f>
        <v>0</v>
      </c>
      <c r="E82" s="75">
        <f>SUMIF('Adj Entries Ltd'!$B$4:$B$954,A82,'Adj Entries Ltd'!$E$4:$E$954)</f>
        <v>0</v>
      </c>
      <c r="F82" s="369">
        <f t="shared" si="44"/>
        <v>36378.959999999999</v>
      </c>
      <c r="H82" s="77">
        <f>SUMIF('TB US'!A:A,'HARKAVA '!A82,'TB US'!D:D)</f>
        <v>0</v>
      </c>
      <c r="I82" s="77">
        <f>SUMIF('Adj. entries US'!B:B,'HARKAVA '!A82,'Adj. entries US'!D:D)</f>
        <v>0</v>
      </c>
      <c r="J82" s="77">
        <f>SUMIF('Adj. entries US'!B:B,'HARKAVA '!A82,'Adj. entries US'!E:E)</f>
        <v>0</v>
      </c>
      <c r="K82" s="75">
        <f t="shared" si="28"/>
        <v>0</v>
      </c>
      <c r="M82" s="369">
        <f>SUMIF('TB UK'!A:A,'HARKAVA '!A82,'TB UK'!E:E)</f>
        <v>16893.86</v>
      </c>
      <c r="N82" s="75">
        <f>SUMIF('Adj. Entries UK'!B:B,'HARKAVA '!A82,'Adj. Entries UK'!D:D)</f>
        <v>0</v>
      </c>
      <c r="O82" s="75">
        <f>SUMIF('Adj. Entries UK'!B:B,'HARKAVA '!A82,'Adj. Entries UK'!E:E)</f>
        <v>0</v>
      </c>
      <c r="P82" s="369">
        <f t="shared" si="29"/>
        <v>16893.86</v>
      </c>
      <c r="Q82" s="75"/>
      <c r="R82" s="369">
        <f>SUMIF('TB security'!A:A,'HARKAVA '!A82,'TB security'!D:D)</f>
        <v>235045.25</v>
      </c>
      <c r="S82" s="75">
        <f>SUMIF('Adj. Entries security'!B:B,'HARKAVA '!A82,'Adj. Entries security'!D:E)</f>
        <v>0</v>
      </c>
      <c r="T82" s="75">
        <f>SUMIF('Adj. Entries security'!B:B,'HARKAVA '!A82,'Adj. Entries security'!E:E)</f>
        <v>0</v>
      </c>
      <c r="U82" s="369">
        <f t="shared" si="30"/>
        <v>235045.25</v>
      </c>
      <c r="V82" s="75">
        <f t="shared" si="31"/>
        <v>288318.07</v>
      </c>
      <c r="Y82" s="77">
        <f t="shared" si="32"/>
        <v>288318.07</v>
      </c>
      <c r="Z82" s="171">
        <f>A82</f>
        <v>5510</v>
      </c>
      <c r="AD82" s="369">
        <v>36378.959999999999</v>
      </c>
      <c r="AF82" s="77">
        <v>0</v>
      </c>
      <c r="AG82" s="77">
        <v>0</v>
      </c>
      <c r="AH82" s="77">
        <v>0</v>
      </c>
      <c r="AI82" s="75">
        <v>0</v>
      </c>
      <c r="AK82" s="369">
        <v>16893.86</v>
      </c>
      <c r="AL82" s="75">
        <v>0</v>
      </c>
      <c r="AM82" s="75">
        <v>0</v>
      </c>
      <c r="AN82" s="369">
        <v>16893.86</v>
      </c>
      <c r="AO82" s="75"/>
      <c r="AP82" s="369">
        <v>235045.25</v>
      </c>
      <c r="AQ82" s="75">
        <v>0</v>
      </c>
      <c r="AR82" s="75">
        <v>0</v>
      </c>
      <c r="AS82" s="369">
        <v>235045.25</v>
      </c>
      <c r="AT82" s="75">
        <v>288318.07</v>
      </c>
      <c r="AW82" s="77">
        <v>288318.07</v>
      </c>
      <c r="AX82"/>
      <c r="AY82" s="77">
        <f t="shared" si="34"/>
        <v>0</v>
      </c>
      <c r="AZ82" s="77">
        <f t="shared" si="35"/>
        <v>0</v>
      </c>
      <c r="BA82" s="77">
        <f t="shared" si="36"/>
        <v>0</v>
      </c>
      <c r="BB82" s="77">
        <f t="shared" si="37"/>
        <v>0</v>
      </c>
    </row>
    <row r="83" spans="1:55" ht="16">
      <c r="A83" s="48">
        <v>5520</v>
      </c>
      <c r="B83" s="81" t="s">
        <v>92</v>
      </c>
      <c r="C83" s="75">
        <f>SUMIF('TB Mitiga LTD'!A:A,'HARKAVA '!A83,'TB Mitiga LTD'!D:D)</f>
        <v>0</v>
      </c>
      <c r="D83" s="75">
        <f>SUMIF('Adj Entries Ltd'!$B$4:$B$954,A83,'Adj Entries Ltd'!$D$4:$D$954)</f>
        <v>0</v>
      </c>
      <c r="E83" s="75">
        <f>SUMIF('Adj Entries Ltd'!$B$4:$B$954,A83,'Adj Entries Ltd'!$E$4:$E$954)</f>
        <v>0</v>
      </c>
      <c r="F83" s="75">
        <f t="shared" si="44"/>
        <v>0</v>
      </c>
      <c r="H83" s="77">
        <f>SUMIF('TB US'!A:A,'HARKAVA '!A83,'TB US'!D:D)</f>
        <v>0</v>
      </c>
      <c r="I83" s="77">
        <f>SUMIF('Adj. entries US'!B:B,'HARKAVA '!A83,'Adj. entries US'!D:D)</f>
        <v>0</v>
      </c>
      <c r="J83" s="77">
        <f>SUMIF('Adj. entries US'!B:B,'HARKAVA '!A83,'Adj. entries US'!E:E)</f>
        <v>0</v>
      </c>
      <c r="K83" s="75">
        <f t="shared" si="28"/>
        <v>0</v>
      </c>
      <c r="M83" s="75">
        <f>SUMIF('TB UK'!A:A,'HARKAVA '!A83,'TB UK'!E:E)</f>
        <v>0</v>
      </c>
      <c r="N83" s="75">
        <f>SUMIF('Adj. Entries UK'!B:B,'HARKAVA '!A83,'Adj. Entries UK'!D:D)</f>
        <v>0</v>
      </c>
      <c r="O83" s="75">
        <f>SUMIF('Adj. Entries UK'!B:B,'HARKAVA '!A83,'Adj. Entries UK'!E:E)</f>
        <v>0</v>
      </c>
      <c r="P83" s="75">
        <f t="shared" si="29"/>
        <v>0</v>
      </c>
      <c r="Q83" s="75"/>
      <c r="R83" s="75">
        <f>SUMIF('TB security'!A:A,'HARKAVA '!A83,'TB security'!D:D)</f>
        <v>0</v>
      </c>
      <c r="S83" s="75">
        <f>SUMIF('Adj. Entries security'!B:B,'HARKAVA '!A83,'Adj. Entries security'!D:E)</f>
        <v>0</v>
      </c>
      <c r="T83" s="75">
        <f>SUMIF('Adj. Entries security'!B:B,'HARKAVA '!A83,'Adj. Entries security'!E:E)</f>
        <v>0</v>
      </c>
      <c r="U83" s="75">
        <f t="shared" si="30"/>
        <v>0</v>
      </c>
      <c r="V83" s="75">
        <f t="shared" si="31"/>
        <v>0</v>
      </c>
      <c r="Y83" s="77">
        <f t="shared" si="32"/>
        <v>0</v>
      </c>
      <c r="Z83" s="171">
        <v>5510</v>
      </c>
      <c r="AD83" s="75">
        <v>0</v>
      </c>
      <c r="AF83" s="77">
        <v>0</v>
      </c>
      <c r="AG83" s="77">
        <v>0</v>
      </c>
      <c r="AH83" s="77">
        <v>0</v>
      </c>
      <c r="AI83" s="75">
        <v>0</v>
      </c>
      <c r="AK83" s="75">
        <v>0</v>
      </c>
      <c r="AL83" s="75">
        <v>0</v>
      </c>
      <c r="AM83" s="75">
        <v>0</v>
      </c>
      <c r="AN83" s="75">
        <v>0</v>
      </c>
      <c r="AO83" s="75"/>
      <c r="AP83" s="75">
        <v>0</v>
      </c>
      <c r="AQ83" s="75">
        <v>0</v>
      </c>
      <c r="AR83" s="75">
        <v>0</v>
      </c>
      <c r="AS83" s="75">
        <v>0</v>
      </c>
      <c r="AT83" s="75">
        <v>0</v>
      </c>
      <c r="AW83" s="77">
        <v>0</v>
      </c>
      <c r="AX83"/>
      <c r="AY83" s="77">
        <f t="shared" si="34"/>
        <v>0</v>
      </c>
      <c r="AZ83" s="77">
        <f t="shared" si="35"/>
        <v>0</v>
      </c>
      <c r="BA83" s="77">
        <f t="shared" si="36"/>
        <v>0</v>
      </c>
      <c r="BB83" s="77">
        <f t="shared" si="37"/>
        <v>0</v>
      </c>
    </row>
    <row r="84" spans="1:55" ht="16">
      <c r="A84" s="48">
        <v>5540</v>
      </c>
      <c r="B84" s="81" t="s">
        <v>93</v>
      </c>
      <c r="C84" s="369">
        <f>SUMIF('TB Mitiga LTD'!A:A,'HARKAVA '!A84,'TB Mitiga LTD'!D:D)</f>
        <v>192.85</v>
      </c>
      <c r="D84" s="75">
        <f>SUMIF('Adj Entries Ltd'!$B$4:$B$954,A84,'Adj Entries Ltd'!$D$4:$D$954)</f>
        <v>0</v>
      </c>
      <c r="E84" s="75">
        <f>SUMIF('Adj Entries Ltd'!$B$4:$B$954,A84,'Adj Entries Ltd'!$E$4:$E$954)</f>
        <v>0</v>
      </c>
      <c r="F84" s="369">
        <f t="shared" si="44"/>
        <v>192.85</v>
      </c>
      <c r="H84" s="77">
        <f>SUMIF('TB US'!A:A,'HARKAVA '!A84,'TB US'!D:D)</f>
        <v>0</v>
      </c>
      <c r="I84" s="77">
        <f>SUMIF('Adj. entries US'!B:B,'HARKAVA '!A84,'Adj. entries US'!D:D)</f>
        <v>0</v>
      </c>
      <c r="J84" s="77">
        <f>SUMIF('Adj. entries US'!B:B,'HARKAVA '!A84,'Adj. entries US'!E:E)</f>
        <v>0</v>
      </c>
      <c r="K84" s="75">
        <f t="shared" si="28"/>
        <v>0</v>
      </c>
      <c r="M84" s="369">
        <f>SUMIF('TB UK'!A:A,'HARKAVA '!A84,'TB UK'!E:E)</f>
        <v>3019.17</v>
      </c>
      <c r="N84" s="75">
        <f>SUMIF('Adj. Entries UK'!B:B,'HARKAVA '!A84,'Adj. Entries UK'!D:D)</f>
        <v>0</v>
      </c>
      <c r="O84" s="75">
        <f>SUMIF('Adj. Entries UK'!B:B,'HARKAVA '!A84,'Adj. Entries UK'!E:E)</f>
        <v>0</v>
      </c>
      <c r="P84" s="369">
        <f t="shared" si="29"/>
        <v>3019.17</v>
      </c>
      <c r="Q84" s="75"/>
      <c r="R84" s="369">
        <f>SUMIF('TB security'!A:A,'HARKAVA '!A84,'TB security'!D:D)</f>
        <v>2071.87</v>
      </c>
      <c r="S84" s="369">
        <f>SUMIF('Adj. Entries security'!B:B,'HARKAVA '!A84,'Adj. Entries security'!D:E)</f>
        <v>10539.84126984127</v>
      </c>
      <c r="T84" s="75">
        <f>SUMIF('Adj. Entries security'!B:B,'HARKAVA '!A84,'Adj. Entries security'!E:E)</f>
        <v>0</v>
      </c>
      <c r="U84" s="369">
        <f t="shared" si="30"/>
        <v>12611.711269841271</v>
      </c>
      <c r="V84" s="75">
        <f t="shared" si="31"/>
        <v>15823.731269841272</v>
      </c>
      <c r="Y84" s="77">
        <f t="shared" si="32"/>
        <v>15823.731269841272</v>
      </c>
      <c r="Z84" s="171">
        <f>A84</f>
        <v>5540</v>
      </c>
      <c r="AD84" s="369">
        <v>192.85</v>
      </c>
      <c r="AF84" s="77">
        <v>0</v>
      </c>
      <c r="AG84" s="77">
        <v>0</v>
      </c>
      <c r="AH84" s="77">
        <v>0</v>
      </c>
      <c r="AI84" s="75">
        <v>0</v>
      </c>
      <c r="AK84" s="369">
        <v>3019.17</v>
      </c>
      <c r="AL84" s="75">
        <v>0</v>
      </c>
      <c r="AM84" s="75">
        <v>0</v>
      </c>
      <c r="AN84" s="369">
        <v>3019.17</v>
      </c>
      <c r="AO84" s="75"/>
      <c r="AP84" s="369">
        <v>2071.87</v>
      </c>
      <c r="AQ84" s="369">
        <v>10539.84126984127</v>
      </c>
      <c r="AR84" s="75">
        <v>0</v>
      </c>
      <c r="AS84" s="369">
        <v>12611.711269841271</v>
      </c>
      <c r="AT84" s="75">
        <v>15823.731269841272</v>
      </c>
      <c r="AW84" s="77">
        <v>15823.731269841272</v>
      </c>
      <c r="AX84"/>
      <c r="AY84" s="77">
        <f t="shared" si="34"/>
        <v>0</v>
      </c>
      <c r="AZ84" s="77">
        <f t="shared" si="35"/>
        <v>0</v>
      </c>
      <c r="BA84" s="77">
        <f t="shared" si="36"/>
        <v>0</v>
      </c>
      <c r="BB84" s="77">
        <f t="shared" si="37"/>
        <v>0</v>
      </c>
    </row>
    <row r="85" spans="1:55" ht="16">
      <c r="A85" s="48">
        <v>5550</v>
      </c>
      <c r="B85" s="81" t="s">
        <v>94</v>
      </c>
      <c r="C85" s="369">
        <f>SUMIF('TB Mitiga LTD'!A:A,'HARKAVA '!A85,'TB Mitiga LTD'!D:D)</f>
        <v>1457.04</v>
      </c>
      <c r="D85" s="75">
        <f>SUMIF('Adj Entries Ltd'!$B$4:$B$954,A85,'Adj Entries Ltd'!$D$4:$D$954)</f>
        <v>0</v>
      </c>
      <c r="E85" s="75">
        <f>SUMIF('Adj Entries Ltd'!$B$4:$B$954,A85,'Adj Entries Ltd'!$E$4:$E$954)</f>
        <v>0</v>
      </c>
      <c r="F85" s="369">
        <f t="shared" si="44"/>
        <v>1457.04</v>
      </c>
      <c r="H85" s="77">
        <f>SUMIF('TB US'!A:A,'HARKAVA '!A85,'TB US'!D:D)</f>
        <v>0</v>
      </c>
      <c r="I85" s="77">
        <f>SUMIF('Adj. entries US'!B:B,'HARKAVA '!A85,'Adj. entries US'!D:D)</f>
        <v>0</v>
      </c>
      <c r="J85" s="77">
        <f>SUMIF('Adj. entries US'!B:B,'HARKAVA '!A85,'Adj. entries US'!E:E)</f>
        <v>0</v>
      </c>
      <c r="K85" s="75">
        <f t="shared" si="28"/>
        <v>0</v>
      </c>
      <c r="M85" s="369">
        <f>SUMIF('TB UK'!A:A,'HARKAVA '!A85,'TB UK'!E:E)</f>
        <v>2722</v>
      </c>
      <c r="N85" s="75">
        <f>SUMIF('Adj. Entries UK'!B:B,'HARKAVA '!A85,'Adj. Entries UK'!D:D)</f>
        <v>0</v>
      </c>
      <c r="O85" s="75">
        <f>SUMIF('Adj. Entries UK'!B:B,'HARKAVA '!A85,'Adj. Entries UK'!E:E)</f>
        <v>0</v>
      </c>
      <c r="P85" s="369">
        <f t="shared" si="29"/>
        <v>2722</v>
      </c>
      <c r="Q85" s="75"/>
      <c r="R85" s="369">
        <f>SUMIF('TB security'!A:A,'HARKAVA '!A85,'TB security'!D:D)</f>
        <v>746</v>
      </c>
      <c r="S85" s="369">
        <f>SUMIF('Adj. Entries security'!B:B,'HARKAVA '!A85,'Adj. Entries security'!D:E)</f>
        <v>20314.079365079364</v>
      </c>
      <c r="T85" s="75">
        <f>SUMIF('Adj. Entries security'!B:B,'HARKAVA '!A85,'Adj. Entries security'!E:E)</f>
        <v>0</v>
      </c>
      <c r="U85" s="369">
        <f t="shared" si="30"/>
        <v>21060.079365079364</v>
      </c>
      <c r="V85" s="75">
        <f t="shared" si="31"/>
        <v>25239.119365079365</v>
      </c>
      <c r="Y85" s="77">
        <f t="shared" si="32"/>
        <v>25239.119365079365</v>
      </c>
      <c r="Z85" s="171">
        <v>5550</v>
      </c>
      <c r="AD85" s="369">
        <v>1457.04</v>
      </c>
      <c r="AF85" s="77">
        <v>0</v>
      </c>
      <c r="AG85" s="77">
        <v>0</v>
      </c>
      <c r="AH85" s="77">
        <v>0</v>
      </c>
      <c r="AI85" s="75">
        <v>0</v>
      </c>
      <c r="AK85" s="369">
        <v>2722</v>
      </c>
      <c r="AL85" s="75">
        <v>0</v>
      </c>
      <c r="AM85" s="75">
        <v>0</v>
      </c>
      <c r="AN85" s="369">
        <v>2722</v>
      </c>
      <c r="AO85" s="75"/>
      <c r="AP85" s="369">
        <v>746</v>
      </c>
      <c r="AQ85" s="369">
        <v>20314.079365079364</v>
      </c>
      <c r="AR85" s="75">
        <v>0</v>
      </c>
      <c r="AS85" s="369">
        <v>21060.079365079364</v>
      </c>
      <c r="AT85" s="75">
        <v>25239.119365079365</v>
      </c>
      <c r="AW85" s="77">
        <v>25239.119365079365</v>
      </c>
      <c r="AX85"/>
      <c r="AY85" s="77">
        <f t="shared" si="34"/>
        <v>0</v>
      </c>
      <c r="AZ85" s="77">
        <f t="shared" si="35"/>
        <v>0</v>
      </c>
      <c r="BA85" s="77">
        <f t="shared" si="36"/>
        <v>0</v>
      </c>
      <c r="BB85" s="77">
        <f t="shared" si="37"/>
        <v>0</v>
      </c>
    </row>
    <row r="86" spans="1:55" ht="16">
      <c r="A86" s="48">
        <v>5551</v>
      </c>
      <c r="B86" s="81" t="s">
        <v>95</v>
      </c>
      <c r="C86" s="75">
        <f>SUMIF('TB Mitiga LTD'!A:A,'HARKAVA '!A86,'TB Mitiga LTD'!D:D)</f>
        <v>0</v>
      </c>
      <c r="D86" s="75">
        <f>SUMIF('Adj Entries Ltd'!$B$4:$B$954,A86,'Adj Entries Ltd'!$D$4:$D$954)</f>
        <v>2728174</v>
      </c>
      <c r="E86" s="75">
        <f>SUMIF('Adj Entries Ltd'!$B$4:$B$954,A86,'Adj Entries Ltd'!$E$4:$E$954)</f>
        <v>0</v>
      </c>
      <c r="F86" s="75">
        <f t="shared" si="44"/>
        <v>2728174</v>
      </c>
      <c r="H86" s="77">
        <f>SUMIF('TB US'!A:A,'HARKAVA '!A86,'TB US'!D:D)</f>
        <v>0</v>
      </c>
      <c r="I86" s="463">
        <f>SUMIF('Adj. entries US'!B:B,'HARKAVA '!A86,'Adj. entries US'!D:D)</f>
        <v>61840</v>
      </c>
      <c r="J86" s="77">
        <f>SUMIF('Adj. entries US'!B:B,'HARKAVA '!A86,'Adj. entries US'!E:E)</f>
        <v>0</v>
      </c>
      <c r="K86" s="369">
        <f t="shared" si="28"/>
        <v>61840</v>
      </c>
      <c r="M86" s="75">
        <f>SUMIF('TB UK'!A:A,'HARKAVA '!A86,'TB UK'!E:E)</f>
        <v>0</v>
      </c>
      <c r="N86" s="75">
        <f>SUMIF('Adj. Entries UK'!B:B,'HARKAVA '!A86,'Adj. Entries UK'!D:D)</f>
        <v>0</v>
      </c>
      <c r="O86" s="369">
        <f>SUMIF('Adj. Entries UK'!B:B,'HARKAVA '!A86,'Adj. Entries UK'!E:E)</f>
        <v>0</v>
      </c>
      <c r="P86" s="369">
        <f t="shared" si="29"/>
        <v>0</v>
      </c>
      <c r="Q86" s="75"/>
      <c r="R86" s="75">
        <f>SUMIF('TB security'!A:A,'HARKAVA '!A86,'TB security'!D:D)</f>
        <v>0</v>
      </c>
      <c r="S86" s="75">
        <f>SUMIF('Adj. Entries security'!B:B,'HARKAVA '!A86,'Adj. Entries security'!D:E)</f>
        <v>414915</v>
      </c>
      <c r="T86" s="75">
        <f>SUMIF('Adj. Entries security'!B:B,'HARKAVA '!A86,'Adj. Entries security'!E:E)</f>
        <v>0</v>
      </c>
      <c r="U86" s="75">
        <f t="shared" si="30"/>
        <v>414915</v>
      </c>
      <c r="V86" s="75">
        <f t="shared" si="31"/>
        <v>3204929</v>
      </c>
      <c r="X86" s="77">
        <f>-V86</f>
        <v>-3204929</v>
      </c>
      <c r="Y86" s="77">
        <f t="shared" si="32"/>
        <v>0</v>
      </c>
      <c r="Z86" s="171"/>
      <c r="AD86" s="75">
        <v>2657924</v>
      </c>
      <c r="AF86" s="77">
        <v>0</v>
      </c>
      <c r="AG86" s="463">
        <v>61840</v>
      </c>
      <c r="AH86" s="77">
        <v>0</v>
      </c>
      <c r="AI86" s="369">
        <v>61840</v>
      </c>
      <c r="AK86" s="75">
        <v>0</v>
      </c>
      <c r="AL86" s="75">
        <v>0</v>
      </c>
      <c r="AM86" s="369">
        <v>0</v>
      </c>
      <c r="AN86" s="369">
        <v>0</v>
      </c>
      <c r="AO86" s="75"/>
      <c r="AP86" s="75">
        <v>0</v>
      </c>
      <c r="AQ86" s="75">
        <v>414915</v>
      </c>
      <c r="AR86" s="75">
        <v>0</v>
      </c>
      <c r="AS86" s="75">
        <v>414915</v>
      </c>
      <c r="AT86" s="75">
        <v>3134679</v>
      </c>
      <c r="AV86" s="77">
        <v>-3134679</v>
      </c>
      <c r="AW86" s="77">
        <v>0</v>
      </c>
      <c r="AX86"/>
      <c r="AY86" s="77">
        <f t="shared" si="34"/>
        <v>70250</v>
      </c>
      <c r="AZ86" s="77">
        <f t="shared" si="35"/>
        <v>0</v>
      </c>
      <c r="BA86" s="77">
        <f t="shared" si="36"/>
        <v>0</v>
      </c>
      <c r="BB86" s="77">
        <f t="shared" si="37"/>
        <v>-70250</v>
      </c>
      <c r="BC86" s="77" t="s">
        <v>44</v>
      </c>
    </row>
    <row r="87" spans="1:55" ht="16">
      <c r="A87" s="48">
        <v>5600</v>
      </c>
      <c r="B87" s="81" t="s">
        <v>96</v>
      </c>
      <c r="C87" s="369">
        <f>SUMIF('TB Mitiga LTD'!A:A,'HARKAVA '!A87,'TB Mitiga LTD'!D:D)</f>
        <v>359435.73000000004</v>
      </c>
      <c r="D87" s="369">
        <f>SUMIF('Adj Entries Ltd'!$B$4:$B$954,A87,'Adj Entries Ltd'!$D$4:$D$954)</f>
        <v>169421.5</v>
      </c>
      <c r="E87" s="75">
        <f>SUMIF('Adj Entries Ltd'!$B$4:$B$954,A87,'Adj Entries Ltd'!$E$4:$E$954)</f>
        <v>0</v>
      </c>
      <c r="F87" s="369">
        <f t="shared" si="44"/>
        <v>528857.23</v>
      </c>
      <c r="H87" s="77">
        <f>SUMIF('TB US'!A:A,'HARKAVA '!A87,'TB US'!D:D)</f>
        <v>0</v>
      </c>
      <c r="I87" s="77">
        <f>SUMIF('Adj. entries US'!B:B,'HARKAVA '!A87,'Adj. entries US'!D:D)</f>
        <v>0</v>
      </c>
      <c r="J87" s="77">
        <f>SUMIF('Adj. entries US'!B:B,'HARKAVA '!A87,'Adj. entries US'!E:E)</f>
        <v>0</v>
      </c>
      <c r="K87" s="75">
        <f t="shared" si="28"/>
        <v>0</v>
      </c>
      <c r="M87" s="369">
        <f>SUMIF('TB UK'!A:A,'HARKAVA '!A87,'TB UK'!E:E)</f>
        <v>385966.52999999997</v>
      </c>
      <c r="N87" s="75">
        <f>SUMIF('Adj. Entries UK'!B:B,'HARKAVA '!A87,'Adj. Entries UK'!D:D)</f>
        <v>0</v>
      </c>
      <c r="O87" s="75">
        <f>SUMIF('Adj. Entries UK'!B:B,'HARKAVA '!A87,'Adj. Entries UK'!E:E)</f>
        <v>0</v>
      </c>
      <c r="P87" s="369">
        <f t="shared" si="29"/>
        <v>385966.52999999997</v>
      </c>
      <c r="Q87" s="75"/>
      <c r="R87" s="369">
        <f>SUMIF('TB security'!A:A,'HARKAVA '!A87,'TB security'!D:D)</f>
        <v>245189.32</v>
      </c>
      <c r="S87" s="369">
        <f>SUMIF('Adj. Entries security'!B:B,'HARKAVA '!A87,'Adj. Entries security'!D:E)</f>
        <v>168653</v>
      </c>
      <c r="T87" s="75">
        <f>SUMIF('Adj. Entries security'!B:B,'HARKAVA '!A87,'Adj. Entries security'!E:E)</f>
        <v>0</v>
      </c>
      <c r="U87" s="369">
        <f t="shared" si="30"/>
        <v>413842.32</v>
      </c>
      <c r="V87" s="75">
        <f t="shared" si="31"/>
        <v>1328666.08</v>
      </c>
      <c r="Y87" s="77">
        <f t="shared" si="32"/>
        <v>1328666.08</v>
      </c>
      <c r="Z87" s="171">
        <f>A87</f>
        <v>5600</v>
      </c>
      <c r="AD87" s="369">
        <v>528857.23</v>
      </c>
      <c r="AF87" s="77">
        <v>0</v>
      </c>
      <c r="AG87" s="77">
        <v>0</v>
      </c>
      <c r="AH87" s="77">
        <v>0</v>
      </c>
      <c r="AI87" s="75">
        <v>0</v>
      </c>
      <c r="AK87" s="369">
        <v>385966.52999999997</v>
      </c>
      <c r="AL87" s="75">
        <v>0</v>
      </c>
      <c r="AM87" s="75">
        <v>0</v>
      </c>
      <c r="AN87" s="369">
        <v>385966.52999999997</v>
      </c>
      <c r="AO87" s="75"/>
      <c r="AP87" s="369">
        <v>245189.32</v>
      </c>
      <c r="AQ87" s="369">
        <v>168653</v>
      </c>
      <c r="AR87" s="75">
        <v>0</v>
      </c>
      <c r="AS87" s="369">
        <v>413842.32</v>
      </c>
      <c r="AT87" s="75">
        <v>1328666.08</v>
      </c>
      <c r="AW87" s="77">
        <v>1328666.08</v>
      </c>
      <c r="AX87"/>
      <c r="AY87" s="77">
        <f t="shared" si="34"/>
        <v>0</v>
      </c>
      <c r="AZ87" s="77">
        <f t="shared" si="35"/>
        <v>0</v>
      </c>
      <c r="BA87" s="77">
        <f t="shared" si="36"/>
        <v>0</v>
      </c>
      <c r="BB87" s="77">
        <f t="shared" si="37"/>
        <v>0</v>
      </c>
    </row>
    <row r="88" spans="1:55" ht="16">
      <c r="A88" s="48">
        <v>5601</v>
      </c>
      <c r="B88" s="81" t="s">
        <v>97</v>
      </c>
      <c r="C88" s="75">
        <f>SUMIF('TB Mitiga LTD'!A:A,'HARKAVA '!A88,'TB Mitiga LTD'!D:D)</f>
        <v>0</v>
      </c>
      <c r="D88" s="75">
        <f>SUMIF('Adj Entries Ltd'!$B$4:$B$954,A88,'Adj Entries Ltd'!$D$4:$D$954)</f>
        <v>0</v>
      </c>
      <c r="E88" s="75">
        <f>SUMIF('Adj Entries Ltd'!$B$4:$B$954,A88,'Adj Entries Ltd'!$E$4:$E$954)</f>
        <v>0</v>
      </c>
      <c r="F88" s="75">
        <f>(+C88+D88-E88)</f>
        <v>0</v>
      </c>
      <c r="H88" s="77">
        <f>SUMIF('TB US'!A:A,'HARKAVA '!A88,'TB US'!D:D)</f>
        <v>0</v>
      </c>
      <c r="I88" s="77">
        <f>SUMIF('Adj. entries US'!B:B,'HARKAVA '!A88,'Adj. entries US'!D:D)</f>
        <v>0</v>
      </c>
      <c r="J88" s="77">
        <f>SUMIF('Adj. entries US'!B:B,'HARKAVA '!A88,'Adj. entries US'!E:E)</f>
        <v>0</v>
      </c>
      <c r="K88" s="75">
        <f t="shared" si="28"/>
        <v>0</v>
      </c>
      <c r="M88" s="75">
        <f>SUMIF('TB UK'!A:A,'HARKAVA '!A88,'TB UK'!E:E)</f>
        <v>0</v>
      </c>
      <c r="N88" s="75">
        <f>SUMIF('Adj. Entries UK'!B:B,'HARKAVA '!A88,'Adj. Entries UK'!D:D)</f>
        <v>0</v>
      </c>
      <c r="O88" s="75">
        <f>SUMIF('Adj. Entries UK'!B:B,'HARKAVA '!A88,'Adj. Entries UK'!E:E)</f>
        <v>0</v>
      </c>
      <c r="P88" s="75">
        <f>M88+N88-O88</f>
        <v>0</v>
      </c>
      <c r="Q88" s="75"/>
      <c r="R88" s="75">
        <f>SUMIF('TB security'!A:A,'HARKAVA '!A88,'TB security'!D:D)</f>
        <v>0</v>
      </c>
      <c r="S88" s="75">
        <f>SUMIF('Adj. Entries security'!B:B,'HARKAVA '!A88,'Adj. Entries security'!D:E)</f>
        <v>0</v>
      </c>
      <c r="T88" s="75">
        <f>SUMIF('Adj. Entries security'!B:B,'HARKAVA '!A88,'Adj. Entries security'!E:E)</f>
        <v>0</v>
      </c>
      <c r="U88" s="75">
        <f t="shared" si="30"/>
        <v>0</v>
      </c>
      <c r="V88" s="75">
        <f t="shared" si="31"/>
        <v>0</v>
      </c>
      <c r="Y88" s="77">
        <f t="shared" si="32"/>
        <v>0</v>
      </c>
      <c r="Z88" s="171">
        <f>A88</f>
        <v>5601</v>
      </c>
      <c r="AD88" s="75">
        <v>0</v>
      </c>
      <c r="AF88" s="77">
        <v>0</v>
      </c>
      <c r="AG88" s="77">
        <v>0</v>
      </c>
      <c r="AH88" s="77">
        <v>0</v>
      </c>
      <c r="AI88" s="75">
        <v>0</v>
      </c>
      <c r="AK88" s="75">
        <v>0</v>
      </c>
      <c r="AL88" s="75">
        <v>0</v>
      </c>
      <c r="AM88" s="75">
        <v>0</v>
      </c>
      <c r="AN88" s="75">
        <v>0</v>
      </c>
      <c r="AO88" s="75"/>
      <c r="AP88" s="75">
        <v>0</v>
      </c>
      <c r="AQ88" s="75">
        <v>0</v>
      </c>
      <c r="AR88" s="75">
        <v>0</v>
      </c>
      <c r="AS88" s="75">
        <v>0</v>
      </c>
      <c r="AT88" s="75">
        <v>0</v>
      </c>
      <c r="AW88" s="77">
        <v>0</v>
      </c>
      <c r="AX88"/>
      <c r="AY88" s="77">
        <f t="shared" si="34"/>
        <v>0</v>
      </c>
      <c r="AZ88" s="77">
        <f t="shared" si="35"/>
        <v>0</v>
      </c>
      <c r="BA88" s="77">
        <f t="shared" si="36"/>
        <v>0</v>
      </c>
      <c r="BB88" s="77">
        <f t="shared" si="37"/>
        <v>0</v>
      </c>
    </row>
    <row r="89" spans="1:55" ht="16">
      <c r="A89" s="48">
        <v>5603</v>
      </c>
      <c r="B89" s="81" t="s">
        <v>98</v>
      </c>
      <c r="C89" s="369">
        <f>SUMIF('TB Mitiga LTD'!A:A,'HARKAVA '!A89,'TB Mitiga LTD'!D:D)</f>
        <v>-12639.689999999999</v>
      </c>
      <c r="D89" s="369">
        <f>SUMIF('Adj Entries Ltd'!$B$4:$B$954,A89,'Adj Entries Ltd'!$D$4:$D$954)</f>
        <v>3827</v>
      </c>
      <c r="E89" s="75">
        <f>SUMIF('Adj Entries Ltd'!$B$4:$B$954,A89,'Adj Entries Ltd'!$E$4:$E$954)</f>
        <v>0</v>
      </c>
      <c r="F89" s="369">
        <f>(+C89+D89-E89)</f>
        <v>-8812.6899999999987</v>
      </c>
      <c r="H89" s="77">
        <f>SUMIF('TB US'!A:A,'HARKAVA '!A89,'TB US'!D:D)</f>
        <v>0</v>
      </c>
      <c r="I89" s="77">
        <f>SUMIF('Adj. entries US'!B:B,'HARKAVA '!A89,'Adj. entries US'!D:D)</f>
        <v>0</v>
      </c>
      <c r="J89" s="77">
        <f>SUMIF('Adj. entries US'!B:B,'HARKAVA '!A89,'Adj. entries US'!E:E)</f>
        <v>0</v>
      </c>
      <c r="K89" s="75">
        <f t="shared" si="28"/>
        <v>0</v>
      </c>
      <c r="M89" s="369">
        <f>SUMIF('TB UK'!A:A,'HARKAVA '!A89,'TB UK'!E:E)</f>
        <v>780.68</v>
      </c>
      <c r="N89" s="75">
        <f>SUMIF('Adj. Entries UK'!B:B,'HARKAVA '!A89,'Adj. Entries UK'!D:D)</f>
        <v>0</v>
      </c>
      <c r="O89" s="75">
        <f>SUMIF('Adj. Entries UK'!B:B,'HARKAVA '!A89,'Adj. Entries UK'!E:E)</f>
        <v>0</v>
      </c>
      <c r="P89" s="369">
        <f>M89+N89-O89</f>
        <v>780.68</v>
      </c>
      <c r="Q89" s="75"/>
      <c r="R89" s="369">
        <f>SUMIF('TB security'!A:A,'HARKAVA '!A89,'TB security'!D:D)</f>
        <v>0</v>
      </c>
      <c r="S89" s="369">
        <f>SUMIF('Adj. Entries security'!B:B,'HARKAVA '!A89,'Adj. Entries security'!D:E)</f>
        <v>7034</v>
      </c>
      <c r="T89" s="75">
        <f>SUMIF('Adj. Entries security'!B:B,'HARKAVA '!A89,'Adj. Entries security'!E:E)</f>
        <v>0</v>
      </c>
      <c r="U89" s="369">
        <f t="shared" si="30"/>
        <v>7034</v>
      </c>
      <c r="V89" s="75">
        <f t="shared" si="31"/>
        <v>-998.0099999999984</v>
      </c>
      <c r="Y89" s="77">
        <f t="shared" si="32"/>
        <v>-998.0099999999984</v>
      </c>
      <c r="Z89" s="171">
        <v>5603</v>
      </c>
      <c r="AD89" s="369">
        <v>-8812.6899999999987</v>
      </c>
      <c r="AF89" s="77">
        <v>0</v>
      </c>
      <c r="AG89" s="77">
        <v>0</v>
      </c>
      <c r="AH89" s="77">
        <v>0</v>
      </c>
      <c r="AI89" s="75">
        <v>0</v>
      </c>
      <c r="AK89" s="369">
        <v>780.68</v>
      </c>
      <c r="AL89" s="75">
        <v>0</v>
      </c>
      <c r="AM89" s="75">
        <v>0</v>
      </c>
      <c r="AN89" s="369">
        <v>780.68</v>
      </c>
      <c r="AO89" s="75"/>
      <c r="AP89" s="369">
        <v>0</v>
      </c>
      <c r="AQ89" s="369">
        <v>7034</v>
      </c>
      <c r="AR89" s="75">
        <v>0</v>
      </c>
      <c r="AS89" s="369">
        <v>7034</v>
      </c>
      <c r="AT89" s="75">
        <v>-998.0099999999984</v>
      </c>
      <c r="AW89" s="77">
        <v>-998.0099999999984</v>
      </c>
      <c r="AX89"/>
      <c r="AY89" s="77">
        <f t="shared" si="34"/>
        <v>0</v>
      </c>
      <c r="AZ89" s="77">
        <f t="shared" si="35"/>
        <v>0</v>
      </c>
      <c r="BA89" s="77">
        <f t="shared" si="36"/>
        <v>0</v>
      </c>
      <c r="BB89" s="77">
        <f t="shared" si="37"/>
        <v>0</v>
      </c>
    </row>
    <row r="90" spans="1:55" ht="16">
      <c r="A90" s="48">
        <v>5605</v>
      </c>
      <c r="B90" s="81" t="s">
        <v>99</v>
      </c>
      <c r="C90" s="75">
        <f>SUMIF('TB Mitiga LTD'!A:A,'HARKAVA '!A90,'TB Mitiga LTD'!D:D)</f>
        <v>0</v>
      </c>
      <c r="D90" s="75">
        <f>SUMIF('Adj Entries Ltd'!$B$4:$B$954,A90,'Adj Entries Ltd'!$D$4:$D$954)</f>
        <v>0</v>
      </c>
      <c r="E90" s="75">
        <f>SUMIF('Adj Entries Ltd'!$B$4:$B$954,A90,'Adj Entries Ltd'!$E$4:$E$954)</f>
        <v>0</v>
      </c>
      <c r="F90" s="75">
        <f>(+C90+D90-E90)</f>
        <v>0</v>
      </c>
      <c r="H90" s="77">
        <f>SUMIF('TB US'!A:A,'HARKAVA '!A90,'TB US'!D:D)</f>
        <v>0</v>
      </c>
      <c r="I90" s="77">
        <f>SUMIF('Adj. entries US'!B:B,'HARKAVA '!A90,'Adj. entries US'!D:D)</f>
        <v>0</v>
      </c>
      <c r="J90" s="77">
        <f>SUMIF('Adj. entries US'!B:B,'HARKAVA '!A90,'Adj. entries US'!E:E)</f>
        <v>0</v>
      </c>
      <c r="K90" s="75">
        <f t="shared" si="28"/>
        <v>0</v>
      </c>
      <c r="M90" s="75">
        <f>SUMIF('TB UK'!A:A,'HARKAVA '!A90,'TB UK'!E:E)</f>
        <v>0</v>
      </c>
      <c r="N90" s="75">
        <f>SUMIF('Adj. Entries UK'!B:B,'HARKAVA '!A90,'Adj. Entries UK'!D:D)</f>
        <v>0</v>
      </c>
      <c r="O90" s="75">
        <f>SUMIF('Adj. Entries UK'!B:B,'HARKAVA '!A90,'Adj. Entries UK'!E:E)</f>
        <v>0</v>
      </c>
      <c r="P90" s="75">
        <f t="shared" si="29"/>
        <v>0</v>
      </c>
      <c r="Q90" s="75"/>
      <c r="R90" s="75">
        <f>SUMIF('TB security'!A:A,'HARKAVA '!A90,'TB security'!D:D)</f>
        <v>0</v>
      </c>
      <c r="S90" s="75">
        <f>SUMIF('Adj. Entries security'!B:B,'HARKAVA '!A90,'Adj. Entries security'!D:E)</f>
        <v>0</v>
      </c>
      <c r="T90" s="75">
        <f>SUMIF('Adj. Entries security'!B:B,'HARKAVA '!A90,'Adj. Entries security'!E:E)</f>
        <v>0</v>
      </c>
      <c r="U90" s="75">
        <f t="shared" si="30"/>
        <v>0</v>
      </c>
      <c r="V90" s="75">
        <f t="shared" si="31"/>
        <v>0</v>
      </c>
      <c r="Y90" s="77">
        <f t="shared" si="32"/>
        <v>0</v>
      </c>
      <c r="Z90" s="171">
        <v>5610</v>
      </c>
      <c r="AD90" s="75">
        <v>0</v>
      </c>
      <c r="AF90" s="77">
        <v>0</v>
      </c>
      <c r="AG90" s="77">
        <v>0</v>
      </c>
      <c r="AH90" s="77">
        <v>0</v>
      </c>
      <c r="AI90" s="75">
        <v>0</v>
      </c>
      <c r="AK90" s="75">
        <v>0</v>
      </c>
      <c r="AL90" s="75">
        <v>0</v>
      </c>
      <c r="AM90" s="75">
        <v>0</v>
      </c>
      <c r="AN90" s="75">
        <v>0</v>
      </c>
      <c r="AO90" s="75"/>
      <c r="AP90" s="75">
        <v>0</v>
      </c>
      <c r="AQ90" s="75">
        <v>0</v>
      </c>
      <c r="AR90" s="75">
        <v>0</v>
      </c>
      <c r="AS90" s="75">
        <v>0</v>
      </c>
      <c r="AT90" s="75">
        <v>0</v>
      </c>
      <c r="AW90" s="77">
        <v>0</v>
      </c>
      <c r="AX90"/>
      <c r="AY90" s="77">
        <f t="shared" si="34"/>
        <v>0</v>
      </c>
      <c r="AZ90" s="77">
        <f t="shared" si="35"/>
        <v>0</v>
      </c>
      <c r="BA90" s="77">
        <f t="shared" si="36"/>
        <v>0</v>
      </c>
      <c r="BB90" s="77">
        <f t="shared" si="37"/>
        <v>0</v>
      </c>
    </row>
    <row r="91" spans="1:55" ht="16">
      <c r="A91" s="48">
        <v>5610</v>
      </c>
      <c r="B91" s="81" t="s">
        <v>100</v>
      </c>
      <c r="C91" s="369">
        <f>SUMIF('TB Mitiga LTD'!A:A,'HARKAVA '!A91,'TB Mitiga LTD'!D:D)</f>
        <v>626428.46000000008</v>
      </c>
      <c r="D91" s="75">
        <f>SUMIF('Adj Entries Ltd'!$B$4:$B$954,A91,'Adj Entries Ltd'!$D$4:$D$954)</f>
        <v>34894.910000000003</v>
      </c>
      <c r="E91" s="75">
        <f>SUMIF('Adj Entries Ltd'!$B$4:$B$954,A91,'Adj Entries Ltd'!$E$4:$E$954)</f>
        <v>0</v>
      </c>
      <c r="F91" s="369">
        <f>(+C91+D91-E91)</f>
        <v>661323.37000000011</v>
      </c>
      <c r="G91" s="95"/>
      <c r="H91" s="77">
        <f>SUMIF('TB US'!A:A,'HARKAVA '!A91,'TB US'!D:D)</f>
        <v>0</v>
      </c>
      <c r="I91" s="77">
        <f>SUMIF('Adj. entries US'!B:B,'HARKAVA '!A91,'Adj. entries US'!D:D)</f>
        <v>0</v>
      </c>
      <c r="J91" s="77">
        <f>SUMIF('Adj. entries US'!B:B,'HARKAVA '!A91,'Adj. entries US'!E:E)</f>
        <v>0</v>
      </c>
      <c r="K91" s="75">
        <f t="shared" si="28"/>
        <v>0</v>
      </c>
      <c r="L91" s="95"/>
      <c r="M91" s="369">
        <f>SUMIF('TB UK'!A:A,'HARKAVA '!A91,'TB UK'!E:E)</f>
        <v>69596.86</v>
      </c>
      <c r="N91" s="75">
        <f>SUMIF('Adj. Entries UK'!B:B,'HARKAVA '!A91,'Adj. Entries UK'!D:D)</f>
        <v>0</v>
      </c>
      <c r="O91" s="75">
        <f>SUMIF('Adj. Entries UK'!B:B,'HARKAVA '!A91,'Adj. Entries UK'!E:E)</f>
        <v>0</v>
      </c>
      <c r="P91" s="369">
        <f t="shared" si="29"/>
        <v>69596.86</v>
      </c>
      <c r="Q91" s="75"/>
      <c r="R91" s="369">
        <f>SUMIF('TB security'!A:A,'HARKAVA '!A91,'TB security'!D:D)</f>
        <v>175234.12</v>
      </c>
      <c r="S91" s="75">
        <f>SUMIF('Adj. Entries security'!B:B,'HARKAVA '!A91,'Adj. Entries security'!D:E)</f>
        <v>0</v>
      </c>
      <c r="T91" s="75">
        <f>SUMIF('Adj. Entries security'!B:B,'HARKAVA '!A91,'Adj. Entries security'!E:E)</f>
        <v>0</v>
      </c>
      <c r="U91" s="369">
        <f t="shared" si="30"/>
        <v>175234.12</v>
      </c>
      <c r="V91" s="75">
        <f t="shared" si="31"/>
        <v>906154.35000000009</v>
      </c>
      <c r="Y91" s="77">
        <f t="shared" si="32"/>
        <v>906154.35000000009</v>
      </c>
      <c r="Z91" s="171">
        <v>5610</v>
      </c>
      <c r="AD91" s="369">
        <v>626428.46000000008</v>
      </c>
      <c r="AE91" s="95"/>
      <c r="AF91" s="77">
        <v>0</v>
      </c>
      <c r="AG91" s="77">
        <v>0</v>
      </c>
      <c r="AH91" s="77">
        <v>0</v>
      </c>
      <c r="AI91" s="75">
        <v>0</v>
      </c>
      <c r="AJ91" s="95"/>
      <c r="AK91" s="369">
        <v>69596.86</v>
      </c>
      <c r="AL91" s="75">
        <v>0</v>
      </c>
      <c r="AM91" s="75">
        <v>0</v>
      </c>
      <c r="AN91" s="369">
        <v>69596.86</v>
      </c>
      <c r="AO91" s="75"/>
      <c r="AP91" s="369">
        <v>175234.12</v>
      </c>
      <c r="AQ91" s="75">
        <v>0</v>
      </c>
      <c r="AR91" s="75">
        <v>0</v>
      </c>
      <c r="AS91" s="369">
        <v>175234.12</v>
      </c>
      <c r="AT91" s="75">
        <v>871259.44000000006</v>
      </c>
      <c r="AW91" s="77">
        <v>871259.44000000006</v>
      </c>
      <c r="AX91"/>
      <c r="AY91" s="77">
        <f t="shared" si="34"/>
        <v>34894.910000000033</v>
      </c>
      <c r="AZ91" s="77">
        <f t="shared" si="35"/>
        <v>0</v>
      </c>
      <c r="BA91" s="77">
        <f t="shared" si="36"/>
        <v>0</v>
      </c>
      <c r="BB91" s="77">
        <f t="shared" si="37"/>
        <v>0</v>
      </c>
    </row>
    <row r="92" spans="1:55" ht="16">
      <c r="A92" s="48">
        <v>5615</v>
      </c>
      <c r="B92" s="81" t="s">
        <v>101</v>
      </c>
      <c r="C92" s="75">
        <f>SUMIF('TB Mitiga LTD'!A:A,'HARKAVA '!A92,'TB Mitiga LTD'!D:D)</f>
        <v>0</v>
      </c>
      <c r="D92" s="75">
        <f>SUMIF('Adj Entries Ltd'!$B$4:$B$954,A92,'Adj Entries Ltd'!$D$4:$D$954)</f>
        <v>0</v>
      </c>
      <c r="E92" s="75">
        <f>SUMIF('Adj Entries Ltd'!$B$4:$B$954,A92,'Adj Entries Ltd'!$E$4:$E$954)</f>
        <v>0</v>
      </c>
      <c r="F92" s="75">
        <f>(+C92+D92-E92)</f>
        <v>0</v>
      </c>
      <c r="G92" s="95"/>
      <c r="H92" s="77">
        <f>SUMIF('TB US'!A:A,'HARKAVA '!A92,'TB US'!D:D)</f>
        <v>0</v>
      </c>
      <c r="I92" s="77">
        <f>SUMIF('Adj. entries US'!B:B,'HARKAVA '!A92,'Adj. entries US'!D:D)</f>
        <v>0</v>
      </c>
      <c r="J92" s="77">
        <f>SUMIF('Adj. entries US'!B:B,'HARKAVA '!A92,'Adj. entries US'!E:E)</f>
        <v>0</v>
      </c>
      <c r="K92" s="75">
        <f t="shared" si="28"/>
        <v>0</v>
      </c>
      <c r="L92" s="95"/>
      <c r="M92" s="75">
        <f>SUMIF('TB UK'!A:A,'HARKAVA '!A92,'TB UK'!E:E)</f>
        <v>0</v>
      </c>
      <c r="N92" s="75">
        <f>SUMIF('Adj. Entries UK'!B:B,'HARKAVA '!A92,'Adj. Entries UK'!D:D)</f>
        <v>0</v>
      </c>
      <c r="O92" s="75">
        <f>SUMIF('Adj. Entries UK'!B:B,'HARKAVA '!A92,'Adj. Entries UK'!E:E)</f>
        <v>0</v>
      </c>
      <c r="P92" s="75">
        <f t="shared" ref="P92" si="46">M92+N92-O92</f>
        <v>0</v>
      </c>
      <c r="Q92" s="75"/>
      <c r="R92" s="75">
        <f>SUMIF('TB security'!A:A,'HARKAVA '!A92,'TB security'!D:D)</f>
        <v>0</v>
      </c>
      <c r="S92" s="75">
        <f>SUMIF('Adj. Entries security'!B:B,'HARKAVA '!A92,'Adj. Entries security'!D:E)</f>
        <v>0</v>
      </c>
      <c r="T92" s="75">
        <f>SUMIF('Adj. Entries security'!B:B,'HARKAVA '!A92,'Adj. Entries security'!E:E)</f>
        <v>0</v>
      </c>
      <c r="U92" s="75">
        <f t="shared" si="30"/>
        <v>0</v>
      </c>
      <c r="V92" s="75">
        <f t="shared" si="31"/>
        <v>0</v>
      </c>
      <c r="Y92" s="77">
        <f t="shared" si="32"/>
        <v>0</v>
      </c>
      <c r="Z92" s="171">
        <f t="shared" ref="Z92:Z97" si="47">A92</f>
        <v>5615</v>
      </c>
      <c r="AD92" s="75">
        <v>0</v>
      </c>
      <c r="AE92" s="95"/>
      <c r="AF92" s="77">
        <v>0</v>
      </c>
      <c r="AG92" s="77">
        <v>0</v>
      </c>
      <c r="AH92" s="77">
        <v>0</v>
      </c>
      <c r="AI92" s="75">
        <v>0</v>
      </c>
      <c r="AJ92" s="95"/>
      <c r="AK92" s="75">
        <v>0</v>
      </c>
      <c r="AL92" s="75">
        <v>0</v>
      </c>
      <c r="AM92" s="75">
        <v>0</v>
      </c>
      <c r="AN92" s="75">
        <v>0</v>
      </c>
      <c r="AO92" s="75"/>
      <c r="AP92" s="75">
        <v>0</v>
      </c>
      <c r="AQ92" s="75">
        <v>0</v>
      </c>
      <c r="AR92" s="75">
        <v>0</v>
      </c>
      <c r="AS92" s="75">
        <v>0</v>
      </c>
      <c r="AT92" s="75">
        <v>0</v>
      </c>
      <c r="AW92" s="77">
        <v>0</v>
      </c>
      <c r="AX92"/>
      <c r="AY92" s="77">
        <f t="shared" si="34"/>
        <v>0</v>
      </c>
      <c r="AZ92" s="77">
        <f t="shared" si="35"/>
        <v>0</v>
      </c>
      <c r="BA92" s="77">
        <f t="shared" si="36"/>
        <v>0</v>
      </c>
      <c r="BB92" s="77">
        <f t="shared" si="37"/>
        <v>0</v>
      </c>
    </row>
    <row r="93" spans="1:55" ht="16">
      <c r="A93" s="48">
        <v>5620</v>
      </c>
      <c r="B93" s="81" t="s">
        <v>102</v>
      </c>
      <c r="C93" s="369">
        <f>SUMIF('TB Mitiga LTD'!A:A,'HARKAVA '!A93,'TB Mitiga LTD'!D:D)</f>
        <v>341270.8</v>
      </c>
      <c r="D93" s="75">
        <f>SUMIF('Adj Entries Ltd'!$B$4:$B$954,A93,'Adj Entries Ltd'!$D$4:$D$954)</f>
        <v>0</v>
      </c>
      <c r="E93" s="369">
        <f>SUMIF('Adj Entries Ltd'!$B$4:$B$954,A93,'Adj Entries Ltd'!$E$4:$E$954)</f>
        <v>291746.6317694317</v>
      </c>
      <c r="F93" s="369">
        <f t="shared" si="44"/>
        <v>49524.168230568292</v>
      </c>
      <c r="H93" s="77">
        <f>SUMIF('TB US'!A:A,'HARKAVA '!A93,'TB US'!D:D)</f>
        <v>0</v>
      </c>
      <c r="I93" s="77">
        <f>SUMIF('Adj. entries US'!B:B,'HARKAVA '!A93,'Adj. entries US'!D:D)</f>
        <v>0</v>
      </c>
      <c r="J93" s="77">
        <f>SUMIF('Adj. entries US'!B:B,'HARKAVA '!A93,'Adj. entries US'!E:E)</f>
        <v>0</v>
      </c>
      <c r="K93" s="75">
        <f t="shared" si="28"/>
        <v>0</v>
      </c>
      <c r="M93" s="369">
        <f>SUMIF('TB UK'!A:A,'HARKAVA '!A93,'TB UK'!E:E)</f>
        <v>10178.789999999999</v>
      </c>
      <c r="N93" s="75">
        <f>SUMIF('Adj. Entries UK'!B:B,'HARKAVA '!A93,'Adj. Entries UK'!D:D)</f>
        <v>0</v>
      </c>
      <c r="O93" s="75">
        <f>SUMIF('Adj. Entries UK'!B:B,'HARKAVA '!A93,'Adj. Entries UK'!E:E)</f>
        <v>0</v>
      </c>
      <c r="P93" s="369">
        <f t="shared" si="29"/>
        <v>10178.789999999999</v>
      </c>
      <c r="Q93" s="75"/>
      <c r="R93" s="369">
        <f>SUMIF('TB security'!A:A,'HARKAVA '!A93,'TB security'!D:D)</f>
        <v>6950.2</v>
      </c>
      <c r="S93" s="75">
        <f>SUMIF('Adj. Entries security'!B:B,'HARKAVA '!A93,'Adj. Entries security'!D:E)</f>
        <v>0</v>
      </c>
      <c r="T93" s="369">
        <f>SUMIF('Adj. Entries security'!B:B,'HARKAVA '!A93,'Adj. Entries security'!E:E)</f>
        <v>5957.3142857142848</v>
      </c>
      <c r="U93" s="369">
        <f t="shared" si="30"/>
        <v>992.88571428571504</v>
      </c>
      <c r="V93" s="75">
        <f t="shared" si="31"/>
        <v>60695.843944854008</v>
      </c>
      <c r="Y93" s="77">
        <f t="shared" si="32"/>
        <v>60695.843944854008</v>
      </c>
      <c r="Z93" s="171">
        <f t="shared" si="47"/>
        <v>5620</v>
      </c>
      <c r="AD93" s="369">
        <v>49524.168230568292</v>
      </c>
      <c r="AF93" s="77">
        <v>0</v>
      </c>
      <c r="AG93" s="77">
        <v>0</v>
      </c>
      <c r="AH93" s="77">
        <v>0</v>
      </c>
      <c r="AI93" s="75">
        <v>0</v>
      </c>
      <c r="AK93" s="369">
        <v>10178.789999999999</v>
      </c>
      <c r="AL93" s="75">
        <v>0</v>
      </c>
      <c r="AM93" s="75">
        <v>0</v>
      </c>
      <c r="AN93" s="369">
        <v>10178.789999999999</v>
      </c>
      <c r="AO93" s="75"/>
      <c r="AP93" s="369">
        <v>6950.2</v>
      </c>
      <c r="AQ93" s="75">
        <v>0</v>
      </c>
      <c r="AR93" s="369">
        <v>5957.3142857142848</v>
      </c>
      <c r="AS93" s="369">
        <v>992.88571428571504</v>
      </c>
      <c r="AT93" s="75">
        <v>60695.843944854008</v>
      </c>
      <c r="AW93" s="77">
        <v>60695.843944854008</v>
      </c>
      <c r="AX93"/>
      <c r="AY93" s="77">
        <f t="shared" si="34"/>
        <v>0</v>
      </c>
      <c r="AZ93" s="77">
        <f t="shared" si="35"/>
        <v>0</v>
      </c>
      <c r="BA93" s="77">
        <f t="shared" si="36"/>
        <v>0</v>
      </c>
      <c r="BB93" s="77">
        <f t="shared" si="37"/>
        <v>0</v>
      </c>
    </row>
    <row r="94" spans="1:55" ht="16">
      <c r="A94" s="48">
        <v>5630</v>
      </c>
      <c r="B94" s="81" t="s">
        <v>103</v>
      </c>
      <c r="C94" s="75">
        <f>SUMIF('TB Mitiga LTD'!A:A,'HARKAVA '!A94,'TB Mitiga LTD'!D:D)</f>
        <v>0</v>
      </c>
      <c r="D94" s="75">
        <f>SUMIF('Adj Entries Ltd'!$B$4:$B$954,A94,'Adj Entries Ltd'!$D$4:$D$954)</f>
        <v>0</v>
      </c>
      <c r="E94" s="75">
        <f>SUMIF('Adj Entries Ltd'!$B$4:$B$954,A94,'Adj Entries Ltd'!$E$4:$E$954)</f>
        <v>0</v>
      </c>
      <c r="F94" s="75">
        <f t="shared" si="44"/>
        <v>0</v>
      </c>
      <c r="H94" s="77">
        <f>SUMIF('TB US'!A:A,'HARKAVA '!A94,'TB US'!D:D)</f>
        <v>0</v>
      </c>
      <c r="I94" s="77">
        <f>SUMIF('Adj. entries US'!B:B,'HARKAVA '!A94,'Adj. entries US'!D:D)</f>
        <v>0</v>
      </c>
      <c r="J94" s="77">
        <f>SUMIF('Adj. entries US'!B:B,'HARKAVA '!A94,'Adj. entries US'!E:E)</f>
        <v>0</v>
      </c>
      <c r="K94" s="75">
        <f t="shared" si="28"/>
        <v>0</v>
      </c>
      <c r="M94" s="75">
        <f>SUMIF('TB UK'!A:A,'HARKAVA '!A94,'TB UK'!E:E)</f>
        <v>0</v>
      </c>
      <c r="N94" s="75">
        <f>SUMIF('Adj. Entries UK'!B:B,'HARKAVA '!A94,'Adj. Entries UK'!D:D)</f>
        <v>0</v>
      </c>
      <c r="O94" s="75">
        <f>SUMIF('Adj. Entries UK'!B:B,'HARKAVA '!A94,'Adj. Entries UK'!E:E)</f>
        <v>0</v>
      </c>
      <c r="P94" s="75">
        <f t="shared" si="29"/>
        <v>0</v>
      </c>
      <c r="Q94" s="75"/>
      <c r="R94" s="75">
        <f>SUMIF('TB security'!A:A,'HARKAVA '!A94,'TB security'!D:D)</f>
        <v>0</v>
      </c>
      <c r="S94" s="75">
        <f>SUMIF('Adj. Entries security'!B:B,'HARKAVA '!A94,'Adj. Entries security'!D:E)</f>
        <v>0</v>
      </c>
      <c r="T94" s="75">
        <f>SUMIF('Adj. Entries security'!B:B,'HARKAVA '!A94,'Adj. Entries security'!E:E)</f>
        <v>0</v>
      </c>
      <c r="U94" s="75">
        <f t="shared" si="30"/>
        <v>0</v>
      </c>
      <c r="V94" s="75">
        <f t="shared" si="31"/>
        <v>0</v>
      </c>
      <c r="Y94" s="77">
        <f t="shared" si="32"/>
        <v>0</v>
      </c>
      <c r="Z94" s="171">
        <f t="shared" si="47"/>
        <v>5630</v>
      </c>
      <c r="AD94" s="75">
        <v>0</v>
      </c>
      <c r="AF94" s="77">
        <v>0</v>
      </c>
      <c r="AG94" s="77">
        <v>0</v>
      </c>
      <c r="AH94" s="77">
        <v>0</v>
      </c>
      <c r="AI94" s="75">
        <v>0</v>
      </c>
      <c r="AK94" s="75">
        <v>0</v>
      </c>
      <c r="AL94" s="75">
        <v>0</v>
      </c>
      <c r="AM94" s="75">
        <v>0</v>
      </c>
      <c r="AN94" s="75">
        <v>0</v>
      </c>
      <c r="AO94" s="75"/>
      <c r="AP94" s="75">
        <v>0</v>
      </c>
      <c r="AQ94" s="75">
        <v>0</v>
      </c>
      <c r="AR94" s="75">
        <v>0</v>
      </c>
      <c r="AS94" s="75">
        <v>0</v>
      </c>
      <c r="AT94" s="75">
        <v>0</v>
      </c>
      <c r="AW94" s="77">
        <v>0</v>
      </c>
      <c r="AX94"/>
      <c r="AY94" s="77">
        <f t="shared" si="34"/>
        <v>0</v>
      </c>
      <c r="AZ94" s="77">
        <f t="shared" si="35"/>
        <v>0</v>
      </c>
      <c r="BA94" s="77">
        <f t="shared" si="36"/>
        <v>0</v>
      </c>
      <c r="BB94" s="77">
        <f t="shared" si="37"/>
        <v>0</v>
      </c>
    </row>
    <row r="95" spans="1:55" ht="16">
      <c r="A95" s="48">
        <v>5635</v>
      </c>
      <c r="B95" s="81" t="s">
        <v>104</v>
      </c>
      <c r="C95" s="75">
        <f>SUMIF('TB Mitiga LTD'!A:A,'HARKAVA '!A95,'TB Mitiga LTD'!D:D)</f>
        <v>0</v>
      </c>
      <c r="D95" s="75">
        <f>SUMIF('Adj Entries Ltd'!$B$4:$B$954,A95,'Adj Entries Ltd'!$D$4:$D$954)</f>
        <v>0</v>
      </c>
      <c r="E95" s="75">
        <f>SUMIF('Adj Entries Ltd'!$B$4:$B$954,A95,'Adj Entries Ltd'!$E$4:$E$954)</f>
        <v>0</v>
      </c>
      <c r="F95" s="75">
        <f>(+C95+D95-E95)</f>
        <v>0</v>
      </c>
      <c r="H95" s="77">
        <f>SUMIF('TB US'!A:A,'HARKAVA '!A95,'TB US'!D:D)</f>
        <v>0</v>
      </c>
      <c r="I95" s="77">
        <f>SUMIF('Adj. entries US'!B:B,'HARKAVA '!A95,'Adj. entries US'!D:D)</f>
        <v>0</v>
      </c>
      <c r="J95" s="77">
        <f>SUMIF('Adj. entries US'!B:B,'HARKAVA '!A95,'Adj. entries US'!E:E)</f>
        <v>0</v>
      </c>
      <c r="K95" s="75">
        <f t="shared" si="28"/>
        <v>0</v>
      </c>
      <c r="M95" s="75">
        <f>SUMIF('TB UK'!A:A,'HARKAVA '!A95,'TB UK'!E:E)</f>
        <v>0</v>
      </c>
      <c r="N95" s="75">
        <f>SUMIF('Adj. Entries UK'!B:B,'HARKAVA '!A95,'Adj. Entries UK'!D:D)</f>
        <v>0</v>
      </c>
      <c r="O95" s="75">
        <f>SUMIF('Adj. Entries UK'!B:B,'HARKAVA '!A95,'Adj. Entries UK'!E:E)</f>
        <v>0</v>
      </c>
      <c r="P95" s="75">
        <f>M95+N95-O95</f>
        <v>0</v>
      </c>
      <c r="Q95" s="75"/>
      <c r="R95" s="75">
        <f>SUMIF('TB security'!A:A,'HARKAVA '!A95,'TB security'!D:D)</f>
        <v>0</v>
      </c>
      <c r="S95" s="75">
        <f>SUMIF('Adj. Entries security'!B:B,'HARKAVA '!A95,'Adj. Entries security'!D:E)</f>
        <v>0</v>
      </c>
      <c r="T95" s="75">
        <f>SUMIF('Adj. Entries security'!B:B,'HARKAVA '!A95,'Adj. Entries security'!E:E)</f>
        <v>0</v>
      </c>
      <c r="U95" s="75">
        <f t="shared" si="30"/>
        <v>0</v>
      </c>
      <c r="V95" s="75">
        <f t="shared" si="31"/>
        <v>0</v>
      </c>
      <c r="Y95" s="77">
        <f t="shared" ref="Y95:Y113" si="48">V95+X95</f>
        <v>0</v>
      </c>
      <c r="Z95" s="171">
        <f t="shared" si="47"/>
        <v>5635</v>
      </c>
      <c r="AD95" s="75">
        <v>0</v>
      </c>
      <c r="AF95" s="77">
        <v>0</v>
      </c>
      <c r="AG95" s="77">
        <v>0</v>
      </c>
      <c r="AH95" s="77">
        <v>0</v>
      </c>
      <c r="AI95" s="75">
        <v>0</v>
      </c>
      <c r="AK95" s="75">
        <v>0</v>
      </c>
      <c r="AL95" s="75">
        <v>0</v>
      </c>
      <c r="AM95" s="75">
        <v>0</v>
      </c>
      <c r="AN95" s="75">
        <v>0</v>
      </c>
      <c r="AO95" s="75"/>
      <c r="AP95" s="75">
        <v>0</v>
      </c>
      <c r="AQ95" s="75">
        <v>0</v>
      </c>
      <c r="AR95" s="75">
        <v>0</v>
      </c>
      <c r="AS95" s="75">
        <v>0</v>
      </c>
      <c r="AT95" s="75">
        <v>0</v>
      </c>
      <c r="AW95" s="77">
        <v>0</v>
      </c>
      <c r="AX95"/>
      <c r="AY95" s="77">
        <f t="shared" si="34"/>
        <v>0</v>
      </c>
      <c r="AZ95" s="77">
        <f t="shared" si="35"/>
        <v>0</v>
      </c>
      <c r="BA95" s="77">
        <f t="shared" si="36"/>
        <v>0</v>
      </c>
      <c r="BB95" s="77">
        <f t="shared" si="37"/>
        <v>0</v>
      </c>
    </row>
    <row r="96" spans="1:55" ht="16">
      <c r="A96" s="48">
        <v>5640</v>
      </c>
      <c r="B96" s="81" t="s">
        <v>105</v>
      </c>
      <c r="C96" s="75">
        <f>SUMIF('TB Mitiga LTD'!A:A,'HARKAVA '!A96,'TB Mitiga LTD'!D:D)</f>
        <v>0</v>
      </c>
      <c r="D96" s="75">
        <f>SUMIF('Adj Entries Ltd'!$B$4:$B$954,A96,'Adj Entries Ltd'!$D$4:$D$954)</f>
        <v>0</v>
      </c>
      <c r="E96" s="75">
        <f>SUMIF('Adj Entries Ltd'!$B$4:$B$954,A96,'Adj Entries Ltd'!$E$4:$E$954)</f>
        <v>0</v>
      </c>
      <c r="F96" s="75">
        <f t="shared" si="44"/>
        <v>0</v>
      </c>
      <c r="H96" s="77">
        <f>SUMIF('TB US'!A:A,'HARKAVA '!A96,'TB US'!D:D)</f>
        <v>0</v>
      </c>
      <c r="I96" s="77">
        <f>SUMIF('Adj. entries US'!B:B,'HARKAVA '!A96,'Adj. entries US'!D:D)</f>
        <v>0</v>
      </c>
      <c r="J96" s="77">
        <f>SUMIF('Adj. entries US'!B:B,'HARKAVA '!A96,'Adj. entries US'!E:E)</f>
        <v>0</v>
      </c>
      <c r="K96" s="75">
        <f t="shared" si="28"/>
        <v>0</v>
      </c>
      <c r="M96" s="75">
        <f>SUMIF('TB UK'!A:A,'HARKAVA '!A96,'TB UK'!E:E)</f>
        <v>0</v>
      </c>
      <c r="N96" s="75">
        <f>SUMIF('Adj. Entries UK'!B:B,'HARKAVA '!A96,'Adj. Entries UK'!D:D)</f>
        <v>0</v>
      </c>
      <c r="O96" s="75">
        <f>SUMIF('Adj. Entries UK'!B:B,'HARKAVA '!A96,'Adj. Entries UK'!E:E)</f>
        <v>0</v>
      </c>
      <c r="P96" s="75">
        <f t="shared" si="29"/>
        <v>0</v>
      </c>
      <c r="Q96" s="75"/>
      <c r="R96" s="75">
        <f>SUMIF('TB security'!A:A,'HARKAVA '!A96,'TB security'!D:D)</f>
        <v>0</v>
      </c>
      <c r="S96" s="75">
        <f>SUMIF('Adj. Entries security'!B:B,'HARKAVA '!A96,'Adj. Entries security'!D:E)</f>
        <v>0</v>
      </c>
      <c r="T96" s="75">
        <f>SUMIF('Adj. Entries security'!B:B,'HARKAVA '!A96,'Adj. Entries security'!E:E)</f>
        <v>0</v>
      </c>
      <c r="U96" s="75">
        <f t="shared" si="30"/>
        <v>0</v>
      </c>
      <c r="V96" s="75">
        <f t="shared" si="31"/>
        <v>0</v>
      </c>
      <c r="Y96" s="77">
        <f t="shared" si="48"/>
        <v>0</v>
      </c>
      <c r="Z96" s="171">
        <f t="shared" si="47"/>
        <v>5640</v>
      </c>
      <c r="AD96" s="75">
        <v>0</v>
      </c>
      <c r="AF96" s="77">
        <v>0</v>
      </c>
      <c r="AG96" s="77">
        <v>0</v>
      </c>
      <c r="AH96" s="77">
        <v>0</v>
      </c>
      <c r="AI96" s="75">
        <v>0</v>
      </c>
      <c r="AK96" s="75">
        <v>0</v>
      </c>
      <c r="AL96" s="75">
        <v>0</v>
      </c>
      <c r="AM96" s="75">
        <v>0</v>
      </c>
      <c r="AN96" s="75">
        <v>0</v>
      </c>
      <c r="AO96" s="75"/>
      <c r="AP96" s="75">
        <v>0</v>
      </c>
      <c r="AQ96" s="75">
        <v>0</v>
      </c>
      <c r="AR96" s="75">
        <v>0</v>
      </c>
      <c r="AS96" s="75">
        <v>0</v>
      </c>
      <c r="AT96" s="75">
        <v>0</v>
      </c>
      <c r="AW96" s="77">
        <v>0</v>
      </c>
      <c r="AX96"/>
      <c r="AY96" s="77">
        <f t="shared" si="34"/>
        <v>0</v>
      </c>
      <c r="AZ96" s="77">
        <f t="shared" si="35"/>
        <v>0</v>
      </c>
      <c r="BA96" s="77">
        <f t="shared" si="36"/>
        <v>0</v>
      </c>
      <c r="BB96" s="77">
        <f t="shared" si="37"/>
        <v>0</v>
      </c>
    </row>
    <row r="97" spans="1:55" ht="16">
      <c r="A97" s="48">
        <v>5645</v>
      </c>
      <c r="B97" s="81" t="s">
        <v>106</v>
      </c>
      <c r="C97" s="75">
        <f>SUMIF('TB Mitiga LTD'!A:A,'HARKAVA '!A97,'TB Mitiga LTD'!D:D)</f>
        <v>0</v>
      </c>
      <c r="D97" s="75">
        <f>SUMIF('Adj Entries Ltd'!$B$4:$B$954,A97,'Adj Entries Ltd'!$D$4:$D$954)</f>
        <v>0</v>
      </c>
      <c r="E97" s="75">
        <f>SUMIF('Adj Entries Ltd'!$B$4:$B$954,A97,'Adj Entries Ltd'!$E$4:$E$954)</f>
        <v>0</v>
      </c>
      <c r="F97" s="75">
        <f>(+C97+D97-E97)</f>
        <v>0</v>
      </c>
      <c r="H97" s="77">
        <f>SUMIF('TB US'!A:A,'HARKAVA '!A97,'TB US'!D:D)</f>
        <v>0</v>
      </c>
      <c r="I97" s="77">
        <f>SUMIF('Adj. entries US'!B:B,'HARKAVA '!A97,'Adj. entries US'!D:D)</f>
        <v>0</v>
      </c>
      <c r="J97" s="77">
        <f>SUMIF('Adj. entries US'!B:B,'HARKAVA '!A97,'Adj. entries US'!E:E)</f>
        <v>0</v>
      </c>
      <c r="K97" s="75">
        <f t="shared" si="28"/>
        <v>0</v>
      </c>
      <c r="M97" s="75">
        <f>SUMIF('TB UK'!A:A,'HARKAVA '!A97,'TB UK'!E:E)</f>
        <v>0</v>
      </c>
      <c r="N97" s="75">
        <f>SUMIF('Adj. Entries UK'!B:B,'HARKAVA '!A97,'Adj. Entries UK'!D:D)</f>
        <v>0</v>
      </c>
      <c r="O97" s="75">
        <f>SUMIF('Adj. Entries UK'!B:B,'HARKAVA '!A97,'Adj. Entries UK'!E:E)</f>
        <v>0</v>
      </c>
      <c r="P97" s="75">
        <f>M97+N97-O97</f>
        <v>0</v>
      </c>
      <c r="Q97" s="75"/>
      <c r="R97" s="75">
        <f>SUMIF('TB security'!A:A,'HARKAVA '!A97,'TB security'!D:D)</f>
        <v>0</v>
      </c>
      <c r="S97" s="75">
        <f>SUMIF('Adj. Entries security'!B:B,'HARKAVA '!A97,'Adj. Entries security'!D:E)</f>
        <v>0</v>
      </c>
      <c r="T97" s="75">
        <f>SUMIF('Adj. Entries security'!B:B,'HARKAVA '!A97,'Adj. Entries security'!E:E)</f>
        <v>0</v>
      </c>
      <c r="U97" s="75">
        <f t="shared" si="30"/>
        <v>0</v>
      </c>
      <c r="V97" s="75">
        <f t="shared" si="31"/>
        <v>0</v>
      </c>
      <c r="Y97" s="77">
        <f t="shared" si="48"/>
        <v>0</v>
      </c>
      <c r="Z97" s="171">
        <f t="shared" si="47"/>
        <v>5645</v>
      </c>
      <c r="AD97" s="75">
        <v>0</v>
      </c>
      <c r="AF97" s="77">
        <v>0</v>
      </c>
      <c r="AG97" s="77">
        <v>0</v>
      </c>
      <c r="AH97" s="77">
        <v>0</v>
      </c>
      <c r="AI97" s="75">
        <v>0</v>
      </c>
      <c r="AK97" s="75">
        <v>0</v>
      </c>
      <c r="AL97" s="75">
        <v>0</v>
      </c>
      <c r="AM97" s="75">
        <v>0</v>
      </c>
      <c r="AN97" s="75">
        <v>0</v>
      </c>
      <c r="AO97" s="75"/>
      <c r="AP97" s="75">
        <v>0</v>
      </c>
      <c r="AQ97" s="75">
        <v>0</v>
      </c>
      <c r="AR97" s="75">
        <v>0</v>
      </c>
      <c r="AS97" s="75">
        <v>0</v>
      </c>
      <c r="AT97" s="75">
        <v>0</v>
      </c>
      <c r="AW97" s="77">
        <v>0</v>
      </c>
      <c r="AX97"/>
      <c r="AY97" s="77">
        <f t="shared" si="34"/>
        <v>0</v>
      </c>
      <c r="AZ97" s="77">
        <f t="shared" si="35"/>
        <v>0</v>
      </c>
      <c r="BA97" s="77">
        <f t="shared" si="36"/>
        <v>0</v>
      </c>
      <c r="BB97" s="77">
        <f t="shared" si="37"/>
        <v>0</v>
      </c>
    </row>
    <row r="98" spans="1:55" ht="16">
      <c r="A98" s="48">
        <v>5680</v>
      </c>
      <c r="B98" s="81" t="s">
        <v>107</v>
      </c>
      <c r="C98" s="369">
        <f>SUMIF('TB Mitiga LTD'!A:A,'HARKAVA '!A98,'TB Mitiga LTD'!D:D)</f>
        <v>12400.91</v>
      </c>
      <c r="D98" s="75">
        <f>SUMIF('Adj Entries Ltd'!$B$4:$B$954,A98,'Adj Entries Ltd'!$D$4:$D$954)</f>
        <v>0</v>
      </c>
      <c r="E98" s="75">
        <f>SUMIF('Adj Entries Ltd'!$B$4:$B$954,A98,'Adj Entries Ltd'!$E$4:$E$954)</f>
        <v>0</v>
      </c>
      <c r="F98" s="369">
        <f>(+C98+D98-E98)</f>
        <v>12400.91</v>
      </c>
      <c r="H98" s="77">
        <f>SUMIF('TB US'!A:A,'HARKAVA '!A98,'TB US'!D:D)</f>
        <v>0</v>
      </c>
      <c r="I98" s="77">
        <f>SUMIF('Adj. entries US'!B:B,'HARKAVA '!A98,'Adj. entries US'!D:D)</f>
        <v>0</v>
      </c>
      <c r="J98" s="77">
        <f>SUMIF('Adj. entries US'!B:B,'HARKAVA '!A98,'Adj. entries US'!E:E)</f>
        <v>0</v>
      </c>
      <c r="K98" s="75">
        <f t="shared" si="28"/>
        <v>0</v>
      </c>
      <c r="M98" s="369">
        <f>SUMIF('TB UK'!A:A,'HARKAVA '!A98,'TB UK'!E:E)</f>
        <v>17359.039999999997</v>
      </c>
      <c r="N98" s="75">
        <f>SUMIF('Adj. Entries UK'!B:B,'HARKAVA '!A98,'Adj. Entries UK'!D:D)</f>
        <v>0</v>
      </c>
      <c r="O98" s="75">
        <f>SUMIF('Adj. Entries UK'!B:B,'HARKAVA '!A98,'Adj. Entries UK'!E:E)</f>
        <v>0</v>
      </c>
      <c r="P98" s="369">
        <f t="shared" si="29"/>
        <v>17359.039999999997</v>
      </c>
      <c r="Q98" s="75"/>
      <c r="R98" s="369">
        <f>SUMIF('TB security'!A:A,'HARKAVA '!A98,'TB security'!D:D)</f>
        <v>33870.35</v>
      </c>
      <c r="S98" s="75">
        <f>SUMIF('Adj. Entries security'!B:B,'HARKAVA '!A98,'Adj. Entries security'!D:E)</f>
        <v>0</v>
      </c>
      <c r="T98" s="369">
        <f>SUMIF('Adj. Entries security'!B:B,'HARKAVA '!A98,'Adj. Entries security'!E:E)</f>
        <v>22766.057142857142</v>
      </c>
      <c r="U98" s="369">
        <f t="shared" si="30"/>
        <v>11104.292857142857</v>
      </c>
      <c r="V98" s="75">
        <f t="shared" si="31"/>
        <v>40864.242857142854</v>
      </c>
      <c r="Y98" s="77">
        <f t="shared" si="48"/>
        <v>40864.242857142854</v>
      </c>
      <c r="Z98" s="171">
        <v>5680</v>
      </c>
      <c r="AD98" s="369">
        <v>12400.91</v>
      </c>
      <c r="AF98" s="77">
        <v>0</v>
      </c>
      <c r="AG98" s="77">
        <v>0</v>
      </c>
      <c r="AH98" s="77">
        <v>0</v>
      </c>
      <c r="AI98" s="75">
        <v>0</v>
      </c>
      <c r="AK98" s="369">
        <v>17359.039999999997</v>
      </c>
      <c r="AL98" s="75">
        <v>0</v>
      </c>
      <c r="AM98" s="75">
        <v>0</v>
      </c>
      <c r="AN98" s="369">
        <v>17359.039999999997</v>
      </c>
      <c r="AO98" s="75"/>
      <c r="AP98" s="369">
        <v>33870.35</v>
      </c>
      <c r="AQ98" s="75">
        <v>0</v>
      </c>
      <c r="AR98" s="369">
        <v>22766.057142857142</v>
      </c>
      <c r="AS98" s="369">
        <v>11104.292857142857</v>
      </c>
      <c r="AT98" s="75">
        <v>40864.242857142854</v>
      </c>
      <c r="AW98" s="77">
        <v>40864.242857142854</v>
      </c>
      <c r="AX98"/>
      <c r="AY98" s="77">
        <f t="shared" si="34"/>
        <v>0</v>
      </c>
      <c r="AZ98" s="77">
        <f t="shared" si="35"/>
        <v>0</v>
      </c>
      <c r="BA98" s="77">
        <f t="shared" si="36"/>
        <v>0</v>
      </c>
      <c r="BB98" s="77">
        <f t="shared" si="37"/>
        <v>0</v>
      </c>
    </row>
    <row r="99" spans="1:55" ht="16">
      <c r="A99" s="48">
        <v>5670</v>
      </c>
      <c r="B99" s="81" t="s">
        <v>108</v>
      </c>
      <c r="C99" s="369">
        <f>SUMIF('TB Mitiga LTD'!A:A,'HARKAVA '!A99,'TB Mitiga LTD'!D:D)</f>
        <v>9230.93</v>
      </c>
      <c r="D99" s="75">
        <f>SUMIF('Adj Entries Ltd'!$B$4:$B$954,A99,'Adj Entries Ltd'!$D$4:$D$954)</f>
        <v>0</v>
      </c>
      <c r="E99" s="75">
        <f>SUMIF('Adj Entries Ltd'!$B$4:$B$954,A99,'Adj Entries Ltd'!$E$4:$E$954)</f>
        <v>0</v>
      </c>
      <c r="F99" s="369">
        <f t="shared" si="44"/>
        <v>9230.93</v>
      </c>
      <c r="H99" s="77">
        <f>SUMIF('TB US'!A:A,'HARKAVA '!A99,'TB US'!D:D)</f>
        <v>0</v>
      </c>
      <c r="I99" s="77">
        <f>SUMIF('Adj. entries US'!B:B,'HARKAVA '!A99,'Adj. entries US'!D:D)</f>
        <v>0</v>
      </c>
      <c r="J99" s="77">
        <f>SUMIF('Adj. entries US'!B:B,'HARKAVA '!A99,'Adj. entries US'!E:E)</f>
        <v>0</v>
      </c>
      <c r="K99" s="75">
        <f t="shared" si="28"/>
        <v>0</v>
      </c>
      <c r="M99" s="369">
        <f>SUMIF('TB UK'!A:A,'HARKAVA '!A99,'TB UK'!E:E)</f>
        <v>2061</v>
      </c>
      <c r="N99" s="75">
        <f>SUMIF('Adj. Entries UK'!B:B,'HARKAVA '!A99,'Adj. Entries UK'!D:D)</f>
        <v>0</v>
      </c>
      <c r="O99" s="75">
        <f>SUMIF('Adj. Entries UK'!B:B,'HARKAVA '!A99,'Adj. Entries UK'!E:E)</f>
        <v>0</v>
      </c>
      <c r="P99" s="369">
        <f t="shared" si="29"/>
        <v>2061</v>
      </c>
      <c r="Q99" s="75"/>
      <c r="R99" s="369">
        <f>SUMIF('TB security'!A:A,'HARKAVA '!A99,'TB security'!D:D)</f>
        <v>633</v>
      </c>
      <c r="S99" s="75">
        <f>SUMIF('Adj. Entries security'!B:B,'HARKAVA '!A99,'Adj. Entries security'!D:E)</f>
        <v>0</v>
      </c>
      <c r="T99" s="75">
        <f>SUMIF('Adj. Entries security'!B:B,'HARKAVA '!A99,'Adj. Entries security'!E:E)</f>
        <v>0</v>
      </c>
      <c r="U99" s="369">
        <f t="shared" si="30"/>
        <v>633</v>
      </c>
      <c r="V99" s="75">
        <f t="shared" si="31"/>
        <v>11924.93</v>
      </c>
      <c r="Y99" s="77">
        <f t="shared" si="48"/>
        <v>11924.93</v>
      </c>
      <c r="Z99" s="171">
        <v>5620</v>
      </c>
      <c r="AD99" s="369">
        <v>9230.93</v>
      </c>
      <c r="AF99" s="77">
        <v>0</v>
      </c>
      <c r="AG99" s="77">
        <v>0</v>
      </c>
      <c r="AH99" s="77">
        <v>0</v>
      </c>
      <c r="AI99" s="75">
        <v>0</v>
      </c>
      <c r="AK99" s="369">
        <v>2061</v>
      </c>
      <c r="AL99" s="75">
        <v>0</v>
      </c>
      <c r="AM99" s="75">
        <v>0</v>
      </c>
      <c r="AN99" s="369">
        <v>2061</v>
      </c>
      <c r="AO99" s="75"/>
      <c r="AP99" s="369">
        <v>633</v>
      </c>
      <c r="AQ99" s="75">
        <v>0</v>
      </c>
      <c r="AR99" s="75">
        <v>0</v>
      </c>
      <c r="AS99" s="369">
        <v>633</v>
      </c>
      <c r="AT99" s="75">
        <v>11924.93</v>
      </c>
      <c r="AW99" s="77">
        <v>11924.93</v>
      </c>
      <c r="AX99"/>
      <c r="AY99" s="77">
        <f t="shared" si="34"/>
        <v>0</v>
      </c>
      <c r="AZ99" s="77">
        <f t="shared" si="35"/>
        <v>0</v>
      </c>
      <c r="BA99" s="77">
        <f t="shared" si="36"/>
        <v>0</v>
      </c>
      <c r="BB99" s="77">
        <f t="shared" si="37"/>
        <v>0</v>
      </c>
    </row>
    <row r="100" spans="1:55" ht="16">
      <c r="A100" s="48">
        <v>5660</v>
      </c>
      <c r="B100" s="81" t="s">
        <v>109</v>
      </c>
      <c r="C100" s="369">
        <f>SUMIF('TB Mitiga LTD'!A:A,'HARKAVA '!A100,'TB Mitiga LTD'!D:D)</f>
        <v>275738.13999999996</v>
      </c>
      <c r="D100" s="75">
        <f>SUMIF('Adj Entries Ltd'!$B$4:$B$954,A100,'Adj Entries Ltd'!$D$4:$D$954)</f>
        <v>0</v>
      </c>
      <c r="E100" s="369">
        <f>SUMIF('Adj Entries Ltd'!$B$4:$B$954,A100,'Adj Entries Ltd'!$E$4:$E$954)</f>
        <v>199907.75270775301</v>
      </c>
      <c r="F100" s="369">
        <f t="shared" ref="F100:F102" si="49">(+C100+D100-E100)</f>
        <v>75830.387292246945</v>
      </c>
      <c r="H100" s="463">
        <f>SUMIF('TB US'!A:A,'HARKAVA '!A100,'TB US'!D:D)</f>
        <v>1279.5999999999999</v>
      </c>
      <c r="I100" s="77">
        <f>SUMIF('Adj. entries US'!B:B,'HARKAVA '!A100,'Adj. entries US'!D:D)</f>
        <v>0</v>
      </c>
      <c r="J100" s="77">
        <f>SUMIF('Adj. entries US'!B:B,'HARKAVA '!A100,'Adj. entries US'!E:E)</f>
        <v>0</v>
      </c>
      <c r="K100" s="369">
        <f t="shared" si="28"/>
        <v>1279.5999999999999</v>
      </c>
      <c r="M100" s="369">
        <f>SUMIF('TB UK'!A:A,'HARKAVA '!A100,'TB UK'!E:E)</f>
        <v>27052.29</v>
      </c>
      <c r="N100" s="75">
        <f>SUMIF('Adj. Entries UK'!B:B,'HARKAVA '!A100,'Adj. Entries UK'!D:D)</f>
        <v>0</v>
      </c>
      <c r="O100" s="75">
        <f>SUMIF('Adj. Entries UK'!B:B,'HARKAVA '!A100,'Adj. Entries UK'!E:E)</f>
        <v>0</v>
      </c>
      <c r="P100" s="369">
        <f t="shared" si="29"/>
        <v>27052.29</v>
      </c>
      <c r="Q100" s="75"/>
      <c r="R100" s="369">
        <f>SUMIF('TB security'!A:A,'HARKAVA '!A100,'TB security'!D:D)</f>
        <v>91041.549999999988</v>
      </c>
      <c r="S100" s="75">
        <f>SUMIF('Adj. Entries security'!B:B,'HARKAVA '!A100,'Adj. Entries security'!D:E)</f>
        <v>0</v>
      </c>
      <c r="T100" s="369">
        <f>SUMIF('Adj. Entries security'!B:B,'HARKAVA '!A100,'Adj. Entries security'!E:E)</f>
        <v>37921.097142857143</v>
      </c>
      <c r="U100" s="369">
        <f t="shared" si="30"/>
        <v>53120.452857142845</v>
      </c>
      <c r="V100" s="75">
        <f t="shared" si="31"/>
        <v>157282.7301493898</v>
      </c>
      <c r="Y100" s="77">
        <f t="shared" si="48"/>
        <v>157282.7301493898</v>
      </c>
      <c r="Z100" s="171">
        <f>A100</f>
        <v>5660</v>
      </c>
      <c r="AD100" s="369">
        <v>75830.387292246945</v>
      </c>
      <c r="AF100" s="463">
        <v>1279.5999999999999</v>
      </c>
      <c r="AG100" s="77">
        <v>0</v>
      </c>
      <c r="AH100" s="77">
        <v>0</v>
      </c>
      <c r="AI100" s="369">
        <v>1279.5999999999999</v>
      </c>
      <c r="AK100" s="369">
        <v>27052.29</v>
      </c>
      <c r="AL100" s="75">
        <v>0</v>
      </c>
      <c r="AM100" s="75">
        <v>0</v>
      </c>
      <c r="AN100" s="369">
        <v>27052.29</v>
      </c>
      <c r="AO100" s="75"/>
      <c r="AP100" s="369">
        <v>64391.55</v>
      </c>
      <c r="AQ100" s="75">
        <v>0</v>
      </c>
      <c r="AR100" s="369">
        <v>37921.097142857143</v>
      </c>
      <c r="AS100" s="369">
        <v>26470.45285714286</v>
      </c>
      <c r="AT100" s="75">
        <v>130632.73014938983</v>
      </c>
      <c r="AW100" s="77">
        <v>130632.73014938983</v>
      </c>
      <c r="AX100"/>
      <c r="AY100" s="77">
        <f t="shared" si="34"/>
        <v>0</v>
      </c>
      <c r="AZ100" s="77">
        <f t="shared" si="35"/>
        <v>0</v>
      </c>
      <c r="BA100" s="520">
        <f t="shared" si="36"/>
        <v>26649.999999999985</v>
      </c>
      <c r="BB100" s="77">
        <f t="shared" si="37"/>
        <v>0</v>
      </c>
      <c r="BC100" s="77" t="s">
        <v>110</v>
      </c>
    </row>
    <row r="101" spans="1:55" ht="16">
      <c r="A101" s="48">
        <v>5665</v>
      </c>
      <c r="B101" s="81" t="s">
        <v>111</v>
      </c>
      <c r="C101" s="75">
        <f>SUMIF('TB Mitiga LTD'!A:A,'HARKAVA '!A101,'TB Mitiga LTD'!D:D)</f>
        <v>0</v>
      </c>
      <c r="D101" s="75">
        <f>SUMIF('Adj Entries Ltd'!$B$4:$B$954,A101,'Adj Entries Ltd'!$D$4:$D$954)</f>
        <v>0</v>
      </c>
      <c r="E101" s="75">
        <f>SUMIF('Adj Entries Ltd'!$B$4:$B$954,A101,'Adj Entries Ltd'!$E$4:$E$954)</f>
        <v>0</v>
      </c>
      <c r="F101" s="75">
        <f t="shared" ref="F101" si="50">(+C101+D101-E101)</f>
        <v>0</v>
      </c>
      <c r="H101" s="77">
        <f>SUMIF('TB US'!A:A,'HARKAVA '!A101,'TB US'!D:D)</f>
        <v>0</v>
      </c>
      <c r="I101" s="77">
        <f>SUMIF('Adj. entries US'!B:B,'HARKAVA '!A101,'Adj. entries US'!D:D)</f>
        <v>0</v>
      </c>
      <c r="J101" s="77">
        <f>SUMIF('Adj. entries US'!B:B,'HARKAVA '!A101,'Adj. entries US'!E:E)</f>
        <v>0</v>
      </c>
      <c r="K101" s="75">
        <f t="shared" si="28"/>
        <v>0</v>
      </c>
      <c r="M101" s="75">
        <f>SUMIF('TB UK'!A:A,'HARKAVA '!A101,'TB UK'!E:E)</f>
        <v>0</v>
      </c>
      <c r="N101" s="75">
        <f>SUMIF('Adj. Entries UK'!B:B,'HARKAVA '!A101,'Adj. Entries UK'!D:D)</f>
        <v>0</v>
      </c>
      <c r="O101" s="75">
        <f>SUMIF('Adj. Entries UK'!B:B,'HARKAVA '!A101,'Adj. Entries UK'!E:E)</f>
        <v>0</v>
      </c>
      <c r="P101" s="75">
        <f t="shared" ref="P101" si="51">M101+N101-O101</f>
        <v>0</v>
      </c>
      <c r="Q101" s="75"/>
      <c r="R101" s="75">
        <f>SUMIF('TB security'!A:A,'HARKAVA '!A101,'TB security'!D:D)</f>
        <v>0</v>
      </c>
      <c r="S101" s="75">
        <f>SUMIF('Adj. Entries security'!B:B,'HARKAVA '!A101,'Adj. Entries security'!D:E)</f>
        <v>0</v>
      </c>
      <c r="T101" s="75">
        <f>SUMIF('Adj. Entries security'!B:B,'HARKAVA '!A101,'Adj. Entries security'!E:E)</f>
        <v>0</v>
      </c>
      <c r="U101" s="75">
        <f t="shared" si="30"/>
        <v>0</v>
      </c>
      <c r="V101" s="75">
        <f t="shared" si="31"/>
        <v>0</v>
      </c>
      <c r="Y101" s="77">
        <f t="shared" si="48"/>
        <v>0</v>
      </c>
      <c r="Z101" s="171">
        <v>5603</v>
      </c>
      <c r="AD101" s="75">
        <v>0</v>
      </c>
      <c r="AF101" s="77">
        <v>0</v>
      </c>
      <c r="AG101" s="77">
        <v>0</v>
      </c>
      <c r="AH101" s="77">
        <v>0</v>
      </c>
      <c r="AI101" s="75">
        <v>0</v>
      </c>
      <c r="AK101" s="75">
        <v>0</v>
      </c>
      <c r="AL101" s="75">
        <v>0</v>
      </c>
      <c r="AM101" s="75">
        <v>0</v>
      </c>
      <c r="AN101" s="75">
        <v>0</v>
      </c>
      <c r="AO101" s="75"/>
      <c r="AP101" s="75">
        <v>0</v>
      </c>
      <c r="AQ101" s="75">
        <v>0</v>
      </c>
      <c r="AR101" s="75">
        <v>0</v>
      </c>
      <c r="AS101" s="75">
        <v>0</v>
      </c>
      <c r="AT101" s="75">
        <v>0</v>
      </c>
      <c r="AW101" s="77">
        <v>0</v>
      </c>
      <c r="AX101"/>
      <c r="AY101" s="77">
        <f t="shared" si="34"/>
        <v>0</v>
      </c>
      <c r="AZ101" s="77">
        <f t="shared" si="35"/>
        <v>0</v>
      </c>
      <c r="BA101" s="77">
        <f t="shared" si="36"/>
        <v>0</v>
      </c>
      <c r="BB101" s="77">
        <f t="shared" si="37"/>
        <v>0</v>
      </c>
    </row>
    <row r="102" spans="1:55" ht="16">
      <c r="A102" s="48">
        <v>5690</v>
      </c>
      <c r="B102" s="81" t="s">
        <v>112</v>
      </c>
      <c r="C102" s="75">
        <f>SUMIF('TB Mitiga LTD'!A:A,'HARKAVA '!A102,'TB Mitiga LTD'!D:D)</f>
        <v>0</v>
      </c>
      <c r="D102" s="75">
        <f>SUMIF('Adj Entries Ltd'!$B$4:$B$954,A102,'Adj Entries Ltd'!$D$4:$D$954)</f>
        <v>0</v>
      </c>
      <c r="E102" s="75">
        <f>SUMIF('Adj Entries Ltd'!$B$4:$B$954,A102,'Adj Entries Ltd'!$E$4:$E$954)</f>
        <v>0</v>
      </c>
      <c r="F102" s="75">
        <f t="shared" si="49"/>
        <v>0</v>
      </c>
      <c r="H102" s="77">
        <f>SUMIF('TB US'!A:A,'HARKAVA '!A102,'TB US'!D:D)</f>
        <v>0</v>
      </c>
      <c r="I102" s="77">
        <f>SUMIF('Adj. entries US'!B:B,'HARKAVA '!A102,'Adj. entries US'!D:D)</f>
        <v>0</v>
      </c>
      <c r="J102" s="77">
        <f>SUMIF('Adj. entries US'!B:B,'HARKAVA '!A102,'Adj. entries US'!E:E)</f>
        <v>0</v>
      </c>
      <c r="K102" s="75">
        <f t="shared" si="28"/>
        <v>0</v>
      </c>
      <c r="M102" s="75">
        <f>SUMIF('TB UK'!A:A,'HARKAVA '!A102,'TB UK'!E:E)</f>
        <v>0</v>
      </c>
      <c r="N102" s="75">
        <f>SUMIF('Adj. Entries UK'!B:B,'HARKAVA '!A102,'Adj. Entries UK'!D:D)</f>
        <v>0</v>
      </c>
      <c r="O102" s="75">
        <f>SUMIF('Adj. Entries UK'!B:B,'HARKAVA '!A102,'Adj. Entries UK'!E:E)</f>
        <v>0</v>
      </c>
      <c r="P102" s="75">
        <f t="shared" ref="P102" si="52">M102+N102-O102</f>
        <v>0</v>
      </c>
      <c r="Q102" s="75"/>
      <c r="R102" s="75">
        <f>SUMIF('TB security'!A:A,'HARKAVA '!A102,'TB security'!D:D)</f>
        <v>0</v>
      </c>
      <c r="S102" s="75">
        <f>SUMIF('Adj. Entries security'!B:B,'HARKAVA '!A102,'Adj. Entries security'!D:E)</f>
        <v>0</v>
      </c>
      <c r="T102" s="75">
        <f>SUMIF('Adj. Entries security'!B:B,'HARKAVA '!A102,'Adj. Entries security'!E:E)</f>
        <v>0</v>
      </c>
      <c r="U102" s="75">
        <f t="shared" si="30"/>
        <v>0</v>
      </c>
      <c r="V102" s="75">
        <f t="shared" si="31"/>
        <v>0</v>
      </c>
      <c r="Y102" s="77">
        <f t="shared" si="48"/>
        <v>0</v>
      </c>
      <c r="Z102" s="171">
        <f t="shared" ref="Z102:Z113" si="53">A102</f>
        <v>5690</v>
      </c>
      <c r="AD102" s="75">
        <v>0</v>
      </c>
      <c r="AF102" s="77">
        <v>0</v>
      </c>
      <c r="AG102" s="77">
        <v>0</v>
      </c>
      <c r="AH102" s="77">
        <v>0</v>
      </c>
      <c r="AI102" s="75">
        <v>0</v>
      </c>
      <c r="AK102" s="75">
        <v>0</v>
      </c>
      <c r="AL102" s="75">
        <v>0</v>
      </c>
      <c r="AM102" s="75">
        <v>0</v>
      </c>
      <c r="AN102" s="75">
        <v>0</v>
      </c>
      <c r="AO102" s="75"/>
      <c r="AP102" s="75">
        <v>0</v>
      </c>
      <c r="AQ102" s="75">
        <v>0</v>
      </c>
      <c r="AR102" s="75">
        <v>0</v>
      </c>
      <c r="AS102" s="75">
        <v>0</v>
      </c>
      <c r="AT102" s="75">
        <v>0</v>
      </c>
      <c r="AW102" s="77">
        <v>0</v>
      </c>
      <c r="AX102"/>
      <c r="AY102" s="77">
        <f t="shared" si="34"/>
        <v>0</v>
      </c>
      <c r="AZ102" s="77">
        <f t="shared" si="35"/>
        <v>0</v>
      </c>
      <c r="BA102" s="77">
        <f t="shared" si="36"/>
        <v>0</v>
      </c>
      <c r="BB102" s="77">
        <f t="shared" si="37"/>
        <v>0</v>
      </c>
    </row>
    <row r="103" spans="1:55" ht="16" hidden="1">
      <c r="A103" s="48">
        <v>5900</v>
      </c>
      <c r="B103" s="81" t="s">
        <v>113</v>
      </c>
      <c r="C103" s="75">
        <f>SUMIF('TB Mitiga LTD'!A:A,'HARKAVA '!A103,'TB Mitiga LTD'!D:D)</f>
        <v>0</v>
      </c>
      <c r="D103" s="75">
        <f>SUMIF('Adj Entries Ltd'!$B$4:$B$954,A103,'Adj Entries Ltd'!$D$4:$D$954)</f>
        <v>0</v>
      </c>
      <c r="E103" s="75">
        <f>SUMIF('Adj Entries Ltd'!$B$4:$B$954,A103,'Adj Entries Ltd'!$E$4:$E$954)</f>
        <v>0</v>
      </c>
      <c r="F103" s="75">
        <f t="shared" si="44"/>
        <v>0</v>
      </c>
      <c r="H103" s="77">
        <f>SUMIF('TB US'!A:A,'HARKAVA '!A103,'TB US'!D:D)</f>
        <v>0</v>
      </c>
      <c r="I103" s="77">
        <f>SUMIF('Adj. entries US'!B:B,'HARKAVA '!A103,'Adj. entries US'!D:D)</f>
        <v>0</v>
      </c>
      <c r="J103" s="77">
        <f>SUMIF('Adj. entries US'!B:B,'HARKAVA '!A103,'Adj. entries US'!E:E)</f>
        <v>0</v>
      </c>
      <c r="K103" s="75">
        <f t="shared" si="28"/>
        <v>0</v>
      </c>
      <c r="M103" s="75">
        <f>SUMIF('TB UK'!A:A,'HARKAVA '!A103,'TB UK'!E:E)</f>
        <v>0</v>
      </c>
      <c r="N103" s="75">
        <f>SUMIF('Adj. Entries UK'!B:B,'HARKAVA '!A103,'Adj. Entries UK'!D:D)</f>
        <v>0</v>
      </c>
      <c r="O103" s="75">
        <f>SUMIF('Adj. Entries UK'!B:B,'HARKAVA '!A103,'Adj. Entries UK'!E:E)</f>
        <v>0</v>
      </c>
      <c r="P103" s="75">
        <f t="shared" si="29"/>
        <v>0</v>
      </c>
      <c r="Q103" s="75"/>
      <c r="R103" s="75">
        <f>SUMIF('TB security'!A:A,'HARKAVA '!A103,'TB security'!D:D)</f>
        <v>0</v>
      </c>
      <c r="S103" s="75">
        <f>SUMIF('Adj. Entries security'!B:B,'HARKAVA '!A103,'Adj. Entries security'!D:E)</f>
        <v>0</v>
      </c>
      <c r="T103" s="75">
        <f>SUMIF('Adj. Entries security'!B:B,'HARKAVA '!A103,'Adj. Entries security'!E:E)</f>
        <v>0</v>
      </c>
      <c r="U103" s="75">
        <f t="shared" si="30"/>
        <v>0</v>
      </c>
      <c r="V103" s="75">
        <f t="shared" si="31"/>
        <v>0</v>
      </c>
      <c r="Y103" s="77">
        <f t="shared" si="48"/>
        <v>0</v>
      </c>
      <c r="Z103" s="171">
        <f t="shared" si="53"/>
        <v>5900</v>
      </c>
      <c r="AD103" s="75">
        <v>0</v>
      </c>
      <c r="AF103" s="77">
        <v>0</v>
      </c>
      <c r="AG103" s="77">
        <v>0</v>
      </c>
      <c r="AH103" s="77">
        <v>0</v>
      </c>
      <c r="AI103" s="75">
        <v>0</v>
      </c>
      <c r="AK103" s="75">
        <v>0</v>
      </c>
      <c r="AL103" s="75">
        <v>0</v>
      </c>
      <c r="AM103" s="75">
        <v>0</v>
      </c>
      <c r="AN103" s="75">
        <v>0</v>
      </c>
      <c r="AO103" s="75"/>
      <c r="AP103" s="75">
        <v>0</v>
      </c>
      <c r="AQ103" s="75">
        <v>0</v>
      </c>
      <c r="AR103" s="75">
        <v>0</v>
      </c>
      <c r="AS103" s="75">
        <v>0</v>
      </c>
      <c r="AT103" s="75">
        <v>0</v>
      </c>
      <c r="AW103" s="77">
        <v>0</v>
      </c>
      <c r="AX103"/>
      <c r="AY103" s="77">
        <f t="shared" si="34"/>
        <v>0</v>
      </c>
      <c r="AZ103" s="77">
        <f t="shared" si="35"/>
        <v>0</v>
      </c>
      <c r="BA103" s="77">
        <f t="shared" si="36"/>
        <v>0</v>
      </c>
      <c r="BB103" s="77">
        <f t="shared" si="37"/>
        <v>0</v>
      </c>
    </row>
    <row r="104" spans="1:55" ht="16" hidden="1">
      <c r="A104" s="48">
        <v>5920</v>
      </c>
      <c r="B104" s="81" t="s">
        <v>114</v>
      </c>
      <c r="C104" s="75">
        <f>SUMIF('TB Mitiga LTD'!A:A,'HARKAVA '!A104,'TB Mitiga LTD'!D:D)</f>
        <v>0</v>
      </c>
      <c r="D104" s="75">
        <f>SUMIF('Adj Entries Ltd'!$B$4:$B$954,A104,'Adj Entries Ltd'!$D$4:$D$954)</f>
        <v>0</v>
      </c>
      <c r="E104" s="75">
        <f>SUMIF('Adj Entries Ltd'!$B$4:$B$954,A104,'Adj Entries Ltd'!$E$4:$E$954)</f>
        <v>0</v>
      </c>
      <c r="F104" s="75">
        <f t="shared" si="44"/>
        <v>0</v>
      </c>
      <c r="H104" s="77">
        <f>SUMIF('TB US'!A:A,'HARKAVA '!A104,'TB US'!D:D)</f>
        <v>0</v>
      </c>
      <c r="I104" s="77">
        <f>SUMIF('Adj. entries US'!B:B,'HARKAVA '!A104,'Adj. entries US'!D:D)</f>
        <v>0</v>
      </c>
      <c r="J104" s="77">
        <f>SUMIF('Adj. entries US'!B:B,'HARKAVA '!A104,'Adj. entries US'!E:E)</f>
        <v>0</v>
      </c>
      <c r="K104" s="75">
        <f t="shared" si="28"/>
        <v>0</v>
      </c>
      <c r="M104" s="75">
        <f>SUMIF('TB UK'!A:A,'HARKAVA '!A104,'TB UK'!E:E)</f>
        <v>0</v>
      </c>
      <c r="N104" s="75">
        <f>SUMIF('Adj. Entries UK'!B:B,'HARKAVA '!A104,'Adj. Entries UK'!D:D)</f>
        <v>0</v>
      </c>
      <c r="O104" s="75">
        <f>SUMIF('Adj. Entries UK'!B:B,'HARKAVA '!A104,'Adj. Entries UK'!E:E)</f>
        <v>0</v>
      </c>
      <c r="P104" s="75">
        <f t="shared" si="29"/>
        <v>0</v>
      </c>
      <c r="Q104" s="75"/>
      <c r="R104" s="75">
        <f>SUMIF('TB security'!A:A,'HARKAVA '!A104,'TB security'!D:D)</f>
        <v>0</v>
      </c>
      <c r="S104" s="75">
        <f>SUMIF('Adj. Entries security'!B:B,'HARKAVA '!A104,'Adj. Entries security'!D:E)</f>
        <v>0</v>
      </c>
      <c r="T104" s="75">
        <f>SUMIF('Adj. Entries security'!B:B,'HARKAVA '!A104,'Adj. Entries security'!E:E)</f>
        <v>0</v>
      </c>
      <c r="U104" s="75">
        <f t="shared" si="30"/>
        <v>0</v>
      </c>
      <c r="V104" s="75">
        <f t="shared" si="31"/>
        <v>0</v>
      </c>
      <c r="Y104" s="77">
        <f t="shared" si="48"/>
        <v>0</v>
      </c>
      <c r="Z104" s="171">
        <f t="shared" si="53"/>
        <v>5920</v>
      </c>
      <c r="AD104" s="75">
        <v>0</v>
      </c>
      <c r="AF104" s="77">
        <v>0</v>
      </c>
      <c r="AG104" s="77">
        <v>0</v>
      </c>
      <c r="AH104" s="77">
        <v>0</v>
      </c>
      <c r="AI104" s="75">
        <v>0</v>
      </c>
      <c r="AK104" s="75">
        <v>0</v>
      </c>
      <c r="AL104" s="75">
        <v>0</v>
      </c>
      <c r="AM104" s="75">
        <v>0</v>
      </c>
      <c r="AN104" s="75">
        <v>0</v>
      </c>
      <c r="AO104" s="75"/>
      <c r="AP104" s="75">
        <v>0</v>
      </c>
      <c r="AQ104" s="75">
        <v>0</v>
      </c>
      <c r="AR104" s="75">
        <v>0</v>
      </c>
      <c r="AS104" s="75">
        <v>0</v>
      </c>
      <c r="AT104" s="75">
        <v>0</v>
      </c>
      <c r="AW104" s="77">
        <v>0</v>
      </c>
      <c r="AX104"/>
      <c r="AY104" s="77">
        <f t="shared" si="34"/>
        <v>0</v>
      </c>
      <c r="AZ104" s="77">
        <f t="shared" si="35"/>
        <v>0</v>
      </c>
      <c r="BA104" s="77">
        <f t="shared" si="36"/>
        <v>0</v>
      </c>
      <c r="BB104" s="77">
        <f t="shared" si="37"/>
        <v>0</v>
      </c>
    </row>
    <row r="105" spans="1:55" ht="16" hidden="1">
      <c r="A105" s="48">
        <v>5930</v>
      </c>
      <c r="B105" s="81" t="s">
        <v>115</v>
      </c>
      <c r="C105" s="75">
        <f>SUMIF('TB Mitiga LTD'!A:A,'HARKAVA '!A105,'TB Mitiga LTD'!D:D)</f>
        <v>0</v>
      </c>
      <c r="D105" s="75">
        <f>SUMIF('Adj Entries Ltd'!$B$4:$B$954,A105,'Adj Entries Ltd'!$D$4:$D$954)</f>
        <v>0</v>
      </c>
      <c r="E105" s="75">
        <f>SUMIF('Adj Entries Ltd'!$B$4:$B$954,A105,'Adj Entries Ltd'!$E$4:$E$954)</f>
        <v>0</v>
      </c>
      <c r="F105" s="75">
        <f t="shared" si="44"/>
        <v>0</v>
      </c>
      <c r="H105" s="77">
        <f>SUMIF('TB US'!A:A,'HARKAVA '!A105,'TB US'!D:D)</f>
        <v>0</v>
      </c>
      <c r="I105" s="77">
        <f>SUMIF('Adj. entries US'!B:B,'HARKAVA '!A105,'Adj. entries US'!D:D)</f>
        <v>0</v>
      </c>
      <c r="J105" s="77">
        <f>SUMIF('Adj. entries US'!B:B,'HARKAVA '!A105,'Adj. entries US'!E:E)</f>
        <v>0</v>
      </c>
      <c r="K105" s="75">
        <f t="shared" si="28"/>
        <v>0</v>
      </c>
      <c r="M105" s="75">
        <f>SUMIF('TB UK'!A:A,'HARKAVA '!A105,'TB UK'!E:E)</f>
        <v>0</v>
      </c>
      <c r="N105" s="75">
        <f>SUMIF('Adj. Entries UK'!B:B,'HARKAVA '!A105,'Adj. Entries UK'!D:D)</f>
        <v>0</v>
      </c>
      <c r="O105" s="75">
        <f>SUMIF('Adj. Entries UK'!B:B,'HARKAVA '!A105,'Adj. Entries UK'!E:E)</f>
        <v>0</v>
      </c>
      <c r="P105" s="75">
        <f t="shared" si="29"/>
        <v>0</v>
      </c>
      <c r="Q105" s="75"/>
      <c r="R105" s="75">
        <f>SUMIF('TB security'!A:A,'HARKAVA '!A105,'TB security'!D:D)</f>
        <v>0</v>
      </c>
      <c r="S105" s="75">
        <f>SUMIF('Adj. Entries security'!B:B,'HARKAVA '!A105,'Adj. Entries security'!D:E)</f>
        <v>0</v>
      </c>
      <c r="T105" s="75">
        <f>SUMIF('Adj. Entries security'!B:B,'HARKAVA '!A105,'Adj. Entries security'!E:E)</f>
        <v>0</v>
      </c>
      <c r="U105" s="75">
        <f t="shared" si="30"/>
        <v>0</v>
      </c>
      <c r="V105" s="75">
        <f t="shared" si="31"/>
        <v>0</v>
      </c>
      <c r="Y105" s="77">
        <f t="shared" si="48"/>
        <v>0</v>
      </c>
      <c r="Z105" s="171">
        <f t="shared" si="53"/>
        <v>5930</v>
      </c>
      <c r="AD105" s="75">
        <v>0</v>
      </c>
      <c r="AF105" s="77">
        <v>0</v>
      </c>
      <c r="AG105" s="77">
        <v>0</v>
      </c>
      <c r="AH105" s="77">
        <v>0</v>
      </c>
      <c r="AI105" s="75">
        <v>0</v>
      </c>
      <c r="AK105" s="75">
        <v>0</v>
      </c>
      <c r="AL105" s="75">
        <v>0</v>
      </c>
      <c r="AM105" s="75">
        <v>0</v>
      </c>
      <c r="AN105" s="75">
        <v>0</v>
      </c>
      <c r="AO105" s="75"/>
      <c r="AP105" s="75">
        <v>0</v>
      </c>
      <c r="AQ105" s="75">
        <v>0</v>
      </c>
      <c r="AR105" s="75">
        <v>0</v>
      </c>
      <c r="AS105" s="75">
        <v>0</v>
      </c>
      <c r="AT105" s="75">
        <v>0</v>
      </c>
      <c r="AW105" s="77">
        <v>0</v>
      </c>
      <c r="AX105"/>
      <c r="AY105" s="77">
        <f t="shared" si="34"/>
        <v>0</v>
      </c>
      <c r="AZ105" s="77">
        <f t="shared" si="35"/>
        <v>0</v>
      </c>
      <c r="BA105" s="77">
        <f t="shared" si="36"/>
        <v>0</v>
      </c>
      <c r="BB105" s="77">
        <f t="shared" si="37"/>
        <v>0</v>
      </c>
    </row>
    <row r="106" spans="1:55" ht="16" hidden="1">
      <c r="A106" s="48">
        <v>5940</v>
      </c>
      <c r="B106" s="81" t="s">
        <v>116</v>
      </c>
      <c r="C106" s="75">
        <f>SUMIF('TB Mitiga LTD'!A:A,'HARKAVA '!A106,'TB Mitiga LTD'!D:D)</f>
        <v>0</v>
      </c>
      <c r="D106" s="75">
        <f>SUMIF('Adj Entries Ltd'!$B$4:$B$954,A106,'Adj Entries Ltd'!$D$4:$D$954)</f>
        <v>0</v>
      </c>
      <c r="E106" s="75">
        <f>SUMIF('Adj Entries Ltd'!$B$4:$B$954,A106,'Adj Entries Ltd'!$E$4:$E$954)</f>
        <v>0</v>
      </c>
      <c r="F106" s="75">
        <f t="shared" si="44"/>
        <v>0</v>
      </c>
      <c r="H106" s="77">
        <f>SUMIF('TB US'!A:A,'HARKAVA '!A106,'TB US'!D:D)</f>
        <v>0</v>
      </c>
      <c r="I106" s="77">
        <f>SUMIF('Adj. entries US'!B:B,'HARKAVA '!A106,'Adj. entries US'!D:D)</f>
        <v>0</v>
      </c>
      <c r="J106" s="77">
        <f>SUMIF('Adj. entries US'!B:B,'HARKAVA '!A106,'Adj. entries US'!E:E)</f>
        <v>0</v>
      </c>
      <c r="K106" s="75">
        <f t="shared" si="28"/>
        <v>0</v>
      </c>
      <c r="M106" s="75">
        <f>SUMIF('TB UK'!A:A,'HARKAVA '!A106,'TB UK'!E:E)</f>
        <v>0</v>
      </c>
      <c r="N106" s="75">
        <f>SUMIF('Adj. Entries UK'!B:B,'HARKAVA '!A106,'Adj. Entries UK'!D:D)</f>
        <v>0</v>
      </c>
      <c r="O106" s="75">
        <f>SUMIF('Adj. Entries UK'!B:B,'HARKAVA '!A106,'Adj. Entries UK'!E:E)</f>
        <v>0</v>
      </c>
      <c r="P106" s="75">
        <f t="shared" si="29"/>
        <v>0</v>
      </c>
      <c r="Q106" s="75"/>
      <c r="R106" s="75">
        <f>SUMIF('TB security'!A:A,'HARKAVA '!A106,'TB security'!D:D)</f>
        <v>0</v>
      </c>
      <c r="S106" s="75">
        <f>SUMIF('Adj. Entries security'!B:B,'HARKAVA '!A106,'Adj. Entries security'!D:E)</f>
        <v>0</v>
      </c>
      <c r="T106" s="75">
        <f>SUMIF('Adj. Entries security'!B:B,'HARKAVA '!A106,'Adj. Entries security'!E:E)</f>
        <v>0</v>
      </c>
      <c r="U106" s="75">
        <f t="shared" si="30"/>
        <v>0</v>
      </c>
      <c r="V106" s="75">
        <f t="shared" si="31"/>
        <v>0</v>
      </c>
      <c r="Y106" s="77">
        <f t="shared" si="48"/>
        <v>0</v>
      </c>
      <c r="Z106" s="171">
        <f t="shared" si="53"/>
        <v>5940</v>
      </c>
      <c r="AD106" s="75">
        <v>0</v>
      </c>
      <c r="AF106" s="77">
        <v>0</v>
      </c>
      <c r="AG106" s="77">
        <v>0</v>
      </c>
      <c r="AH106" s="77">
        <v>0</v>
      </c>
      <c r="AI106" s="75">
        <v>0</v>
      </c>
      <c r="AK106" s="75">
        <v>0</v>
      </c>
      <c r="AL106" s="75">
        <v>0</v>
      </c>
      <c r="AM106" s="75">
        <v>0</v>
      </c>
      <c r="AN106" s="75">
        <v>0</v>
      </c>
      <c r="AO106" s="75"/>
      <c r="AP106" s="75">
        <v>0</v>
      </c>
      <c r="AQ106" s="75">
        <v>0</v>
      </c>
      <c r="AR106" s="75">
        <v>0</v>
      </c>
      <c r="AS106" s="75">
        <v>0</v>
      </c>
      <c r="AT106" s="75">
        <v>0</v>
      </c>
      <c r="AW106" s="77">
        <v>0</v>
      </c>
      <c r="AX106"/>
      <c r="AY106" s="77">
        <f t="shared" si="34"/>
        <v>0</v>
      </c>
      <c r="AZ106" s="77">
        <f t="shared" si="35"/>
        <v>0</v>
      </c>
      <c r="BA106" s="77">
        <f t="shared" si="36"/>
        <v>0</v>
      </c>
      <c r="BB106" s="77">
        <f t="shared" si="37"/>
        <v>0</v>
      </c>
    </row>
    <row r="107" spans="1:55" ht="16" hidden="1">
      <c r="A107" s="48">
        <v>5950</v>
      </c>
      <c r="B107" s="81" t="s">
        <v>117</v>
      </c>
      <c r="C107" s="75">
        <f>SUMIF('TB Mitiga LTD'!A:A,'HARKAVA '!A107,'TB Mitiga LTD'!D:D)</f>
        <v>0</v>
      </c>
      <c r="D107" s="75">
        <f>SUMIF('Adj Entries Ltd'!$B$4:$B$954,A107,'Adj Entries Ltd'!$D$4:$D$954)</f>
        <v>0</v>
      </c>
      <c r="E107" s="75">
        <f>SUMIF('Adj Entries Ltd'!$B$4:$B$954,A107,'Adj Entries Ltd'!$E$4:$E$954)</f>
        <v>0</v>
      </c>
      <c r="F107" s="75">
        <f t="shared" si="44"/>
        <v>0</v>
      </c>
      <c r="H107" s="77">
        <f>SUMIF('TB US'!A:A,'HARKAVA '!A107,'TB US'!D:D)</f>
        <v>0</v>
      </c>
      <c r="I107" s="77">
        <f>SUMIF('Adj. entries US'!B:B,'HARKAVA '!A107,'Adj. entries US'!D:D)</f>
        <v>0</v>
      </c>
      <c r="J107" s="77">
        <f>SUMIF('Adj. entries US'!B:B,'HARKAVA '!A107,'Adj. entries US'!E:E)</f>
        <v>0</v>
      </c>
      <c r="K107" s="75">
        <f t="shared" si="28"/>
        <v>0</v>
      </c>
      <c r="M107" s="75">
        <f>SUMIF('TB UK'!A:A,'HARKAVA '!A107,'TB UK'!E:E)</f>
        <v>0</v>
      </c>
      <c r="N107" s="75">
        <f>SUMIF('Adj. Entries UK'!B:B,'HARKAVA '!A107,'Adj. Entries UK'!D:D)</f>
        <v>0</v>
      </c>
      <c r="O107" s="75">
        <f>SUMIF('Adj. Entries UK'!B:B,'HARKAVA '!A107,'Adj. Entries UK'!E:E)</f>
        <v>0</v>
      </c>
      <c r="P107" s="75">
        <f t="shared" si="29"/>
        <v>0</v>
      </c>
      <c r="Q107" s="75"/>
      <c r="R107" s="75">
        <f>SUMIF('TB security'!A:A,'HARKAVA '!A107,'TB security'!D:D)</f>
        <v>0</v>
      </c>
      <c r="S107" s="75">
        <f>SUMIF('Adj. Entries security'!B:B,'HARKAVA '!A107,'Adj. Entries security'!D:E)</f>
        <v>0</v>
      </c>
      <c r="T107" s="75">
        <f>SUMIF('Adj. Entries security'!B:B,'HARKAVA '!A107,'Adj. Entries security'!E:E)</f>
        <v>0</v>
      </c>
      <c r="U107" s="75">
        <f t="shared" si="30"/>
        <v>0</v>
      </c>
      <c r="V107" s="75">
        <f t="shared" si="31"/>
        <v>0</v>
      </c>
      <c r="Y107" s="77">
        <f t="shared" si="48"/>
        <v>0</v>
      </c>
      <c r="Z107" s="171">
        <f t="shared" si="53"/>
        <v>5950</v>
      </c>
      <c r="AD107" s="75">
        <v>0</v>
      </c>
      <c r="AF107" s="77">
        <v>0</v>
      </c>
      <c r="AG107" s="77">
        <v>0</v>
      </c>
      <c r="AH107" s="77">
        <v>0</v>
      </c>
      <c r="AI107" s="75">
        <v>0</v>
      </c>
      <c r="AK107" s="75">
        <v>0</v>
      </c>
      <c r="AL107" s="75">
        <v>0</v>
      </c>
      <c r="AM107" s="75">
        <v>0</v>
      </c>
      <c r="AN107" s="75">
        <v>0</v>
      </c>
      <c r="AO107" s="75"/>
      <c r="AP107" s="75">
        <v>0</v>
      </c>
      <c r="AQ107" s="75">
        <v>0</v>
      </c>
      <c r="AR107" s="75">
        <v>0</v>
      </c>
      <c r="AS107" s="75">
        <v>0</v>
      </c>
      <c r="AT107" s="75">
        <v>0</v>
      </c>
      <c r="AW107" s="77">
        <v>0</v>
      </c>
      <c r="AX107"/>
      <c r="AY107" s="77">
        <f t="shared" si="34"/>
        <v>0</v>
      </c>
      <c r="AZ107" s="77">
        <f t="shared" si="35"/>
        <v>0</v>
      </c>
      <c r="BA107" s="77">
        <f t="shared" si="36"/>
        <v>0</v>
      </c>
      <c r="BB107" s="77">
        <f t="shared" si="37"/>
        <v>0</v>
      </c>
    </row>
    <row r="108" spans="1:55" ht="16" hidden="1">
      <c r="A108" s="48">
        <v>5970</v>
      </c>
      <c r="B108" s="81" t="s">
        <v>118</v>
      </c>
      <c r="C108" s="75">
        <f>SUMIF('TB Mitiga LTD'!A:A,'HARKAVA '!A108,'TB Mitiga LTD'!D:D)</f>
        <v>0</v>
      </c>
      <c r="D108" s="75">
        <f>SUMIF('Adj Entries Ltd'!$B$4:$B$954,A108,'Adj Entries Ltd'!$D$4:$D$954)</f>
        <v>0</v>
      </c>
      <c r="E108" s="75">
        <f>SUMIF('Adj Entries Ltd'!$B$4:$B$954,A108,'Adj Entries Ltd'!$E$4:$E$954)</f>
        <v>0</v>
      </c>
      <c r="F108" s="75">
        <f>(+C108+D108-E108)</f>
        <v>0</v>
      </c>
      <c r="H108" s="77">
        <f>SUMIF('TB US'!A:A,'HARKAVA '!A108,'TB US'!D:D)</f>
        <v>0</v>
      </c>
      <c r="I108" s="77">
        <f>SUMIF('Adj. entries US'!B:B,'HARKAVA '!A108,'Adj. entries US'!D:D)</f>
        <v>0</v>
      </c>
      <c r="J108" s="77">
        <f>SUMIF('Adj. entries US'!B:B,'HARKAVA '!A108,'Adj. entries US'!E:E)</f>
        <v>0</v>
      </c>
      <c r="K108" s="75">
        <f t="shared" si="28"/>
        <v>0</v>
      </c>
      <c r="M108" s="75">
        <f>SUMIF('TB UK'!A:A,'HARKAVA '!A108,'TB UK'!E:E)</f>
        <v>0</v>
      </c>
      <c r="N108" s="75">
        <f>SUMIF('Adj. Entries UK'!B:B,'HARKAVA '!A108,'Adj. Entries UK'!D:D)</f>
        <v>0</v>
      </c>
      <c r="O108" s="75">
        <f>SUMIF('Adj. Entries UK'!B:B,'HARKAVA '!A108,'Adj. Entries UK'!E:E)</f>
        <v>0</v>
      </c>
      <c r="P108" s="75">
        <f t="shared" si="29"/>
        <v>0</v>
      </c>
      <c r="Q108" s="75"/>
      <c r="R108" s="75">
        <f>SUMIF('TB security'!A:A,'HARKAVA '!A108,'TB security'!D:D)</f>
        <v>0</v>
      </c>
      <c r="S108" s="75">
        <f>SUMIF('Adj. Entries security'!B:B,'HARKAVA '!A108,'Adj. Entries security'!D:E)</f>
        <v>0</v>
      </c>
      <c r="T108" s="75">
        <f>SUMIF('Adj. Entries security'!B:B,'HARKAVA '!A108,'Adj. Entries security'!E:E)</f>
        <v>0</v>
      </c>
      <c r="U108" s="75">
        <f t="shared" si="30"/>
        <v>0</v>
      </c>
      <c r="V108" s="75">
        <f t="shared" si="31"/>
        <v>0</v>
      </c>
      <c r="Y108" s="77">
        <f t="shared" si="48"/>
        <v>0</v>
      </c>
      <c r="Z108" s="171">
        <f t="shared" si="53"/>
        <v>5970</v>
      </c>
      <c r="AD108" s="75">
        <v>0</v>
      </c>
      <c r="AF108" s="77">
        <v>0</v>
      </c>
      <c r="AG108" s="77">
        <v>0</v>
      </c>
      <c r="AH108" s="77">
        <v>0</v>
      </c>
      <c r="AI108" s="75">
        <v>0</v>
      </c>
      <c r="AK108" s="75">
        <v>0</v>
      </c>
      <c r="AL108" s="75">
        <v>0</v>
      </c>
      <c r="AM108" s="75">
        <v>0</v>
      </c>
      <c r="AN108" s="75">
        <v>0</v>
      </c>
      <c r="AO108" s="75"/>
      <c r="AP108" s="75">
        <v>0</v>
      </c>
      <c r="AQ108" s="75">
        <v>0</v>
      </c>
      <c r="AR108" s="75">
        <v>0</v>
      </c>
      <c r="AS108" s="75">
        <v>0</v>
      </c>
      <c r="AT108" s="75">
        <v>0</v>
      </c>
      <c r="AW108" s="77">
        <v>0</v>
      </c>
      <c r="AX108"/>
      <c r="AY108" s="77">
        <f t="shared" si="34"/>
        <v>0</v>
      </c>
      <c r="AZ108" s="77">
        <f t="shared" si="35"/>
        <v>0</v>
      </c>
      <c r="BA108" s="77">
        <f t="shared" si="36"/>
        <v>0</v>
      </c>
      <c r="BB108" s="77">
        <f t="shared" si="37"/>
        <v>0</v>
      </c>
    </row>
    <row r="109" spans="1:55" ht="16" hidden="1">
      <c r="A109" s="48">
        <v>5960</v>
      </c>
      <c r="B109" s="81" t="s">
        <v>119</v>
      </c>
      <c r="C109" s="75">
        <f>SUMIF('TB Mitiga LTD'!A:A,'HARKAVA '!A109,'TB Mitiga LTD'!D:D)</f>
        <v>0</v>
      </c>
      <c r="D109" s="75">
        <f>SUMIF('Adj Entries Ltd'!$B$4:$B$954,A109,'Adj Entries Ltd'!$D$4:$D$954)</f>
        <v>0</v>
      </c>
      <c r="E109" s="75">
        <f>SUMIF('Adj Entries Ltd'!$B$4:$B$954,A109,'Adj Entries Ltd'!$E$4:$E$954)</f>
        <v>0</v>
      </c>
      <c r="F109" s="75">
        <f t="shared" si="44"/>
        <v>0</v>
      </c>
      <c r="H109" s="77">
        <f>SUMIF('TB US'!A:A,'HARKAVA '!A109,'TB US'!D:D)</f>
        <v>0</v>
      </c>
      <c r="I109" s="77">
        <f>SUMIF('Adj. entries US'!B:B,'HARKAVA '!A109,'Adj. entries US'!D:D)</f>
        <v>0</v>
      </c>
      <c r="J109" s="77">
        <f>SUMIF('Adj. entries US'!B:B,'HARKAVA '!A109,'Adj. entries US'!E:E)</f>
        <v>0</v>
      </c>
      <c r="K109" s="75">
        <f t="shared" si="28"/>
        <v>0</v>
      </c>
      <c r="M109" s="75">
        <f>SUMIF('TB UK'!A:A,'HARKAVA '!A109,'TB UK'!E:E)</f>
        <v>0</v>
      </c>
      <c r="N109" s="75">
        <f>SUMIF('Adj. Entries UK'!B:B,'HARKAVA '!A109,'Adj. Entries UK'!D:D)</f>
        <v>0</v>
      </c>
      <c r="O109" s="75">
        <f>SUMIF('Adj. Entries UK'!B:B,'HARKAVA '!A109,'Adj. Entries UK'!E:E)</f>
        <v>0</v>
      </c>
      <c r="P109" s="75">
        <f t="shared" si="29"/>
        <v>0</v>
      </c>
      <c r="Q109" s="75"/>
      <c r="R109" s="75">
        <f>SUMIF('TB security'!A:A,'HARKAVA '!A109,'TB security'!D:D)</f>
        <v>0</v>
      </c>
      <c r="S109" s="75">
        <f>SUMIF('Adj. Entries security'!B:B,'HARKAVA '!A109,'Adj. Entries security'!D:E)</f>
        <v>0</v>
      </c>
      <c r="T109" s="75">
        <f>SUMIF('Adj. Entries security'!B:B,'HARKAVA '!A109,'Adj. Entries security'!E:E)</f>
        <v>0</v>
      </c>
      <c r="U109" s="75">
        <f t="shared" si="30"/>
        <v>0</v>
      </c>
      <c r="V109" s="75">
        <f t="shared" si="31"/>
        <v>0</v>
      </c>
      <c r="Y109" s="77">
        <f t="shared" si="48"/>
        <v>0</v>
      </c>
      <c r="Z109" s="171">
        <f t="shared" si="53"/>
        <v>5960</v>
      </c>
      <c r="AD109" s="75">
        <v>0</v>
      </c>
      <c r="AF109" s="77">
        <v>0</v>
      </c>
      <c r="AG109" s="77">
        <v>0</v>
      </c>
      <c r="AH109" s="77">
        <v>0</v>
      </c>
      <c r="AI109" s="75">
        <v>0</v>
      </c>
      <c r="AK109" s="75">
        <v>0</v>
      </c>
      <c r="AL109" s="75">
        <v>0</v>
      </c>
      <c r="AM109" s="75">
        <v>0</v>
      </c>
      <c r="AN109" s="75">
        <v>0</v>
      </c>
      <c r="AO109" s="75"/>
      <c r="AP109" s="75">
        <v>0</v>
      </c>
      <c r="AQ109" s="75">
        <v>0</v>
      </c>
      <c r="AR109" s="75">
        <v>0</v>
      </c>
      <c r="AS109" s="75">
        <v>0</v>
      </c>
      <c r="AT109" s="75">
        <v>0</v>
      </c>
      <c r="AW109" s="77">
        <v>0</v>
      </c>
      <c r="AX109"/>
      <c r="AY109" s="77">
        <f t="shared" si="34"/>
        <v>0</v>
      </c>
      <c r="AZ109" s="77">
        <f t="shared" si="35"/>
        <v>0</v>
      </c>
      <c r="BA109" s="77">
        <f t="shared" si="36"/>
        <v>0</v>
      </c>
      <c r="BB109" s="77">
        <f t="shared" si="37"/>
        <v>0</v>
      </c>
    </row>
    <row r="110" spans="1:55" ht="16">
      <c r="A110" s="48">
        <v>5990</v>
      </c>
      <c r="B110" s="81" t="s">
        <v>120</v>
      </c>
      <c r="C110" s="75">
        <f>SUMIF('TB Mitiga LTD'!A:A,'HARKAVA '!A110,'TB Mitiga LTD'!D:D)</f>
        <v>0</v>
      </c>
      <c r="D110" s="75">
        <f>SUMIF('Adj Entries Ltd'!$B$4:$B$954,A110,'Adj Entries Ltd'!$D$4:$D$954)</f>
        <v>0</v>
      </c>
      <c r="E110" s="75">
        <f>SUMIF('Adj Entries Ltd'!$B$4:$B$954,A110,'Adj Entries Ltd'!$E$4:$E$954)</f>
        <v>0</v>
      </c>
      <c r="F110" s="75">
        <f t="shared" si="44"/>
        <v>0</v>
      </c>
      <c r="G110" s="91"/>
      <c r="H110" s="77">
        <f>SUMIF('TB US'!A:A,'HARKAVA '!A110,'TB US'!D:D)</f>
        <v>0</v>
      </c>
      <c r="I110" s="77">
        <f>SUMIF('Adj. entries US'!B:B,'HARKAVA '!A110,'Adj. entries US'!D:D)</f>
        <v>0</v>
      </c>
      <c r="J110" s="77">
        <f>SUMIF('Adj. entries US'!B:B,'HARKAVA '!A110,'Adj. entries US'!E:E)</f>
        <v>0</v>
      </c>
      <c r="K110" s="75">
        <f t="shared" si="28"/>
        <v>0</v>
      </c>
      <c r="L110" s="91"/>
      <c r="M110" s="75">
        <f>SUMIF('TB UK'!A:A,'HARKAVA '!A110,'TB UK'!E:E)</f>
        <v>0</v>
      </c>
      <c r="N110" s="75">
        <f>SUMIF('Adj. Entries UK'!B:B,'HARKAVA '!A110,'Adj. Entries UK'!D:D)</f>
        <v>0</v>
      </c>
      <c r="O110" s="75">
        <f>SUMIF('Adj. Entries UK'!B:B,'HARKAVA '!A110,'Adj. Entries UK'!E:E)</f>
        <v>0</v>
      </c>
      <c r="P110" s="75">
        <f t="shared" si="29"/>
        <v>0</v>
      </c>
      <c r="Q110" s="75"/>
      <c r="R110" s="75">
        <f>SUMIF('TB security'!A:A,'HARKAVA '!A110,'TB security'!D:D)</f>
        <v>0</v>
      </c>
      <c r="S110" s="75">
        <f>SUMIF('Adj. Entries security'!B:B,'HARKAVA '!A110,'Adj. Entries security'!D:E)</f>
        <v>0</v>
      </c>
      <c r="T110" s="75">
        <f>SUMIF('Adj. Entries security'!B:B,'HARKAVA '!A110,'Adj. Entries security'!E:E)</f>
        <v>0</v>
      </c>
      <c r="U110" s="75">
        <f t="shared" si="30"/>
        <v>0</v>
      </c>
      <c r="V110" s="75">
        <f>P110+F110+U110+K110</f>
        <v>0</v>
      </c>
      <c r="W110" s="91"/>
      <c r="Y110" s="77">
        <f t="shared" si="48"/>
        <v>0</v>
      </c>
      <c r="Z110" s="171">
        <f t="shared" si="53"/>
        <v>5990</v>
      </c>
      <c r="AC110" s="91"/>
      <c r="AD110" s="75">
        <v>0</v>
      </c>
      <c r="AE110" s="91"/>
      <c r="AF110" s="77">
        <v>0</v>
      </c>
      <c r="AG110" s="77">
        <v>0</v>
      </c>
      <c r="AH110" s="77">
        <v>0</v>
      </c>
      <c r="AI110" s="75">
        <v>0</v>
      </c>
      <c r="AJ110" s="91"/>
      <c r="AK110" s="75">
        <v>0</v>
      </c>
      <c r="AL110" s="75">
        <v>0</v>
      </c>
      <c r="AM110" s="75">
        <v>0</v>
      </c>
      <c r="AN110" s="75">
        <v>0</v>
      </c>
      <c r="AO110" s="75"/>
      <c r="AP110" s="75">
        <v>0</v>
      </c>
      <c r="AQ110" s="75">
        <v>0</v>
      </c>
      <c r="AR110" s="75">
        <v>0</v>
      </c>
      <c r="AS110" s="75">
        <v>0</v>
      </c>
      <c r="AT110" s="75">
        <v>0</v>
      </c>
      <c r="AU110" s="91"/>
      <c r="AW110" s="77">
        <v>0</v>
      </c>
      <c r="AX110"/>
      <c r="AY110" s="77">
        <f t="shared" si="34"/>
        <v>0</v>
      </c>
      <c r="AZ110" s="77">
        <f t="shared" si="35"/>
        <v>0</v>
      </c>
      <c r="BA110" s="77">
        <f t="shared" si="36"/>
        <v>0</v>
      </c>
      <c r="BB110" s="77">
        <f t="shared" si="37"/>
        <v>0</v>
      </c>
    </row>
    <row r="111" spans="1:55" ht="16">
      <c r="A111" s="48">
        <v>5700</v>
      </c>
      <c r="B111" s="81" t="s">
        <v>121</v>
      </c>
      <c r="C111" s="369">
        <f>SUMIF('TB Mitiga LTD'!A:A,'HARKAVA '!A111,'TB Mitiga LTD'!D:D)</f>
        <v>463.69000000000034</v>
      </c>
      <c r="D111" s="75">
        <f>SUMIF('Adj Entries Ltd'!$B$4:$B$954,A111,'Adj Entries Ltd'!$D$4:$D$954)</f>
        <v>0</v>
      </c>
      <c r="E111" s="75">
        <f>SUMIF('Adj Entries Ltd'!$B$4:$B$954,A111,'Adj Entries Ltd'!$E$4:$E$954)</f>
        <v>0</v>
      </c>
      <c r="F111" s="369">
        <f t="shared" si="44"/>
        <v>463.69000000000034</v>
      </c>
      <c r="G111" s="91"/>
      <c r="H111" s="463">
        <f>SUMIF('TB US'!A:A,'HARKAVA '!A111,'TB US'!D:D)</f>
        <v>60</v>
      </c>
      <c r="I111" s="77">
        <f>SUMIF('Adj. entries US'!B:B,'HARKAVA '!A111,'Adj. entries US'!D:D)</f>
        <v>0</v>
      </c>
      <c r="J111" s="77">
        <f>SUMIF('Adj. entries US'!B:B,'HARKAVA '!A111,'Adj. entries US'!E:E)</f>
        <v>0</v>
      </c>
      <c r="K111" s="369">
        <f t="shared" si="28"/>
        <v>60</v>
      </c>
      <c r="L111" s="91"/>
      <c r="M111" s="369">
        <f>SUMIF('TB UK'!A:A,'HARKAVA '!A111,'TB UK'!E:E)</f>
        <v>2020.23</v>
      </c>
      <c r="N111" s="75">
        <f>SUMIF('Adj. Entries UK'!B:B,'HARKAVA '!A111,'Adj. Entries UK'!D:D)</f>
        <v>0</v>
      </c>
      <c r="O111" s="75">
        <f>SUMIF('Adj. Entries UK'!B:B,'HARKAVA '!A111,'Adj. Entries UK'!E:E)</f>
        <v>0</v>
      </c>
      <c r="P111" s="369">
        <f t="shared" si="29"/>
        <v>2020.23</v>
      </c>
      <c r="Q111" s="75"/>
      <c r="R111" s="369">
        <f>SUMIF('TB security'!A:A,'HARKAVA '!A111,'TB security'!D:D)</f>
        <v>3620.9199999999996</v>
      </c>
      <c r="S111" s="75">
        <f>SUMIF('Adj. Entries security'!B:B,'HARKAVA '!A111,'Adj. Entries security'!D:E)</f>
        <v>0</v>
      </c>
      <c r="T111" s="75">
        <f>SUMIF('Adj. Entries security'!B:B,'HARKAVA '!A111,'Adj. Entries security'!E:E)</f>
        <v>0</v>
      </c>
      <c r="U111" s="369">
        <f t="shared" si="30"/>
        <v>3620.9199999999996</v>
      </c>
      <c r="V111" s="75">
        <f t="shared" si="31"/>
        <v>6164.84</v>
      </c>
      <c r="W111" s="91"/>
      <c r="X111" s="77">
        <f>4150*0</f>
        <v>0</v>
      </c>
      <c r="Y111" s="77">
        <f t="shared" si="48"/>
        <v>6164.84</v>
      </c>
      <c r="Z111" s="171">
        <f t="shared" si="53"/>
        <v>5700</v>
      </c>
      <c r="AC111" s="91"/>
      <c r="AD111" s="369">
        <v>463.69000000000034</v>
      </c>
      <c r="AE111" s="91"/>
      <c r="AF111" s="463">
        <v>60</v>
      </c>
      <c r="AG111" s="77">
        <v>0</v>
      </c>
      <c r="AH111" s="77">
        <v>0</v>
      </c>
      <c r="AI111" s="369">
        <v>60</v>
      </c>
      <c r="AJ111" s="91"/>
      <c r="AK111" s="369">
        <v>2020.23</v>
      </c>
      <c r="AL111" s="75">
        <v>0</v>
      </c>
      <c r="AM111" s="75">
        <v>0</v>
      </c>
      <c r="AN111" s="369">
        <v>2020.23</v>
      </c>
      <c r="AO111" s="75"/>
      <c r="AP111" s="369">
        <v>3620.91</v>
      </c>
      <c r="AQ111" s="75">
        <v>0</v>
      </c>
      <c r="AR111" s="75">
        <v>0</v>
      </c>
      <c r="AS111" s="369">
        <v>3620.91</v>
      </c>
      <c r="AT111" s="75">
        <v>6164.83</v>
      </c>
      <c r="AU111" s="91"/>
      <c r="AV111" s="77">
        <v>0</v>
      </c>
      <c r="AW111" s="77">
        <v>6164.83</v>
      </c>
      <c r="AX111"/>
      <c r="AY111" s="77">
        <f t="shared" si="34"/>
        <v>0</v>
      </c>
      <c r="AZ111" s="77">
        <f t="shared" si="35"/>
        <v>0</v>
      </c>
      <c r="BA111" s="77">
        <f t="shared" si="36"/>
        <v>9.9999999997635314E-3</v>
      </c>
      <c r="BB111" s="77">
        <f t="shared" si="37"/>
        <v>0</v>
      </c>
      <c r="BC111"/>
    </row>
    <row r="112" spans="1:55" s="88" customFormat="1" ht="16">
      <c r="A112" s="48">
        <v>5800</v>
      </c>
      <c r="B112" s="81" t="s">
        <v>122</v>
      </c>
      <c r="C112" s="75">
        <f>SUMIF('TB Mitiga LTD'!A:A,'HARKAVA '!A112,'TB Mitiga LTD'!D:D)</f>
        <v>0</v>
      </c>
      <c r="D112" s="75">
        <f>SUMIF('Adj Entries Ltd'!$B$4:$B$954,A112,'Adj Entries Ltd'!$D$4:$D$954)</f>
        <v>43788</v>
      </c>
      <c r="E112" s="75">
        <f>SUMIF('Adj Entries Ltd'!$B$4:$B$954,A112,'Adj Entries Ltd'!$E$4:$E$954)</f>
        <v>0</v>
      </c>
      <c r="F112" s="75">
        <f t="shared" ref="F112" si="54">(+C112+D112-E112)</f>
        <v>43788</v>
      </c>
      <c r="G112" s="91"/>
      <c r="H112" s="77">
        <f>SUMIF('TB US'!A:A,'HARKAVA '!A112,'TB US'!D:D)</f>
        <v>0</v>
      </c>
      <c r="I112" s="77">
        <f>SUMIF('Adj. entries US'!B:B,'HARKAVA '!A112,'Adj. entries US'!D:D)</f>
        <v>0</v>
      </c>
      <c r="J112" s="77">
        <f>SUMIF('Adj. entries US'!B:B,'HARKAVA '!A112,'Adj. entries US'!E:E)</f>
        <v>0</v>
      </c>
      <c r="K112" s="75">
        <f t="shared" si="28"/>
        <v>0</v>
      </c>
      <c r="L112" s="91"/>
      <c r="M112" s="75">
        <f>SUMIF('TB UK'!A:A,'HARKAVA '!A112,'TB UK'!E:E)</f>
        <v>0</v>
      </c>
      <c r="N112" s="75">
        <f>SUMIF('Adj. Entries UK'!B:B,'HARKAVA '!A112,'Adj. Entries UK'!D:D)</f>
        <v>0</v>
      </c>
      <c r="O112" s="75">
        <f>SUMIF('Adj. Entries UK'!B:B,'HARKAVA '!A112,'Adj. Entries UK'!E:E)</f>
        <v>0</v>
      </c>
      <c r="P112" s="75">
        <f t="shared" si="29"/>
        <v>0</v>
      </c>
      <c r="Q112" s="75"/>
      <c r="R112" s="75">
        <f>SUMIF('TB security'!A:A,'HARKAVA '!A112,'TB security'!D:D)</f>
        <v>0</v>
      </c>
      <c r="S112" s="75">
        <f>SUMIF('Adj. Entries security'!B:B,'HARKAVA '!A112,'Adj. Entries security'!D:E)</f>
        <v>0</v>
      </c>
      <c r="T112" s="75">
        <f>SUMIF('Adj. Entries security'!B:B,'HARKAVA '!A112,'Adj. Entries security'!E:E)</f>
        <v>0</v>
      </c>
      <c r="U112" s="75">
        <f t="shared" si="30"/>
        <v>0</v>
      </c>
      <c r="V112" s="75">
        <f t="shared" si="31"/>
        <v>43788</v>
      </c>
      <c r="W112" s="91"/>
      <c r="X112" s="77"/>
      <c r="Y112" s="77">
        <f t="shared" si="48"/>
        <v>43788</v>
      </c>
      <c r="Z112" s="171">
        <f t="shared" si="53"/>
        <v>5800</v>
      </c>
      <c r="AA112" s="91"/>
      <c r="AB112" s="77"/>
      <c r="AC112" s="91"/>
      <c r="AD112" s="75">
        <v>0</v>
      </c>
      <c r="AE112" s="91"/>
      <c r="AF112" s="77">
        <v>0</v>
      </c>
      <c r="AG112" s="77">
        <v>0</v>
      </c>
      <c r="AH112" s="77">
        <v>0</v>
      </c>
      <c r="AI112" s="75">
        <v>0</v>
      </c>
      <c r="AJ112" s="91"/>
      <c r="AK112" s="75">
        <v>0</v>
      </c>
      <c r="AL112" s="75">
        <v>0</v>
      </c>
      <c r="AM112" s="75">
        <v>0</v>
      </c>
      <c r="AN112" s="75">
        <v>0</v>
      </c>
      <c r="AO112" s="75"/>
      <c r="AP112" s="75">
        <v>0</v>
      </c>
      <c r="AQ112" s="75">
        <v>0</v>
      </c>
      <c r="AR112" s="75">
        <v>0</v>
      </c>
      <c r="AS112" s="75">
        <v>0</v>
      </c>
      <c r="AT112" s="75">
        <v>0</v>
      </c>
      <c r="AU112" s="91"/>
      <c r="AV112" s="77"/>
      <c r="AW112" s="77">
        <v>0</v>
      </c>
      <c r="AX112"/>
      <c r="AY112" s="77">
        <f t="shared" si="34"/>
        <v>43788</v>
      </c>
      <c r="AZ112" s="77">
        <f t="shared" si="35"/>
        <v>0</v>
      </c>
      <c r="BA112" s="77">
        <f t="shared" si="36"/>
        <v>0</v>
      </c>
      <c r="BB112" s="77">
        <f t="shared" si="37"/>
        <v>0</v>
      </c>
      <c r="BC112"/>
    </row>
    <row r="113" spans="1:54" ht="16">
      <c r="A113" s="48">
        <v>6000</v>
      </c>
      <c r="B113" s="81" t="s">
        <v>123</v>
      </c>
      <c r="C113" s="75">
        <f>SUMIF('TB Mitiga LTD'!A:A,'HARKAVA '!A113,'TB Mitiga LTD'!D:D)</f>
        <v>0</v>
      </c>
      <c r="D113" s="75">
        <f>SUMIF('Adj Entries Ltd'!$B$4:$B$954,A113,'Adj Entries Ltd'!$D$4:$D$954)</f>
        <v>0</v>
      </c>
      <c r="E113" s="75">
        <f>SUMIF('Adj Entries Ltd'!$B$4:$B$954,A113,'Adj Entries Ltd'!$E$4:$E$954)</f>
        <v>0</v>
      </c>
      <c r="F113" s="75">
        <f>(+C113+D113-E113)</f>
        <v>0</v>
      </c>
      <c r="G113" s="91"/>
      <c r="H113" s="77">
        <f>SUMIF('TB US'!A:A,'HARKAVA '!A113,'TB US'!D:D)</f>
        <v>0</v>
      </c>
      <c r="I113" s="77">
        <f>SUMIF('Adj. entries US'!B:B,'HARKAVA '!A113,'Adj. entries US'!D:D)</f>
        <v>0</v>
      </c>
      <c r="J113" s="77">
        <f>SUMIF('Adj. entries US'!B:B,'HARKAVA '!A113,'Adj. entries US'!E:E)</f>
        <v>0</v>
      </c>
      <c r="K113" s="75">
        <f t="shared" si="28"/>
        <v>0</v>
      </c>
      <c r="L113" s="91"/>
      <c r="M113" s="75">
        <f>SUMIF('TB UK'!A:A,'HARKAVA '!A113,'TB UK'!E:E)</f>
        <v>0</v>
      </c>
      <c r="N113" s="75">
        <f>SUMIF('Adj. Entries UK'!B:B,'HARKAVA '!A113,'Adj. Entries UK'!D:D)</f>
        <v>0</v>
      </c>
      <c r="O113" s="75">
        <f>SUMIF('Adj. Entries UK'!B:B,'HARKAVA '!A113,'Adj. Entries UK'!E:E)</f>
        <v>0</v>
      </c>
      <c r="P113" s="75">
        <f t="shared" si="29"/>
        <v>0</v>
      </c>
      <c r="Q113" s="75"/>
      <c r="R113" s="369">
        <f>SUMIF('TB security'!A:A,'HARKAVA '!A113,'TB security'!D:D)</f>
        <v>0</v>
      </c>
      <c r="S113" s="75">
        <f>SUMIF('Adj. Entries security'!B:B,'HARKAVA '!A113,'Adj. Entries security'!D:E)</f>
        <v>0</v>
      </c>
      <c r="T113" s="75">
        <f>SUMIF('Adj. Entries security'!B:B,'HARKAVA '!A113,'Adj. Entries security'!E:E)</f>
        <v>0</v>
      </c>
      <c r="U113" s="369">
        <f t="shared" si="30"/>
        <v>0</v>
      </c>
      <c r="V113" s="75">
        <f t="shared" si="31"/>
        <v>0</v>
      </c>
      <c r="W113" s="91"/>
      <c r="Y113" s="92">
        <f t="shared" si="48"/>
        <v>0</v>
      </c>
      <c r="Z113" s="171">
        <f t="shared" si="53"/>
        <v>6000</v>
      </c>
      <c r="AC113" s="91"/>
      <c r="AD113" s="75">
        <v>0</v>
      </c>
      <c r="AE113" s="91"/>
      <c r="AF113" s="77">
        <v>0</v>
      </c>
      <c r="AG113" s="77">
        <v>0</v>
      </c>
      <c r="AH113" s="77">
        <v>0</v>
      </c>
      <c r="AI113" s="75">
        <v>0</v>
      </c>
      <c r="AJ113" s="91"/>
      <c r="AK113" s="75">
        <v>0</v>
      </c>
      <c r="AL113" s="75">
        <v>0</v>
      </c>
      <c r="AM113" s="75">
        <v>0</v>
      </c>
      <c r="AN113" s="75">
        <v>0</v>
      </c>
      <c r="AO113" s="75"/>
      <c r="AP113" s="369">
        <v>1450</v>
      </c>
      <c r="AQ113" s="75">
        <v>0</v>
      </c>
      <c r="AR113" s="75">
        <v>0</v>
      </c>
      <c r="AS113" s="369">
        <v>1450</v>
      </c>
      <c r="AT113" s="75">
        <v>1450</v>
      </c>
      <c r="AU113" s="91"/>
      <c r="AW113" s="92">
        <v>1450</v>
      </c>
      <c r="AX113"/>
      <c r="AY113" s="77">
        <f t="shared" si="34"/>
        <v>0</v>
      </c>
      <c r="AZ113" s="77">
        <f t="shared" si="35"/>
        <v>0</v>
      </c>
      <c r="BA113" s="520">
        <f t="shared" si="36"/>
        <v>-1450</v>
      </c>
      <c r="BB113" s="77">
        <f t="shared" si="37"/>
        <v>0</v>
      </c>
    </row>
    <row r="114" spans="1:54" ht="16">
      <c r="A114" s="86"/>
      <c r="B114" s="96" t="s">
        <v>124</v>
      </c>
      <c r="C114" s="97">
        <f>SUM(C63:C113)</f>
        <v>6922963.2899999991</v>
      </c>
      <c r="D114" s="97">
        <f>SUM(D63:D113)</f>
        <v>4689246.2565694358</v>
      </c>
      <c r="E114" s="97">
        <f>SUM(E63:E113)</f>
        <v>1916482.39897958</v>
      </c>
      <c r="F114" s="97">
        <f>SUM(F63:F113)</f>
        <v>9695727.1475898549</v>
      </c>
      <c r="G114" s="91"/>
      <c r="H114" s="465">
        <f t="shared" ref="H114:K114" si="55">SUM(H63:H113)</f>
        <v>-63460.4</v>
      </c>
      <c r="I114" s="97">
        <f t="shared" si="55"/>
        <v>61840</v>
      </c>
      <c r="J114" s="97">
        <f t="shared" si="55"/>
        <v>0</v>
      </c>
      <c r="K114" s="465">
        <f t="shared" si="55"/>
        <v>-1620.4</v>
      </c>
      <c r="L114" s="91"/>
      <c r="M114" s="465">
        <f>SUM(M63:M113)</f>
        <v>1226955.72</v>
      </c>
      <c r="N114" s="97">
        <f>SUM(N63:N113)</f>
        <v>177723.70039148728</v>
      </c>
      <c r="O114" s="97">
        <f>SUM(O63:O113)</f>
        <v>1435014.48</v>
      </c>
      <c r="P114" s="465">
        <f>SUM(P63:P113)</f>
        <v>-30335.059608512765</v>
      </c>
      <c r="Q114" s="97"/>
      <c r="R114" s="97">
        <f>SUM(R63:R113)</f>
        <v>1435865.5299999998</v>
      </c>
      <c r="S114" s="97">
        <f>SUM(S63:S113)</f>
        <v>819842.73060191842</v>
      </c>
      <c r="T114" s="97">
        <f>SUM(T63:T113)</f>
        <v>2276040.8175396821</v>
      </c>
      <c r="U114" s="465">
        <f>SUM(U63:U113)</f>
        <v>-20332.556937764493</v>
      </c>
      <c r="V114" s="97">
        <f>SUM(V63:V113)</f>
        <v>9643439.1310435776</v>
      </c>
      <c r="W114" s="91"/>
      <c r="X114" s="97">
        <f>SUM(X63:X113)</f>
        <v>-0.47500000009313226</v>
      </c>
      <c r="Y114" s="98">
        <f>SUM(Y63:Y113)</f>
        <v>9643438.6560435779</v>
      </c>
      <c r="Z114" s="166" t="str">
        <f>LEFT(A114,2)</f>
        <v/>
      </c>
      <c r="AB114" s="98"/>
      <c r="AD114" s="97">
        <v>9487420.290000001</v>
      </c>
      <c r="AE114" s="91"/>
      <c r="AF114" s="465">
        <v>-63460.4</v>
      </c>
      <c r="AG114" s="97">
        <v>61840</v>
      </c>
      <c r="AH114" s="97">
        <v>0</v>
      </c>
      <c r="AI114" s="465">
        <v>-1620.4</v>
      </c>
      <c r="AJ114" s="91"/>
      <c r="AK114" s="465">
        <v>1103415.72</v>
      </c>
      <c r="AL114" s="97">
        <v>182444.95499999999</v>
      </c>
      <c r="AM114" s="97">
        <v>1319284.9550000001</v>
      </c>
      <c r="AN114" s="465">
        <v>-33424.280000000115</v>
      </c>
      <c r="AO114" s="97"/>
      <c r="AP114" s="97">
        <v>1480915.5199999998</v>
      </c>
      <c r="AQ114" s="97">
        <v>822027.81753968261</v>
      </c>
      <c r="AR114" s="97">
        <v>2321520.8175396821</v>
      </c>
      <c r="AS114" s="465">
        <v>-18577.480000000291</v>
      </c>
      <c r="AT114" s="97">
        <v>9433798.129999999</v>
      </c>
      <c r="AU114" s="91"/>
      <c r="AV114" s="97">
        <v>0</v>
      </c>
      <c r="AW114" s="98">
        <v>9433798.129999999</v>
      </c>
      <c r="AX114"/>
      <c r="AY114" s="91"/>
      <c r="AZ114" s="91"/>
    </row>
    <row r="115" spans="1:54">
      <c r="G115" s="91"/>
      <c r="H115" s="91"/>
      <c r="I115" s="91"/>
      <c r="J115" s="91"/>
      <c r="K115" s="91"/>
      <c r="L115" s="91"/>
      <c r="M115" s="91"/>
      <c r="N115" s="91"/>
      <c r="O115" s="91"/>
      <c r="P115" s="91"/>
      <c r="Q115" s="91"/>
      <c r="R115" s="91"/>
      <c r="S115" s="91"/>
      <c r="T115" s="91"/>
      <c r="U115" s="91"/>
      <c r="V115" s="91"/>
      <c r="W115" s="91"/>
      <c r="X115" s="91"/>
      <c r="Y115" s="91"/>
      <c r="Z115" s="166" t="str">
        <f>LEFT(A115,2)</f>
        <v/>
      </c>
      <c r="AB115" s="91"/>
      <c r="AC115" s="91"/>
      <c r="AE115" s="91"/>
      <c r="AF115" s="91"/>
      <c r="AG115" s="91"/>
      <c r="AH115" s="91"/>
      <c r="AI115" s="91"/>
      <c r="AJ115" s="91"/>
      <c r="AK115" s="91"/>
      <c r="AL115" s="91"/>
      <c r="AM115" s="91"/>
      <c r="AN115" s="91"/>
      <c r="AO115" s="91"/>
      <c r="AP115" s="91"/>
      <c r="AQ115" s="91"/>
      <c r="AR115" s="91"/>
      <c r="AS115" s="91"/>
      <c r="AT115" s="91"/>
      <c r="AU115" s="91"/>
      <c r="AV115" s="91"/>
      <c r="AW115" s="91"/>
      <c r="AX115" s="91"/>
      <c r="AY115" s="91"/>
      <c r="AZ115" s="91"/>
    </row>
    <row r="116" spans="1:54">
      <c r="G116" s="91"/>
      <c r="H116" s="91"/>
      <c r="I116" s="91"/>
      <c r="J116" s="91"/>
      <c r="K116" s="91"/>
      <c r="L116" s="91"/>
      <c r="M116" s="91"/>
      <c r="N116" s="91"/>
      <c r="O116" s="91"/>
      <c r="P116" s="91"/>
      <c r="Q116" s="91"/>
      <c r="R116" s="91"/>
      <c r="S116" s="91"/>
      <c r="T116" s="91"/>
      <c r="U116" s="91"/>
      <c r="V116" s="91"/>
      <c r="W116" s="91"/>
      <c r="X116" s="91"/>
      <c r="Y116" s="91"/>
      <c r="AB116" s="91"/>
      <c r="AC116" s="91"/>
      <c r="AE116" s="91"/>
      <c r="AF116" s="91"/>
      <c r="AG116" s="91"/>
      <c r="AH116" s="91"/>
      <c r="AI116" s="91"/>
      <c r="AJ116" s="91"/>
      <c r="AK116" s="91"/>
      <c r="AL116" s="91"/>
      <c r="AM116" s="91"/>
      <c r="AN116" s="91"/>
      <c r="AO116" s="91"/>
      <c r="AP116" s="91"/>
      <c r="AQ116" s="91"/>
      <c r="AR116" s="91"/>
      <c r="AS116" s="91"/>
      <c r="AT116" s="91"/>
      <c r="AU116" s="91"/>
      <c r="AV116" s="91"/>
      <c r="AW116" s="132"/>
      <c r="AX116" s="132"/>
      <c r="AY116" s="91"/>
      <c r="AZ116" s="91"/>
    </row>
    <row r="117" spans="1:54" ht="16">
      <c r="F117" s="99"/>
      <c r="G117" s="91"/>
      <c r="H117" s="91"/>
      <c r="I117" s="91"/>
      <c r="J117" s="91"/>
      <c r="K117" s="91"/>
      <c r="L117" s="91"/>
      <c r="M117" s="91"/>
      <c r="N117" s="91"/>
      <c r="O117" s="91"/>
      <c r="P117" s="100"/>
      <c r="Q117" s="100"/>
      <c r="R117" s="100"/>
      <c r="S117" s="100"/>
      <c r="T117" s="100"/>
      <c r="U117" s="100"/>
      <c r="V117" s="100"/>
      <c r="AD117" s="99"/>
      <c r="AE117" s="91"/>
      <c r="AF117" s="91"/>
      <c r="AG117" s="91"/>
      <c r="AH117" s="91"/>
      <c r="AI117" s="91"/>
      <c r="AJ117" s="91"/>
      <c r="AK117" s="91"/>
      <c r="AL117" s="91"/>
      <c r="AM117" s="91"/>
      <c r="AN117" s="100"/>
      <c r="AO117" s="100"/>
      <c r="AP117" s="100"/>
      <c r="AQ117" s="100"/>
      <c r="AR117" s="100"/>
      <c r="AS117" s="100"/>
      <c r="AT117" s="100"/>
      <c r="AW117" s="110"/>
      <c r="AX117" s="110"/>
    </row>
    <row r="118" spans="1:54">
      <c r="F118" s="99"/>
      <c r="G118" s="91"/>
      <c r="H118" s="91"/>
      <c r="I118" s="91"/>
      <c r="J118" s="91"/>
      <c r="K118" s="91"/>
      <c r="L118" s="91"/>
      <c r="M118" s="91"/>
      <c r="N118" s="91"/>
      <c r="O118" s="91"/>
      <c r="P118" s="91"/>
      <c r="Q118" s="91"/>
      <c r="R118" s="91"/>
      <c r="S118" s="91"/>
      <c r="T118" s="91"/>
      <c r="U118" s="91"/>
      <c r="V118" s="91"/>
      <c r="AD118" s="99"/>
      <c r="AE118" s="91"/>
      <c r="AF118" s="91"/>
      <c r="AG118" s="91"/>
      <c r="AH118" s="91"/>
      <c r="AI118" s="91"/>
      <c r="AJ118" s="91"/>
      <c r="AK118" s="91"/>
      <c r="AL118" s="91"/>
      <c r="AM118" s="91"/>
      <c r="AN118" s="91"/>
      <c r="AO118" s="91"/>
      <c r="AP118" s="91"/>
      <c r="AQ118" s="91"/>
      <c r="AR118" s="91"/>
      <c r="AS118" s="91"/>
      <c r="AT118" s="91"/>
      <c r="AW118" s="110"/>
      <c r="AX118" s="110"/>
    </row>
    <row r="119" spans="1:54">
      <c r="F119" s="99"/>
      <c r="G119" s="91"/>
      <c r="H119" s="91"/>
      <c r="I119" s="91"/>
      <c r="J119" s="91"/>
      <c r="K119" s="91"/>
      <c r="L119" s="91"/>
      <c r="M119" s="91"/>
      <c r="N119" s="91"/>
      <c r="O119" s="91"/>
      <c r="P119" s="91"/>
      <c r="Q119" s="91"/>
      <c r="R119" s="91"/>
      <c r="S119" s="91"/>
      <c r="T119" s="91"/>
      <c r="U119" s="91"/>
      <c r="V119" s="91"/>
      <c r="AD119" s="99"/>
      <c r="AE119" s="91"/>
      <c r="AF119" s="91"/>
      <c r="AG119" s="91"/>
      <c r="AH119" s="91"/>
      <c r="AI119" s="91"/>
      <c r="AJ119" s="91"/>
      <c r="AK119" s="91"/>
      <c r="AL119" s="91"/>
      <c r="AM119" s="91"/>
      <c r="AN119" s="91"/>
      <c r="AO119" s="91"/>
      <c r="AP119" s="91"/>
      <c r="AQ119" s="91"/>
      <c r="AR119" s="91"/>
      <c r="AS119" s="91"/>
      <c r="AT119" s="91"/>
      <c r="AW119" s="110"/>
      <c r="AX119" s="110"/>
    </row>
    <row r="120" spans="1:54">
      <c r="F120" s="99"/>
      <c r="G120" s="91"/>
      <c r="H120" s="91"/>
      <c r="I120" s="91"/>
      <c r="J120" s="91"/>
      <c r="K120" s="91"/>
      <c r="L120" s="91"/>
      <c r="M120" s="91"/>
      <c r="N120" s="91"/>
      <c r="O120" s="91"/>
      <c r="P120" s="91"/>
      <c r="Q120" s="91"/>
      <c r="R120" s="91"/>
      <c r="S120" s="91"/>
      <c r="T120" s="91"/>
      <c r="U120" s="91"/>
      <c r="V120" s="91"/>
      <c r="AD120" s="99"/>
      <c r="AE120" s="91"/>
      <c r="AF120" s="91"/>
      <c r="AG120" s="91"/>
      <c r="AH120" s="91"/>
      <c r="AI120" s="91"/>
      <c r="AJ120" s="91"/>
      <c r="AK120" s="91"/>
      <c r="AL120" s="91"/>
      <c r="AM120" s="91"/>
      <c r="AN120" s="91"/>
      <c r="AO120" s="91"/>
      <c r="AP120" s="91"/>
      <c r="AQ120" s="91"/>
      <c r="AR120" s="91"/>
      <c r="AS120" s="91"/>
      <c r="AT120" s="91"/>
    </row>
    <row r="121" spans="1:54">
      <c r="F121" s="99"/>
      <c r="G121" s="91"/>
      <c r="H121" s="91"/>
      <c r="I121" s="91"/>
      <c r="J121" s="91"/>
      <c r="K121" s="91"/>
      <c r="L121" s="91"/>
      <c r="M121" s="91"/>
      <c r="N121" s="91"/>
      <c r="O121" s="91"/>
      <c r="P121" s="91"/>
      <c r="Q121" s="91"/>
      <c r="R121" s="91"/>
      <c r="S121" s="91"/>
      <c r="T121" s="91"/>
      <c r="U121" s="91"/>
      <c r="V121" s="91"/>
      <c r="AD121" s="99"/>
      <c r="AE121" s="91"/>
      <c r="AF121" s="91"/>
      <c r="AG121" s="91"/>
      <c r="AH121" s="91"/>
      <c r="AI121" s="91"/>
      <c r="AJ121" s="91"/>
      <c r="AK121" s="91"/>
      <c r="AL121" s="91"/>
      <c r="AM121" s="91"/>
      <c r="AN121" s="91"/>
      <c r="AO121" s="91"/>
      <c r="AP121" s="91"/>
      <c r="AQ121" s="91"/>
      <c r="AR121" s="91"/>
      <c r="AS121" s="91"/>
      <c r="AT121" s="91"/>
    </row>
    <row r="122" spans="1:54">
      <c r="F122" s="99"/>
      <c r="G122" s="91"/>
      <c r="H122" s="91"/>
      <c r="I122" s="91"/>
      <c r="J122" s="91"/>
      <c r="K122" s="91"/>
      <c r="L122" s="91"/>
      <c r="M122" s="91"/>
      <c r="N122" s="91"/>
      <c r="O122" s="91"/>
      <c r="P122" s="91"/>
      <c r="Q122" s="91"/>
      <c r="R122" s="91"/>
      <c r="S122" s="91"/>
      <c r="T122" s="91"/>
      <c r="U122" s="91"/>
      <c r="V122" s="91"/>
      <c r="AD122" s="99"/>
      <c r="AE122" s="91"/>
      <c r="AF122" s="91"/>
      <c r="AG122" s="91"/>
      <c r="AH122" s="91"/>
      <c r="AI122" s="91"/>
      <c r="AJ122" s="91"/>
      <c r="AK122" s="91"/>
      <c r="AL122" s="91"/>
      <c r="AM122" s="91"/>
      <c r="AN122" s="91"/>
      <c r="AO122" s="91"/>
      <c r="AP122" s="91"/>
      <c r="AQ122" s="91"/>
      <c r="AR122" s="91"/>
      <c r="AS122" s="91"/>
      <c r="AT122" s="91"/>
    </row>
    <row r="123" spans="1:54">
      <c r="F123" s="99"/>
      <c r="G123" s="91"/>
      <c r="H123" s="91"/>
      <c r="I123" s="91"/>
      <c r="J123" s="91"/>
      <c r="K123" s="91"/>
      <c r="L123" s="91"/>
      <c r="M123" s="91"/>
      <c r="N123" s="91"/>
      <c r="O123" s="91"/>
      <c r="P123" s="91"/>
      <c r="Q123" s="91"/>
      <c r="R123" s="91"/>
      <c r="S123" s="91"/>
      <c r="T123" s="91"/>
      <c r="U123" s="91"/>
      <c r="V123" s="91"/>
      <c r="AD123" s="99"/>
      <c r="AE123" s="91"/>
      <c r="AF123" s="91"/>
      <c r="AG123" s="91"/>
      <c r="AH123" s="91"/>
      <c r="AI123" s="91"/>
      <c r="AJ123" s="91"/>
      <c r="AK123" s="91"/>
      <c r="AL123" s="91"/>
      <c r="AM123" s="91"/>
      <c r="AN123" s="91"/>
      <c r="AO123" s="91"/>
      <c r="AP123" s="91"/>
      <c r="AQ123" s="91"/>
      <c r="AR123" s="91"/>
      <c r="AS123" s="91"/>
      <c r="AT123" s="91"/>
    </row>
    <row r="125" spans="1:54">
      <c r="AB125" s="75"/>
    </row>
  </sheetData>
  <mergeCells count="14">
    <mergeCell ref="AF3:AI3"/>
    <mergeCell ref="AK3:AN3"/>
    <mergeCell ref="AP3:AS3"/>
    <mergeCell ref="AG4:AH4"/>
    <mergeCell ref="AL4:AM4"/>
    <mergeCell ref="AQ4:AR4"/>
    <mergeCell ref="D4:E4"/>
    <mergeCell ref="C3:F3"/>
    <mergeCell ref="M3:P3"/>
    <mergeCell ref="N4:O4"/>
    <mergeCell ref="S4:T4"/>
    <mergeCell ref="R3:U3"/>
    <mergeCell ref="I4:J4"/>
    <mergeCell ref="H3:K3"/>
  </mergeCells>
  <phoneticPr fontId="0" type="noConversion"/>
  <printOptions horizontalCentered="1"/>
  <pageMargins left="0.25" right="0.15" top="0.61" bottom="0.81" header="0.3" footer="0.3"/>
  <pageSetup paperSize="9" scale="35" orientation="portrait" r:id="rId1"/>
  <headerFooter alignWithMargins="0">
    <oddHeader>&amp;F</oddHeader>
  </headerFooter>
  <ignoredErrors>
    <ignoredError sqref="D6:E6" emptyCellReferenc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0"/>
  <sheetViews>
    <sheetView workbookViewId="0">
      <selection activeCell="C16" sqref="C16"/>
    </sheetView>
  </sheetViews>
  <sheetFormatPr baseColWidth="10" defaultColWidth="8.85546875" defaultRowHeight="14"/>
  <cols>
    <col min="1" max="1" width="8.85546875" style="4"/>
    <col min="2" max="2" width="8.85546875" style="4" bestFit="1" customWidth="1"/>
    <col min="3" max="3" width="8.42578125" style="4" bestFit="1" customWidth="1"/>
    <col min="4" max="6" width="8.85546875" style="4" bestFit="1" customWidth="1"/>
    <col min="7" max="16384" width="8.85546875" style="4"/>
  </cols>
  <sheetData>
    <row r="1" spans="1:8">
      <c r="B1" s="4" t="s">
        <v>125</v>
      </c>
      <c r="C1" s="4" t="s">
        <v>126</v>
      </c>
      <c r="D1" s="4" t="s">
        <v>12</v>
      </c>
      <c r="E1" s="4" t="s">
        <v>127</v>
      </c>
    </row>
    <row r="2" spans="1:8">
      <c r="A2" s="4" t="s">
        <v>125</v>
      </c>
      <c r="B2" s="135"/>
      <c r="C2" s="135">
        <v>200000</v>
      </c>
      <c r="D2" s="135"/>
      <c r="E2" s="135">
        <v>600</v>
      </c>
      <c r="F2" s="135">
        <f>SUM(B2:E2)</f>
        <v>200600</v>
      </c>
    </row>
    <row r="3" spans="1:8">
      <c r="A3" s="4" t="s">
        <v>126</v>
      </c>
      <c r="B3" s="135">
        <v>-200000</v>
      </c>
      <c r="C3" s="135"/>
      <c r="D3" s="135">
        <f>-113464-506459</f>
        <v>-619923</v>
      </c>
      <c r="E3" s="135">
        <v>-5000</v>
      </c>
      <c r="F3" s="135">
        <f t="shared" ref="F3:F5" si="0">SUM(B3:E3)</f>
        <v>-824923</v>
      </c>
    </row>
    <row r="4" spans="1:8">
      <c r="A4" s="4" t="s">
        <v>12</v>
      </c>
      <c r="B4" s="135"/>
      <c r="C4" s="135">
        <f>113464+506459</f>
        <v>619923</v>
      </c>
      <c r="D4" s="135"/>
      <c r="E4" s="135">
        <v>-2502.0300000000002</v>
      </c>
      <c r="F4" s="135">
        <f t="shared" si="0"/>
        <v>617420.97</v>
      </c>
    </row>
    <row r="5" spans="1:8">
      <c r="A5" s="4" t="s">
        <v>127</v>
      </c>
      <c r="B5" s="135">
        <v>-600</v>
      </c>
      <c r="C5" s="135">
        <v>5000</v>
      </c>
      <c r="D5" s="135">
        <v>2502</v>
      </c>
      <c r="E5" s="135"/>
      <c r="F5" s="135">
        <f t="shared" si="0"/>
        <v>6902</v>
      </c>
    </row>
    <row r="6" spans="1:8">
      <c r="B6" s="135">
        <f>SUM(B2:B5)</f>
        <v>-200600</v>
      </c>
      <c r="C6" s="135">
        <f t="shared" ref="C6:F6" si="1">SUM(C2:C5)</f>
        <v>824923</v>
      </c>
      <c r="D6" s="135">
        <f t="shared" si="1"/>
        <v>-617421</v>
      </c>
      <c r="E6" s="135">
        <f t="shared" si="1"/>
        <v>-6902.0300000000007</v>
      </c>
      <c r="F6" s="135">
        <f t="shared" si="1"/>
        <v>-3.0000000027939677E-2</v>
      </c>
    </row>
    <row r="7" spans="1:8">
      <c r="B7" s="135"/>
      <c r="C7" s="135"/>
      <c r="D7" s="135"/>
      <c r="E7" s="135"/>
      <c r="F7" s="135"/>
    </row>
    <row r="8" spans="1:8">
      <c r="B8" s="5"/>
      <c r="C8" s="5"/>
      <c r="D8" s="5"/>
      <c r="E8" s="5"/>
    </row>
    <row r="9" spans="1:8">
      <c r="B9" s="5"/>
      <c r="C9" s="5"/>
      <c r="D9" s="5"/>
      <c r="E9" s="5"/>
    </row>
    <row r="10" spans="1:8">
      <c r="B10" s="5"/>
      <c r="C10" s="5"/>
      <c r="D10" s="5"/>
      <c r="E10" s="5"/>
    </row>
    <row r="11" spans="1:8">
      <c r="B11" s="5"/>
      <c r="C11" s="5"/>
      <c r="D11" s="5"/>
      <c r="E11" s="5"/>
    </row>
    <row r="12" spans="1:8">
      <c r="B12" s="5"/>
      <c r="C12" s="5"/>
      <c r="D12" s="5"/>
      <c r="E12" s="5"/>
    </row>
    <row r="13" spans="1:8">
      <c r="A13" s="4" t="s">
        <v>128</v>
      </c>
      <c r="B13" s="137"/>
      <c r="C13" s="137"/>
      <c r="D13" s="137"/>
      <c r="E13" s="137"/>
    </row>
    <row r="15" spans="1:8">
      <c r="B15" s="138" t="s">
        <v>125</v>
      </c>
      <c r="C15" s="13" t="s">
        <v>126</v>
      </c>
      <c r="D15" s="13" t="s">
        <v>127</v>
      </c>
      <c r="E15" s="13" t="s">
        <v>12</v>
      </c>
      <c r="H15" s="4">
        <f>1050905</f>
        <v>1050905</v>
      </c>
    </row>
    <row r="16" spans="1:8">
      <c r="A16" s="139" t="s">
        <v>125</v>
      </c>
      <c r="B16" s="139"/>
      <c r="C16" s="139">
        <v>-323155</v>
      </c>
      <c r="D16" s="139"/>
      <c r="E16" s="136">
        <v>346161</v>
      </c>
      <c r="F16" s="135">
        <v>23006</v>
      </c>
      <c r="H16" s="4">
        <v>669316</v>
      </c>
    </row>
    <row r="17" spans="1:8">
      <c r="A17" s="4" t="s">
        <v>126</v>
      </c>
      <c r="B17" s="136">
        <v>323155</v>
      </c>
      <c r="C17" s="139"/>
      <c r="D17" s="139">
        <v>-36948</v>
      </c>
      <c r="E17" s="139">
        <v>-344641</v>
      </c>
      <c r="F17" s="135">
        <v>-58434</v>
      </c>
      <c r="H17" s="4">
        <f>H15-H16</f>
        <v>381589</v>
      </c>
    </row>
    <row r="18" spans="1:8">
      <c r="A18" s="4" t="s">
        <v>127</v>
      </c>
      <c r="B18" s="139"/>
      <c r="C18" s="139">
        <v>36948</v>
      </c>
      <c r="D18" s="139"/>
      <c r="E18" s="139"/>
      <c r="F18" s="135">
        <v>36948</v>
      </c>
    </row>
    <row r="19" spans="1:8">
      <c r="A19" s="4" t="s">
        <v>12</v>
      </c>
      <c r="B19" s="139">
        <v>-346161</v>
      </c>
      <c r="C19" s="139">
        <v>344641</v>
      </c>
      <c r="D19" s="139"/>
      <c r="E19" s="139"/>
      <c r="F19" s="135">
        <v>-1520</v>
      </c>
    </row>
    <row r="20" spans="1:8">
      <c r="B20" s="139">
        <v>-23006</v>
      </c>
      <c r="C20" s="139">
        <v>58434</v>
      </c>
      <c r="D20" s="139">
        <v>-36948</v>
      </c>
      <c r="E20" s="139">
        <v>1520</v>
      </c>
      <c r="F20" s="13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DF201"/>
  <sheetViews>
    <sheetView zoomScale="85" zoomScaleNormal="85" workbookViewId="0">
      <pane xSplit="6" ySplit="7" topLeftCell="G28" activePane="bottomRight" state="frozen"/>
      <selection pane="topRight" activeCell="H29" sqref="H29"/>
      <selection pane="bottomLeft" activeCell="H29" sqref="H29"/>
      <selection pane="bottomRight" activeCell="H29" sqref="H29"/>
    </sheetView>
  </sheetViews>
  <sheetFormatPr baseColWidth="10" defaultColWidth="10.140625" defaultRowHeight="15" outlineLevelRow="1" outlineLevelCol="1"/>
  <cols>
    <col min="1" max="1" width="2.42578125" style="194" customWidth="1"/>
    <col min="2" max="2" width="23.140625" style="195" customWidth="1"/>
    <col min="3" max="3" width="16.42578125" style="195" customWidth="1"/>
    <col min="4" max="4" width="12.42578125" style="196" customWidth="1"/>
    <col min="5" max="5" width="11.140625" style="196" customWidth="1"/>
    <col min="6" max="6" width="9.140625" style="199" customWidth="1"/>
    <col min="7" max="7" width="25.42578125" style="195" bestFit="1" customWidth="1"/>
    <col min="8" max="8" width="2.85546875" style="195" hidden="1" customWidth="1"/>
    <col min="9" max="11" width="9" style="195" bestFit="1" customWidth="1"/>
    <col min="12" max="12" width="10" style="195" bestFit="1" customWidth="1"/>
    <col min="13" max="13" width="9" style="195" bestFit="1" customWidth="1"/>
    <col min="14" max="14" width="9.140625" style="195" bestFit="1" customWidth="1"/>
    <col min="15" max="15" width="11" style="195" customWidth="1"/>
    <col min="16" max="18" width="10.140625" style="195" customWidth="1"/>
    <col min="19" max="19" width="10.140625" style="278" customWidth="1"/>
    <col min="20" max="21" width="10.140625" style="195" customWidth="1"/>
    <col min="22" max="22" width="11.7109375" style="195" customWidth="1" outlineLevel="1"/>
    <col min="23" max="23" width="11.85546875" style="195" customWidth="1" outlineLevel="1"/>
    <col min="24" max="24" width="12.28515625" style="195" customWidth="1" outlineLevel="1"/>
    <col min="25" max="25" width="10.85546875" style="195" bestFit="1" customWidth="1"/>
    <col min="26" max="16384" width="10.140625" style="195"/>
  </cols>
  <sheetData>
    <row r="1" spans="1:25">
      <c r="F1" s="197"/>
    </row>
    <row r="2" spans="1:25">
      <c r="D2" s="198"/>
      <c r="I2" s="200">
        <v>2021</v>
      </c>
      <c r="J2" s="200"/>
      <c r="K2" s="200"/>
      <c r="L2" s="200"/>
      <c r="M2" s="200"/>
      <c r="N2" s="200"/>
      <c r="O2" s="200"/>
    </row>
    <row r="3" spans="1:25">
      <c r="I3" s="200" t="s">
        <v>129</v>
      </c>
      <c r="J3" s="200"/>
      <c r="K3" s="200"/>
      <c r="L3" s="200"/>
      <c r="M3" s="200" t="s">
        <v>130</v>
      </c>
      <c r="N3" s="200"/>
      <c r="O3" s="200"/>
    </row>
    <row r="4" spans="1:25" ht="16">
      <c r="I4" s="202" t="s">
        <v>131</v>
      </c>
      <c r="J4" s="202" t="s">
        <v>132</v>
      </c>
      <c r="K4" s="196" t="s">
        <v>133</v>
      </c>
      <c r="L4" s="201" t="s">
        <v>129</v>
      </c>
      <c r="M4" s="196" t="s">
        <v>134</v>
      </c>
      <c r="N4" s="196" t="s">
        <v>135</v>
      </c>
      <c r="O4" s="196" t="s">
        <v>136</v>
      </c>
      <c r="P4" s="200" t="s">
        <v>130</v>
      </c>
      <c r="Q4" s="318" t="s">
        <v>137</v>
      </c>
      <c r="R4" s="318" t="s">
        <v>138</v>
      </c>
      <c r="S4" s="319" t="s">
        <v>139</v>
      </c>
      <c r="T4" s="318" t="s">
        <v>140</v>
      </c>
      <c r="U4" s="318" t="s">
        <v>4</v>
      </c>
      <c r="V4" s="320" t="s">
        <v>141</v>
      </c>
      <c r="W4" s="320" t="s">
        <v>142</v>
      </c>
      <c r="X4" s="320" t="s">
        <v>143</v>
      </c>
      <c r="Y4" s="318" t="s">
        <v>144</v>
      </c>
    </row>
    <row r="5" spans="1:25">
      <c r="B5" s="200" t="s">
        <v>145</v>
      </c>
      <c r="C5" s="200" t="s">
        <v>146</v>
      </c>
      <c r="D5" s="201" t="s">
        <v>147</v>
      </c>
      <c r="E5" s="201" t="s">
        <v>148</v>
      </c>
      <c r="F5" s="203" t="s">
        <v>149</v>
      </c>
      <c r="G5" s="200" t="s">
        <v>150</v>
      </c>
      <c r="V5" s="297"/>
      <c r="W5" s="297"/>
      <c r="X5" s="297"/>
    </row>
    <row r="6" spans="1:25">
      <c r="B6" s="200"/>
      <c r="C6" s="200"/>
      <c r="D6" s="201"/>
      <c r="E6" s="201"/>
      <c r="F6" s="203"/>
      <c r="G6" s="200"/>
      <c r="V6" s="297"/>
      <c r="W6" s="297"/>
      <c r="X6" s="297"/>
    </row>
    <row r="7" spans="1:25">
      <c r="B7" s="200" t="s">
        <v>151</v>
      </c>
      <c r="I7" s="205">
        <f t="shared" ref="I7:O7" si="0">I182+I135+I26</f>
        <v>18.8</v>
      </c>
      <c r="J7" s="205">
        <f t="shared" si="0"/>
        <v>20.8</v>
      </c>
      <c r="K7" s="205">
        <f t="shared" si="0"/>
        <v>21.8</v>
      </c>
      <c r="L7" s="205"/>
      <c r="M7" s="205">
        <f t="shared" si="0"/>
        <v>25.8</v>
      </c>
      <c r="N7" s="205">
        <f t="shared" si="0"/>
        <v>26.8</v>
      </c>
      <c r="O7" s="205">
        <f t="shared" si="0"/>
        <v>29.8</v>
      </c>
      <c r="R7" s="195">
        <v>45.8</v>
      </c>
      <c r="S7" s="277">
        <v>46.8</v>
      </c>
      <c r="V7" s="298">
        <v>53.8</v>
      </c>
      <c r="W7" s="298">
        <v>53.8</v>
      </c>
      <c r="X7" s="298">
        <v>53.8</v>
      </c>
    </row>
    <row r="8" spans="1:25">
      <c r="E8" s="204"/>
      <c r="V8" s="297"/>
      <c r="W8" s="297"/>
      <c r="X8" s="299"/>
    </row>
    <row r="9" spans="1:25">
      <c r="B9" s="206" t="s">
        <v>152</v>
      </c>
      <c r="C9" s="206"/>
      <c r="D9" s="206"/>
      <c r="E9" s="207"/>
      <c r="F9" s="206"/>
      <c r="G9" s="208"/>
      <c r="V9" s="297"/>
      <c r="W9" s="297"/>
      <c r="X9" s="297"/>
    </row>
    <row r="10" spans="1:25">
      <c r="B10" s="209" t="s">
        <v>153</v>
      </c>
      <c r="C10" s="206"/>
      <c r="D10" s="206"/>
      <c r="E10" s="206"/>
      <c r="F10" s="210"/>
      <c r="G10" s="207"/>
      <c r="Q10" s="212"/>
      <c r="R10" s="212"/>
      <c r="T10" s="212"/>
      <c r="V10" s="297"/>
      <c r="W10" s="297"/>
      <c r="X10" s="297"/>
    </row>
    <row r="11" spans="1:25" hidden="1" outlineLevel="1">
      <c r="A11" s="194" t="s">
        <v>154</v>
      </c>
      <c r="B11" s="195" t="s">
        <v>155</v>
      </c>
      <c r="C11" s="195" t="s">
        <v>156</v>
      </c>
      <c r="D11" s="211">
        <v>185000</v>
      </c>
      <c r="E11" s="212">
        <f>D11*[4]Assumptions!B15*[4]Assumptions!B13/12</f>
        <v>26979.166666666668</v>
      </c>
      <c r="F11" s="199" t="s">
        <v>157</v>
      </c>
      <c r="I11" s="212">
        <v>23664.772727272732</v>
      </c>
      <c r="J11" s="212">
        <v>23664.772727272732</v>
      </c>
      <c r="K11" s="212">
        <v>23664.772727272732</v>
      </c>
      <c r="L11" s="230">
        <f t="shared" ref="L11:L23" si="1">SUM(I11:K11)</f>
        <v>70994.318181818191</v>
      </c>
      <c r="M11" s="212">
        <v>23664.772727272732</v>
      </c>
      <c r="N11" s="212">
        <v>23664.772727272732</v>
      </c>
      <c r="O11" s="212">
        <v>23664.772727272732</v>
      </c>
      <c r="P11" s="212">
        <f>SUM(M11:O11)</f>
        <v>70994.318181818191</v>
      </c>
      <c r="Q11" s="212">
        <v>26979.166666666668</v>
      </c>
      <c r="R11" s="212">
        <v>26979.166666666701</v>
      </c>
      <c r="S11" s="278">
        <v>26979.166666666668</v>
      </c>
      <c r="T11" s="212">
        <f>SUM(Q11:S11)</f>
        <v>80937.500000000044</v>
      </c>
      <c r="U11" s="195">
        <v>5600</v>
      </c>
      <c r="V11" s="300">
        <v>26979.166666666668</v>
      </c>
      <c r="W11" s="300">
        <v>26979.166666666668</v>
      </c>
      <c r="X11" s="300">
        <v>126979.16666666667</v>
      </c>
      <c r="Y11" s="278">
        <f>+SUM(V11:X11)</f>
        <v>180937.5</v>
      </c>
    </row>
    <row r="12" spans="1:25" hidden="1" outlineLevel="1">
      <c r="A12" s="194" t="s">
        <v>154</v>
      </c>
      <c r="B12" s="195" t="s">
        <v>158</v>
      </c>
      <c r="C12" s="195" t="s">
        <v>159</v>
      </c>
      <c r="D12" s="212">
        <v>280000</v>
      </c>
      <c r="E12" s="212">
        <f>D12*[4]Assumptions!B14/12</f>
        <v>28000</v>
      </c>
      <c r="F12" s="199" t="s">
        <v>157</v>
      </c>
      <c r="G12" s="195" t="s">
        <v>160</v>
      </c>
      <c r="I12" s="212">
        <f>19727.2727272727*0.5</f>
        <v>9863.6363636363494</v>
      </c>
      <c r="J12" s="212">
        <f t="shared" ref="J12:O14" si="2">I12</f>
        <v>9863.6363636363494</v>
      </c>
      <c r="K12" s="212">
        <f t="shared" si="2"/>
        <v>9863.6363636363494</v>
      </c>
      <c r="L12" s="230">
        <f t="shared" si="1"/>
        <v>29590.909090909048</v>
      </c>
      <c r="M12" s="212">
        <f>K12</f>
        <v>9863.6363636363494</v>
      </c>
      <c r="N12" s="212">
        <f t="shared" si="2"/>
        <v>9863.6363636363494</v>
      </c>
      <c r="O12" s="212">
        <f t="shared" si="2"/>
        <v>9863.6363636363494</v>
      </c>
      <c r="P12" s="212">
        <f t="shared" ref="P12:P25" si="3">SUM(M12:O12)</f>
        <v>29590.909090909048</v>
      </c>
      <c r="Q12" s="212">
        <v>14000</v>
      </c>
      <c r="R12" s="212">
        <v>14000</v>
      </c>
      <c r="S12" s="278">
        <v>14000</v>
      </c>
      <c r="T12" s="212">
        <f>SUM(Q12:S12)</f>
        <v>42000</v>
      </c>
      <c r="U12" s="195">
        <v>5600</v>
      </c>
      <c r="V12" s="300">
        <v>14000</v>
      </c>
      <c r="W12" s="300">
        <v>14000</v>
      </c>
      <c r="X12" s="300">
        <v>64000</v>
      </c>
      <c r="Y12" s="278">
        <f>+SUM(V12:X12)</f>
        <v>92000</v>
      </c>
    </row>
    <row r="13" spans="1:25" hidden="1" outlineLevel="1">
      <c r="A13" s="194" t="s">
        <v>154</v>
      </c>
      <c r="B13" s="195" t="s">
        <v>161</v>
      </c>
      <c r="C13" s="195" t="s">
        <v>162</v>
      </c>
      <c r="D13" s="213">
        <v>55000</v>
      </c>
      <c r="E13" s="212">
        <f>D13*[4]Assumptions!B11/[4]Assumptions!B12</f>
        <v>21666.666666666668</v>
      </c>
      <c r="F13" s="199" t="s">
        <v>157</v>
      </c>
      <c r="G13" s="195" t="s">
        <v>163</v>
      </c>
      <c r="I13" s="212">
        <f>I12*2*0.2</f>
        <v>3945.45454545454</v>
      </c>
      <c r="J13" s="212">
        <f t="shared" si="2"/>
        <v>3945.45454545454</v>
      </c>
      <c r="K13" s="212">
        <f t="shared" si="2"/>
        <v>3945.45454545454</v>
      </c>
      <c r="L13" s="230">
        <f t="shared" si="1"/>
        <v>11836.36363636362</v>
      </c>
      <c r="M13" s="212">
        <f>K13</f>
        <v>3945.45454545454</v>
      </c>
      <c r="N13" s="212">
        <f t="shared" si="2"/>
        <v>3945.45454545454</v>
      </c>
      <c r="O13" s="212">
        <f t="shared" si="2"/>
        <v>3945.45454545454</v>
      </c>
      <c r="P13" s="212">
        <f t="shared" si="3"/>
        <v>11836.36363636362</v>
      </c>
      <c r="Q13" s="212">
        <v>4333.3333333333339</v>
      </c>
      <c r="R13" s="212">
        <v>4333.3333333333339</v>
      </c>
      <c r="S13" s="278">
        <v>4333.3333333333339</v>
      </c>
      <c r="T13" s="212">
        <f>SUM(Q13:S13)</f>
        <v>13000.000000000002</v>
      </c>
      <c r="U13" s="195">
        <v>5600</v>
      </c>
      <c r="V13" s="301">
        <v>4333.3333333333339</v>
      </c>
      <c r="W13" s="301">
        <v>4333.3333333333339</v>
      </c>
      <c r="X13" s="301">
        <v>24333.333333333336</v>
      </c>
      <c r="Y13" s="278">
        <f>+SUM(V13:X13)</f>
        <v>33000</v>
      </c>
    </row>
    <row r="14" spans="1:25" hidden="1" outlineLevel="1">
      <c r="A14" s="194" t="s">
        <v>154</v>
      </c>
      <c r="B14" s="195" t="s">
        <v>164</v>
      </c>
      <c r="D14" s="212">
        <v>225000</v>
      </c>
      <c r="E14" s="212">
        <f>D14*[4]Assumptions!B14/12</f>
        <v>22500</v>
      </c>
      <c r="F14" s="199">
        <v>0.15</v>
      </c>
      <c r="I14" s="212">
        <v>0</v>
      </c>
      <c r="J14" s="212">
        <f t="shared" si="2"/>
        <v>0</v>
      </c>
      <c r="K14" s="212">
        <f t="shared" si="2"/>
        <v>0</v>
      </c>
      <c r="L14" s="230">
        <f t="shared" si="1"/>
        <v>0</v>
      </c>
      <c r="M14" s="212">
        <f>K14</f>
        <v>0</v>
      </c>
      <c r="N14" s="212">
        <f t="shared" si="2"/>
        <v>0</v>
      </c>
      <c r="O14" s="212">
        <f>275*19</f>
        <v>5225</v>
      </c>
      <c r="P14" s="212">
        <f t="shared" si="3"/>
        <v>5225</v>
      </c>
      <c r="Q14" s="212">
        <v>27500</v>
      </c>
      <c r="R14" s="212">
        <v>27500</v>
      </c>
      <c r="S14" s="278">
        <v>27500</v>
      </c>
      <c r="T14" s="212">
        <f>SUM(Q14:S14)</f>
        <v>82500</v>
      </c>
      <c r="U14" s="195">
        <v>5610</v>
      </c>
      <c r="V14" s="301">
        <v>27500</v>
      </c>
      <c r="W14" s="301">
        <v>27500</v>
      </c>
      <c r="X14" s="301">
        <v>27500</v>
      </c>
      <c r="Y14" s="278">
        <f>+SUM(V14:X14)</f>
        <v>82500</v>
      </c>
    </row>
    <row r="15" spans="1:25" hidden="1" outlineLevel="1">
      <c r="B15" s="195" t="s">
        <v>165</v>
      </c>
      <c r="C15" s="195" t="s">
        <v>166</v>
      </c>
      <c r="D15" s="212">
        <v>50000</v>
      </c>
      <c r="E15" s="212">
        <f>D15*[4]Assumptions!B11/[4]Assumptions!B12</f>
        <v>19696.9696969697</v>
      </c>
      <c r="F15" s="199">
        <v>0.1</v>
      </c>
      <c r="I15" s="212">
        <f>15000*[4]Assumptions!$B$11/[4]Assumptions!$B$12</f>
        <v>5909.090909090909</v>
      </c>
      <c r="J15" s="212">
        <f>21000*[4]Assumptions!$B$11/[4]Assumptions!$B$12</f>
        <v>8272.7272727272739</v>
      </c>
      <c r="K15" s="212">
        <f>J15</f>
        <v>8272.7272727272739</v>
      </c>
      <c r="L15" s="230">
        <f t="shared" si="1"/>
        <v>22454.545454545456</v>
      </c>
      <c r="M15" s="212">
        <f>K15</f>
        <v>8272.7272727272739</v>
      </c>
      <c r="N15" s="212">
        <f>M15</f>
        <v>8272.7272727272739</v>
      </c>
      <c r="O15" s="212">
        <f>N15</f>
        <v>8272.7272727272739</v>
      </c>
      <c r="P15" s="212">
        <f t="shared" si="3"/>
        <v>24818.181818181823</v>
      </c>
      <c r="Q15" s="212">
        <v>19696.9696969697</v>
      </c>
      <c r="R15" s="212">
        <v>19696.9696969697</v>
      </c>
      <c r="S15" s="278">
        <v>19696.9696969697</v>
      </c>
      <c r="T15" s="212">
        <f>SUM(Q15:S15)</f>
        <v>59090.909090909103</v>
      </c>
      <c r="U15" s="195">
        <v>5600</v>
      </c>
      <c r="V15" s="300">
        <v>19696.9696969697</v>
      </c>
      <c r="W15" s="300">
        <v>19696.9696969697</v>
      </c>
      <c r="X15" s="300">
        <v>36242.424242424247</v>
      </c>
      <c r="Y15" s="278">
        <f>+SUM(V15:X15)</f>
        <v>75636.363636363647</v>
      </c>
    </row>
    <row r="16" spans="1:25" hidden="1" outlineLevel="1">
      <c r="B16" s="195" t="s">
        <v>167</v>
      </c>
      <c r="C16" s="195" t="s">
        <v>166</v>
      </c>
      <c r="D16" s="212">
        <v>175000</v>
      </c>
      <c r="E16" s="212">
        <f>D16*[4]Assumptions!B14/12</f>
        <v>17500</v>
      </c>
      <c r="F16" s="199">
        <v>0.1</v>
      </c>
      <c r="I16" s="212"/>
      <c r="J16" s="212"/>
      <c r="K16" s="212"/>
      <c r="L16" s="230">
        <f t="shared" si="1"/>
        <v>0</v>
      </c>
      <c r="M16" s="212"/>
      <c r="N16" s="212"/>
      <c r="O16" s="212"/>
      <c r="P16" s="212">
        <f t="shared" si="3"/>
        <v>0</v>
      </c>
      <c r="Q16" s="212"/>
      <c r="R16" s="212"/>
      <c r="T16" s="212"/>
      <c r="V16" s="300"/>
      <c r="W16" s="300"/>
      <c r="X16" s="300"/>
    </row>
    <row r="17" spans="1:25" hidden="1" outlineLevel="1">
      <c r="B17" s="200"/>
      <c r="C17" s="200"/>
      <c r="D17" s="201"/>
      <c r="E17" s="201"/>
      <c r="F17" s="203"/>
      <c r="G17" s="200"/>
      <c r="L17" s="230">
        <f t="shared" si="1"/>
        <v>0</v>
      </c>
      <c r="P17" s="212">
        <f t="shared" si="3"/>
        <v>0</v>
      </c>
      <c r="Q17" s="212"/>
      <c r="R17" s="212"/>
      <c r="T17" s="212"/>
      <c r="V17" s="297"/>
      <c r="W17" s="297"/>
      <c r="X17" s="297"/>
    </row>
    <row r="18" spans="1:25" hidden="1" outlineLevel="1">
      <c r="B18" s="209" t="s">
        <v>168</v>
      </c>
      <c r="C18" s="206"/>
      <c r="D18" s="206"/>
      <c r="E18" s="206"/>
      <c r="F18" s="210"/>
      <c r="G18" s="206"/>
      <c r="L18" s="230">
        <f t="shared" si="1"/>
        <v>0</v>
      </c>
      <c r="P18" s="212">
        <f t="shared" si="3"/>
        <v>0</v>
      </c>
      <c r="Q18" s="212"/>
      <c r="R18" s="212"/>
      <c r="T18" s="212"/>
      <c r="V18" s="297"/>
      <c r="W18" s="297"/>
      <c r="X18" s="297"/>
    </row>
    <row r="19" spans="1:25" hidden="1" outlineLevel="1">
      <c r="A19" s="194" t="s">
        <v>154</v>
      </c>
      <c r="B19" s="195" t="s">
        <v>169</v>
      </c>
      <c r="C19" s="195" t="s">
        <v>170</v>
      </c>
      <c r="D19" s="212"/>
      <c r="E19" s="212">
        <v>7500</v>
      </c>
      <c r="F19" s="199">
        <v>0.15</v>
      </c>
      <c r="I19" s="212">
        <v>6204.545454545455</v>
      </c>
      <c r="J19" s="212">
        <v>6204.545454545455</v>
      </c>
      <c r="K19" s="212">
        <v>6204.545454545455</v>
      </c>
      <c r="L19" s="230">
        <f t="shared" si="1"/>
        <v>18613.636363636364</v>
      </c>
      <c r="M19" s="212">
        <v>6204.545454545455</v>
      </c>
      <c r="N19" s="212">
        <f>M19</f>
        <v>6204.545454545455</v>
      </c>
      <c r="O19" s="212">
        <f>N19</f>
        <v>6204.545454545455</v>
      </c>
      <c r="P19" s="212">
        <f t="shared" si="3"/>
        <v>18613.636363636364</v>
      </c>
      <c r="Q19" s="212">
        <v>7500</v>
      </c>
      <c r="R19" s="212">
        <v>7500</v>
      </c>
      <c r="S19" s="278">
        <v>7500</v>
      </c>
      <c r="T19" s="212">
        <f>SUM(Q19:S19)</f>
        <v>22500</v>
      </c>
      <c r="U19" s="195">
        <v>5600</v>
      </c>
      <c r="V19" s="300">
        <v>7500</v>
      </c>
      <c r="W19" s="300">
        <v>7500</v>
      </c>
      <c r="X19" s="301">
        <v>19834.090909090912</v>
      </c>
      <c r="Y19" s="278">
        <f>+SUM(V19:X19)</f>
        <v>34834.090909090912</v>
      </c>
    </row>
    <row r="20" spans="1:25" s="219" customFormat="1" hidden="1" outlineLevel="1">
      <c r="A20" s="215"/>
      <c r="B20" s="216"/>
      <c r="C20" s="216"/>
      <c r="D20" s="217"/>
      <c r="E20" s="216"/>
      <c r="F20" s="218"/>
      <c r="L20" s="230"/>
      <c r="P20" s="212"/>
      <c r="Q20" s="212">
        <v>1</v>
      </c>
      <c r="R20" s="212">
        <v>1</v>
      </c>
      <c r="S20" s="278"/>
      <c r="T20" s="212"/>
      <c r="V20" s="302">
        <v>1</v>
      </c>
      <c r="W20" s="302">
        <v>1</v>
      </c>
      <c r="X20" s="302">
        <v>1</v>
      </c>
    </row>
    <row r="21" spans="1:25" hidden="1" outlineLevel="1">
      <c r="A21" s="194" t="s">
        <v>154</v>
      </c>
      <c r="B21" s="195" t="s">
        <v>171</v>
      </c>
      <c r="C21" s="195" t="s">
        <v>172</v>
      </c>
      <c r="D21" s="213"/>
      <c r="E21" s="212">
        <v>6000</v>
      </c>
      <c r="I21" s="212">
        <v>0</v>
      </c>
      <c r="J21" s="212">
        <f>I21</f>
        <v>0</v>
      </c>
      <c r="K21" s="212">
        <f>J21</f>
        <v>0</v>
      </c>
      <c r="L21" s="230">
        <f t="shared" si="1"/>
        <v>0</v>
      </c>
      <c r="M21" s="212">
        <f>K21</f>
        <v>0</v>
      </c>
      <c r="N21" s="212">
        <v>1970</v>
      </c>
      <c r="O21" s="212">
        <v>1970</v>
      </c>
      <c r="P21" s="212">
        <f t="shared" si="3"/>
        <v>3940</v>
      </c>
      <c r="Q21" s="212">
        <v>6000</v>
      </c>
      <c r="R21" s="212">
        <v>6000</v>
      </c>
      <c r="S21" s="278">
        <v>6000</v>
      </c>
      <c r="T21" s="212">
        <f>SUM(Q21:S21)</f>
        <v>18000</v>
      </c>
      <c r="U21" s="195">
        <v>5600</v>
      </c>
      <c r="V21" s="300">
        <v>6000</v>
      </c>
      <c r="W21" s="300">
        <v>6000</v>
      </c>
      <c r="X21" s="300">
        <v>6000</v>
      </c>
      <c r="Y21" s="278">
        <f>+SUM(V21:X21)</f>
        <v>18000</v>
      </c>
    </row>
    <row r="22" spans="1:25" hidden="1" outlineLevel="1">
      <c r="B22" s="220"/>
      <c r="C22" s="220"/>
      <c r="D22" s="221"/>
      <c r="E22" s="222"/>
      <c r="I22" s="212"/>
      <c r="J22" s="212"/>
      <c r="K22" s="212"/>
      <c r="L22" s="230">
        <f t="shared" si="1"/>
        <v>0</v>
      </c>
      <c r="M22" s="219"/>
      <c r="N22" s="212"/>
      <c r="O22" s="212"/>
      <c r="P22" s="212"/>
      <c r="Q22" s="212">
        <v>1</v>
      </c>
      <c r="R22" s="212">
        <v>1</v>
      </c>
      <c r="T22" s="212"/>
      <c r="V22" s="302">
        <v>1</v>
      </c>
      <c r="W22" s="302">
        <v>1</v>
      </c>
      <c r="X22" s="302">
        <v>1</v>
      </c>
    </row>
    <row r="23" spans="1:25" s="223" customFormat="1" ht="16" hidden="1" outlineLevel="1">
      <c r="A23" s="194"/>
      <c r="B23" s="195" t="s">
        <v>173</v>
      </c>
      <c r="C23" s="195" t="s">
        <v>174</v>
      </c>
      <c r="D23" s="213"/>
      <c r="E23" s="212">
        <v>10000</v>
      </c>
      <c r="F23" s="199"/>
      <c r="G23" s="195"/>
      <c r="H23" s="212"/>
      <c r="I23" s="212"/>
      <c r="J23" s="212"/>
      <c r="K23" s="212"/>
      <c r="L23" s="230">
        <f t="shared" si="1"/>
        <v>0</v>
      </c>
      <c r="N23" s="212"/>
      <c r="O23" s="212">
        <v>7879</v>
      </c>
      <c r="P23" s="212">
        <f t="shared" si="3"/>
        <v>7879</v>
      </c>
      <c r="Q23" s="212">
        <v>20000</v>
      </c>
      <c r="R23" s="212">
        <v>20000</v>
      </c>
      <c r="S23" s="278">
        <v>20000</v>
      </c>
      <c r="T23" s="212">
        <f>SUM(Q23:S23)</f>
        <v>60000</v>
      </c>
      <c r="U23" s="223">
        <v>5600</v>
      </c>
      <c r="V23" s="300">
        <v>20000</v>
      </c>
      <c r="W23" s="300">
        <v>20000</v>
      </c>
      <c r="X23" s="300">
        <v>20000</v>
      </c>
      <c r="Y23" s="278">
        <f>+SUM(V23:X23)</f>
        <v>60000</v>
      </c>
    </row>
    <row r="24" spans="1:25" s="220" customFormat="1" hidden="1" outlineLevel="1" collapsed="1">
      <c r="A24" s="224"/>
      <c r="D24" s="221"/>
      <c r="E24" s="222"/>
      <c r="F24" s="225"/>
      <c r="H24" s="226"/>
      <c r="I24" s="226"/>
      <c r="J24" s="226"/>
      <c r="K24" s="226"/>
      <c r="L24" s="226"/>
      <c r="N24" s="226"/>
      <c r="O24" s="226"/>
      <c r="P24" s="212"/>
      <c r="Q24" s="212">
        <v>2</v>
      </c>
      <c r="R24" s="212">
        <v>2</v>
      </c>
      <c r="S24" s="278"/>
      <c r="T24" s="212"/>
      <c r="V24" s="303">
        <v>2</v>
      </c>
      <c r="W24" s="303">
        <v>2</v>
      </c>
      <c r="X24" s="303">
        <v>2</v>
      </c>
    </row>
    <row r="25" spans="1:25" hidden="1" outlineLevel="1">
      <c r="D25" s="212"/>
      <c r="E25" s="212"/>
      <c r="I25" s="212"/>
      <c r="J25" s="212"/>
      <c r="K25" s="212"/>
      <c r="L25" s="212"/>
      <c r="M25" s="212"/>
      <c r="N25" s="212"/>
      <c r="O25" s="212"/>
      <c r="P25" s="212">
        <f t="shared" si="3"/>
        <v>0</v>
      </c>
      <c r="Q25" s="230"/>
      <c r="R25" s="230"/>
      <c r="T25" s="230"/>
      <c r="V25" s="300"/>
      <c r="W25" s="300"/>
      <c r="X25" s="300"/>
    </row>
    <row r="26" spans="1:25" collapsed="1">
      <c r="B26" s="227" t="s">
        <v>175</v>
      </c>
      <c r="C26" s="227" t="s">
        <v>176</v>
      </c>
      <c r="D26" s="227" t="s">
        <v>177</v>
      </c>
      <c r="G26" s="195" t="s">
        <v>178</v>
      </c>
      <c r="I26" s="228">
        <f t="shared" ref="I26:O26" si="4">COUNTIF(I11:I19,"&gt;0")+I22+I24</f>
        <v>5</v>
      </c>
      <c r="J26" s="228">
        <f t="shared" si="4"/>
        <v>5</v>
      </c>
      <c r="K26" s="228">
        <f t="shared" si="4"/>
        <v>5</v>
      </c>
      <c r="L26" s="228"/>
      <c r="M26" s="228">
        <f t="shared" si="4"/>
        <v>5</v>
      </c>
      <c r="N26" s="229">
        <f t="shared" si="4"/>
        <v>5</v>
      </c>
      <c r="O26" s="228">
        <f t="shared" si="4"/>
        <v>6</v>
      </c>
      <c r="P26" s="212"/>
      <c r="Q26" s="195">
        <v>9</v>
      </c>
      <c r="R26" s="195">
        <v>9</v>
      </c>
      <c r="V26" s="304">
        <v>9</v>
      </c>
      <c r="W26" s="304">
        <v>9</v>
      </c>
      <c r="X26" s="304">
        <v>9</v>
      </c>
    </row>
    <row r="27" spans="1:25">
      <c r="B27" s="200"/>
      <c r="C27" s="200"/>
      <c r="D27" s="201"/>
      <c r="E27" s="201"/>
      <c r="F27" s="203"/>
      <c r="G27" s="195" t="s">
        <v>179</v>
      </c>
      <c r="I27" s="230">
        <f t="shared" ref="I27:T27" si="5">SUBTOTAL(9,I11:I19)+I21+I23</f>
        <v>49587.499999999985</v>
      </c>
      <c r="J27" s="230">
        <f t="shared" si="5"/>
        <v>51951.136363636346</v>
      </c>
      <c r="K27" s="230">
        <f t="shared" si="5"/>
        <v>51951.136363636346</v>
      </c>
      <c r="L27" s="230">
        <f t="shared" si="5"/>
        <v>153489.77272727265</v>
      </c>
      <c r="M27" s="230">
        <f t="shared" si="5"/>
        <v>51951.136363636346</v>
      </c>
      <c r="N27" s="230">
        <f t="shared" si="5"/>
        <v>53921.136363636346</v>
      </c>
      <c r="O27" s="230">
        <f t="shared" si="5"/>
        <v>67025.136363636353</v>
      </c>
      <c r="P27" s="230">
        <f>SUBTOTAL(9,P11:P19)+P21+P23</f>
        <v>172897.40909090903</v>
      </c>
      <c r="Q27" s="230">
        <f t="shared" si="5"/>
        <v>126009.4696969697</v>
      </c>
      <c r="R27" s="230">
        <f t="shared" si="5"/>
        <v>126009.46969696973</v>
      </c>
      <c r="S27" s="230">
        <f t="shared" si="5"/>
        <v>126009.4696969697</v>
      </c>
      <c r="T27" s="230">
        <f t="shared" si="5"/>
        <v>378028.40909090918</v>
      </c>
      <c r="V27" s="305">
        <v>126009.4696969697</v>
      </c>
      <c r="W27" s="305">
        <v>126009.4696969697</v>
      </c>
      <c r="X27" s="305">
        <v>324889.01515151514</v>
      </c>
      <c r="Y27" s="278">
        <f t="shared" ref="Y27" si="6">SUBTOTAL(9,Y11:Y19)+Y21+Y23</f>
        <v>576907.95454545459</v>
      </c>
    </row>
    <row r="28" spans="1:25">
      <c r="B28" s="209" t="s">
        <v>180</v>
      </c>
      <c r="C28" s="200"/>
      <c r="D28" s="201"/>
      <c r="E28" s="201"/>
      <c r="F28" s="203"/>
      <c r="G28" s="200"/>
      <c r="L28" s="230">
        <f t="shared" ref="L28:L91" si="7">SUM(I28:K28)</f>
        <v>0</v>
      </c>
      <c r="Q28" s="212"/>
      <c r="R28" s="212"/>
      <c r="T28" s="212"/>
      <c r="V28" s="297"/>
      <c r="W28" s="297"/>
      <c r="X28" s="297"/>
      <c r="Y28" s="278"/>
    </row>
    <row r="29" spans="1:25" hidden="1" outlineLevel="1">
      <c r="B29" s="195" t="s">
        <v>181</v>
      </c>
      <c r="C29" s="195" t="s">
        <v>182</v>
      </c>
      <c r="D29" s="195"/>
      <c r="E29" s="230">
        <v>150</v>
      </c>
      <c r="F29" s="231"/>
      <c r="G29" s="195" t="s">
        <v>183</v>
      </c>
      <c r="I29" s="212">
        <f t="shared" ref="I29:M29" si="8">$E$29*I26</f>
        <v>750</v>
      </c>
      <c r="J29" s="212">
        <f t="shared" si="8"/>
        <v>750</v>
      </c>
      <c r="K29" s="212">
        <f t="shared" si="8"/>
        <v>750</v>
      </c>
      <c r="L29" s="230">
        <f t="shared" si="7"/>
        <v>2250</v>
      </c>
      <c r="M29" s="212">
        <f t="shared" si="8"/>
        <v>750</v>
      </c>
      <c r="N29" s="212">
        <v>825</v>
      </c>
      <c r="O29" s="212">
        <v>1125</v>
      </c>
      <c r="P29" s="212">
        <f t="shared" ref="P29:P55" si="9">SUM(M29:O29)</f>
        <v>2700</v>
      </c>
      <c r="Q29" s="212">
        <v>1350</v>
      </c>
      <c r="R29" s="212">
        <v>1350</v>
      </c>
      <c r="S29" s="278">
        <v>1350</v>
      </c>
      <c r="T29" s="212">
        <f>SUM(Q29:S29)</f>
        <v>4050</v>
      </c>
      <c r="U29" s="195">
        <v>5660</v>
      </c>
      <c r="V29" s="300">
        <v>1350</v>
      </c>
      <c r="W29" s="300">
        <v>1350</v>
      </c>
      <c r="X29" s="300">
        <v>1350</v>
      </c>
      <c r="Y29" s="278">
        <f>SUM(V29:X29)</f>
        <v>4050</v>
      </c>
    </row>
    <row r="30" spans="1:25" hidden="1" outlineLevel="1">
      <c r="B30" s="195" t="s">
        <v>184</v>
      </c>
      <c r="D30" s="195"/>
      <c r="E30" s="230">
        <v>500</v>
      </c>
      <c r="F30" s="231"/>
      <c r="G30" s="195" t="s">
        <v>183</v>
      </c>
      <c r="I30" s="212">
        <f t="shared" ref="I30:M30" si="10">$E$30*I26</f>
        <v>2500</v>
      </c>
      <c r="J30" s="212">
        <f t="shared" si="10"/>
        <v>2500</v>
      </c>
      <c r="K30" s="212">
        <f t="shared" si="10"/>
        <v>2500</v>
      </c>
      <c r="L30" s="230">
        <f t="shared" si="7"/>
        <v>7500</v>
      </c>
      <c r="M30" s="212">
        <f t="shared" si="10"/>
        <v>2500</v>
      </c>
      <c r="N30" s="212">
        <v>2750</v>
      </c>
      <c r="O30" s="212">
        <v>3750</v>
      </c>
      <c r="P30" s="212">
        <f t="shared" si="9"/>
        <v>9000</v>
      </c>
      <c r="Q30" s="212">
        <v>4500</v>
      </c>
      <c r="R30" s="212">
        <v>4500</v>
      </c>
      <c r="S30" s="278">
        <v>4500</v>
      </c>
      <c r="T30" s="212">
        <f>SUM(Q30:S30)</f>
        <v>13500</v>
      </c>
      <c r="U30" s="195">
        <v>5660</v>
      </c>
      <c r="V30" s="300">
        <v>4500</v>
      </c>
      <c r="W30" s="300">
        <v>4500</v>
      </c>
      <c r="X30" s="300">
        <v>4500</v>
      </c>
      <c r="Y30" s="278">
        <f>SUM(V30:X30)</f>
        <v>13500</v>
      </c>
    </row>
    <row r="31" spans="1:25" hidden="1" outlineLevel="1">
      <c r="B31" s="195" t="s">
        <v>185</v>
      </c>
      <c r="C31" s="195" t="s">
        <v>186</v>
      </c>
      <c r="E31" s="230">
        <v>150</v>
      </c>
      <c r="F31" s="231"/>
      <c r="G31" s="195" t="s">
        <v>183</v>
      </c>
      <c r="I31" s="212">
        <f t="shared" ref="I31:M31" si="11">I26*$E31</f>
        <v>750</v>
      </c>
      <c r="J31" s="212">
        <f t="shared" si="11"/>
        <v>750</v>
      </c>
      <c r="K31" s="212">
        <f t="shared" si="11"/>
        <v>750</v>
      </c>
      <c r="L31" s="230">
        <f t="shared" si="7"/>
        <v>2250</v>
      </c>
      <c r="M31" s="212">
        <f t="shared" si="11"/>
        <v>750</v>
      </c>
      <c r="N31" s="212">
        <v>825</v>
      </c>
      <c r="O31" s="212">
        <v>1125</v>
      </c>
      <c r="P31" s="212">
        <f t="shared" si="9"/>
        <v>2700</v>
      </c>
      <c r="Q31" s="212">
        <v>1350</v>
      </c>
      <c r="R31" s="212">
        <v>1350</v>
      </c>
      <c r="S31" s="278">
        <v>1350</v>
      </c>
      <c r="T31" s="212">
        <f>SUM(Q31:S31)</f>
        <v>4050</v>
      </c>
      <c r="U31" s="195">
        <v>5660</v>
      </c>
      <c r="V31" s="300">
        <v>1350</v>
      </c>
      <c r="W31" s="300">
        <v>1350</v>
      </c>
      <c r="X31" s="300">
        <v>1350</v>
      </c>
      <c r="Y31" s="278">
        <f>SUM(V31:X31)</f>
        <v>4050</v>
      </c>
    </row>
    <row r="32" spans="1:25" hidden="1" outlineLevel="1">
      <c r="B32" s="227" t="s">
        <v>175</v>
      </c>
      <c r="C32" s="227" t="s">
        <v>176</v>
      </c>
      <c r="D32" s="227" t="s">
        <v>177</v>
      </c>
      <c r="I32" s="228"/>
      <c r="J32" s="228"/>
      <c r="K32" s="228"/>
      <c r="L32" s="230">
        <f t="shared" si="7"/>
        <v>0</v>
      </c>
      <c r="M32" s="228"/>
      <c r="N32" s="228"/>
      <c r="O32" s="228"/>
      <c r="P32" s="212">
        <f t="shared" si="9"/>
        <v>0</v>
      </c>
      <c r="Q32" s="212"/>
      <c r="R32" s="212"/>
      <c r="T32" s="212"/>
      <c r="V32" s="304"/>
      <c r="W32" s="304"/>
      <c r="X32" s="304"/>
      <c r="Y32" s="278"/>
    </row>
    <row r="33" spans="2:25" hidden="1" outlineLevel="1">
      <c r="B33" s="195" t="s">
        <v>187</v>
      </c>
      <c r="C33" s="195" t="s">
        <v>188</v>
      </c>
      <c r="E33" s="230"/>
      <c r="F33" s="231"/>
      <c r="G33" s="195" t="s">
        <v>189</v>
      </c>
      <c r="I33" s="212">
        <v>16000</v>
      </c>
      <c r="J33" s="212">
        <v>16000</v>
      </c>
      <c r="K33" s="212">
        <v>16000</v>
      </c>
      <c r="L33" s="230">
        <f t="shared" si="7"/>
        <v>48000</v>
      </c>
      <c r="M33" s="212">
        <v>17500</v>
      </c>
      <c r="N33" s="212">
        <v>17500</v>
      </c>
      <c r="O33" s="212">
        <v>17500</v>
      </c>
      <c r="P33" s="212">
        <f t="shared" si="9"/>
        <v>52500</v>
      </c>
      <c r="Q33" s="212">
        <v>20000</v>
      </c>
      <c r="R33" s="212">
        <v>20000</v>
      </c>
      <c r="S33" s="278">
        <v>20000</v>
      </c>
      <c r="T33" s="212">
        <f>SUM(Q33:S33)</f>
        <v>60000</v>
      </c>
      <c r="U33" s="195">
        <v>5620</v>
      </c>
      <c r="V33" s="300">
        <v>25000</v>
      </c>
      <c r="W33" s="300">
        <v>25000</v>
      </c>
      <c r="X33" s="300">
        <v>25000</v>
      </c>
      <c r="Y33" s="278">
        <f>SUM(V33:X33)</f>
        <v>75000</v>
      </c>
    </row>
    <row r="34" spans="2:25" hidden="1" outlineLevel="1">
      <c r="B34" s="195" t="s">
        <v>190</v>
      </c>
      <c r="E34" s="230"/>
      <c r="F34" s="231"/>
      <c r="I34" s="212"/>
      <c r="J34" s="212"/>
      <c r="K34" s="212">
        <f>70000/7</f>
        <v>10000</v>
      </c>
      <c r="L34" s="230">
        <f t="shared" si="7"/>
        <v>10000</v>
      </c>
      <c r="M34" s="212">
        <f>70000/7</f>
        <v>10000</v>
      </c>
      <c r="N34" s="212">
        <f>70000/7</f>
        <v>10000</v>
      </c>
      <c r="O34" s="212">
        <f>70000/7</f>
        <v>10000</v>
      </c>
      <c r="P34" s="212">
        <f t="shared" si="9"/>
        <v>30000</v>
      </c>
      <c r="Q34" s="212">
        <v>10000</v>
      </c>
      <c r="R34" s="212">
        <v>10000</v>
      </c>
      <c r="S34" s="278">
        <v>10000</v>
      </c>
      <c r="T34" s="212">
        <f>SUM(Q34:S34)</f>
        <v>30000</v>
      </c>
      <c r="U34" s="195">
        <v>5660</v>
      </c>
      <c r="V34" s="300">
        <v>10000</v>
      </c>
      <c r="W34" s="300">
        <v>10000</v>
      </c>
      <c r="X34" s="300">
        <v>10000</v>
      </c>
      <c r="Y34" s="278">
        <f>SUM(V34:X34)</f>
        <v>30000</v>
      </c>
    </row>
    <row r="35" spans="2:25" hidden="1" outlineLevel="1">
      <c r="B35" s="195" t="s">
        <v>191</v>
      </c>
      <c r="I35" s="230"/>
      <c r="J35" s="230"/>
      <c r="K35" s="230"/>
      <c r="L35" s="230">
        <f t="shared" si="7"/>
        <v>0</v>
      </c>
      <c r="M35" s="230"/>
      <c r="N35" s="230"/>
      <c r="O35" s="230"/>
      <c r="P35" s="212">
        <f t="shared" si="9"/>
        <v>0</v>
      </c>
      <c r="Q35" s="212"/>
      <c r="R35" s="212"/>
      <c r="T35" s="212"/>
      <c r="V35" s="305"/>
      <c r="W35" s="305"/>
      <c r="X35" s="305"/>
      <c r="Y35" s="278"/>
    </row>
    <row r="36" spans="2:25" hidden="1" outlineLevel="1">
      <c r="B36" s="195" t="s">
        <v>192</v>
      </c>
      <c r="I36" s="230">
        <v>0</v>
      </c>
      <c r="J36" s="230">
        <v>0</v>
      </c>
      <c r="K36" s="230">
        <v>0</v>
      </c>
      <c r="L36" s="230">
        <f t="shared" si="7"/>
        <v>0</v>
      </c>
      <c r="M36" s="230">
        <v>0</v>
      </c>
      <c r="N36" s="230">
        <v>0</v>
      </c>
      <c r="O36" s="230">
        <v>0</v>
      </c>
      <c r="P36" s="212">
        <f t="shared" si="9"/>
        <v>0</v>
      </c>
      <c r="Q36" s="212">
        <v>0</v>
      </c>
      <c r="R36" s="212">
        <v>0</v>
      </c>
      <c r="S36" s="278">
        <v>0</v>
      </c>
      <c r="T36" s="212">
        <f>SUM(Q36:S36)</f>
        <v>0</v>
      </c>
      <c r="V36" s="305"/>
      <c r="W36" s="305"/>
      <c r="X36" s="305"/>
      <c r="Y36" s="278">
        <f>SUM(V36:X36)</f>
        <v>0</v>
      </c>
    </row>
    <row r="37" spans="2:25" hidden="1" outlineLevel="1">
      <c r="B37" s="195" t="s">
        <v>193</v>
      </c>
      <c r="G37" s="195" t="s">
        <v>189</v>
      </c>
      <c r="I37" s="230">
        <v>2500</v>
      </c>
      <c r="J37" s="230">
        <v>2500</v>
      </c>
      <c r="K37" s="230">
        <v>2500</v>
      </c>
      <c r="L37" s="230">
        <f t="shared" si="7"/>
        <v>7500</v>
      </c>
      <c r="M37" s="230">
        <v>2500</v>
      </c>
      <c r="N37" s="230">
        <v>2500</v>
      </c>
      <c r="O37" s="230">
        <v>2500</v>
      </c>
      <c r="P37" s="212">
        <f t="shared" si="9"/>
        <v>7500</v>
      </c>
      <c r="Q37" s="212">
        <v>2500</v>
      </c>
      <c r="R37" s="212">
        <v>2500</v>
      </c>
      <c r="S37" s="278">
        <v>2500</v>
      </c>
      <c r="T37" s="212">
        <f>SUM(Q37:S37)</f>
        <v>7500</v>
      </c>
      <c r="U37" s="195">
        <v>5620</v>
      </c>
      <c r="V37" s="305">
        <v>2500</v>
      </c>
      <c r="W37" s="305">
        <v>2500</v>
      </c>
      <c r="X37" s="305">
        <v>2500</v>
      </c>
      <c r="Y37" s="278">
        <f>SUM(V37:X37)</f>
        <v>7500</v>
      </c>
    </row>
    <row r="38" spans="2:25" hidden="1" outlineLevel="1">
      <c r="B38" s="195" t="s">
        <v>194</v>
      </c>
      <c r="G38" s="195" t="s">
        <v>189</v>
      </c>
      <c r="I38" s="230">
        <v>3000</v>
      </c>
      <c r="J38" s="230">
        <v>3000</v>
      </c>
      <c r="K38" s="230">
        <v>3000</v>
      </c>
      <c r="L38" s="230">
        <f t="shared" si="7"/>
        <v>9000</v>
      </c>
      <c r="M38" s="230">
        <v>3000</v>
      </c>
      <c r="N38" s="230">
        <v>3000</v>
      </c>
      <c r="O38" s="230">
        <v>3000</v>
      </c>
      <c r="P38" s="212">
        <f t="shared" si="9"/>
        <v>9000</v>
      </c>
      <c r="Q38" s="212">
        <v>10000</v>
      </c>
      <c r="R38" s="212">
        <v>10000</v>
      </c>
      <c r="S38" s="278">
        <v>10000</v>
      </c>
      <c r="T38" s="212">
        <f>SUM(Q38:S38)</f>
        <v>30000</v>
      </c>
      <c r="U38" s="195">
        <v>5620</v>
      </c>
      <c r="V38" s="305">
        <v>10000</v>
      </c>
      <c r="W38" s="305">
        <v>10000</v>
      </c>
      <c r="X38" s="305">
        <v>10000</v>
      </c>
      <c r="Y38" s="278">
        <f>SUM(V38:X38)</f>
        <v>30000</v>
      </c>
    </row>
    <row r="39" spans="2:25" hidden="1" outlineLevel="1">
      <c r="B39" s="195" t="s">
        <v>195</v>
      </c>
      <c r="I39" s="230">
        <v>0</v>
      </c>
      <c r="J39" s="230">
        <v>0</v>
      </c>
      <c r="K39" s="230">
        <v>0</v>
      </c>
      <c r="L39" s="230">
        <f t="shared" si="7"/>
        <v>0</v>
      </c>
      <c r="M39" s="230">
        <f>10000/3</f>
        <v>3333.3333333333335</v>
      </c>
      <c r="N39" s="230">
        <f>10000/3</f>
        <v>3333.3333333333335</v>
      </c>
      <c r="O39" s="230">
        <f>10000/3</f>
        <v>3333.3333333333335</v>
      </c>
      <c r="P39" s="212">
        <f t="shared" si="9"/>
        <v>10000</v>
      </c>
      <c r="Q39" s="212">
        <v>5000</v>
      </c>
      <c r="R39" s="212">
        <v>5000</v>
      </c>
      <c r="S39" s="278">
        <v>5000</v>
      </c>
      <c r="T39" s="212">
        <f>SUM(Q39:S39)</f>
        <v>15000</v>
      </c>
      <c r="U39" s="195">
        <v>5680</v>
      </c>
      <c r="V39" s="305">
        <v>8333.3333333333339</v>
      </c>
      <c r="W39" s="305">
        <v>8333.3333333333339</v>
      </c>
      <c r="X39" s="305">
        <v>8333.3333333333339</v>
      </c>
      <c r="Y39" s="278">
        <f>SUM(V39:X39)</f>
        <v>25000</v>
      </c>
    </row>
    <row r="40" spans="2:25" hidden="1" outlineLevel="1">
      <c r="B40" s="195" t="s">
        <v>196</v>
      </c>
      <c r="I40" s="230"/>
      <c r="J40" s="230"/>
      <c r="K40" s="230"/>
      <c r="L40" s="230">
        <f t="shared" si="7"/>
        <v>0</v>
      </c>
      <c r="M40" s="230"/>
      <c r="N40" s="230"/>
      <c r="O40" s="230"/>
      <c r="P40" s="212">
        <f t="shared" si="9"/>
        <v>0</v>
      </c>
      <c r="Q40" s="212"/>
      <c r="R40" s="212"/>
      <c r="S40" s="278">
        <v>0</v>
      </c>
      <c r="T40" s="212"/>
      <c r="V40" s="305"/>
      <c r="W40" s="305"/>
      <c r="X40" s="305"/>
      <c r="Y40" s="278"/>
    </row>
    <row r="41" spans="2:25" hidden="1" outlineLevel="1">
      <c r="B41" s="195" t="s">
        <v>197</v>
      </c>
      <c r="C41" s="195" t="s">
        <v>198</v>
      </c>
      <c r="I41" s="230"/>
      <c r="J41" s="230"/>
      <c r="K41" s="230"/>
      <c r="L41" s="230">
        <f t="shared" si="7"/>
        <v>0</v>
      </c>
      <c r="M41" s="230"/>
      <c r="N41" s="230"/>
      <c r="O41" s="230"/>
      <c r="P41" s="212">
        <f t="shared" si="9"/>
        <v>0</v>
      </c>
      <c r="Q41" s="212"/>
      <c r="R41" s="212">
        <v>3333.3333333333335</v>
      </c>
      <c r="S41" s="278">
        <v>3333.3333333333335</v>
      </c>
      <c r="T41" s="212">
        <f t="shared" ref="T41:T42" si="12">SUM(Q41:S41)</f>
        <v>6666.666666666667</v>
      </c>
      <c r="U41" s="195">
        <v>5610</v>
      </c>
      <c r="V41" s="306">
        <v>3333.3333333333335</v>
      </c>
      <c r="W41" s="306">
        <v>3333.3333333333335</v>
      </c>
      <c r="X41" s="306">
        <v>3333.3333333333335</v>
      </c>
      <c r="Y41" s="278">
        <f t="shared" ref="Y41:Y42" si="13">SUM(V41:X41)</f>
        <v>10000</v>
      </c>
    </row>
    <row r="42" spans="2:25" hidden="1" outlineLevel="1">
      <c r="B42" s="195" t="s">
        <v>199</v>
      </c>
      <c r="C42" s="195" t="s">
        <v>200</v>
      </c>
      <c r="E42" s="230"/>
      <c r="F42" s="231"/>
      <c r="G42" s="195" t="s">
        <v>201</v>
      </c>
      <c r="I42" s="230">
        <v>20000</v>
      </c>
      <c r="J42" s="230">
        <f>I42</f>
        <v>20000</v>
      </c>
      <c r="K42" s="230">
        <f>J42</f>
        <v>20000</v>
      </c>
      <c r="L42" s="230">
        <f t="shared" si="7"/>
        <v>60000</v>
      </c>
      <c r="M42" s="230">
        <f>K42</f>
        <v>20000</v>
      </c>
      <c r="N42" s="230">
        <f>M42</f>
        <v>20000</v>
      </c>
      <c r="O42" s="230">
        <f>N42</f>
        <v>20000</v>
      </c>
      <c r="P42" s="212">
        <f t="shared" si="9"/>
        <v>60000</v>
      </c>
      <c r="Q42" s="212">
        <v>25000</v>
      </c>
      <c r="R42" s="212">
        <v>25000</v>
      </c>
      <c r="S42" s="278">
        <v>25000</v>
      </c>
      <c r="T42" s="212">
        <f t="shared" si="12"/>
        <v>75000</v>
      </c>
      <c r="U42" s="195">
        <v>5610</v>
      </c>
      <c r="V42" s="305">
        <v>25000</v>
      </c>
      <c r="W42" s="305">
        <v>25000</v>
      </c>
      <c r="X42" s="305">
        <v>25000</v>
      </c>
      <c r="Y42" s="278">
        <f t="shared" si="13"/>
        <v>75000</v>
      </c>
    </row>
    <row r="43" spans="2:25" hidden="1" outlineLevel="1">
      <c r="B43" s="195" t="s">
        <v>202</v>
      </c>
      <c r="C43" s="195" t="s">
        <v>200</v>
      </c>
      <c r="I43" s="230">
        <v>0</v>
      </c>
      <c r="J43" s="230">
        <v>0</v>
      </c>
      <c r="K43" s="230">
        <v>0</v>
      </c>
      <c r="L43" s="230">
        <f t="shared" si="7"/>
        <v>0</v>
      </c>
      <c r="M43" s="230">
        <v>0</v>
      </c>
      <c r="N43" s="330">
        <v>60000</v>
      </c>
      <c r="O43" s="230"/>
      <c r="P43" s="212">
        <f t="shared" si="9"/>
        <v>60000</v>
      </c>
      <c r="Q43" s="212">
        <v>0</v>
      </c>
      <c r="R43" s="212">
        <v>0</v>
      </c>
      <c r="S43" s="278">
        <v>0</v>
      </c>
      <c r="T43" s="212"/>
      <c r="U43" s="329">
        <v>5610</v>
      </c>
      <c r="V43" s="305">
        <v>0</v>
      </c>
      <c r="W43" s="305">
        <v>0</v>
      </c>
      <c r="X43" s="305">
        <v>0</v>
      </c>
      <c r="Y43" s="278"/>
    </row>
    <row r="44" spans="2:25" hidden="1" outlineLevel="1">
      <c r="B44" s="195" t="s">
        <v>203</v>
      </c>
      <c r="I44" s="230"/>
      <c r="J44" s="230"/>
      <c r="K44" s="230"/>
      <c r="L44" s="230">
        <f t="shared" si="7"/>
        <v>0</v>
      </c>
      <c r="M44" s="230"/>
      <c r="N44" s="230"/>
      <c r="O44" s="230"/>
      <c r="P44" s="212">
        <f t="shared" si="9"/>
        <v>0</v>
      </c>
      <c r="Q44" s="212"/>
      <c r="R44" s="212"/>
      <c r="T44" s="212"/>
      <c r="V44" s="305"/>
      <c r="W44" s="305"/>
      <c r="X44" s="305"/>
      <c r="Y44" s="278"/>
    </row>
    <row r="45" spans="2:25" hidden="1" outlineLevel="1">
      <c r="B45" s="195" t="s">
        <v>204</v>
      </c>
      <c r="D45" s="198"/>
      <c r="I45" s="230"/>
      <c r="J45" s="230"/>
      <c r="K45" s="230"/>
      <c r="L45" s="230">
        <f t="shared" si="7"/>
        <v>0</v>
      </c>
      <c r="M45" s="230"/>
      <c r="N45" s="230"/>
      <c r="O45" s="230"/>
      <c r="P45" s="212">
        <f t="shared" si="9"/>
        <v>0</v>
      </c>
      <c r="Q45" s="212"/>
      <c r="R45" s="212"/>
      <c r="T45" s="212"/>
      <c r="V45" s="305"/>
      <c r="W45" s="305"/>
      <c r="X45" s="305"/>
      <c r="Y45" s="278"/>
    </row>
    <row r="46" spans="2:25" hidden="1" outlineLevel="1">
      <c r="B46" s="195" t="s">
        <v>205</v>
      </c>
      <c r="C46" s="195" t="s">
        <v>206</v>
      </c>
      <c r="D46" s="228">
        <v>50000</v>
      </c>
      <c r="E46" s="212">
        <f>D46/[4]Assumptions!$B$12</f>
        <v>15151.515151515152</v>
      </c>
      <c r="G46" s="195" t="s">
        <v>207</v>
      </c>
      <c r="I46" s="230">
        <f t="shared" ref="I46:O46" si="14">$E$46</f>
        <v>15151.515151515152</v>
      </c>
      <c r="J46" s="230">
        <f t="shared" si="14"/>
        <v>15151.515151515152</v>
      </c>
      <c r="K46" s="230">
        <f t="shared" si="14"/>
        <v>15151.515151515152</v>
      </c>
      <c r="L46" s="230">
        <f t="shared" si="7"/>
        <v>45454.545454545456</v>
      </c>
      <c r="M46" s="230">
        <f t="shared" si="14"/>
        <v>15151.515151515152</v>
      </c>
      <c r="N46" s="230">
        <f t="shared" si="14"/>
        <v>15151.515151515152</v>
      </c>
      <c r="O46" s="230">
        <f t="shared" si="14"/>
        <v>15151.515151515152</v>
      </c>
      <c r="P46" s="212">
        <f t="shared" si="9"/>
        <v>45454.545454545456</v>
      </c>
      <c r="Q46" s="212">
        <v>20000</v>
      </c>
      <c r="R46" s="212">
        <v>20000</v>
      </c>
      <c r="S46" s="278">
        <v>20000</v>
      </c>
      <c r="T46" s="212">
        <f t="shared" ref="T46:T55" si="15">SUM(Q46:S46)</f>
        <v>60000</v>
      </c>
      <c r="U46" s="195">
        <v>5610</v>
      </c>
      <c r="V46" s="305">
        <v>20000</v>
      </c>
      <c r="W46" s="305">
        <v>20000</v>
      </c>
      <c r="X46" s="305">
        <v>20000</v>
      </c>
      <c r="Y46" s="278">
        <f t="shared" ref="Y46:Y55" si="16">SUM(V46:X46)</f>
        <v>60000</v>
      </c>
    </row>
    <row r="47" spans="2:25" hidden="1" outlineLevel="1">
      <c r="B47" s="195" t="s">
        <v>208</v>
      </c>
      <c r="C47" s="195" t="s">
        <v>209</v>
      </c>
      <c r="D47" s="228"/>
      <c r="E47" s="212">
        <v>500</v>
      </c>
      <c r="G47" s="195" t="s">
        <v>166</v>
      </c>
      <c r="I47" s="230">
        <f>E47</f>
        <v>500</v>
      </c>
      <c r="J47" s="230">
        <f t="shared" ref="J47:O47" si="17">I47</f>
        <v>500</v>
      </c>
      <c r="K47" s="230">
        <f t="shared" si="17"/>
        <v>500</v>
      </c>
      <c r="L47" s="230">
        <f t="shared" si="7"/>
        <v>1500</v>
      </c>
      <c r="M47" s="230">
        <f>K47</f>
        <v>500</v>
      </c>
      <c r="N47" s="230">
        <f t="shared" si="17"/>
        <v>500</v>
      </c>
      <c r="O47" s="230">
        <f t="shared" si="17"/>
        <v>500</v>
      </c>
      <c r="P47" s="212">
        <f t="shared" si="9"/>
        <v>1500</v>
      </c>
      <c r="Q47" s="212">
        <v>500</v>
      </c>
      <c r="R47" s="212">
        <v>500</v>
      </c>
      <c r="S47" s="278">
        <v>500</v>
      </c>
      <c r="T47" s="212">
        <f t="shared" si="15"/>
        <v>1500</v>
      </c>
      <c r="U47" s="195">
        <v>5610</v>
      </c>
      <c r="V47" s="305">
        <v>500</v>
      </c>
      <c r="W47" s="305">
        <v>500</v>
      </c>
      <c r="X47" s="305">
        <v>500</v>
      </c>
      <c r="Y47" s="278">
        <f t="shared" si="16"/>
        <v>1500</v>
      </c>
    </row>
    <row r="48" spans="2:25" hidden="1" outlineLevel="1">
      <c r="B48" s="195" t="s">
        <v>210</v>
      </c>
      <c r="C48" s="195" t="s">
        <v>211</v>
      </c>
      <c r="I48" s="230">
        <f t="shared" ref="I48:O48" si="18">72.5*2*2</f>
        <v>290</v>
      </c>
      <c r="J48" s="230">
        <f t="shared" si="18"/>
        <v>290</v>
      </c>
      <c r="K48" s="230">
        <f t="shared" si="18"/>
        <v>290</v>
      </c>
      <c r="L48" s="230">
        <f t="shared" si="7"/>
        <v>870</v>
      </c>
      <c r="M48" s="230">
        <f t="shared" si="18"/>
        <v>290</v>
      </c>
      <c r="N48" s="230">
        <f t="shared" si="18"/>
        <v>290</v>
      </c>
      <c r="O48" s="230">
        <f t="shared" si="18"/>
        <v>290</v>
      </c>
      <c r="P48" s="212">
        <f t="shared" si="9"/>
        <v>870</v>
      </c>
      <c r="Q48" s="212">
        <v>580</v>
      </c>
      <c r="R48" s="212">
        <v>870</v>
      </c>
      <c r="S48" s="278">
        <v>870</v>
      </c>
      <c r="T48" s="212">
        <f t="shared" si="15"/>
        <v>2320</v>
      </c>
      <c r="U48" s="195">
        <v>5610</v>
      </c>
      <c r="V48" s="305">
        <v>1160</v>
      </c>
      <c r="W48" s="305">
        <v>1160</v>
      </c>
      <c r="X48" s="305">
        <v>1160</v>
      </c>
      <c r="Y48" s="278">
        <f t="shared" si="16"/>
        <v>3480</v>
      </c>
    </row>
    <row r="49" spans="1:25" hidden="1" outlineLevel="1">
      <c r="B49" s="195" t="s">
        <v>212</v>
      </c>
      <c r="C49" s="195" t="s">
        <v>213</v>
      </c>
      <c r="E49" s="230">
        <f>8000+8000</f>
        <v>16000</v>
      </c>
      <c r="G49" s="195" t="s">
        <v>214</v>
      </c>
      <c r="I49" s="230">
        <v>0</v>
      </c>
      <c r="J49" s="230">
        <v>0</v>
      </c>
      <c r="K49" s="230">
        <v>0</v>
      </c>
      <c r="L49" s="230">
        <f t="shared" si="7"/>
        <v>0</v>
      </c>
      <c r="M49" s="230">
        <v>0</v>
      </c>
      <c r="N49" s="230"/>
      <c r="O49" s="230">
        <v>4000</v>
      </c>
      <c r="P49" s="212">
        <f t="shared" si="9"/>
        <v>4000</v>
      </c>
      <c r="Q49" s="212">
        <v>0</v>
      </c>
      <c r="R49" s="212">
        <v>8000</v>
      </c>
      <c r="S49" s="278">
        <v>0</v>
      </c>
      <c r="T49" s="212">
        <f t="shared" si="15"/>
        <v>8000</v>
      </c>
      <c r="U49" s="195">
        <v>5610</v>
      </c>
      <c r="V49" s="305">
        <v>4000</v>
      </c>
      <c r="W49" s="305">
        <v>0</v>
      </c>
      <c r="X49" s="305">
        <v>0</v>
      </c>
      <c r="Y49" s="278">
        <f t="shared" si="16"/>
        <v>4000</v>
      </c>
    </row>
    <row r="50" spans="1:25" hidden="1" outlineLevel="1">
      <c r="B50" s="195" t="s">
        <v>215</v>
      </c>
      <c r="C50" s="195" t="s">
        <v>216</v>
      </c>
      <c r="E50" s="230">
        <f>10963</f>
        <v>10963</v>
      </c>
      <c r="G50" s="195" t="s">
        <v>217</v>
      </c>
      <c r="I50" s="230">
        <f t="shared" ref="I50:O50" si="19">$E$50/12</f>
        <v>913.58333333333337</v>
      </c>
      <c r="J50" s="230">
        <f t="shared" si="19"/>
        <v>913.58333333333337</v>
      </c>
      <c r="K50" s="230">
        <f t="shared" si="19"/>
        <v>913.58333333333337</v>
      </c>
      <c r="L50" s="230">
        <f t="shared" si="7"/>
        <v>2740.75</v>
      </c>
      <c r="M50" s="230">
        <f t="shared" si="19"/>
        <v>913.58333333333337</v>
      </c>
      <c r="N50" s="230">
        <f t="shared" si="19"/>
        <v>913.58333333333337</v>
      </c>
      <c r="O50" s="230">
        <f t="shared" si="19"/>
        <v>913.58333333333337</v>
      </c>
      <c r="P50" s="212">
        <f t="shared" si="9"/>
        <v>2740.75</v>
      </c>
      <c r="Q50" s="212">
        <v>913.58333333333337</v>
      </c>
      <c r="R50" s="212">
        <v>913.58333333333337</v>
      </c>
      <c r="S50" s="278">
        <v>913.58333333333337</v>
      </c>
      <c r="T50" s="212">
        <f t="shared" si="15"/>
        <v>2740.75</v>
      </c>
      <c r="U50" s="195">
        <v>5660</v>
      </c>
      <c r="V50" s="305">
        <v>913.58333333333337</v>
      </c>
      <c r="W50" s="305">
        <v>913.58333333333337</v>
      </c>
      <c r="X50" s="305">
        <v>913.58333333333337</v>
      </c>
      <c r="Y50" s="278">
        <f t="shared" si="16"/>
        <v>2740.75</v>
      </c>
    </row>
    <row r="51" spans="1:25" hidden="1" outlineLevel="1">
      <c r="B51" s="195" t="s">
        <v>218</v>
      </c>
      <c r="C51" s="195" t="s">
        <v>166</v>
      </c>
      <c r="E51" s="230">
        <f>1071*[4]Assumptions!B13+749+728</f>
        <v>2976.3999999999996</v>
      </c>
      <c r="G51" s="195" t="s">
        <v>217</v>
      </c>
      <c r="I51" s="230">
        <f>$E$51/12</f>
        <v>248.0333333333333</v>
      </c>
      <c r="J51" s="230">
        <f t="shared" ref="J51:O51" si="20">I51</f>
        <v>248.0333333333333</v>
      </c>
      <c r="K51" s="230">
        <f t="shared" si="20"/>
        <v>248.0333333333333</v>
      </c>
      <c r="L51" s="230">
        <f t="shared" si="7"/>
        <v>744.09999999999991</v>
      </c>
      <c r="M51" s="230">
        <f>K51</f>
        <v>248.0333333333333</v>
      </c>
      <c r="N51" s="230">
        <f t="shared" si="20"/>
        <v>248.0333333333333</v>
      </c>
      <c r="O51" s="230">
        <f t="shared" si="20"/>
        <v>248.0333333333333</v>
      </c>
      <c r="P51" s="212">
        <f t="shared" si="9"/>
        <v>744.09999999999991</v>
      </c>
      <c r="Q51" s="212">
        <v>248.0333333333333</v>
      </c>
      <c r="R51" s="212">
        <v>248.0333333333333</v>
      </c>
      <c r="S51" s="278">
        <v>248.0333333333333</v>
      </c>
      <c r="T51" s="212">
        <f t="shared" si="15"/>
        <v>744.09999999999991</v>
      </c>
      <c r="U51" s="195">
        <v>5660</v>
      </c>
      <c r="V51" s="305">
        <v>248.0333333333333</v>
      </c>
      <c r="W51" s="305">
        <v>248.0333333333333</v>
      </c>
      <c r="X51" s="305">
        <v>248.0333333333333</v>
      </c>
      <c r="Y51" s="278">
        <f t="shared" si="16"/>
        <v>744.09999999999991</v>
      </c>
    </row>
    <row r="52" spans="1:25" hidden="1" outlineLevel="1">
      <c r="B52" s="195" t="s">
        <v>219</v>
      </c>
      <c r="C52" s="195" t="s">
        <v>220</v>
      </c>
      <c r="E52" s="230">
        <v>1552</v>
      </c>
      <c r="G52" s="195" t="s">
        <v>217</v>
      </c>
      <c r="I52" s="214">
        <f t="shared" ref="I52:O52" si="21">$E$52/12</f>
        <v>129.33333333333334</v>
      </c>
      <c r="J52" s="214">
        <f t="shared" si="21"/>
        <v>129.33333333333334</v>
      </c>
      <c r="K52" s="214">
        <f t="shared" si="21"/>
        <v>129.33333333333334</v>
      </c>
      <c r="L52" s="230">
        <f t="shared" si="7"/>
        <v>388</v>
      </c>
      <c r="M52" s="214">
        <f t="shared" si="21"/>
        <v>129.33333333333334</v>
      </c>
      <c r="N52" s="214">
        <f t="shared" si="21"/>
        <v>129.33333333333334</v>
      </c>
      <c r="O52" s="214">
        <f t="shared" si="21"/>
        <v>129.33333333333334</v>
      </c>
      <c r="P52" s="212">
        <f t="shared" si="9"/>
        <v>388</v>
      </c>
      <c r="Q52" s="212">
        <v>129.33333333333334</v>
      </c>
      <c r="R52" s="212">
        <v>129.33333333333334</v>
      </c>
      <c r="S52" s="278">
        <v>129.33333333333334</v>
      </c>
      <c r="T52" s="212">
        <f t="shared" si="15"/>
        <v>388</v>
      </c>
      <c r="U52" s="195">
        <v>5660</v>
      </c>
      <c r="V52" s="307">
        <v>129.33333333333334</v>
      </c>
      <c r="W52" s="307">
        <v>129.33333333333334</v>
      </c>
      <c r="X52" s="307">
        <v>129.33333333333334</v>
      </c>
      <c r="Y52" s="278">
        <f t="shared" si="16"/>
        <v>388</v>
      </c>
    </row>
    <row r="53" spans="1:25" hidden="1" outlineLevel="1">
      <c r="B53" s="195" t="s">
        <v>221</v>
      </c>
      <c r="C53" s="195" t="s">
        <v>216</v>
      </c>
      <c r="E53" s="230">
        <v>13033</v>
      </c>
      <c r="F53" s="231"/>
      <c r="G53" s="195" t="s">
        <v>217</v>
      </c>
      <c r="I53" s="230">
        <f t="shared" ref="I53:O53" si="22">$E$53/12</f>
        <v>1086.0833333333333</v>
      </c>
      <c r="J53" s="230">
        <f t="shared" si="22"/>
        <v>1086.0833333333333</v>
      </c>
      <c r="K53" s="230">
        <f t="shared" si="22"/>
        <v>1086.0833333333333</v>
      </c>
      <c r="L53" s="230">
        <f t="shared" si="7"/>
        <v>3258.25</v>
      </c>
      <c r="M53" s="230">
        <f t="shared" si="22"/>
        <v>1086.0833333333333</v>
      </c>
      <c r="N53" s="230">
        <f t="shared" si="22"/>
        <v>1086.0833333333333</v>
      </c>
      <c r="O53" s="230">
        <f t="shared" si="22"/>
        <v>1086.0833333333333</v>
      </c>
      <c r="P53" s="212">
        <f t="shared" si="9"/>
        <v>3258.25</v>
      </c>
      <c r="Q53" s="212">
        <v>1086.0833333333333</v>
      </c>
      <c r="R53" s="212">
        <v>1086.0833333333333</v>
      </c>
      <c r="S53" s="278">
        <v>1086.0833333333333</v>
      </c>
      <c r="T53" s="212">
        <f t="shared" si="15"/>
        <v>3258.25</v>
      </c>
      <c r="U53" s="195">
        <v>5660</v>
      </c>
      <c r="V53" s="305">
        <v>1086.0833333333333</v>
      </c>
      <c r="W53" s="305">
        <v>1086.0833333333333</v>
      </c>
      <c r="X53" s="305">
        <v>1086.0833333333333</v>
      </c>
      <c r="Y53" s="278">
        <f t="shared" si="16"/>
        <v>3258.25</v>
      </c>
    </row>
    <row r="54" spans="1:25" hidden="1" outlineLevel="1">
      <c r="B54" s="195" t="s">
        <v>222</v>
      </c>
      <c r="C54" s="195" t="s">
        <v>223</v>
      </c>
      <c r="E54" s="230">
        <v>10000</v>
      </c>
      <c r="G54" s="195" t="s">
        <v>224</v>
      </c>
      <c r="I54" s="230">
        <v>0</v>
      </c>
      <c r="J54" s="230">
        <v>0</v>
      </c>
      <c r="K54" s="230">
        <v>0</v>
      </c>
      <c r="L54" s="230">
        <f t="shared" si="7"/>
        <v>0</v>
      </c>
      <c r="M54" s="230">
        <f>$E$54*(M7-K7)</f>
        <v>40000</v>
      </c>
      <c r="N54" s="230">
        <v>15000</v>
      </c>
      <c r="O54" s="230">
        <v>40000</v>
      </c>
      <c r="P54" s="212">
        <f t="shared" si="9"/>
        <v>95000</v>
      </c>
      <c r="Q54" s="195">
        <v>134999.99999999997</v>
      </c>
      <c r="R54" s="195">
        <v>10000</v>
      </c>
      <c r="S54" s="278">
        <v>10000</v>
      </c>
      <c r="T54" s="212">
        <f t="shared" si="15"/>
        <v>154999.99999999997</v>
      </c>
      <c r="U54" s="195">
        <v>5610</v>
      </c>
      <c r="V54" s="305">
        <v>70000</v>
      </c>
      <c r="W54" s="305">
        <v>0</v>
      </c>
      <c r="X54" s="305">
        <v>0</v>
      </c>
      <c r="Y54" s="278">
        <f t="shared" si="16"/>
        <v>70000</v>
      </c>
    </row>
    <row r="55" spans="1:25" hidden="1" outlineLevel="1">
      <c r="B55" s="195" t="s">
        <v>225</v>
      </c>
      <c r="E55" s="230">
        <v>5000</v>
      </c>
      <c r="G55" s="195" t="s">
        <v>207</v>
      </c>
      <c r="I55" s="230">
        <v>5000</v>
      </c>
      <c r="J55" s="230">
        <v>5000</v>
      </c>
      <c r="K55" s="230">
        <v>5000</v>
      </c>
      <c r="L55" s="230">
        <f t="shared" si="7"/>
        <v>15000</v>
      </c>
      <c r="M55" s="230">
        <v>5000</v>
      </c>
      <c r="N55" s="230">
        <v>5000</v>
      </c>
      <c r="O55" s="230">
        <v>5000</v>
      </c>
      <c r="P55" s="212">
        <f t="shared" si="9"/>
        <v>15000</v>
      </c>
      <c r="Q55" s="230">
        <v>6666.666666666667</v>
      </c>
      <c r="R55" s="230">
        <v>6666.666666666667</v>
      </c>
      <c r="S55" s="278">
        <v>6666.666666666667</v>
      </c>
      <c r="T55" s="212">
        <f t="shared" si="15"/>
        <v>20000</v>
      </c>
      <c r="U55" s="195">
        <v>5660</v>
      </c>
      <c r="V55" s="305">
        <v>6666.666666666667</v>
      </c>
      <c r="W55" s="305">
        <v>6666.666666666667</v>
      </c>
      <c r="X55" s="305">
        <v>6666.666666666667</v>
      </c>
      <c r="Y55" s="278">
        <f t="shared" si="16"/>
        <v>20000</v>
      </c>
    </row>
    <row r="56" spans="1:25" hidden="1" outlineLevel="1">
      <c r="B56" s="227" t="s">
        <v>175</v>
      </c>
      <c r="C56" s="227" t="s">
        <v>176</v>
      </c>
      <c r="D56" s="227" t="s">
        <v>177</v>
      </c>
      <c r="I56" s="228"/>
      <c r="J56" s="228"/>
      <c r="K56" s="228"/>
      <c r="L56" s="230">
        <f t="shared" si="7"/>
        <v>0</v>
      </c>
      <c r="M56" s="228"/>
      <c r="N56" s="228"/>
      <c r="O56" s="228"/>
      <c r="Q56" s="232"/>
      <c r="R56" s="232"/>
      <c r="S56" s="280"/>
      <c r="T56" s="232"/>
      <c r="V56" s="304"/>
      <c r="W56" s="304"/>
      <c r="X56" s="304"/>
      <c r="Y56" s="278"/>
    </row>
    <row r="57" spans="1:25" collapsed="1">
      <c r="E57" s="230"/>
      <c r="G57" s="195" t="s">
        <v>226</v>
      </c>
      <c r="I57" s="230">
        <f t="shared" ref="I57:O57" si="23">SUBTOTAL(9,I29:I55)</f>
        <v>68818.548484848492</v>
      </c>
      <c r="J57" s="230">
        <f t="shared" si="23"/>
        <v>68818.548484848492</v>
      </c>
      <c r="K57" s="230">
        <f t="shared" si="23"/>
        <v>78818.548484848478</v>
      </c>
      <c r="L57" s="230">
        <f t="shared" si="7"/>
        <v>216455.64545454545</v>
      </c>
      <c r="M57" s="230">
        <f t="shared" si="23"/>
        <v>123651.88181818181</v>
      </c>
      <c r="N57" s="230">
        <f t="shared" si="23"/>
        <v>159051.88181818186</v>
      </c>
      <c r="O57" s="230">
        <f t="shared" si="23"/>
        <v>129651.88181818181</v>
      </c>
      <c r="P57" s="230">
        <f t="shared" ref="P57:T57" si="24">SUBTOTAL(9,P29:P55)</f>
        <v>412355.64545454545</v>
      </c>
      <c r="Q57" s="230">
        <f t="shared" si="24"/>
        <v>244823.69999999995</v>
      </c>
      <c r="R57" s="230">
        <f t="shared" si="24"/>
        <v>131447.03333333333</v>
      </c>
      <c r="S57" s="230">
        <f t="shared" si="24"/>
        <v>123447.03333333334</v>
      </c>
      <c r="T57" s="230">
        <f t="shared" si="24"/>
        <v>499717.7666666666</v>
      </c>
      <c r="V57" s="305">
        <v>196070.36666666667</v>
      </c>
      <c r="W57" s="305">
        <v>122070.36666666667</v>
      </c>
      <c r="X57" s="305">
        <v>122070.36666666667</v>
      </c>
      <c r="Y57" s="278">
        <f t="shared" ref="Y57" si="25">SUBTOTAL(9,Y29:Y55)</f>
        <v>440211.1</v>
      </c>
    </row>
    <row r="58" spans="1:25">
      <c r="D58" s="200"/>
      <c r="E58" s="200"/>
      <c r="F58" s="200"/>
      <c r="G58" s="200"/>
      <c r="I58" s="232">
        <f t="shared" ref="I58:O58" si="26">I57+I27</f>
        <v>118406.04848484848</v>
      </c>
      <c r="J58" s="232">
        <f t="shared" si="26"/>
        <v>120769.68484848485</v>
      </c>
      <c r="K58" s="232">
        <f t="shared" si="26"/>
        <v>130769.68484848482</v>
      </c>
      <c r="L58" s="232">
        <f t="shared" si="26"/>
        <v>369945.4181818181</v>
      </c>
      <c r="M58" s="232">
        <f t="shared" si="26"/>
        <v>175603.01818181816</v>
      </c>
      <c r="N58" s="232">
        <f t="shared" si="26"/>
        <v>212973.01818181822</v>
      </c>
      <c r="O58" s="232">
        <f t="shared" si="26"/>
        <v>196677.01818181816</v>
      </c>
      <c r="P58" s="232">
        <f t="shared" ref="P58:T58" si="27">P57+P27</f>
        <v>585253.05454545445</v>
      </c>
      <c r="Q58" s="232">
        <f t="shared" si="27"/>
        <v>370833.16969696968</v>
      </c>
      <c r="R58" s="232">
        <f t="shared" si="27"/>
        <v>257456.50303030305</v>
      </c>
      <c r="S58" s="232">
        <f t="shared" si="27"/>
        <v>249456.50303030305</v>
      </c>
      <c r="T58" s="232">
        <f t="shared" si="27"/>
        <v>877746.17575757578</v>
      </c>
      <c r="V58" s="308">
        <v>322079.83636363636</v>
      </c>
      <c r="W58" s="308">
        <v>248079.83636363636</v>
      </c>
      <c r="X58" s="308">
        <v>446959.38181818184</v>
      </c>
      <c r="Y58" s="280">
        <f t="shared" ref="Y58" si="28">Y57+Y27</f>
        <v>1017119.0545454546</v>
      </c>
    </row>
    <row r="59" spans="1:25">
      <c r="B59" s="233" t="s">
        <v>227</v>
      </c>
      <c r="C59" s="233"/>
      <c r="D59" s="233"/>
      <c r="E59" s="233"/>
      <c r="F59" s="233"/>
      <c r="G59" s="233"/>
      <c r="L59" s="230">
        <f t="shared" si="7"/>
        <v>0</v>
      </c>
      <c r="Q59" s="212"/>
      <c r="R59" s="212"/>
      <c r="T59" s="212"/>
      <c r="V59" s="297"/>
      <c r="W59" s="297"/>
      <c r="X59" s="297"/>
    </row>
    <row r="60" spans="1:25" hidden="1" outlineLevel="1">
      <c r="B60" s="209" t="s">
        <v>228</v>
      </c>
      <c r="C60" s="206"/>
      <c r="D60" s="206"/>
      <c r="E60" s="206"/>
      <c r="F60" s="210"/>
      <c r="G60" s="206"/>
      <c r="L60" s="230">
        <f t="shared" si="7"/>
        <v>0</v>
      </c>
      <c r="Q60" s="212"/>
      <c r="R60" s="212"/>
      <c r="T60" s="212"/>
      <c r="V60" s="297"/>
      <c r="W60" s="297"/>
      <c r="X60" s="297"/>
    </row>
    <row r="61" spans="1:25" hidden="1" outlineLevel="1">
      <c r="B61" s="195" t="s">
        <v>229</v>
      </c>
      <c r="C61" s="195" t="s">
        <v>230</v>
      </c>
      <c r="D61" s="212">
        <v>300000</v>
      </c>
      <c r="E61" s="212">
        <f>D61*[4]Assumptions!$B$14/12</f>
        <v>30000</v>
      </c>
      <c r="F61" s="199">
        <v>0.3</v>
      </c>
      <c r="I61" s="212"/>
      <c r="J61" s="212"/>
      <c r="K61" s="212"/>
      <c r="L61" s="230">
        <f t="shared" si="7"/>
        <v>0</v>
      </c>
      <c r="M61" s="212"/>
      <c r="N61" s="212">
        <f>E61*0.5/4</f>
        <v>3750</v>
      </c>
      <c r="O61" s="212">
        <f>E61/2</f>
        <v>15000</v>
      </c>
      <c r="P61" s="212">
        <f t="shared" ref="P61:P68" si="29">SUM(M61:O61)</f>
        <v>18750</v>
      </c>
      <c r="Q61" s="212">
        <v>30000</v>
      </c>
      <c r="R61" s="212">
        <v>30000</v>
      </c>
      <c r="S61" s="278">
        <v>30000</v>
      </c>
      <c r="T61" s="257">
        <f t="shared" ref="T61:T63" si="30">SUM(Q61:S61)</f>
        <v>90000</v>
      </c>
      <c r="U61" s="195">
        <v>5500</v>
      </c>
      <c r="V61" s="300">
        <v>30000</v>
      </c>
      <c r="W61" s="300">
        <v>30000</v>
      </c>
      <c r="X61" s="300">
        <v>89625</v>
      </c>
      <c r="Y61" s="321">
        <f t="shared" ref="Y61:Y63" si="31">SUM(V61:X61)</f>
        <v>149625</v>
      </c>
    </row>
    <row r="62" spans="1:25" hidden="1" outlineLevel="1">
      <c r="B62" s="195" t="s">
        <v>231</v>
      </c>
      <c r="D62" s="212">
        <v>160000</v>
      </c>
      <c r="E62" s="212">
        <f>D62*[4]Assumptions!$B$14/12</f>
        <v>16000</v>
      </c>
      <c r="F62" s="199">
        <v>0.1</v>
      </c>
      <c r="I62" s="212">
        <f>$E$62</f>
        <v>16000</v>
      </c>
      <c r="J62" s="212">
        <f>$E$62</f>
        <v>16000</v>
      </c>
      <c r="K62" s="212">
        <f>$E$62</f>
        <v>16000</v>
      </c>
      <c r="L62" s="230">
        <f t="shared" si="7"/>
        <v>48000</v>
      </c>
      <c r="M62" s="212">
        <f>$E$62</f>
        <v>16000</v>
      </c>
      <c r="N62" s="212">
        <f>M62*7/31</f>
        <v>3612.9032258064517</v>
      </c>
      <c r="O62" s="212"/>
      <c r="P62" s="212">
        <f t="shared" si="29"/>
        <v>19612.903225806451</v>
      </c>
      <c r="Q62" s="212">
        <v>16000</v>
      </c>
      <c r="R62" s="212">
        <v>16000</v>
      </c>
      <c r="S62" s="278">
        <v>16000</v>
      </c>
      <c r="T62" s="257">
        <f t="shared" si="30"/>
        <v>48000</v>
      </c>
      <c r="U62" s="195">
        <v>5500</v>
      </c>
      <c r="V62" s="300">
        <v>16000</v>
      </c>
      <c r="W62" s="300">
        <v>16000</v>
      </c>
      <c r="X62" s="300">
        <v>25600</v>
      </c>
      <c r="Y62" s="321">
        <f t="shared" si="31"/>
        <v>57600</v>
      </c>
    </row>
    <row r="63" spans="1:25" hidden="1" outlineLevel="1">
      <c r="A63" s="194" t="s">
        <v>154</v>
      </c>
      <c r="B63" s="195" t="s">
        <v>232</v>
      </c>
      <c r="C63" s="195" t="s">
        <v>233</v>
      </c>
      <c r="D63" s="212">
        <v>200000</v>
      </c>
      <c r="E63" s="212">
        <f>D63*[4]Assumptions!$B$14/12</f>
        <v>20000</v>
      </c>
      <c r="F63" s="199">
        <v>0.1</v>
      </c>
      <c r="I63" s="212">
        <v>0</v>
      </c>
      <c r="J63" s="212">
        <f t="shared" ref="J63:O63" si="32">I63</f>
        <v>0</v>
      </c>
      <c r="K63" s="212">
        <f t="shared" si="32"/>
        <v>0</v>
      </c>
      <c r="L63" s="230">
        <f t="shared" si="7"/>
        <v>0</v>
      </c>
      <c r="M63" s="212">
        <f>K63</f>
        <v>0</v>
      </c>
      <c r="N63" s="212">
        <f t="shared" si="32"/>
        <v>0</v>
      </c>
      <c r="O63" s="212">
        <f t="shared" si="32"/>
        <v>0</v>
      </c>
      <c r="P63" s="212">
        <f t="shared" si="29"/>
        <v>0</v>
      </c>
      <c r="Q63" s="212">
        <v>0</v>
      </c>
      <c r="R63" s="212">
        <v>0</v>
      </c>
      <c r="S63" s="278">
        <v>0</v>
      </c>
      <c r="T63" s="257">
        <f t="shared" si="30"/>
        <v>0</v>
      </c>
      <c r="U63" s="195">
        <v>5500</v>
      </c>
      <c r="V63" s="300">
        <v>0</v>
      </c>
      <c r="W63" s="300">
        <v>0</v>
      </c>
      <c r="X63" s="300">
        <v>0</v>
      </c>
      <c r="Y63" s="321">
        <f t="shared" si="31"/>
        <v>0</v>
      </c>
    </row>
    <row r="64" spans="1:25" hidden="1" outlineLevel="1">
      <c r="D64" s="212"/>
      <c r="E64" s="212"/>
      <c r="I64" s="212"/>
      <c r="J64" s="212"/>
      <c r="K64" s="212"/>
      <c r="L64" s="230">
        <f t="shared" si="7"/>
        <v>0</v>
      </c>
      <c r="M64" s="212"/>
      <c r="N64" s="212"/>
      <c r="O64" s="212"/>
      <c r="P64" s="212">
        <f t="shared" si="29"/>
        <v>0</v>
      </c>
      <c r="Q64" s="212"/>
      <c r="R64" s="212"/>
      <c r="T64" s="257"/>
      <c r="V64" s="300"/>
      <c r="W64" s="300"/>
      <c r="X64" s="300"/>
      <c r="Y64" s="321"/>
    </row>
    <row r="65" spans="2:25" hidden="1" outlineLevel="1">
      <c r="B65" s="209" t="s">
        <v>234</v>
      </c>
      <c r="C65" s="206"/>
      <c r="D65" s="206"/>
      <c r="E65" s="206"/>
      <c r="I65" s="212"/>
      <c r="J65" s="212"/>
      <c r="K65" s="212"/>
      <c r="L65" s="230">
        <f t="shared" si="7"/>
        <v>0</v>
      </c>
      <c r="M65" s="212"/>
      <c r="N65" s="212"/>
      <c r="O65" s="212"/>
      <c r="P65" s="212">
        <f t="shared" si="29"/>
        <v>0</v>
      </c>
      <c r="Q65" s="212"/>
      <c r="R65" s="212"/>
      <c r="T65" s="257"/>
      <c r="V65" s="300"/>
      <c r="W65" s="300"/>
      <c r="X65" s="300"/>
      <c r="Y65" s="321"/>
    </row>
    <row r="66" spans="2:25" hidden="1" outlineLevel="1">
      <c r="B66" s="195" t="s">
        <v>234</v>
      </c>
      <c r="C66" s="195" t="s">
        <v>235</v>
      </c>
      <c r="D66" s="213"/>
      <c r="E66" s="212">
        <v>10000</v>
      </c>
      <c r="I66" s="212"/>
      <c r="J66" s="212"/>
      <c r="K66" s="212"/>
      <c r="L66" s="230">
        <f t="shared" si="7"/>
        <v>0</v>
      </c>
      <c r="M66" s="212"/>
      <c r="N66" s="212"/>
      <c r="O66" s="212"/>
      <c r="P66" s="212">
        <f t="shared" si="29"/>
        <v>0</v>
      </c>
      <c r="Q66" s="212">
        <v>10000</v>
      </c>
      <c r="R66" s="212">
        <v>10000</v>
      </c>
      <c r="S66" s="212">
        <v>10000</v>
      </c>
      <c r="T66" s="257">
        <f>SUM(Q66:S66)</f>
        <v>30000</v>
      </c>
      <c r="U66" s="195">
        <v>5500</v>
      </c>
      <c r="V66" s="304">
        <v>10000</v>
      </c>
      <c r="W66" s="304">
        <v>10000</v>
      </c>
      <c r="X66" s="304">
        <v>10000</v>
      </c>
      <c r="Y66" s="321">
        <f>SUM(V66:X66)</f>
        <v>30000</v>
      </c>
    </row>
    <row r="67" spans="2:25" hidden="1" outlineLevel="1">
      <c r="D67" s="213"/>
      <c r="E67" s="212"/>
      <c r="I67" s="212"/>
      <c r="J67" s="212"/>
      <c r="K67" s="212"/>
      <c r="L67" s="230">
        <f t="shared" si="7"/>
        <v>0</v>
      </c>
      <c r="M67" s="212"/>
      <c r="N67" s="212"/>
      <c r="O67" s="212"/>
      <c r="P67" s="212">
        <f t="shared" si="29"/>
        <v>0</v>
      </c>
      <c r="Q67" s="212">
        <v>1</v>
      </c>
      <c r="R67" s="212">
        <v>1</v>
      </c>
      <c r="T67" s="212"/>
      <c r="V67" s="304">
        <v>1</v>
      </c>
      <c r="W67" s="304">
        <v>1</v>
      </c>
      <c r="X67" s="304">
        <v>1</v>
      </c>
      <c r="Y67" s="278"/>
    </row>
    <row r="68" spans="2:25" collapsed="1">
      <c r="B68" s="195" t="s">
        <v>236</v>
      </c>
      <c r="D68" s="213"/>
      <c r="E68" s="212"/>
      <c r="I68" s="228">
        <f t="shared" ref="I68:O68" si="33">COUNTIF(I61:I63,"&gt;0")+I67</f>
        <v>1</v>
      </c>
      <c r="J68" s="228">
        <f t="shared" si="33"/>
        <v>1</v>
      </c>
      <c r="K68" s="228">
        <f t="shared" si="33"/>
        <v>1</v>
      </c>
      <c r="L68" s="230">
        <f t="shared" si="7"/>
        <v>3</v>
      </c>
      <c r="M68" s="228">
        <f t="shared" si="33"/>
        <v>1</v>
      </c>
      <c r="N68" s="228">
        <f t="shared" si="33"/>
        <v>2</v>
      </c>
      <c r="O68" s="228">
        <f t="shared" si="33"/>
        <v>1</v>
      </c>
      <c r="P68" s="212">
        <f t="shared" si="29"/>
        <v>4</v>
      </c>
      <c r="Q68" s="195">
        <v>3</v>
      </c>
      <c r="R68" s="195">
        <v>3</v>
      </c>
      <c r="V68" s="304">
        <v>3</v>
      </c>
      <c r="W68" s="304">
        <v>3</v>
      </c>
      <c r="X68" s="304">
        <v>3</v>
      </c>
      <c r="Y68" s="278"/>
    </row>
    <row r="69" spans="2:25">
      <c r="B69" s="195" t="s">
        <v>237</v>
      </c>
      <c r="D69" s="212"/>
      <c r="E69" s="212"/>
      <c r="I69" s="212">
        <f t="shared" ref="I69:T69" si="34">SUM(I61:I63)+I66</f>
        <v>16000</v>
      </c>
      <c r="J69" s="212">
        <f t="shared" si="34"/>
        <v>16000</v>
      </c>
      <c r="K69" s="212">
        <f t="shared" si="34"/>
        <v>16000</v>
      </c>
      <c r="L69" s="230">
        <f t="shared" si="7"/>
        <v>48000</v>
      </c>
      <c r="M69" s="212">
        <f t="shared" si="34"/>
        <v>16000</v>
      </c>
      <c r="N69" s="212">
        <f t="shared" si="34"/>
        <v>7362.9032258064517</v>
      </c>
      <c r="O69" s="212">
        <f>SUM(O61:O63)+O66</f>
        <v>15000</v>
      </c>
      <c r="P69" s="212">
        <f t="shared" si="34"/>
        <v>38362.903225806454</v>
      </c>
      <c r="Q69" s="212">
        <f t="shared" si="34"/>
        <v>56000</v>
      </c>
      <c r="R69" s="212">
        <f t="shared" si="34"/>
        <v>56000</v>
      </c>
      <c r="S69" s="212">
        <f t="shared" si="34"/>
        <v>56000</v>
      </c>
      <c r="T69" s="257">
        <f t="shared" si="34"/>
        <v>168000</v>
      </c>
      <c r="V69" s="300">
        <v>56000</v>
      </c>
      <c r="W69" s="300">
        <v>56000</v>
      </c>
      <c r="X69" s="300">
        <v>125225</v>
      </c>
      <c r="Y69" s="321">
        <f t="shared" ref="Y69" si="35">SUM(Y61:Y63)+Y66</f>
        <v>237225</v>
      </c>
    </row>
    <row r="70" spans="2:25">
      <c r="D70" s="212"/>
      <c r="E70" s="212"/>
      <c r="I70" s="212"/>
      <c r="J70" s="212"/>
      <c r="K70" s="212"/>
      <c r="L70" s="230">
        <f t="shared" si="7"/>
        <v>0</v>
      </c>
      <c r="M70" s="212"/>
      <c r="N70" s="212"/>
      <c r="O70" s="212"/>
      <c r="Q70" s="212"/>
      <c r="R70" s="212"/>
      <c r="T70" s="212"/>
      <c r="V70" s="300"/>
      <c r="W70" s="300"/>
      <c r="X70" s="300"/>
      <c r="Y70" s="278"/>
    </row>
    <row r="71" spans="2:25">
      <c r="B71" s="209" t="s">
        <v>180</v>
      </c>
      <c r="C71" s="200"/>
      <c r="D71" s="201"/>
      <c r="E71" s="201"/>
      <c r="I71" s="212"/>
      <c r="J71" s="212"/>
      <c r="K71" s="212"/>
      <c r="L71" s="230">
        <f t="shared" si="7"/>
        <v>0</v>
      </c>
      <c r="M71" s="212"/>
      <c r="N71" s="212"/>
      <c r="O71" s="212"/>
      <c r="Q71" s="212"/>
      <c r="R71" s="212"/>
      <c r="T71" s="212"/>
      <c r="V71" s="300"/>
      <c r="W71" s="300"/>
      <c r="X71" s="300"/>
      <c r="Y71" s="278"/>
    </row>
    <row r="72" spans="2:25" hidden="1" outlineLevel="1">
      <c r="B72" s="195" t="s">
        <v>181</v>
      </c>
      <c r="C72" s="195" t="s">
        <v>182</v>
      </c>
      <c r="D72" s="195"/>
      <c r="E72" s="230">
        <v>150</v>
      </c>
      <c r="F72" s="231"/>
      <c r="G72" s="195" t="s">
        <v>183</v>
      </c>
      <c r="I72" s="212">
        <f t="shared" ref="I72:O72" si="36">$E$72*I68</f>
        <v>150</v>
      </c>
      <c r="J72" s="212">
        <f t="shared" si="36"/>
        <v>150</v>
      </c>
      <c r="K72" s="212">
        <f t="shared" si="36"/>
        <v>150</v>
      </c>
      <c r="L72" s="230">
        <f t="shared" si="7"/>
        <v>450</v>
      </c>
      <c r="M72" s="212">
        <f t="shared" si="36"/>
        <v>150</v>
      </c>
      <c r="N72" s="212">
        <f t="shared" si="36"/>
        <v>300</v>
      </c>
      <c r="O72" s="212">
        <f t="shared" si="36"/>
        <v>150</v>
      </c>
      <c r="P72" s="212">
        <f t="shared" ref="P72:P75" si="37">SUM(M72:O72)</f>
        <v>600</v>
      </c>
      <c r="Q72" s="212">
        <v>450</v>
      </c>
      <c r="R72" s="212">
        <v>450</v>
      </c>
      <c r="S72" s="278">
        <v>450</v>
      </c>
      <c r="T72" s="257">
        <f t="shared" ref="T72:T75" si="38">SUM(Q72:S72)</f>
        <v>1350</v>
      </c>
      <c r="U72" s="259">
        <v>5550</v>
      </c>
      <c r="V72" s="300">
        <v>450</v>
      </c>
      <c r="W72" s="300">
        <v>450</v>
      </c>
      <c r="X72" s="300">
        <v>450</v>
      </c>
      <c r="Y72" s="321">
        <f t="shared" ref="Y72:Y75" si="39">SUM(V72:X72)</f>
        <v>1350</v>
      </c>
    </row>
    <row r="73" spans="2:25" hidden="1" outlineLevel="1">
      <c r="B73" s="195" t="s">
        <v>184</v>
      </c>
      <c r="D73" s="195"/>
      <c r="E73" s="230">
        <v>500</v>
      </c>
      <c r="F73" s="231"/>
      <c r="G73" s="195" t="s">
        <v>183</v>
      </c>
      <c r="I73" s="212">
        <f t="shared" ref="I73:O73" si="40">$E$73*I68</f>
        <v>500</v>
      </c>
      <c r="J73" s="212">
        <f t="shared" si="40"/>
        <v>500</v>
      </c>
      <c r="K73" s="212">
        <f t="shared" si="40"/>
        <v>500</v>
      </c>
      <c r="L73" s="230">
        <f t="shared" si="7"/>
        <v>1500</v>
      </c>
      <c r="M73" s="212">
        <f t="shared" si="40"/>
        <v>500</v>
      </c>
      <c r="N73" s="212">
        <f t="shared" si="40"/>
        <v>1000</v>
      </c>
      <c r="O73" s="212">
        <f t="shared" si="40"/>
        <v>500</v>
      </c>
      <c r="P73" s="212">
        <f t="shared" si="37"/>
        <v>2000</v>
      </c>
      <c r="Q73" s="257">
        <v>1500</v>
      </c>
      <c r="R73" s="257">
        <v>1500</v>
      </c>
      <c r="S73" s="278">
        <v>1500</v>
      </c>
      <c r="T73" s="257">
        <f t="shared" si="38"/>
        <v>4500</v>
      </c>
      <c r="U73" s="259">
        <v>5550</v>
      </c>
      <c r="V73" s="300">
        <v>1500</v>
      </c>
      <c r="W73" s="300">
        <v>1500</v>
      </c>
      <c r="X73" s="300">
        <v>1500</v>
      </c>
      <c r="Y73" s="321">
        <f t="shared" si="39"/>
        <v>4500</v>
      </c>
    </row>
    <row r="74" spans="2:25" hidden="1" outlineLevel="1">
      <c r="B74" s="195" t="s">
        <v>185</v>
      </c>
      <c r="C74" s="195" t="s">
        <v>186</v>
      </c>
      <c r="E74" s="230">
        <v>150</v>
      </c>
      <c r="F74" s="231"/>
      <c r="G74" s="195" t="s">
        <v>183</v>
      </c>
      <c r="I74" s="212">
        <f t="shared" ref="I74:O74" si="41">$E$74*I68</f>
        <v>150</v>
      </c>
      <c r="J74" s="212">
        <f t="shared" si="41"/>
        <v>150</v>
      </c>
      <c r="K74" s="212">
        <f t="shared" si="41"/>
        <v>150</v>
      </c>
      <c r="L74" s="230">
        <f t="shared" si="7"/>
        <v>450</v>
      </c>
      <c r="M74" s="212">
        <f t="shared" si="41"/>
        <v>150</v>
      </c>
      <c r="N74" s="212">
        <f t="shared" si="41"/>
        <v>300</v>
      </c>
      <c r="O74" s="212">
        <f t="shared" si="41"/>
        <v>150</v>
      </c>
      <c r="P74" s="212">
        <f t="shared" si="37"/>
        <v>600</v>
      </c>
      <c r="Q74" s="212">
        <v>450</v>
      </c>
      <c r="R74" s="212">
        <v>450</v>
      </c>
      <c r="S74" s="278">
        <v>450</v>
      </c>
      <c r="T74" s="257">
        <f t="shared" si="38"/>
        <v>1350</v>
      </c>
      <c r="U74" s="259">
        <v>5550</v>
      </c>
      <c r="V74" s="300">
        <v>450</v>
      </c>
      <c r="W74" s="300">
        <v>450</v>
      </c>
      <c r="X74" s="300">
        <v>450</v>
      </c>
      <c r="Y74" s="321">
        <f t="shared" si="39"/>
        <v>1350</v>
      </c>
    </row>
    <row r="75" spans="2:25" hidden="1" outlineLevel="1">
      <c r="B75" s="195" t="s">
        <v>238</v>
      </c>
      <c r="E75" s="230"/>
      <c r="I75" s="212">
        <v>20000</v>
      </c>
      <c r="J75" s="212">
        <v>20000</v>
      </c>
      <c r="K75" s="212">
        <v>20000</v>
      </c>
      <c r="L75" s="258">
        <f t="shared" si="7"/>
        <v>60000</v>
      </c>
      <c r="M75" s="212">
        <v>33333</v>
      </c>
      <c r="N75" s="212">
        <v>33333</v>
      </c>
      <c r="O75" s="212">
        <v>33334</v>
      </c>
      <c r="P75" s="257">
        <f t="shared" si="37"/>
        <v>100000</v>
      </c>
      <c r="Q75" s="234">
        <v>50000</v>
      </c>
      <c r="R75" s="234">
        <v>50000</v>
      </c>
      <c r="S75" s="278">
        <v>50000</v>
      </c>
      <c r="T75" s="212">
        <f t="shared" si="38"/>
        <v>150000</v>
      </c>
      <c r="U75" s="255">
        <v>5510</v>
      </c>
      <c r="V75" s="300">
        <v>50000</v>
      </c>
      <c r="W75" s="300">
        <v>50000</v>
      </c>
      <c r="X75" s="300">
        <v>50000</v>
      </c>
      <c r="Y75" s="321">
        <f t="shared" si="39"/>
        <v>150000</v>
      </c>
    </row>
    <row r="76" spans="2:25" collapsed="1">
      <c r="B76" s="195" t="s">
        <v>239</v>
      </c>
      <c r="E76" s="230"/>
      <c r="I76" s="212">
        <f t="shared" ref="I76:Q76" si="42">SUM(I72:I75)</f>
        <v>20800</v>
      </c>
      <c r="J76" s="212">
        <f t="shared" si="42"/>
        <v>20800</v>
      </c>
      <c r="K76" s="212">
        <f t="shared" si="42"/>
        <v>20800</v>
      </c>
      <c r="L76" s="230">
        <f t="shared" si="7"/>
        <v>62400</v>
      </c>
      <c r="M76" s="212">
        <f t="shared" si="42"/>
        <v>34133</v>
      </c>
      <c r="N76" s="212">
        <f t="shared" si="42"/>
        <v>34933</v>
      </c>
      <c r="O76" s="212">
        <f t="shared" si="42"/>
        <v>34134</v>
      </c>
      <c r="P76" s="212">
        <f t="shared" si="42"/>
        <v>103200</v>
      </c>
      <c r="Q76" s="212">
        <f t="shared" si="42"/>
        <v>52400</v>
      </c>
      <c r="R76" s="212">
        <f>SUM(R72:R75)</f>
        <v>52400</v>
      </c>
      <c r="S76" s="212">
        <f>SUM(S72:S75)</f>
        <v>52400</v>
      </c>
      <c r="T76" s="212">
        <f>SUM(T72:T75)</f>
        <v>157200</v>
      </c>
      <c r="V76" s="300">
        <v>52400</v>
      </c>
      <c r="W76" s="300">
        <v>52400</v>
      </c>
      <c r="X76" s="300">
        <v>52400</v>
      </c>
      <c r="Y76" s="278">
        <f>SUM(Y72:Y75)</f>
        <v>157200</v>
      </c>
    </row>
    <row r="77" spans="2:25">
      <c r="E77" s="230"/>
      <c r="I77" s="234">
        <f t="shared" ref="I77:T77" si="43">I69+I76</f>
        <v>36800</v>
      </c>
      <c r="J77" s="234">
        <f t="shared" si="43"/>
        <v>36800</v>
      </c>
      <c r="K77" s="234">
        <f t="shared" si="43"/>
        <v>36800</v>
      </c>
      <c r="L77" s="230">
        <f t="shared" si="7"/>
        <v>110400</v>
      </c>
      <c r="M77" s="234">
        <f t="shared" si="43"/>
        <v>50133</v>
      </c>
      <c r="N77" s="234">
        <f t="shared" si="43"/>
        <v>42295.903225806454</v>
      </c>
      <c r="O77" s="234">
        <f t="shared" si="43"/>
        <v>49134</v>
      </c>
      <c r="P77" s="234">
        <f t="shared" si="43"/>
        <v>141562.90322580645</v>
      </c>
      <c r="Q77" s="234">
        <f t="shared" si="43"/>
        <v>108400</v>
      </c>
      <c r="R77" s="234">
        <f t="shared" si="43"/>
        <v>108400</v>
      </c>
      <c r="S77" s="234">
        <f t="shared" si="43"/>
        <v>108400</v>
      </c>
      <c r="T77" s="234">
        <f t="shared" si="43"/>
        <v>325200</v>
      </c>
      <c r="V77" s="309">
        <v>108400</v>
      </c>
      <c r="W77" s="309">
        <v>108400</v>
      </c>
      <c r="X77" s="309">
        <v>177625</v>
      </c>
      <c r="Y77" s="280">
        <f t="shared" ref="Y77" si="44">Y69+Y76</f>
        <v>394425</v>
      </c>
    </row>
    <row r="78" spans="2:25" ht="19">
      <c r="B78" s="235" t="s">
        <v>71</v>
      </c>
      <c r="E78" s="230"/>
      <c r="I78" s="212"/>
      <c r="J78" s="212"/>
      <c r="K78" s="212"/>
      <c r="L78" s="230">
        <f t="shared" si="7"/>
        <v>0</v>
      </c>
      <c r="M78" s="212"/>
      <c r="N78" s="212"/>
      <c r="O78" s="212"/>
      <c r="V78" s="300"/>
      <c r="W78" s="300"/>
      <c r="X78" s="300"/>
      <c r="Y78" s="278"/>
    </row>
    <row r="79" spans="2:25" hidden="1" outlineLevel="1">
      <c r="B79" s="209" t="s">
        <v>240</v>
      </c>
      <c r="D79" s="212"/>
      <c r="E79" s="212"/>
      <c r="F79" s="203" t="s">
        <v>241</v>
      </c>
      <c r="I79" s="212"/>
      <c r="J79" s="212"/>
      <c r="K79" s="212"/>
      <c r="L79" s="230">
        <f t="shared" si="7"/>
        <v>0</v>
      </c>
      <c r="M79" s="212"/>
      <c r="N79" s="212"/>
      <c r="O79" s="212"/>
      <c r="Q79" s="212"/>
      <c r="R79" s="212"/>
      <c r="T79" s="212"/>
      <c r="V79" s="300"/>
      <c r="W79" s="300"/>
      <c r="X79" s="300"/>
      <c r="Y79" s="278"/>
    </row>
    <row r="80" spans="2:25" hidden="1" outlineLevel="1">
      <c r="B80" s="195" t="s">
        <v>242</v>
      </c>
      <c r="C80" s="195" t="s">
        <v>166</v>
      </c>
      <c r="D80" s="212">
        <v>250000</v>
      </c>
      <c r="E80" s="212">
        <f>D80*[4]Assumptions!B14/12</f>
        <v>25000</v>
      </c>
      <c r="F80" s="199">
        <v>1</v>
      </c>
      <c r="I80" s="212"/>
      <c r="J80" s="212"/>
      <c r="K80" s="212"/>
      <c r="L80" s="230">
        <f t="shared" si="7"/>
        <v>0</v>
      </c>
      <c r="M80" s="212"/>
      <c r="N80" s="212"/>
      <c r="O80" s="212"/>
      <c r="Q80" s="212"/>
      <c r="R80" s="212"/>
      <c r="T80" s="212"/>
      <c r="V80" s="300"/>
      <c r="W80" s="300"/>
      <c r="X80" s="300"/>
      <c r="Y80" s="278"/>
    </row>
    <row r="81" spans="1:25" hidden="1" outlineLevel="1">
      <c r="A81" s="194" t="s">
        <v>154</v>
      </c>
      <c r="B81" s="195" t="s">
        <v>243</v>
      </c>
      <c r="C81" s="195" t="s">
        <v>244</v>
      </c>
      <c r="D81" s="212">
        <v>180000</v>
      </c>
      <c r="E81" s="212">
        <f>D81*[4]Assumptions!$B$14/12</f>
        <v>18000</v>
      </c>
      <c r="F81" s="199">
        <v>1</v>
      </c>
      <c r="G81" s="195" t="s">
        <v>245</v>
      </c>
      <c r="I81" s="212">
        <f>15000+1824</f>
        <v>16824</v>
      </c>
      <c r="J81" s="212">
        <f>I81</f>
        <v>16824</v>
      </c>
      <c r="K81" s="212">
        <f>J81</f>
        <v>16824</v>
      </c>
      <c r="L81" s="230">
        <f t="shared" si="7"/>
        <v>50472</v>
      </c>
      <c r="M81" s="212">
        <f>K81</f>
        <v>16824</v>
      </c>
      <c r="N81" s="212">
        <f>M81+45000</f>
        <v>61824</v>
      </c>
      <c r="O81" s="212"/>
      <c r="P81" s="212">
        <f t="shared" ref="P81:P85" si="45">SUM(M81:O81)</f>
        <v>78648</v>
      </c>
      <c r="Q81" s="212">
        <v>18000</v>
      </c>
      <c r="R81" s="212">
        <v>18000</v>
      </c>
      <c r="S81" s="278">
        <v>72000</v>
      </c>
      <c r="T81" s="257">
        <f t="shared" ref="T81:T82" si="46">SUM(Q81:S81)</f>
        <v>108000</v>
      </c>
      <c r="U81" s="195">
        <v>5500</v>
      </c>
      <c r="V81" s="300">
        <v>18000</v>
      </c>
      <c r="W81" s="300">
        <v>18000</v>
      </c>
      <c r="X81" s="300">
        <v>72000</v>
      </c>
      <c r="Y81" s="321">
        <f t="shared" ref="Y81:Y82" si="47">SUM(V81:X81)</f>
        <v>108000</v>
      </c>
    </row>
    <row r="82" spans="1:25" hidden="1" outlineLevel="1">
      <c r="A82" s="194" t="s">
        <v>154</v>
      </c>
      <c r="B82" s="195" t="s">
        <v>246</v>
      </c>
      <c r="C82" s="195" t="s">
        <v>247</v>
      </c>
      <c r="D82" s="211">
        <v>125000</v>
      </c>
      <c r="E82" s="212">
        <f>D82*[4]Assumptions!$B$15*[4]Assumptions!B13/12</f>
        <v>18229.166666666668</v>
      </c>
      <c r="F82" s="199">
        <v>1</v>
      </c>
      <c r="G82" s="195" t="s">
        <v>248</v>
      </c>
      <c r="I82" s="212">
        <f>$E$82</f>
        <v>18229.166666666668</v>
      </c>
      <c r="J82" s="212">
        <f>$E$82</f>
        <v>18229.166666666668</v>
      </c>
      <c r="K82" s="212">
        <f>$E$82+SUM(I82:J82)+$E$82</f>
        <v>72916.666666666672</v>
      </c>
      <c r="L82" s="230">
        <f t="shared" si="7"/>
        <v>109375</v>
      </c>
      <c r="M82" s="212">
        <f>$E$82</f>
        <v>18229.166666666668</v>
      </c>
      <c r="N82" s="212">
        <f>$E$82</f>
        <v>18229.166666666668</v>
      </c>
      <c r="O82" s="212">
        <f>$E$82+SUM(M82:N82)+$E$82</f>
        <v>72916.666666666672</v>
      </c>
      <c r="P82" s="212">
        <f t="shared" si="45"/>
        <v>109375</v>
      </c>
      <c r="Q82" s="212">
        <v>18229.166666666668</v>
      </c>
      <c r="R82" s="212">
        <v>18229.166666666668</v>
      </c>
      <c r="S82" s="278">
        <v>72916.666666666672</v>
      </c>
      <c r="T82" s="257">
        <f t="shared" si="46"/>
        <v>109375</v>
      </c>
      <c r="U82" s="195">
        <v>5500</v>
      </c>
      <c r="V82" s="300">
        <v>18229.166666666668</v>
      </c>
      <c r="W82" s="300">
        <v>18229.166666666668</v>
      </c>
      <c r="X82" s="300">
        <v>72916.666666666672</v>
      </c>
      <c r="Y82" s="321">
        <f t="shared" si="47"/>
        <v>109375</v>
      </c>
    </row>
    <row r="83" spans="1:25" hidden="1" outlineLevel="1">
      <c r="D83" s="211"/>
      <c r="E83" s="212"/>
      <c r="I83" s="212"/>
      <c r="J83" s="212"/>
      <c r="K83" s="212"/>
      <c r="L83" s="230">
        <f t="shared" si="7"/>
        <v>0</v>
      </c>
      <c r="M83" s="212"/>
      <c r="N83" s="212"/>
      <c r="O83" s="212"/>
      <c r="P83" s="212">
        <f t="shared" si="45"/>
        <v>0</v>
      </c>
      <c r="Q83" s="212"/>
      <c r="R83" s="212"/>
      <c r="T83" s="257"/>
      <c r="V83" s="300"/>
      <c r="W83" s="300"/>
      <c r="X83" s="300"/>
      <c r="Y83" s="321"/>
    </row>
    <row r="84" spans="1:25" hidden="1" outlineLevel="1">
      <c r="B84" s="209" t="s">
        <v>249</v>
      </c>
      <c r="C84" s="206"/>
      <c r="D84" s="206"/>
      <c r="E84" s="206"/>
      <c r="F84" s="210"/>
      <c r="I84" s="212"/>
      <c r="J84" s="212"/>
      <c r="K84" s="212"/>
      <c r="L84" s="230">
        <f t="shared" si="7"/>
        <v>0</v>
      </c>
      <c r="M84" s="212"/>
      <c r="N84" s="212"/>
      <c r="O84" s="212"/>
      <c r="P84" s="212">
        <f t="shared" si="45"/>
        <v>0</v>
      </c>
      <c r="T84" s="255"/>
      <c r="V84" s="300"/>
      <c r="W84" s="300"/>
      <c r="X84" s="300"/>
      <c r="Y84" s="321"/>
    </row>
    <row r="85" spans="1:25" hidden="1" outlineLevel="1">
      <c r="B85" s="195" t="s">
        <v>250</v>
      </c>
      <c r="C85" s="195" t="s">
        <v>251</v>
      </c>
      <c r="D85" s="212">
        <v>175000</v>
      </c>
      <c r="E85" s="212">
        <f>D85*[4]Assumptions!$B$14/12</f>
        <v>17500</v>
      </c>
      <c r="F85" s="199">
        <v>1</v>
      </c>
      <c r="G85" s="195" t="s">
        <v>252</v>
      </c>
      <c r="I85" s="212">
        <f>E85*I86</f>
        <v>0</v>
      </c>
      <c r="J85" s="212"/>
      <c r="K85" s="212"/>
      <c r="L85" s="230">
        <f t="shared" si="7"/>
        <v>0</v>
      </c>
      <c r="M85" s="212">
        <f>$E$85*M86</f>
        <v>0</v>
      </c>
      <c r="N85" s="212">
        <f>$E$85*N86</f>
        <v>0</v>
      </c>
      <c r="O85" s="212">
        <f>$E$85*O86+SUM(M85:N85)+$E$85</f>
        <v>35000</v>
      </c>
      <c r="P85" s="212">
        <f t="shared" si="45"/>
        <v>35000</v>
      </c>
      <c r="Q85" s="212">
        <v>35000</v>
      </c>
      <c r="R85" s="212">
        <v>35000</v>
      </c>
      <c r="S85" s="278">
        <v>140000</v>
      </c>
      <c r="T85" s="257">
        <f>SUM(Q85:S85)</f>
        <v>210000</v>
      </c>
      <c r="U85" s="195">
        <v>5500</v>
      </c>
      <c r="V85" s="300">
        <v>35000</v>
      </c>
      <c r="W85" s="300">
        <v>35000</v>
      </c>
      <c r="X85" s="300">
        <v>140000</v>
      </c>
      <c r="Y85" s="321">
        <f>SUM(V85:X85)</f>
        <v>210000</v>
      </c>
    </row>
    <row r="86" spans="1:25" hidden="1" outlineLevel="1">
      <c r="B86" s="220"/>
      <c r="C86" s="220"/>
      <c r="D86" s="221"/>
      <c r="E86" s="222"/>
      <c r="F86" s="225"/>
      <c r="I86" s="212"/>
      <c r="J86" s="212"/>
      <c r="K86" s="212"/>
      <c r="L86" s="230">
        <f t="shared" si="7"/>
        <v>0</v>
      </c>
      <c r="M86" s="236"/>
      <c r="N86" s="236"/>
      <c r="O86" s="236">
        <v>1</v>
      </c>
      <c r="Q86" s="195">
        <v>2</v>
      </c>
      <c r="R86" s="195">
        <v>2</v>
      </c>
      <c r="T86" s="255"/>
      <c r="V86" s="310">
        <v>2</v>
      </c>
      <c r="W86" s="310">
        <v>2</v>
      </c>
      <c r="X86" s="310">
        <v>2</v>
      </c>
      <c r="Y86" s="321"/>
    </row>
    <row r="87" spans="1:25" hidden="1" outlineLevel="1">
      <c r="B87" s="195" t="s">
        <v>253</v>
      </c>
      <c r="C87" s="195" t="s">
        <v>251</v>
      </c>
      <c r="D87" s="212">
        <v>125000</v>
      </c>
      <c r="E87" s="212">
        <f>D87*[4]Assumptions!$B$14/12</f>
        <v>12500</v>
      </c>
      <c r="F87" s="199">
        <v>1</v>
      </c>
      <c r="I87" s="212"/>
      <c r="J87" s="212"/>
      <c r="K87" s="212"/>
      <c r="L87" s="230">
        <f t="shared" si="7"/>
        <v>0</v>
      </c>
      <c r="M87" s="212"/>
      <c r="N87" s="212"/>
      <c r="O87" s="212"/>
      <c r="Q87" s="212">
        <v>12500</v>
      </c>
      <c r="R87" s="212">
        <v>12500</v>
      </c>
      <c r="S87" s="278">
        <v>50000</v>
      </c>
      <c r="T87" s="257">
        <f>SUM(Q87:S87)</f>
        <v>75000</v>
      </c>
      <c r="U87" s="195">
        <v>5500</v>
      </c>
      <c r="V87" s="300">
        <v>25000</v>
      </c>
      <c r="W87" s="300">
        <v>25000</v>
      </c>
      <c r="X87" s="300">
        <v>100000</v>
      </c>
      <c r="Y87" s="321">
        <f>SUM(V87:X87)</f>
        <v>150000</v>
      </c>
    </row>
    <row r="88" spans="1:25" hidden="1" outlineLevel="1">
      <c r="B88" s="220"/>
      <c r="C88" s="220"/>
      <c r="D88" s="221"/>
      <c r="E88" s="222"/>
      <c r="F88" s="225"/>
      <c r="I88" s="212"/>
      <c r="J88" s="212"/>
      <c r="K88" s="212"/>
      <c r="L88" s="230">
        <f t="shared" si="7"/>
        <v>0</v>
      </c>
      <c r="M88" s="212"/>
      <c r="N88" s="212"/>
      <c r="O88" s="212"/>
      <c r="Q88" s="195">
        <v>1</v>
      </c>
      <c r="R88" s="195">
        <v>1</v>
      </c>
      <c r="V88" s="310">
        <v>2</v>
      </c>
      <c r="W88" s="310">
        <v>2</v>
      </c>
      <c r="X88" s="310">
        <v>2</v>
      </c>
      <c r="Y88" s="278"/>
    </row>
    <row r="89" spans="1:25" hidden="1" outlineLevel="1">
      <c r="B89" s="195" t="s">
        <v>254</v>
      </c>
      <c r="C89" s="195" t="s">
        <v>251</v>
      </c>
      <c r="D89" s="212">
        <v>60000</v>
      </c>
      <c r="E89" s="212">
        <f>D89*[4]Assumptions!$B$14/12</f>
        <v>6000</v>
      </c>
      <c r="F89" s="199">
        <v>1</v>
      </c>
      <c r="I89" s="212"/>
      <c r="J89" s="212"/>
      <c r="K89" s="212"/>
      <c r="L89" s="230">
        <f t="shared" si="7"/>
        <v>0</v>
      </c>
      <c r="M89" s="212"/>
      <c r="N89" s="212"/>
      <c r="O89" s="212"/>
      <c r="U89" s="195">
        <v>5500</v>
      </c>
      <c r="V89" s="300">
        <v>6000</v>
      </c>
      <c r="W89" s="300">
        <v>6000</v>
      </c>
      <c r="X89" s="300">
        <v>24000</v>
      </c>
      <c r="Y89" s="321">
        <f>SUM(V89:X89)</f>
        <v>36000</v>
      </c>
    </row>
    <row r="90" spans="1:25" hidden="1" outlineLevel="1">
      <c r="D90" s="212"/>
      <c r="E90" s="212"/>
      <c r="I90" s="212"/>
      <c r="J90" s="212"/>
      <c r="K90" s="212"/>
      <c r="L90" s="230">
        <f t="shared" si="7"/>
        <v>0</v>
      </c>
      <c r="M90" s="212"/>
      <c r="N90" s="212"/>
      <c r="O90" s="212"/>
      <c r="V90" s="310">
        <v>1</v>
      </c>
      <c r="W90" s="310">
        <v>1</v>
      </c>
      <c r="X90" s="310">
        <v>1</v>
      </c>
      <c r="Y90" s="278"/>
    </row>
    <row r="91" spans="1:25" ht="16" collapsed="1">
      <c r="B91" s="195" t="s">
        <v>255</v>
      </c>
      <c r="D91" s="212"/>
      <c r="E91" s="212"/>
      <c r="I91" s="212"/>
      <c r="J91" s="212"/>
      <c r="K91" s="212"/>
      <c r="L91" s="230">
        <f t="shared" si="7"/>
        <v>0</v>
      </c>
      <c r="M91" s="212"/>
      <c r="N91" s="212"/>
      <c r="O91" s="212"/>
      <c r="Q91" s="237"/>
      <c r="R91" s="237"/>
      <c r="S91" s="281"/>
      <c r="T91" s="237"/>
      <c r="V91" s="300"/>
      <c r="W91" s="300"/>
      <c r="X91" s="300"/>
      <c r="Y91" s="281"/>
    </row>
    <row r="92" spans="1:25">
      <c r="B92" s="195" t="s">
        <v>256</v>
      </c>
      <c r="D92" s="212"/>
      <c r="E92" s="212"/>
      <c r="I92" s="196">
        <f t="shared" ref="I92:O92" si="48">COUNTIF(I80:I82,"&gt;0")+I86+I90+I88</f>
        <v>2</v>
      </c>
      <c r="J92" s="196">
        <f t="shared" si="48"/>
        <v>2</v>
      </c>
      <c r="K92" s="196">
        <f t="shared" si="48"/>
        <v>2</v>
      </c>
      <c r="L92" s="230">
        <f t="shared" ref="L92:L155" si="49">SUM(I92:K92)</f>
        <v>6</v>
      </c>
      <c r="M92" s="196">
        <f t="shared" si="48"/>
        <v>2</v>
      </c>
      <c r="N92" s="196">
        <f t="shared" si="48"/>
        <v>2</v>
      </c>
      <c r="O92" s="196">
        <f t="shared" si="48"/>
        <v>2</v>
      </c>
      <c r="Q92" s="195">
        <v>5</v>
      </c>
      <c r="R92" s="195">
        <v>5</v>
      </c>
      <c r="V92" s="296">
        <v>7</v>
      </c>
      <c r="W92" s="296">
        <v>7</v>
      </c>
      <c r="X92" s="311">
        <v>7</v>
      </c>
      <c r="Y92" s="278"/>
    </row>
    <row r="93" spans="1:25" ht="16">
      <c r="B93" s="195" t="s">
        <v>257</v>
      </c>
      <c r="D93" s="212"/>
      <c r="E93" s="212"/>
      <c r="I93" s="237">
        <f t="shared" ref="I93:S93" si="50">SUM(I80:I82)+I85+I89+I87</f>
        <v>35053.166666666672</v>
      </c>
      <c r="J93" s="237">
        <f t="shared" si="50"/>
        <v>35053.166666666672</v>
      </c>
      <c r="K93" s="237">
        <f t="shared" si="50"/>
        <v>89740.666666666672</v>
      </c>
      <c r="L93" s="230">
        <f t="shared" si="49"/>
        <v>159847</v>
      </c>
      <c r="M93" s="237">
        <f t="shared" si="50"/>
        <v>35053.166666666672</v>
      </c>
      <c r="N93" s="237">
        <f t="shared" si="50"/>
        <v>80053.166666666672</v>
      </c>
      <c r="O93" s="237">
        <f t="shared" si="50"/>
        <v>107916.66666666667</v>
      </c>
      <c r="P93" s="237">
        <f t="shared" si="50"/>
        <v>223023</v>
      </c>
      <c r="Q93" s="237">
        <f t="shared" si="50"/>
        <v>83729.166666666672</v>
      </c>
      <c r="R93" s="237">
        <f t="shared" si="50"/>
        <v>83729.166666666672</v>
      </c>
      <c r="S93" s="237">
        <f t="shared" si="50"/>
        <v>334916.66666666669</v>
      </c>
      <c r="T93" s="323">
        <f>SUM(T80:T82)+T85+T89+T87</f>
        <v>502375</v>
      </c>
      <c r="V93" s="312">
        <v>102229.16666666667</v>
      </c>
      <c r="W93" s="312">
        <v>102229.16666666667</v>
      </c>
      <c r="X93" s="312">
        <v>408916.66666666669</v>
      </c>
      <c r="Y93" s="322">
        <f t="shared" ref="Y93" si="51">SUM(Y80:Y82)+Y85+Y89+Y87</f>
        <v>613375</v>
      </c>
    </row>
    <row r="94" spans="1:25">
      <c r="B94" s="227"/>
      <c r="C94" s="227"/>
      <c r="D94" s="227"/>
      <c r="I94" s="228"/>
      <c r="J94" s="228"/>
      <c r="K94" s="228"/>
      <c r="L94" s="230">
        <f t="shared" si="49"/>
        <v>0</v>
      </c>
      <c r="M94" s="228"/>
      <c r="N94" s="228"/>
      <c r="O94" s="228"/>
      <c r="V94" s="304"/>
      <c r="W94" s="304"/>
      <c r="X94" s="304"/>
      <c r="Y94" s="278"/>
    </row>
    <row r="95" spans="1:25">
      <c r="B95" s="200"/>
      <c r="C95" s="200"/>
      <c r="D95" s="201"/>
      <c r="E95" s="201"/>
      <c r="F95" s="203"/>
      <c r="I95" s="230"/>
      <c r="J95" s="230"/>
      <c r="K95" s="230"/>
      <c r="L95" s="230">
        <f t="shared" si="49"/>
        <v>0</v>
      </c>
      <c r="M95" s="230"/>
      <c r="N95" s="230"/>
      <c r="O95" s="230"/>
      <c r="Q95" s="212"/>
      <c r="R95" s="212"/>
      <c r="T95" s="212"/>
      <c r="V95" s="305"/>
      <c r="W95" s="305"/>
      <c r="X95" s="305"/>
      <c r="Y95" s="278"/>
    </row>
    <row r="96" spans="1:25">
      <c r="B96" s="209" t="s">
        <v>258</v>
      </c>
      <c r="C96" s="200"/>
      <c r="D96" s="201"/>
      <c r="E96" s="201"/>
      <c r="F96" s="203"/>
      <c r="G96" s="200"/>
      <c r="L96" s="230">
        <f t="shared" si="49"/>
        <v>0</v>
      </c>
      <c r="Q96" s="212"/>
      <c r="R96" s="212"/>
      <c r="T96" s="212"/>
      <c r="V96" s="297"/>
      <c r="W96" s="297"/>
      <c r="X96" s="297"/>
      <c r="Y96" s="278"/>
    </row>
    <row r="97" spans="2:25" hidden="1" outlineLevel="1">
      <c r="B97" s="195" t="s">
        <v>181</v>
      </c>
      <c r="C97" s="195" t="s">
        <v>182</v>
      </c>
      <c r="D97" s="195"/>
      <c r="E97" s="230">
        <v>150</v>
      </c>
      <c r="F97" s="231"/>
      <c r="G97" s="195" t="s">
        <v>183</v>
      </c>
      <c r="I97" s="212">
        <f t="shared" ref="I97:O97" si="52">$E$97*I92</f>
        <v>300</v>
      </c>
      <c r="J97" s="212">
        <f t="shared" si="52"/>
        <v>300</v>
      </c>
      <c r="K97" s="212">
        <f t="shared" si="52"/>
        <v>300</v>
      </c>
      <c r="L97" s="230">
        <f t="shared" si="49"/>
        <v>900</v>
      </c>
      <c r="M97" s="212">
        <f t="shared" si="52"/>
        <v>300</v>
      </c>
      <c r="N97" s="212">
        <f t="shared" si="52"/>
        <v>300</v>
      </c>
      <c r="O97" s="212">
        <f t="shared" si="52"/>
        <v>300</v>
      </c>
      <c r="P97" s="212">
        <f t="shared" ref="P97:P101" si="53">SUM(M97:O97)</f>
        <v>900</v>
      </c>
      <c r="Q97" s="212">
        <v>750</v>
      </c>
      <c r="R97" s="212">
        <v>750</v>
      </c>
      <c r="S97" s="278">
        <v>750</v>
      </c>
      <c r="T97" s="257">
        <f t="shared" ref="T97:T101" si="54">SUM(Q97:S97)</f>
        <v>2250</v>
      </c>
      <c r="U97" s="259">
        <v>5550</v>
      </c>
      <c r="V97" s="300">
        <v>1050</v>
      </c>
      <c r="W97" s="300">
        <v>1050</v>
      </c>
      <c r="X97" s="300">
        <v>1050</v>
      </c>
      <c r="Y97" s="321">
        <f t="shared" ref="Y97:Y101" si="55">SUM(V97:X97)</f>
        <v>3150</v>
      </c>
    </row>
    <row r="98" spans="2:25" hidden="1" outlineLevel="1">
      <c r="B98" s="195" t="s">
        <v>184</v>
      </c>
      <c r="D98" s="195"/>
      <c r="E98" s="230">
        <v>500</v>
      </c>
      <c r="F98" s="231"/>
      <c r="G98" s="195" t="s">
        <v>183</v>
      </c>
      <c r="I98" s="212">
        <f t="shared" ref="I98:O98" si="56">$E$98*I92</f>
        <v>1000</v>
      </c>
      <c r="J98" s="212">
        <f t="shared" si="56"/>
        <v>1000</v>
      </c>
      <c r="K98" s="212">
        <f t="shared" si="56"/>
        <v>1000</v>
      </c>
      <c r="L98" s="230">
        <f t="shared" si="49"/>
        <v>3000</v>
      </c>
      <c r="M98" s="212">
        <f t="shared" si="56"/>
        <v>1000</v>
      </c>
      <c r="N98" s="212">
        <f t="shared" si="56"/>
        <v>1000</v>
      </c>
      <c r="O98" s="212">
        <f t="shared" si="56"/>
        <v>1000</v>
      </c>
      <c r="P98" s="212">
        <f t="shared" si="53"/>
        <v>3000</v>
      </c>
      <c r="Q98" s="212">
        <v>2500</v>
      </c>
      <c r="R98" s="212">
        <v>2500</v>
      </c>
      <c r="S98" s="278">
        <v>2500</v>
      </c>
      <c r="T98" s="257">
        <f t="shared" si="54"/>
        <v>7500</v>
      </c>
      <c r="U98" s="259">
        <v>5550</v>
      </c>
      <c r="V98" s="300">
        <v>3500</v>
      </c>
      <c r="W98" s="300">
        <v>3500</v>
      </c>
      <c r="X98" s="300">
        <v>3500</v>
      </c>
      <c r="Y98" s="321">
        <f t="shared" si="55"/>
        <v>10500</v>
      </c>
    </row>
    <row r="99" spans="2:25" hidden="1" outlineLevel="1">
      <c r="B99" s="195" t="s">
        <v>185</v>
      </c>
      <c r="C99" s="195" t="s">
        <v>186</v>
      </c>
      <c r="E99" s="230">
        <v>150</v>
      </c>
      <c r="F99" s="231"/>
      <c r="G99" s="195" t="s">
        <v>183</v>
      </c>
      <c r="I99" s="212">
        <f t="shared" ref="I99:O99" si="57">$E$99*I92</f>
        <v>300</v>
      </c>
      <c r="J99" s="212">
        <f t="shared" si="57"/>
        <v>300</v>
      </c>
      <c r="K99" s="212">
        <f t="shared" si="57"/>
        <v>300</v>
      </c>
      <c r="L99" s="230">
        <f t="shared" si="49"/>
        <v>900</v>
      </c>
      <c r="M99" s="212">
        <f t="shared" si="57"/>
        <v>300</v>
      </c>
      <c r="N99" s="212">
        <f t="shared" si="57"/>
        <v>300</v>
      </c>
      <c r="O99" s="212">
        <f t="shared" si="57"/>
        <v>300</v>
      </c>
      <c r="P99" s="212">
        <f t="shared" si="53"/>
        <v>900</v>
      </c>
      <c r="Q99" s="212">
        <v>750</v>
      </c>
      <c r="R99" s="212">
        <v>750</v>
      </c>
      <c r="S99" s="278">
        <v>750</v>
      </c>
      <c r="T99" s="257">
        <f t="shared" si="54"/>
        <v>2250</v>
      </c>
      <c r="U99" s="259">
        <v>5550</v>
      </c>
      <c r="V99" s="300">
        <v>1050</v>
      </c>
      <c r="W99" s="300">
        <v>1050</v>
      </c>
      <c r="X99" s="300">
        <v>1050</v>
      </c>
      <c r="Y99" s="321">
        <f t="shared" si="55"/>
        <v>3150</v>
      </c>
    </row>
    <row r="100" spans="2:25" hidden="1" outlineLevel="1">
      <c r="B100" s="195" t="s">
        <v>259</v>
      </c>
      <c r="E100" s="230"/>
      <c r="F100" s="231"/>
      <c r="I100" s="230"/>
      <c r="J100" s="230"/>
      <c r="K100" s="230"/>
      <c r="L100" s="230">
        <f t="shared" si="49"/>
        <v>0</v>
      </c>
      <c r="M100" s="230"/>
      <c r="N100" s="230"/>
      <c r="O100" s="230"/>
      <c r="P100" s="212">
        <f t="shared" si="53"/>
        <v>0</v>
      </c>
      <c r="Q100" s="212">
        <v>5000</v>
      </c>
      <c r="R100" s="212">
        <v>5000</v>
      </c>
      <c r="S100" s="278">
        <v>5000</v>
      </c>
      <c r="T100" s="257">
        <f t="shared" si="54"/>
        <v>15000</v>
      </c>
      <c r="U100" s="259">
        <v>5540</v>
      </c>
      <c r="V100" s="305">
        <v>5000</v>
      </c>
      <c r="W100" s="305">
        <v>5000</v>
      </c>
      <c r="X100" s="305">
        <v>5000</v>
      </c>
      <c r="Y100" s="321">
        <f t="shared" si="55"/>
        <v>15000</v>
      </c>
    </row>
    <row r="101" spans="2:25" ht="18" hidden="1" outlineLevel="1">
      <c r="B101" s="195" t="s">
        <v>260</v>
      </c>
      <c r="E101" s="230"/>
      <c r="F101" s="231"/>
      <c r="I101" s="238"/>
      <c r="J101" s="238"/>
      <c r="K101" s="238"/>
      <c r="L101" s="230">
        <f t="shared" si="49"/>
        <v>0</v>
      </c>
      <c r="M101" s="238"/>
      <c r="N101" s="238"/>
      <c r="O101" s="238"/>
      <c r="P101" s="212">
        <f t="shared" si="53"/>
        <v>0</v>
      </c>
      <c r="Q101" s="232">
        <v>3000</v>
      </c>
      <c r="R101" s="232">
        <v>3000</v>
      </c>
      <c r="S101" s="278">
        <v>5000</v>
      </c>
      <c r="T101" s="212">
        <f t="shared" si="54"/>
        <v>11000</v>
      </c>
      <c r="U101" s="259">
        <v>5510</v>
      </c>
      <c r="V101" s="313">
        <v>6666.666666666667</v>
      </c>
      <c r="W101" s="313">
        <v>6666.666666666667</v>
      </c>
      <c r="X101" s="313">
        <v>6666.666666666667</v>
      </c>
      <c r="Y101" s="321">
        <f t="shared" si="55"/>
        <v>20000</v>
      </c>
    </row>
    <row r="102" spans="2:25" collapsed="1">
      <c r="B102" s="195" t="s">
        <v>261</v>
      </c>
      <c r="C102" s="195" t="s">
        <v>176</v>
      </c>
      <c r="D102" s="196" t="s">
        <v>177</v>
      </c>
      <c r="E102" s="230"/>
      <c r="I102" s="212">
        <f t="shared" ref="I102:T102" si="58">SUM(I97:I101)</f>
        <v>1600</v>
      </c>
      <c r="J102" s="212">
        <f t="shared" si="58"/>
        <v>1600</v>
      </c>
      <c r="K102" s="212">
        <f t="shared" si="58"/>
        <v>1600</v>
      </c>
      <c r="L102" s="230">
        <f t="shared" si="49"/>
        <v>4800</v>
      </c>
      <c r="M102" s="212">
        <f t="shared" si="58"/>
        <v>1600</v>
      </c>
      <c r="N102" s="212">
        <f t="shared" si="58"/>
        <v>1600</v>
      </c>
      <c r="O102" s="212">
        <f t="shared" si="58"/>
        <v>1600</v>
      </c>
      <c r="P102" s="212">
        <f t="shared" si="58"/>
        <v>4800</v>
      </c>
      <c r="Q102" s="212">
        <f t="shared" si="58"/>
        <v>12000</v>
      </c>
      <c r="R102" s="212">
        <f t="shared" si="58"/>
        <v>12000</v>
      </c>
      <c r="S102" s="212">
        <f t="shared" si="58"/>
        <v>14000</v>
      </c>
      <c r="T102" s="212">
        <f t="shared" si="58"/>
        <v>38000</v>
      </c>
      <c r="V102" s="300">
        <v>17266.666666666668</v>
      </c>
      <c r="W102" s="300">
        <v>17266.666666666668</v>
      </c>
      <c r="X102" s="300">
        <v>17266.666666666668</v>
      </c>
      <c r="Y102" s="278">
        <f t="shared" ref="Y102" si="59">SUM(Y97:Y101)</f>
        <v>51800</v>
      </c>
    </row>
    <row r="103" spans="2:25">
      <c r="E103" s="230"/>
      <c r="I103" s="232">
        <f t="shared" ref="I103:Q103" si="60">I93+I102</f>
        <v>36653.166666666672</v>
      </c>
      <c r="J103" s="232">
        <f t="shared" si="60"/>
        <v>36653.166666666672</v>
      </c>
      <c r="K103" s="232">
        <f t="shared" si="60"/>
        <v>91340.666666666672</v>
      </c>
      <c r="L103" s="230">
        <f t="shared" si="49"/>
        <v>164647</v>
      </c>
      <c r="M103" s="232">
        <f t="shared" si="60"/>
        <v>36653.166666666672</v>
      </c>
      <c r="N103" s="232">
        <f t="shared" si="60"/>
        <v>81653.166666666672</v>
      </c>
      <c r="O103" s="232">
        <f t="shared" si="60"/>
        <v>109516.66666666667</v>
      </c>
      <c r="P103" s="232">
        <f t="shared" si="60"/>
        <v>227823</v>
      </c>
      <c r="Q103" s="232">
        <f t="shared" si="60"/>
        <v>95729.166666666672</v>
      </c>
      <c r="R103" s="232">
        <f>R93+R102</f>
        <v>95729.166666666672</v>
      </c>
      <c r="S103" s="232">
        <f>S93+S102</f>
        <v>348916.66666666669</v>
      </c>
      <c r="T103" s="232">
        <f>T93+T102</f>
        <v>540375</v>
      </c>
      <c r="V103" s="308">
        <v>119495.83333333334</v>
      </c>
      <c r="W103" s="308">
        <v>119495.83333333334</v>
      </c>
      <c r="X103" s="308">
        <v>426183.33333333337</v>
      </c>
      <c r="Y103" s="278">
        <f>+SUM(V103:X103)</f>
        <v>665175</v>
      </c>
    </row>
    <row r="104" spans="2:25">
      <c r="D104" s="239"/>
      <c r="E104" s="240"/>
      <c r="F104" s="240"/>
      <c r="G104" s="240"/>
      <c r="I104" s="230"/>
      <c r="J104" s="230"/>
      <c r="K104" s="230"/>
      <c r="L104" s="230">
        <f t="shared" si="49"/>
        <v>0</v>
      </c>
      <c r="M104" s="230"/>
      <c r="N104" s="230"/>
      <c r="O104" s="230"/>
      <c r="V104" s="305"/>
      <c r="W104" s="305"/>
      <c r="X104" s="305"/>
    </row>
    <row r="105" spans="2:25">
      <c r="B105" s="233" t="s">
        <v>262</v>
      </c>
      <c r="C105" s="233"/>
      <c r="D105" s="233"/>
      <c r="E105" s="233"/>
      <c r="F105" s="233"/>
      <c r="G105" s="233"/>
      <c r="L105" s="230">
        <f t="shared" si="49"/>
        <v>0</v>
      </c>
      <c r="Q105" s="212"/>
      <c r="R105" s="212"/>
      <c r="T105" s="212"/>
      <c r="V105" s="297"/>
      <c r="W105" s="297"/>
      <c r="X105" s="297"/>
    </row>
    <row r="106" spans="2:25" hidden="1" outlineLevel="1">
      <c r="B106" s="206" t="s">
        <v>263</v>
      </c>
      <c r="C106" s="206"/>
      <c r="D106" s="206"/>
      <c r="E106" s="206"/>
      <c r="F106" s="210"/>
      <c r="G106" s="206"/>
      <c r="L106" s="230">
        <f t="shared" si="49"/>
        <v>0</v>
      </c>
      <c r="Q106" s="212"/>
      <c r="R106" s="212"/>
      <c r="T106" s="212"/>
      <c r="V106" s="297"/>
      <c r="W106" s="297"/>
      <c r="X106" s="314"/>
    </row>
    <row r="107" spans="2:25" hidden="1" outlineLevel="1">
      <c r="B107" s="195" t="s">
        <v>158</v>
      </c>
      <c r="C107" s="195" t="s">
        <v>159</v>
      </c>
      <c r="D107" s="212">
        <v>280000</v>
      </c>
      <c r="E107" s="212">
        <f>D107*[4]Assumptions!B14/12</f>
        <v>28000</v>
      </c>
      <c r="F107" s="199" t="s">
        <v>157</v>
      </c>
      <c r="G107" s="195" t="s">
        <v>160</v>
      </c>
      <c r="I107" s="212">
        <f t="shared" ref="I107:O107" si="61">I12</f>
        <v>9863.6363636363494</v>
      </c>
      <c r="J107" s="212">
        <f t="shared" si="61"/>
        <v>9863.6363636363494</v>
      </c>
      <c r="K107" s="212">
        <f t="shared" si="61"/>
        <v>9863.6363636363494</v>
      </c>
      <c r="L107" s="230">
        <f t="shared" si="49"/>
        <v>29590.909090909048</v>
      </c>
      <c r="M107" s="212">
        <f t="shared" si="61"/>
        <v>9863.6363636363494</v>
      </c>
      <c r="N107" s="212">
        <f t="shared" si="61"/>
        <v>9863.6363636363494</v>
      </c>
      <c r="O107" s="212">
        <f t="shared" si="61"/>
        <v>9863.6363636363494</v>
      </c>
      <c r="P107" s="212">
        <f t="shared" ref="P107:P133" si="62">SUM(M107:O107)</f>
        <v>29590.909090909048</v>
      </c>
      <c r="Q107" s="212">
        <v>14000</v>
      </c>
      <c r="R107" s="212">
        <v>14000</v>
      </c>
      <c r="S107" s="278">
        <v>14000</v>
      </c>
      <c r="T107" s="212">
        <f t="shared" ref="T107:T110" si="63">SUM(Q107:S107)</f>
        <v>42000</v>
      </c>
      <c r="U107" s="195">
        <v>5300</v>
      </c>
      <c r="V107" s="300">
        <v>14000</v>
      </c>
      <c r="W107" s="300">
        <v>14000</v>
      </c>
      <c r="X107" s="300">
        <v>64000</v>
      </c>
      <c r="Y107" s="278">
        <f t="shared" ref="Y107:Y110" si="64">SUM(V107:X107)</f>
        <v>92000</v>
      </c>
    </row>
    <row r="108" spans="2:25" hidden="1" outlineLevel="1">
      <c r="B108" s="195" t="s">
        <v>264</v>
      </c>
      <c r="C108" s="195" t="s">
        <v>265</v>
      </c>
      <c r="D108" s="211">
        <v>172000</v>
      </c>
      <c r="E108" s="212">
        <f>D108*[4]Assumptions!B15*[4]Assumptions!B13/12</f>
        <v>25083.333333333332</v>
      </c>
      <c r="F108" s="199">
        <v>0.3</v>
      </c>
      <c r="G108" s="206"/>
      <c r="L108" s="230">
        <f t="shared" si="49"/>
        <v>0</v>
      </c>
      <c r="O108" s="212">
        <f t="shared" ref="O108" si="65">$E$108</f>
        <v>25083.333333333332</v>
      </c>
      <c r="P108" s="212">
        <f t="shared" si="62"/>
        <v>25083.333333333332</v>
      </c>
      <c r="Q108" s="212">
        <v>25083.333333333332</v>
      </c>
      <c r="R108" s="212">
        <v>25083.333333333332</v>
      </c>
      <c r="S108" s="278">
        <v>25083.333333333332</v>
      </c>
      <c r="T108" s="212">
        <f t="shared" si="63"/>
        <v>75250</v>
      </c>
      <c r="U108" s="195">
        <v>5300</v>
      </c>
      <c r="V108" s="300">
        <v>25083.333333333332</v>
      </c>
      <c r="W108" s="300">
        <v>25083.333333333332</v>
      </c>
      <c r="X108" s="314">
        <v>77758.333333333328</v>
      </c>
      <c r="Y108" s="278">
        <f t="shared" si="64"/>
        <v>127925</v>
      </c>
    </row>
    <row r="109" spans="2:25" hidden="1" outlineLevel="1">
      <c r="B109" s="195" t="s">
        <v>266</v>
      </c>
      <c r="C109" s="195" t="s">
        <v>267</v>
      </c>
      <c r="D109" s="213">
        <v>50000</v>
      </c>
      <c r="E109" s="212">
        <f>D109*[5]Assumptions!$B$3/[5]Assumptions!$B$4</f>
        <v>19696.9696969697</v>
      </c>
      <c r="F109" s="199">
        <v>0.15</v>
      </c>
      <c r="G109" s="206"/>
      <c r="L109" s="230">
        <f t="shared" si="49"/>
        <v>0</v>
      </c>
      <c r="M109" s="212">
        <f>0.51*E109+162500*2*1.07/[4]Assumptions!B12</f>
        <v>115424.24242424243</v>
      </c>
      <c r="N109" s="212">
        <f t="shared" ref="N109:O109" si="66">$E$109</f>
        <v>19696.9696969697</v>
      </c>
      <c r="O109" s="212">
        <f t="shared" si="66"/>
        <v>19696.9696969697</v>
      </c>
      <c r="P109" s="212">
        <f t="shared" si="62"/>
        <v>154818.18181818182</v>
      </c>
      <c r="Q109" s="212">
        <v>19696.9696969697</v>
      </c>
      <c r="R109" s="212">
        <v>19696.9696969697</v>
      </c>
      <c r="S109" s="278">
        <v>19696.9696969697</v>
      </c>
      <c r="T109" s="212">
        <f t="shared" si="63"/>
        <v>59090.909090909103</v>
      </c>
      <c r="U109" s="195">
        <v>5300</v>
      </c>
      <c r="V109" s="300">
        <v>19696.9696969697</v>
      </c>
      <c r="W109" s="300">
        <v>19696.9696969697</v>
      </c>
      <c r="X109" s="314">
        <v>43333.333333333343</v>
      </c>
      <c r="Y109" s="278">
        <f t="shared" si="64"/>
        <v>82727.272727272735</v>
      </c>
    </row>
    <row r="110" spans="2:25" hidden="1" outlineLevel="1">
      <c r="B110" s="195" t="s">
        <v>268</v>
      </c>
      <c r="C110" s="195" t="s">
        <v>269</v>
      </c>
      <c r="D110" s="213">
        <v>45150</v>
      </c>
      <c r="E110" s="212">
        <f>D110*[5]Assumptions!$B$3/[5]Assumptions!$B$4</f>
        <v>17786.363636363636</v>
      </c>
      <c r="F110" s="199">
        <v>0.15</v>
      </c>
      <c r="G110" s="206"/>
      <c r="I110" s="212">
        <f>$E$110</f>
        <v>17786.363636363636</v>
      </c>
      <c r="J110" s="212">
        <f>$E$110</f>
        <v>17786.363636363636</v>
      </c>
      <c r="K110" s="212">
        <f>E110</f>
        <v>17786.363636363636</v>
      </c>
      <c r="L110" s="230">
        <f t="shared" si="49"/>
        <v>53359.090909090912</v>
      </c>
      <c r="M110" s="212">
        <f t="shared" ref="M110:O110" si="67">$E$110</f>
        <v>17786.363636363636</v>
      </c>
      <c r="N110" s="212">
        <f t="shared" si="67"/>
        <v>17786.363636363636</v>
      </c>
      <c r="O110" s="212">
        <f t="shared" si="67"/>
        <v>17786.363636363636</v>
      </c>
      <c r="P110" s="212">
        <f t="shared" si="62"/>
        <v>53359.090909090912</v>
      </c>
      <c r="Q110" s="212">
        <v>17786.363636363636</v>
      </c>
      <c r="R110" s="212">
        <v>17786.363636363636</v>
      </c>
      <c r="S110" s="278">
        <v>17786.363636363636</v>
      </c>
      <c r="T110" s="212">
        <f t="shared" si="63"/>
        <v>53359.090909090912</v>
      </c>
      <c r="U110" s="195">
        <v>5300</v>
      </c>
      <c r="V110" s="300">
        <v>17786.363636363636</v>
      </c>
      <c r="W110" s="300">
        <v>17786.363636363636</v>
      </c>
      <c r="X110" s="314">
        <v>49801.818181818191</v>
      </c>
      <c r="Y110" s="278">
        <f t="shared" si="64"/>
        <v>85374.54545454547</v>
      </c>
    </row>
    <row r="111" spans="2:25" hidden="1" outlineLevel="1">
      <c r="B111" s="206"/>
      <c r="C111" s="206"/>
      <c r="D111" s="206"/>
      <c r="E111" s="206"/>
      <c r="F111" s="210"/>
      <c r="G111" s="206"/>
      <c r="L111" s="230">
        <f t="shared" si="49"/>
        <v>0</v>
      </c>
      <c r="P111" s="212">
        <f t="shared" si="62"/>
        <v>0</v>
      </c>
      <c r="Q111" s="212"/>
      <c r="R111" s="212"/>
      <c r="T111" s="212"/>
      <c r="V111" s="297"/>
      <c r="W111" s="297"/>
      <c r="X111" s="314"/>
      <c r="Y111" s="278"/>
    </row>
    <row r="112" spans="2:25" hidden="1" outlineLevel="1">
      <c r="B112" s="206"/>
      <c r="C112" s="206"/>
      <c r="D112" s="206"/>
      <c r="E112" s="206"/>
      <c r="F112" s="210"/>
      <c r="G112" s="206"/>
      <c r="L112" s="230">
        <f t="shared" si="49"/>
        <v>0</v>
      </c>
      <c r="P112" s="212">
        <f t="shared" si="62"/>
        <v>0</v>
      </c>
      <c r="Q112" s="212"/>
      <c r="R112" s="212"/>
      <c r="T112" s="212"/>
      <c r="V112" s="297"/>
      <c r="W112" s="297"/>
      <c r="X112" s="314"/>
      <c r="Y112" s="278"/>
    </row>
    <row r="113" spans="1:25" hidden="1" outlineLevel="1">
      <c r="B113" s="206" t="s">
        <v>270</v>
      </c>
      <c r="C113" s="206"/>
      <c r="D113" s="206"/>
      <c r="E113" s="206"/>
      <c r="F113" s="210"/>
      <c r="G113" s="206"/>
      <c r="L113" s="230">
        <f t="shared" si="49"/>
        <v>0</v>
      </c>
      <c r="P113" s="212">
        <f t="shared" si="62"/>
        <v>0</v>
      </c>
      <c r="Q113" s="212"/>
      <c r="R113" s="212"/>
      <c r="T113" s="212"/>
      <c r="V113" s="297"/>
      <c r="W113" s="297"/>
      <c r="X113" s="314"/>
      <c r="Y113" s="278"/>
    </row>
    <row r="114" spans="1:25" hidden="1" outlineLevel="1">
      <c r="A114" s="194" t="s">
        <v>154</v>
      </c>
      <c r="B114" s="195" t="s">
        <v>271</v>
      </c>
      <c r="D114" s="213">
        <v>60000</v>
      </c>
      <c r="E114" s="212">
        <f>0.1*D114*[4]Assumptions!$B$11/[4]Assumptions!$B$12</f>
        <v>2363.636363636364</v>
      </c>
      <c r="I114" s="212">
        <v>0</v>
      </c>
      <c r="J114" s="212">
        <f t="shared" ref="J114:O117" si="68">I114</f>
        <v>0</v>
      </c>
      <c r="K114" s="212">
        <f t="shared" si="68"/>
        <v>0</v>
      </c>
      <c r="L114" s="230">
        <f t="shared" si="49"/>
        <v>0</v>
      </c>
      <c r="M114" s="212">
        <f>K114</f>
        <v>0</v>
      </c>
      <c r="N114" s="212">
        <f t="shared" si="68"/>
        <v>0</v>
      </c>
      <c r="O114" s="212">
        <f t="shared" si="68"/>
        <v>0</v>
      </c>
      <c r="P114" s="212">
        <f t="shared" si="62"/>
        <v>0</v>
      </c>
      <c r="Q114" s="212">
        <v>0</v>
      </c>
      <c r="R114" s="212">
        <v>0</v>
      </c>
      <c r="S114" s="278">
        <v>0</v>
      </c>
      <c r="T114" s="212">
        <f t="shared" ref="T114:T124" si="69">SUM(Q114:S114)</f>
        <v>0</v>
      </c>
      <c r="V114" s="300">
        <v>0</v>
      </c>
      <c r="W114" s="300">
        <v>0</v>
      </c>
      <c r="X114" s="300">
        <v>0</v>
      </c>
      <c r="Y114" s="278">
        <f t="shared" ref="Y114:Y124" si="70">SUM(V114:X114)</f>
        <v>0</v>
      </c>
    </row>
    <row r="115" spans="1:25" hidden="1" outlineLevel="1">
      <c r="A115" s="194" t="s">
        <v>154</v>
      </c>
      <c r="B115" s="195" t="s">
        <v>272</v>
      </c>
      <c r="C115" s="195" t="s">
        <v>273</v>
      </c>
      <c r="D115" s="213">
        <v>40000</v>
      </c>
      <c r="E115" s="212">
        <f>D115*[4]Assumptions!$B$11/[4]Assumptions!$B$12</f>
        <v>15757.575757575758</v>
      </c>
      <c r="F115" s="199">
        <v>0</v>
      </c>
      <c r="G115" s="195" t="s">
        <v>274</v>
      </c>
      <c r="I115" s="212">
        <f>E115</f>
        <v>15757.575757575758</v>
      </c>
      <c r="J115" s="212">
        <f t="shared" si="68"/>
        <v>15757.575757575758</v>
      </c>
      <c r="K115" s="212">
        <f t="shared" si="68"/>
        <v>15757.575757575758</v>
      </c>
      <c r="L115" s="230">
        <f t="shared" si="49"/>
        <v>47272.727272727272</v>
      </c>
      <c r="M115" s="212">
        <f>K115</f>
        <v>15757.575757575758</v>
      </c>
      <c r="N115" s="212">
        <f t="shared" si="68"/>
        <v>15757.575757575758</v>
      </c>
      <c r="O115" s="212">
        <f t="shared" si="68"/>
        <v>15757.575757575758</v>
      </c>
      <c r="P115" s="212">
        <f t="shared" si="62"/>
        <v>47272.727272727272</v>
      </c>
      <c r="Q115" s="212">
        <v>15757.575757575758</v>
      </c>
      <c r="R115" s="212">
        <v>15757.575757575758</v>
      </c>
      <c r="S115" s="278">
        <v>15757.575757575758</v>
      </c>
      <c r="T115" s="212">
        <f t="shared" si="69"/>
        <v>47272.727272727272</v>
      </c>
      <c r="U115" s="195">
        <v>5300</v>
      </c>
      <c r="V115" s="300">
        <v>15757.575757575758</v>
      </c>
      <c r="W115" s="300">
        <v>15757.575757575758</v>
      </c>
      <c r="X115" s="300">
        <v>15757.575757575758</v>
      </c>
      <c r="Y115" s="278">
        <f t="shared" si="70"/>
        <v>47272.727272727272</v>
      </c>
    </row>
    <row r="116" spans="1:25" hidden="1" outlineLevel="1">
      <c r="A116" s="194" t="s">
        <v>154</v>
      </c>
      <c r="B116" s="195" t="s">
        <v>272</v>
      </c>
      <c r="C116" s="195" t="s">
        <v>275</v>
      </c>
      <c r="D116" s="213">
        <v>40000</v>
      </c>
      <c r="E116" s="212">
        <f>D116*[4]Assumptions!$B$11/[4]Assumptions!$B$12</f>
        <v>15757.575757575758</v>
      </c>
      <c r="F116" s="199">
        <v>0</v>
      </c>
      <c r="G116" s="195" t="s">
        <v>274</v>
      </c>
      <c r="I116" s="212">
        <f>E116</f>
        <v>15757.575757575758</v>
      </c>
      <c r="J116" s="212">
        <f t="shared" si="68"/>
        <v>15757.575757575758</v>
      </c>
      <c r="K116" s="212">
        <f t="shared" si="68"/>
        <v>15757.575757575758</v>
      </c>
      <c r="L116" s="230">
        <f t="shared" si="49"/>
        <v>47272.727272727272</v>
      </c>
      <c r="M116" s="212">
        <f>K116</f>
        <v>15757.575757575758</v>
      </c>
      <c r="N116" s="212">
        <f t="shared" si="68"/>
        <v>15757.575757575758</v>
      </c>
      <c r="O116" s="212">
        <f t="shared" si="68"/>
        <v>15757.575757575758</v>
      </c>
      <c r="P116" s="212">
        <f t="shared" si="62"/>
        <v>47272.727272727272</v>
      </c>
      <c r="Q116" s="212">
        <v>15757.575757575758</v>
      </c>
      <c r="R116" s="212">
        <v>15757.575757575758</v>
      </c>
      <c r="S116" s="278">
        <v>15757.575757575758</v>
      </c>
      <c r="T116" s="212">
        <f t="shared" si="69"/>
        <v>47272.727272727272</v>
      </c>
      <c r="U116" s="195">
        <v>5300</v>
      </c>
      <c r="V116" s="300">
        <v>15757.575757575758</v>
      </c>
      <c r="W116" s="300">
        <v>15757.575757575758</v>
      </c>
      <c r="X116" s="300">
        <v>15757.575757575758</v>
      </c>
      <c r="Y116" s="278">
        <f t="shared" si="70"/>
        <v>47272.727272727272</v>
      </c>
    </row>
    <row r="117" spans="1:25" hidden="1" outlineLevel="1">
      <c r="A117" s="194" t="s">
        <v>154</v>
      </c>
      <c r="B117" s="195" t="s">
        <v>276</v>
      </c>
      <c r="C117" s="195" t="s">
        <v>277</v>
      </c>
      <c r="D117" s="213">
        <f>90*310</f>
        <v>27900</v>
      </c>
      <c r="E117" s="212">
        <f>D117*[4]Assumptions!$B$11/[4]Assumptions!$B$12</f>
        <v>10990.909090909092</v>
      </c>
      <c r="G117" s="195" t="s">
        <v>278</v>
      </c>
      <c r="I117" s="212">
        <f>E117</f>
        <v>10990.909090909092</v>
      </c>
      <c r="J117" s="212">
        <f t="shared" si="68"/>
        <v>10990.909090909092</v>
      </c>
      <c r="K117" s="212">
        <f t="shared" si="68"/>
        <v>10990.909090909092</v>
      </c>
      <c r="L117" s="230">
        <f t="shared" si="49"/>
        <v>32972.727272727279</v>
      </c>
      <c r="M117" s="212">
        <f>K117</f>
        <v>10990.909090909092</v>
      </c>
      <c r="N117" s="212">
        <f t="shared" si="68"/>
        <v>10990.909090909092</v>
      </c>
      <c r="O117" s="212">
        <f t="shared" si="68"/>
        <v>10990.909090909092</v>
      </c>
      <c r="P117" s="212">
        <f t="shared" si="62"/>
        <v>32972.727272727279</v>
      </c>
      <c r="Q117" s="212">
        <v>10990.909090909092</v>
      </c>
      <c r="R117" s="212">
        <v>10990.909090909092</v>
      </c>
      <c r="S117" s="278">
        <v>10990.909090909092</v>
      </c>
      <c r="T117" s="212">
        <f t="shared" si="69"/>
        <v>32972.727272727279</v>
      </c>
      <c r="U117" s="195">
        <v>5300</v>
      </c>
      <c r="V117" s="300">
        <v>10990.909090909092</v>
      </c>
      <c r="W117" s="300">
        <v>10990.909090909092</v>
      </c>
      <c r="X117" s="300">
        <v>10990.909090909092</v>
      </c>
      <c r="Y117" s="278">
        <f t="shared" si="70"/>
        <v>32972.727272727279</v>
      </c>
    </row>
    <row r="118" spans="1:25" hidden="1" outlineLevel="1">
      <c r="A118" s="194" t="s">
        <v>154</v>
      </c>
      <c r="B118" s="195" t="s">
        <v>272</v>
      </c>
      <c r="C118" s="195" t="s">
        <v>279</v>
      </c>
      <c r="D118" s="213">
        <v>44100</v>
      </c>
      <c r="E118" s="212">
        <f>D118*[4]Assumptions!$B$11/[4]Assumptions!$B$12</f>
        <v>17372.727272727272</v>
      </c>
      <c r="G118" s="195" t="s">
        <v>280</v>
      </c>
      <c r="I118" s="212">
        <f>E118</f>
        <v>17372.727272727272</v>
      </c>
      <c r="J118" s="230">
        <f>I118</f>
        <v>17372.727272727272</v>
      </c>
      <c r="K118" s="230">
        <f>J118</f>
        <v>17372.727272727272</v>
      </c>
      <c r="L118" s="230">
        <f t="shared" si="49"/>
        <v>52118.181818181816</v>
      </c>
      <c r="M118" s="212">
        <f>K118</f>
        <v>17372.727272727272</v>
      </c>
      <c r="N118" s="212">
        <f>E118*COUNTA(A118)</f>
        <v>17372.727272727272</v>
      </c>
      <c r="O118" s="212">
        <f>N118</f>
        <v>17372.727272727272</v>
      </c>
      <c r="P118" s="212">
        <f t="shared" si="62"/>
        <v>52118.181818181816</v>
      </c>
      <c r="Q118" s="212">
        <v>17372.727272727272</v>
      </c>
      <c r="R118" s="212">
        <v>17372.727272727272</v>
      </c>
      <c r="S118" s="278">
        <v>17372.727272727272</v>
      </c>
      <c r="T118" s="212">
        <f t="shared" si="69"/>
        <v>52118.181818181816</v>
      </c>
      <c r="U118" s="195">
        <v>5300</v>
      </c>
      <c r="V118" s="300">
        <v>17372.727272727272</v>
      </c>
      <c r="W118" s="300">
        <v>17372.727272727272</v>
      </c>
      <c r="X118" s="300">
        <v>17372.727272727272</v>
      </c>
      <c r="Y118" s="278">
        <f t="shared" si="70"/>
        <v>52118.181818181816</v>
      </c>
    </row>
    <row r="119" spans="1:25" hidden="1" outlineLevel="1">
      <c r="A119" s="194" t="s">
        <v>154</v>
      </c>
      <c r="B119" s="195" t="s">
        <v>272</v>
      </c>
      <c r="C119" s="195" t="s">
        <v>281</v>
      </c>
      <c r="D119" s="213">
        <v>31000</v>
      </c>
      <c r="E119" s="212">
        <f>D119*[4]Assumptions!$B$11/[4]Assumptions!$B$12</f>
        <v>12212.121212121212</v>
      </c>
      <c r="G119" s="195" t="s">
        <v>282</v>
      </c>
      <c r="I119" s="212"/>
      <c r="J119" s="212"/>
      <c r="K119" s="212"/>
      <c r="L119" s="230">
        <f t="shared" si="49"/>
        <v>0</v>
      </c>
      <c r="M119" s="212"/>
      <c r="N119" s="241">
        <f>$E$119/2</f>
        <v>6106.060606060606</v>
      </c>
      <c r="O119" s="212">
        <f t="shared" ref="O119" si="71">$E$119</f>
        <v>12212.121212121212</v>
      </c>
      <c r="P119" s="212">
        <f t="shared" si="62"/>
        <v>18318.181818181816</v>
      </c>
      <c r="Q119" s="212">
        <v>12212.121212121212</v>
      </c>
      <c r="R119" s="212">
        <v>12212.121212121212</v>
      </c>
      <c r="S119" s="278">
        <v>12212.121212121212</v>
      </c>
      <c r="T119" s="212">
        <f t="shared" si="69"/>
        <v>36636.363636363632</v>
      </c>
      <c r="U119" s="195">
        <v>5300</v>
      </c>
      <c r="V119" s="300">
        <v>12212.121212121212</v>
      </c>
      <c r="W119" s="300">
        <v>12212.121212121212</v>
      </c>
      <c r="X119" s="300">
        <v>12212.121212121212</v>
      </c>
      <c r="Y119" s="278">
        <f t="shared" si="70"/>
        <v>36636.363636363632</v>
      </c>
    </row>
    <row r="120" spans="1:25" hidden="1" outlineLevel="1">
      <c r="A120" s="194" t="s">
        <v>154</v>
      </c>
      <c r="B120" s="195" t="s">
        <v>272</v>
      </c>
      <c r="C120" s="195" t="s">
        <v>283</v>
      </c>
      <c r="D120" s="213">
        <v>26000</v>
      </c>
      <c r="E120" s="212">
        <f>D120*[4]Assumptions!$B$11/[4]Assumptions!$B$12</f>
        <v>10242.424242424244</v>
      </c>
      <c r="G120" s="195" t="s">
        <v>284</v>
      </c>
      <c r="I120" s="212">
        <f t="shared" ref="I120:O120" si="72">$E$120</f>
        <v>10242.424242424244</v>
      </c>
      <c r="J120" s="212">
        <f t="shared" si="72"/>
        <v>10242.424242424244</v>
      </c>
      <c r="K120" s="212">
        <f t="shared" si="72"/>
        <v>10242.424242424244</v>
      </c>
      <c r="L120" s="230">
        <f t="shared" si="49"/>
        <v>30727.272727272732</v>
      </c>
      <c r="M120" s="212">
        <f t="shared" si="72"/>
        <v>10242.424242424244</v>
      </c>
      <c r="N120" s="212">
        <f t="shared" si="72"/>
        <v>10242.424242424244</v>
      </c>
      <c r="O120" s="212">
        <f t="shared" si="72"/>
        <v>10242.424242424244</v>
      </c>
      <c r="P120" s="212">
        <f t="shared" si="62"/>
        <v>30727.272727272732</v>
      </c>
      <c r="Q120" s="212">
        <v>10242.424242424244</v>
      </c>
      <c r="R120" s="212">
        <v>10242.424242424244</v>
      </c>
      <c r="S120" s="278">
        <v>10242.424242424244</v>
      </c>
      <c r="T120" s="212">
        <f t="shared" si="69"/>
        <v>30727.272727272732</v>
      </c>
      <c r="U120" s="195">
        <v>5300</v>
      </c>
      <c r="V120" s="300">
        <v>10242.424242424244</v>
      </c>
      <c r="W120" s="300">
        <v>10242.424242424244</v>
      </c>
      <c r="X120" s="300">
        <v>10242.424242424244</v>
      </c>
      <c r="Y120" s="278">
        <f t="shared" si="70"/>
        <v>30727.272727272732</v>
      </c>
    </row>
    <row r="121" spans="1:25" hidden="1" outlineLevel="1">
      <c r="B121" s="195" t="s">
        <v>272</v>
      </c>
      <c r="C121" s="195" t="s">
        <v>285</v>
      </c>
      <c r="D121" s="213">
        <v>40000</v>
      </c>
      <c r="E121" s="212">
        <f>D121*[4]Assumptions!$B$11/[4]Assumptions!$B$12</f>
        <v>15757.575757575758</v>
      </c>
      <c r="I121" s="212"/>
      <c r="J121" s="212"/>
      <c r="K121" s="212"/>
      <c r="L121" s="230">
        <f t="shared" si="49"/>
        <v>0</v>
      </c>
      <c r="M121" s="212"/>
      <c r="N121" s="212"/>
      <c r="O121" s="212"/>
      <c r="P121" s="212">
        <f t="shared" si="62"/>
        <v>0</v>
      </c>
      <c r="Q121" s="212"/>
      <c r="R121" s="212">
        <v>15757.575757575758</v>
      </c>
      <c r="S121" s="278">
        <v>15757.575757575758</v>
      </c>
      <c r="T121" s="212">
        <f t="shared" si="69"/>
        <v>31515.151515151516</v>
      </c>
      <c r="U121" s="195">
        <v>5300</v>
      </c>
      <c r="V121" s="300">
        <v>15757.575757575758</v>
      </c>
      <c r="W121" s="300">
        <v>15757.575757575758</v>
      </c>
      <c r="X121" s="300">
        <v>15757.575757575758</v>
      </c>
      <c r="Y121" s="278">
        <f t="shared" si="70"/>
        <v>47272.727272727272</v>
      </c>
    </row>
    <row r="122" spans="1:25" hidden="1" outlineLevel="1">
      <c r="B122" s="195" t="s">
        <v>272</v>
      </c>
      <c r="C122" s="195" t="s">
        <v>286</v>
      </c>
      <c r="D122" s="213">
        <v>38000</v>
      </c>
      <c r="E122" s="212">
        <f>D122*[4]Assumptions!$B$11/[4]Assumptions!$B$12</f>
        <v>14969.69696969697</v>
      </c>
      <c r="I122" s="212"/>
      <c r="J122" s="212"/>
      <c r="K122" s="212"/>
      <c r="L122" s="230">
        <f t="shared" si="49"/>
        <v>0</v>
      </c>
      <c r="M122" s="212"/>
      <c r="N122" s="212">
        <f>E122/2</f>
        <v>7484.848484848485</v>
      </c>
      <c r="O122" s="212">
        <f t="shared" ref="O122" si="73">$E$122</f>
        <v>14969.69696969697</v>
      </c>
      <c r="P122" s="212">
        <f t="shared" si="62"/>
        <v>22454.545454545456</v>
      </c>
      <c r="Q122" s="212">
        <v>14969.69696969697</v>
      </c>
      <c r="R122" s="212">
        <v>14969.69696969697</v>
      </c>
      <c r="S122" s="278">
        <v>14969.69696969697</v>
      </c>
      <c r="T122" s="212">
        <f t="shared" si="69"/>
        <v>44909.090909090912</v>
      </c>
      <c r="U122" s="195">
        <v>5300</v>
      </c>
      <c r="V122" s="300">
        <v>14969.69696969697</v>
      </c>
      <c r="W122" s="300">
        <v>14969.69696969697</v>
      </c>
      <c r="X122" s="300">
        <v>14969.69696969697</v>
      </c>
      <c r="Y122" s="278">
        <f t="shared" si="70"/>
        <v>44909.090909090912</v>
      </c>
    </row>
    <row r="123" spans="1:25" hidden="1" outlineLevel="1">
      <c r="B123" s="195" t="s">
        <v>287</v>
      </c>
      <c r="C123" s="195" t="s">
        <v>288</v>
      </c>
      <c r="D123" s="242">
        <v>154000</v>
      </c>
      <c r="E123" s="212">
        <f>D123*[4]Assumptions!$B$14/12</f>
        <v>15400</v>
      </c>
      <c r="F123" s="212">
        <v>46200</v>
      </c>
      <c r="I123" s="230"/>
      <c r="J123" s="230">
        <f>E123*0.5</f>
        <v>7700</v>
      </c>
      <c r="K123" s="230">
        <f t="shared" ref="K123:O123" si="74">$E$123</f>
        <v>15400</v>
      </c>
      <c r="L123" s="230">
        <f t="shared" si="49"/>
        <v>23100</v>
      </c>
      <c r="M123" s="230">
        <f t="shared" si="74"/>
        <v>15400</v>
      </c>
      <c r="N123" s="230">
        <f t="shared" si="74"/>
        <v>15400</v>
      </c>
      <c r="O123" s="230">
        <f t="shared" si="74"/>
        <v>15400</v>
      </c>
      <c r="P123" s="212">
        <f t="shared" si="62"/>
        <v>46200</v>
      </c>
      <c r="Q123" s="212">
        <v>15400</v>
      </c>
      <c r="R123" s="212">
        <v>15400</v>
      </c>
      <c r="S123" s="278">
        <v>15400</v>
      </c>
      <c r="T123" s="212">
        <f t="shared" si="69"/>
        <v>46200</v>
      </c>
      <c r="U123" s="195">
        <v>5300</v>
      </c>
      <c r="V123" s="305">
        <v>15400</v>
      </c>
      <c r="W123" s="305">
        <v>15400</v>
      </c>
      <c r="X123" s="305">
        <v>70840</v>
      </c>
      <c r="Y123" s="278">
        <f t="shared" si="70"/>
        <v>101640</v>
      </c>
    </row>
    <row r="124" spans="1:25" hidden="1" outlineLevel="1">
      <c r="B124" s="195" t="s">
        <v>289</v>
      </c>
      <c r="C124" s="195" t="s">
        <v>166</v>
      </c>
      <c r="D124" s="242">
        <v>225000</v>
      </c>
      <c r="E124" s="212">
        <f>D124*[4]Assumptions!$B$14/12</f>
        <v>22500</v>
      </c>
      <c r="F124" s="243">
        <v>0.15</v>
      </c>
      <c r="I124" s="230">
        <f>$E$124*I125</f>
        <v>0</v>
      </c>
      <c r="J124" s="230">
        <f>$E$124*J125</f>
        <v>0</v>
      </c>
      <c r="K124" s="230">
        <f>$E$124*K125+(SUM(I124:J124)+$E$124)*$F$124*0</f>
        <v>0</v>
      </c>
      <c r="L124" s="230">
        <f t="shared" si="49"/>
        <v>0</v>
      </c>
      <c r="M124" s="230">
        <f t="shared" ref="M124:O124" si="75">$E$124*M125</f>
        <v>0</v>
      </c>
      <c r="N124" s="230">
        <f t="shared" si="75"/>
        <v>0</v>
      </c>
      <c r="O124" s="230">
        <f t="shared" si="75"/>
        <v>0</v>
      </c>
      <c r="P124" s="212">
        <f t="shared" si="62"/>
        <v>0</v>
      </c>
      <c r="Q124" s="212">
        <v>0</v>
      </c>
      <c r="R124" s="212">
        <v>0</v>
      </c>
      <c r="S124" s="278">
        <v>0</v>
      </c>
      <c r="T124" s="212">
        <f t="shared" si="69"/>
        <v>0</v>
      </c>
      <c r="V124" s="305">
        <v>0</v>
      </c>
      <c r="W124" s="305">
        <v>0</v>
      </c>
      <c r="X124" s="305">
        <v>0</v>
      </c>
      <c r="Y124" s="278">
        <f t="shared" si="70"/>
        <v>0</v>
      </c>
    </row>
    <row r="125" spans="1:25" hidden="1" outlineLevel="1">
      <c r="D125" s="213"/>
      <c r="E125" s="212"/>
      <c r="F125" s="197"/>
      <c r="I125" s="230"/>
      <c r="J125" s="230"/>
      <c r="K125" s="230"/>
      <c r="L125" s="230">
        <f t="shared" si="49"/>
        <v>0</v>
      </c>
      <c r="M125" s="212"/>
      <c r="N125" s="212"/>
      <c r="O125" s="212"/>
      <c r="P125" s="212">
        <f t="shared" si="62"/>
        <v>0</v>
      </c>
      <c r="Q125" s="212"/>
      <c r="R125" s="212"/>
      <c r="T125" s="212"/>
      <c r="V125" s="300"/>
      <c r="W125" s="300"/>
      <c r="X125" s="300"/>
      <c r="Y125" s="278"/>
    </row>
    <row r="126" spans="1:25" hidden="1" outlineLevel="1">
      <c r="B126" s="195" t="s">
        <v>272</v>
      </c>
      <c r="C126" s="195" t="s">
        <v>166</v>
      </c>
      <c r="D126" s="213"/>
      <c r="E126" s="212">
        <v>15000</v>
      </c>
      <c r="F126" s="197"/>
      <c r="I126" s="230">
        <f t="shared" ref="I126:O126" si="76">$E$126*I127</f>
        <v>0</v>
      </c>
      <c r="J126" s="230">
        <f t="shared" si="76"/>
        <v>0</v>
      </c>
      <c r="K126" s="230">
        <f t="shared" si="76"/>
        <v>0</v>
      </c>
      <c r="L126" s="230">
        <f t="shared" si="49"/>
        <v>0</v>
      </c>
      <c r="M126" s="230">
        <f t="shared" si="76"/>
        <v>15000</v>
      </c>
      <c r="N126" s="230">
        <f t="shared" si="76"/>
        <v>15000</v>
      </c>
      <c r="O126" s="230">
        <f t="shared" si="76"/>
        <v>15000</v>
      </c>
      <c r="P126" s="212">
        <f t="shared" si="62"/>
        <v>45000</v>
      </c>
      <c r="Q126" s="212">
        <v>60000</v>
      </c>
      <c r="R126" s="212">
        <v>60000</v>
      </c>
      <c r="S126" s="278">
        <v>60000</v>
      </c>
      <c r="T126" s="212">
        <f t="shared" ref="T126" si="77">SUM(Q126:S126)</f>
        <v>180000</v>
      </c>
      <c r="U126" s="195">
        <v>5300</v>
      </c>
      <c r="V126" s="305">
        <v>105000</v>
      </c>
      <c r="W126" s="305">
        <v>105000</v>
      </c>
      <c r="X126" s="305">
        <v>105000</v>
      </c>
      <c r="Y126" s="278">
        <f t="shared" ref="Y126" si="78">SUM(V126:X126)</f>
        <v>315000</v>
      </c>
    </row>
    <row r="127" spans="1:25" hidden="1" outlineLevel="1">
      <c r="D127" s="213"/>
      <c r="E127" s="212"/>
      <c r="F127" s="197"/>
      <c r="I127" s="230"/>
      <c r="J127" s="230"/>
      <c r="K127" s="230"/>
      <c r="L127" s="230">
        <f t="shared" si="49"/>
        <v>0</v>
      </c>
      <c r="M127" s="236">
        <v>1</v>
      </c>
      <c r="N127" s="236">
        <v>1</v>
      </c>
      <c r="O127" s="236">
        <v>1</v>
      </c>
      <c r="P127" s="212">
        <f t="shared" si="62"/>
        <v>3</v>
      </c>
      <c r="Q127" s="212">
        <v>4</v>
      </c>
      <c r="R127" s="212">
        <v>4</v>
      </c>
      <c r="S127" s="278">
        <v>4</v>
      </c>
      <c r="T127" s="212"/>
      <c r="V127" s="310">
        <v>7</v>
      </c>
      <c r="W127" s="310">
        <v>7</v>
      </c>
      <c r="X127" s="310">
        <v>7</v>
      </c>
      <c r="Y127" s="278"/>
    </row>
    <row r="128" spans="1:25" hidden="1" outlineLevel="1">
      <c r="B128" s="195" t="s">
        <v>287</v>
      </c>
      <c r="C128" s="195" t="s">
        <v>166</v>
      </c>
      <c r="D128" s="213"/>
      <c r="E128" s="212">
        <v>17500</v>
      </c>
      <c r="F128" s="197"/>
      <c r="I128" s="230">
        <f t="shared" ref="I128:O128" si="79">$E$128*I129</f>
        <v>0</v>
      </c>
      <c r="J128" s="230">
        <f t="shared" si="79"/>
        <v>0</v>
      </c>
      <c r="K128" s="230">
        <f t="shared" si="79"/>
        <v>0</v>
      </c>
      <c r="L128" s="230">
        <f t="shared" si="49"/>
        <v>0</v>
      </c>
      <c r="M128" s="230">
        <f t="shared" si="79"/>
        <v>0</v>
      </c>
      <c r="N128" s="230">
        <f t="shared" si="79"/>
        <v>0</v>
      </c>
      <c r="O128" s="230">
        <f t="shared" si="79"/>
        <v>0</v>
      </c>
      <c r="P128" s="212">
        <f t="shared" si="62"/>
        <v>0</v>
      </c>
      <c r="Q128" s="212">
        <v>17500</v>
      </c>
      <c r="R128" s="212">
        <v>17500</v>
      </c>
      <c r="S128" s="278">
        <v>17500</v>
      </c>
      <c r="T128" s="212">
        <f t="shared" ref="T128" si="80">SUM(Q128:S128)</f>
        <v>52500</v>
      </c>
      <c r="U128" s="195">
        <v>5300</v>
      </c>
      <c r="V128" s="305">
        <v>17500</v>
      </c>
      <c r="W128" s="305">
        <v>17500</v>
      </c>
      <c r="X128" s="305">
        <v>17500</v>
      </c>
      <c r="Y128" s="278">
        <f t="shared" ref="Y128" si="81">SUM(V128:X128)</f>
        <v>52500</v>
      </c>
    </row>
    <row r="129" spans="1:25" hidden="1" outlineLevel="1">
      <c r="D129" s="213"/>
      <c r="E129" s="212"/>
      <c r="F129" s="197"/>
      <c r="I129" s="230"/>
      <c r="J129" s="230"/>
      <c r="K129" s="230"/>
      <c r="L129" s="230">
        <f t="shared" si="49"/>
        <v>0</v>
      </c>
      <c r="M129" s="212"/>
      <c r="N129" s="212"/>
      <c r="O129" s="212"/>
      <c r="P129" s="212">
        <f t="shared" si="62"/>
        <v>0</v>
      </c>
      <c r="Q129" s="212">
        <v>1</v>
      </c>
      <c r="R129" s="212">
        <v>1</v>
      </c>
      <c r="S129" s="278">
        <v>1</v>
      </c>
      <c r="T129" s="212"/>
      <c r="V129" s="310">
        <v>1</v>
      </c>
      <c r="W129" s="310">
        <v>1</v>
      </c>
      <c r="X129" s="310">
        <v>1</v>
      </c>
      <c r="Y129" s="278"/>
    </row>
    <row r="130" spans="1:25" hidden="1" outlineLevel="1">
      <c r="B130" s="195" t="s">
        <v>276</v>
      </c>
      <c r="C130" s="195" t="s">
        <v>290</v>
      </c>
      <c r="D130" s="213">
        <v>30000</v>
      </c>
      <c r="E130" s="212">
        <f>D130*[4]Assumptions!$B$11/[4]Assumptions!$B$12</f>
        <v>11818.181818181818</v>
      </c>
      <c r="I130" s="230"/>
      <c r="J130" s="230"/>
      <c r="K130" s="212">
        <f>E130/2</f>
        <v>5909.090909090909</v>
      </c>
      <c r="L130" s="230">
        <f t="shared" si="49"/>
        <v>5909.090909090909</v>
      </c>
      <c r="M130" s="212">
        <f t="shared" ref="M130:O130" si="82">$E$130</f>
        <v>11818.181818181818</v>
      </c>
      <c r="N130" s="212">
        <f t="shared" si="82"/>
        <v>11818.181818181818</v>
      </c>
      <c r="O130" s="212">
        <f t="shared" si="82"/>
        <v>11818.181818181818</v>
      </c>
      <c r="P130" s="212">
        <f t="shared" si="62"/>
        <v>35454.545454545456</v>
      </c>
      <c r="Q130" s="212">
        <v>11818.181818181818</v>
      </c>
      <c r="R130" s="212">
        <v>11818.181818181818</v>
      </c>
      <c r="S130" s="278">
        <v>11818.181818181818</v>
      </c>
      <c r="T130" s="212">
        <f t="shared" ref="T130:T131" si="83">SUM(Q130:S130)</f>
        <v>35454.545454545456</v>
      </c>
      <c r="U130" s="195">
        <v>5300</v>
      </c>
      <c r="V130" s="300">
        <v>11818.181818181818</v>
      </c>
      <c r="W130" s="300">
        <v>11818.181818181818</v>
      </c>
      <c r="X130" s="314">
        <v>11818.181818181818</v>
      </c>
      <c r="Y130" s="278">
        <f t="shared" ref="Y130:Y131" si="84">SUM(V130:X130)</f>
        <v>35454.545454545456</v>
      </c>
    </row>
    <row r="131" spans="1:25" hidden="1" outlineLevel="1">
      <c r="B131" s="195" t="s">
        <v>276</v>
      </c>
      <c r="C131" s="195" t="s">
        <v>291</v>
      </c>
      <c r="D131" s="213">
        <v>38000</v>
      </c>
      <c r="E131" s="212">
        <f>D131*[4]Assumptions!$B$11/[4]Assumptions!$B$12</f>
        <v>14969.69696969697</v>
      </c>
      <c r="F131" s="244">
        <f>1/12</f>
        <v>8.3333333333333329E-2</v>
      </c>
      <c r="I131" s="212">
        <f t="shared" ref="I131:O131" si="85">$E$131</f>
        <v>14969.69696969697</v>
      </c>
      <c r="J131" s="212">
        <f t="shared" si="85"/>
        <v>14969.69696969697</v>
      </c>
      <c r="K131" s="212">
        <f t="shared" si="85"/>
        <v>14969.69696969697</v>
      </c>
      <c r="L131" s="230">
        <f t="shared" si="49"/>
        <v>44909.090909090912</v>
      </c>
      <c r="M131" s="212">
        <f t="shared" si="85"/>
        <v>14969.69696969697</v>
      </c>
      <c r="N131" s="212">
        <f t="shared" si="85"/>
        <v>14969.69696969697</v>
      </c>
      <c r="O131" s="212">
        <f t="shared" si="85"/>
        <v>14969.69696969697</v>
      </c>
      <c r="P131" s="212">
        <f t="shared" si="62"/>
        <v>44909.090909090912</v>
      </c>
      <c r="Q131" s="212">
        <v>14969.69696969697</v>
      </c>
      <c r="R131" s="212">
        <v>14969.69696969697</v>
      </c>
      <c r="S131" s="278">
        <v>14969.69696969697</v>
      </c>
      <c r="T131" s="212">
        <f t="shared" si="83"/>
        <v>44909.090909090912</v>
      </c>
      <c r="U131" s="195">
        <v>5300</v>
      </c>
      <c r="V131" s="300">
        <v>14969.69696969697</v>
      </c>
      <c r="W131" s="300">
        <v>14969.69696969697</v>
      </c>
      <c r="X131" s="300">
        <v>29939.393939393936</v>
      </c>
      <c r="Y131" s="278">
        <f t="shared" si="84"/>
        <v>59878.787878787873</v>
      </c>
    </row>
    <row r="132" spans="1:25" hidden="1" outlineLevel="1">
      <c r="D132" s="213"/>
      <c r="E132" s="212"/>
      <c r="I132" s="236"/>
      <c r="J132" s="236"/>
      <c r="K132" s="236"/>
      <c r="L132" s="230">
        <f t="shared" si="49"/>
        <v>0</v>
      </c>
      <c r="M132" s="236"/>
      <c r="N132" s="236"/>
      <c r="O132" s="236"/>
      <c r="P132" s="212">
        <f t="shared" si="62"/>
        <v>0</v>
      </c>
      <c r="V132" s="310"/>
      <c r="W132" s="310"/>
      <c r="X132" s="310"/>
      <c r="Y132" s="278"/>
    </row>
    <row r="133" spans="1:25" hidden="1" outlineLevel="1">
      <c r="C133" s="195" t="s">
        <v>292</v>
      </c>
      <c r="D133" s="213">
        <f>38000*2</f>
        <v>76000</v>
      </c>
      <c r="E133" s="212">
        <f>D133*[4]Assumptions!$B$11/[4]Assumptions!$B$12</f>
        <v>29939.39393939394</v>
      </c>
      <c r="I133" s="230">
        <f t="shared" ref="I133:Q133" si="86">-$E$133</f>
        <v>-29939.39393939394</v>
      </c>
      <c r="J133" s="230">
        <f t="shared" si="86"/>
        <v>-29939.39393939394</v>
      </c>
      <c r="K133" s="230">
        <f t="shared" si="86"/>
        <v>-29939.39393939394</v>
      </c>
      <c r="L133" s="230">
        <f t="shared" si="49"/>
        <v>-89818.181818181823</v>
      </c>
      <c r="M133" s="230">
        <f t="shared" si="86"/>
        <v>-29939.39393939394</v>
      </c>
      <c r="N133" s="230">
        <f t="shared" si="86"/>
        <v>-29939.39393939394</v>
      </c>
      <c r="O133" s="230">
        <f t="shared" si="86"/>
        <v>-29939.39393939394</v>
      </c>
      <c r="P133" s="212">
        <f t="shared" si="62"/>
        <v>-89818.181818181823</v>
      </c>
      <c r="Q133" s="230">
        <f t="shared" si="86"/>
        <v>-29939.39393939394</v>
      </c>
      <c r="R133" s="230">
        <v>-29939.39393939394</v>
      </c>
      <c r="S133" s="230">
        <v>-29939.39393939394</v>
      </c>
      <c r="T133" s="212">
        <f t="shared" ref="T133" si="87">SUM(Q133:S133)</f>
        <v>-89818.181818181823</v>
      </c>
      <c r="U133" s="195">
        <v>5300</v>
      </c>
      <c r="V133" s="305">
        <v>-29939.39393939394</v>
      </c>
      <c r="W133" s="305">
        <v>-29939.39393939394</v>
      </c>
      <c r="X133" s="305">
        <v>-29939.39393939394</v>
      </c>
      <c r="Y133" s="278">
        <f t="shared" ref="Y133" si="88">SUM(V133:X133)</f>
        <v>-89818.181818181823</v>
      </c>
    </row>
    <row r="134" spans="1:25" hidden="1" outlineLevel="1">
      <c r="D134" s="213"/>
      <c r="E134" s="212"/>
      <c r="I134" s="230"/>
      <c r="J134" s="230"/>
      <c r="K134" s="230"/>
      <c r="L134" s="230">
        <f t="shared" si="49"/>
        <v>0</v>
      </c>
      <c r="M134" s="212"/>
      <c r="N134" s="212"/>
      <c r="O134" s="212"/>
      <c r="Q134" s="228"/>
      <c r="R134" s="228"/>
      <c r="S134" s="279"/>
      <c r="T134" s="228"/>
      <c r="V134" s="300"/>
      <c r="W134" s="300"/>
      <c r="X134" s="300"/>
    </row>
    <row r="135" spans="1:25" collapsed="1">
      <c r="B135" s="227" t="s">
        <v>175</v>
      </c>
      <c r="C135" s="227" t="s">
        <v>176</v>
      </c>
      <c r="D135" s="227"/>
      <c r="G135" s="195" t="s">
        <v>178</v>
      </c>
      <c r="I135" s="228">
        <f t="shared" ref="I135:O135" si="89">COUNTIF(I107:I123,"&gt;0")+I125+I127+I129+I132</f>
        <v>7</v>
      </c>
      <c r="J135" s="228">
        <f t="shared" si="89"/>
        <v>8</v>
      </c>
      <c r="K135" s="228">
        <f t="shared" si="89"/>
        <v>8</v>
      </c>
      <c r="L135" s="230">
        <f t="shared" si="49"/>
        <v>23</v>
      </c>
      <c r="M135" s="228">
        <f t="shared" si="89"/>
        <v>10</v>
      </c>
      <c r="N135" s="229">
        <f t="shared" si="89"/>
        <v>12</v>
      </c>
      <c r="O135" s="228">
        <f t="shared" si="89"/>
        <v>13</v>
      </c>
      <c r="Q135" s="195">
        <v>17</v>
      </c>
      <c r="R135" s="195">
        <v>18</v>
      </c>
      <c r="V135" s="304">
        <v>21</v>
      </c>
      <c r="W135" s="304">
        <v>21</v>
      </c>
      <c r="X135" s="304">
        <v>21</v>
      </c>
    </row>
    <row r="136" spans="1:25">
      <c r="B136" s="227"/>
      <c r="C136" s="227"/>
      <c r="D136" s="227"/>
      <c r="G136" s="195" t="s">
        <v>293</v>
      </c>
      <c r="I136" s="228">
        <f t="shared" ref="I136:T136" si="90">SUM(I107:I124)+I126+I128+I130+I131+I133</f>
        <v>82801.515151515152</v>
      </c>
      <c r="J136" s="228">
        <f t="shared" si="90"/>
        <v>90501.515151515152</v>
      </c>
      <c r="K136" s="228">
        <f t="shared" si="90"/>
        <v>104110.60606060606</v>
      </c>
      <c r="L136" s="230">
        <f t="shared" si="49"/>
        <v>277413.63636363635</v>
      </c>
      <c r="M136" s="228">
        <f t="shared" si="90"/>
        <v>240443.93939393936</v>
      </c>
      <c r="N136" s="228">
        <f t="shared" si="90"/>
        <v>158307.57575757572</v>
      </c>
      <c r="O136" s="228">
        <f t="shared" si="90"/>
        <v>196981.81818181815</v>
      </c>
      <c r="P136" s="228">
        <f t="shared" si="90"/>
        <v>595733.33333333349</v>
      </c>
      <c r="Q136" s="228">
        <f t="shared" si="90"/>
        <v>263618.18181818182</v>
      </c>
      <c r="R136" s="228">
        <f t="shared" si="90"/>
        <v>279375.75757575757</v>
      </c>
      <c r="S136" s="228">
        <f t="shared" si="90"/>
        <v>279375.75757575757</v>
      </c>
      <c r="T136" s="228">
        <f t="shared" si="90"/>
        <v>822369.69696969702</v>
      </c>
      <c r="V136" s="228">
        <f t="shared" ref="V136:Y136" si="91">SUM(V107:V124)+V126+V128+V130+V131+V133</f>
        <v>324375.75757575757</v>
      </c>
      <c r="W136" s="228">
        <f t="shared" si="91"/>
        <v>324375.75757575757</v>
      </c>
      <c r="X136" s="228">
        <f t="shared" si="91"/>
        <v>553112.27272727271</v>
      </c>
      <c r="Y136" s="228">
        <f t="shared" si="91"/>
        <v>1201863.7878787878</v>
      </c>
    </row>
    <row r="137" spans="1:25">
      <c r="B137" s="209" t="s">
        <v>180</v>
      </c>
      <c r="C137" s="200"/>
      <c r="D137" s="201"/>
      <c r="E137" s="201"/>
      <c r="F137" s="203"/>
      <c r="G137" s="200"/>
      <c r="L137" s="230">
        <f t="shared" si="49"/>
        <v>0</v>
      </c>
      <c r="Q137" s="212"/>
      <c r="R137" s="212"/>
      <c r="T137" s="212"/>
      <c r="V137" s="297"/>
      <c r="W137" s="297"/>
      <c r="X137" s="297"/>
    </row>
    <row r="138" spans="1:25" hidden="1" outlineLevel="1">
      <c r="B138" s="195" t="s">
        <v>181</v>
      </c>
      <c r="C138" s="195" t="s">
        <v>182</v>
      </c>
      <c r="D138" s="195"/>
      <c r="E138" s="230">
        <v>150</v>
      </c>
      <c r="F138" s="231"/>
      <c r="G138" s="195" t="s">
        <v>183</v>
      </c>
      <c r="I138" s="212">
        <f>E138*$I$135</f>
        <v>1050</v>
      </c>
      <c r="J138" s="212">
        <f t="shared" ref="J138:O138" si="92">$E$138*J135</f>
        <v>1200</v>
      </c>
      <c r="K138" s="212">
        <f t="shared" si="92"/>
        <v>1200</v>
      </c>
      <c r="L138" s="230">
        <f t="shared" si="49"/>
        <v>3450</v>
      </c>
      <c r="M138" s="212">
        <f t="shared" si="92"/>
        <v>1500</v>
      </c>
      <c r="N138" s="212">
        <f t="shared" si="92"/>
        <v>1800</v>
      </c>
      <c r="O138" s="212">
        <f t="shared" si="92"/>
        <v>1950</v>
      </c>
      <c r="P138" s="212">
        <f t="shared" ref="P138:P143" si="93">SUM(M138:O138)</f>
        <v>5250</v>
      </c>
      <c r="Q138" s="212">
        <v>2550</v>
      </c>
      <c r="R138" s="212">
        <v>2700</v>
      </c>
      <c r="S138" s="278">
        <v>2700</v>
      </c>
      <c r="T138" s="212">
        <f t="shared" ref="T138:T142" si="94">SUM(Q138:S138)</f>
        <v>7950</v>
      </c>
      <c r="U138" s="256">
        <v>5330</v>
      </c>
      <c r="V138" s="300">
        <v>3150</v>
      </c>
      <c r="W138" s="300">
        <v>3150</v>
      </c>
      <c r="X138" s="300">
        <v>3150</v>
      </c>
      <c r="Y138" s="278">
        <f>+SUM(V138:X138)</f>
        <v>9450</v>
      </c>
    </row>
    <row r="139" spans="1:25" hidden="1" outlineLevel="1">
      <c r="B139" s="195" t="s">
        <v>184</v>
      </c>
      <c r="D139" s="195"/>
      <c r="E139" s="230">
        <v>500</v>
      </c>
      <c r="F139" s="231"/>
      <c r="G139" s="195" t="s">
        <v>183</v>
      </c>
      <c r="I139" s="212">
        <f t="shared" ref="I139:O139" si="95">$E$139*I135</f>
        <v>3500</v>
      </c>
      <c r="J139" s="212">
        <f t="shared" si="95"/>
        <v>4000</v>
      </c>
      <c r="K139" s="212">
        <f t="shared" si="95"/>
        <v>4000</v>
      </c>
      <c r="L139" s="230">
        <f t="shared" si="49"/>
        <v>11500</v>
      </c>
      <c r="M139" s="212">
        <f t="shared" si="95"/>
        <v>5000</v>
      </c>
      <c r="N139" s="212">
        <f t="shared" si="95"/>
        <v>6000</v>
      </c>
      <c r="O139" s="212">
        <f t="shared" si="95"/>
        <v>6500</v>
      </c>
      <c r="P139" s="212">
        <f t="shared" si="93"/>
        <v>17500</v>
      </c>
      <c r="Q139" s="212">
        <v>8500</v>
      </c>
      <c r="R139" s="212">
        <v>9000</v>
      </c>
      <c r="S139" s="278">
        <v>9000</v>
      </c>
      <c r="T139" s="212">
        <f t="shared" si="94"/>
        <v>26500</v>
      </c>
      <c r="U139" s="256">
        <v>5330</v>
      </c>
      <c r="V139" s="300">
        <v>10500</v>
      </c>
      <c r="W139" s="300">
        <v>10500</v>
      </c>
      <c r="X139" s="300">
        <v>10500</v>
      </c>
      <c r="Y139" s="278">
        <f>+SUM(V139:X139)</f>
        <v>31500</v>
      </c>
    </row>
    <row r="140" spans="1:25" hidden="1" outlineLevel="1">
      <c r="B140" s="195" t="s">
        <v>185</v>
      </c>
      <c r="C140" s="195" t="s">
        <v>186</v>
      </c>
      <c r="E140" s="230">
        <v>150</v>
      </c>
      <c r="F140" s="231"/>
      <c r="G140" s="195" t="s">
        <v>183</v>
      </c>
      <c r="I140" s="212">
        <f t="shared" ref="I140:O140" si="96">$E$140*I135</f>
        <v>1050</v>
      </c>
      <c r="J140" s="212">
        <f t="shared" si="96"/>
        <v>1200</v>
      </c>
      <c r="K140" s="212">
        <f t="shared" si="96"/>
        <v>1200</v>
      </c>
      <c r="L140" s="230">
        <f t="shared" si="49"/>
        <v>3450</v>
      </c>
      <c r="M140" s="212">
        <f t="shared" si="96"/>
        <v>1500</v>
      </c>
      <c r="N140" s="212">
        <f t="shared" si="96"/>
        <v>1800</v>
      </c>
      <c r="O140" s="212">
        <f t="shared" si="96"/>
        <v>1950</v>
      </c>
      <c r="P140" s="212">
        <f t="shared" si="93"/>
        <v>5250</v>
      </c>
      <c r="Q140" s="212">
        <v>2550</v>
      </c>
      <c r="R140" s="212">
        <v>2700</v>
      </c>
      <c r="S140" s="278">
        <v>2700</v>
      </c>
      <c r="T140" s="212">
        <f t="shared" si="94"/>
        <v>7950</v>
      </c>
      <c r="U140" s="256">
        <v>5330</v>
      </c>
      <c r="V140" s="300">
        <v>3150</v>
      </c>
      <c r="W140" s="300">
        <v>3150</v>
      </c>
      <c r="X140" s="300">
        <v>3150</v>
      </c>
      <c r="Y140" s="278">
        <f>+SUM(V140:X140)</f>
        <v>9450</v>
      </c>
    </row>
    <row r="141" spans="1:25" hidden="1" outlineLevel="1">
      <c r="A141" s="195"/>
      <c r="B141" s="195" t="s">
        <v>294</v>
      </c>
      <c r="D141" s="195"/>
      <c r="E141" s="195"/>
      <c r="F141" s="195"/>
      <c r="I141" s="212">
        <v>3333</v>
      </c>
      <c r="J141" s="212">
        <v>3333</v>
      </c>
      <c r="K141" s="212">
        <v>3334</v>
      </c>
      <c r="L141" s="230">
        <f t="shared" si="49"/>
        <v>10000</v>
      </c>
      <c r="M141" s="212">
        <v>3333</v>
      </c>
      <c r="N141" s="212">
        <v>3333</v>
      </c>
      <c r="O141" s="212">
        <v>3334</v>
      </c>
      <c r="P141" s="212">
        <f t="shared" si="93"/>
        <v>10000</v>
      </c>
      <c r="Q141" s="212">
        <v>6667</v>
      </c>
      <c r="R141" s="212">
        <v>6666</v>
      </c>
      <c r="S141" s="278">
        <v>6666</v>
      </c>
      <c r="T141" s="212">
        <f t="shared" si="94"/>
        <v>19999</v>
      </c>
      <c r="U141" s="256">
        <v>5330</v>
      </c>
      <c r="V141" s="300">
        <v>8333</v>
      </c>
      <c r="W141" s="300">
        <v>8333</v>
      </c>
      <c r="X141" s="300">
        <v>8334</v>
      </c>
      <c r="Y141" s="278">
        <f>+SUM(V141:X141)</f>
        <v>25000</v>
      </c>
    </row>
    <row r="142" spans="1:25" hidden="1" outlineLevel="1">
      <c r="A142" s="195"/>
      <c r="B142" s="195" t="s">
        <v>295</v>
      </c>
      <c r="D142" s="195"/>
      <c r="E142" s="195"/>
      <c r="F142" s="195"/>
      <c r="I142" s="212">
        <v>3333</v>
      </c>
      <c r="J142" s="212">
        <v>3333</v>
      </c>
      <c r="K142" s="212">
        <v>3334</v>
      </c>
      <c r="L142" s="230">
        <f t="shared" si="49"/>
        <v>10000</v>
      </c>
      <c r="M142" s="212">
        <v>3333</v>
      </c>
      <c r="N142" s="212">
        <v>3333</v>
      </c>
      <c r="O142" s="212">
        <v>3334</v>
      </c>
      <c r="P142" s="212">
        <f t="shared" si="93"/>
        <v>10000</v>
      </c>
      <c r="Q142" s="212">
        <v>5000</v>
      </c>
      <c r="R142" s="212">
        <v>5000</v>
      </c>
      <c r="S142" s="278">
        <v>5000</v>
      </c>
      <c r="T142" s="212">
        <f t="shared" si="94"/>
        <v>15000</v>
      </c>
      <c r="U142" s="255">
        <v>5320</v>
      </c>
      <c r="V142" s="300">
        <v>5000</v>
      </c>
      <c r="W142" s="300">
        <v>5000</v>
      </c>
      <c r="X142" s="300">
        <v>5000</v>
      </c>
      <c r="Y142" s="278">
        <f>+SUM(V142:X142)</f>
        <v>15000</v>
      </c>
    </row>
    <row r="143" spans="1:25" hidden="1" outlineLevel="1">
      <c r="B143" s="227" t="s">
        <v>175</v>
      </c>
      <c r="C143" s="227" t="s">
        <v>176</v>
      </c>
      <c r="D143" s="227"/>
      <c r="I143" s="228"/>
      <c r="J143" s="228"/>
      <c r="K143" s="228"/>
      <c r="L143" s="230">
        <f t="shared" si="49"/>
        <v>0</v>
      </c>
      <c r="M143" s="228"/>
      <c r="N143" s="228"/>
      <c r="O143" s="228"/>
      <c r="P143" s="212">
        <f t="shared" si="93"/>
        <v>0</v>
      </c>
      <c r="Q143" s="232"/>
      <c r="R143" s="232"/>
      <c r="S143" s="280"/>
      <c r="T143" s="232"/>
      <c r="V143" s="304"/>
      <c r="W143" s="304"/>
      <c r="X143" s="304"/>
    </row>
    <row r="144" spans="1:25" collapsed="1">
      <c r="E144" s="230"/>
      <c r="G144" s="195" t="s">
        <v>296</v>
      </c>
      <c r="I144" s="230">
        <f t="shared" ref="I144:T144" si="97">SUBTOTAL(9,I138:I142)</f>
        <v>12266</v>
      </c>
      <c r="J144" s="230">
        <f t="shared" si="97"/>
        <v>13066</v>
      </c>
      <c r="K144" s="230">
        <f t="shared" si="97"/>
        <v>13068</v>
      </c>
      <c r="L144" s="230">
        <f t="shared" si="49"/>
        <v>38400</v>
      </c>
      <c r="M144" s="230">
        <f t="shared" si="97"/>
        <v>14666</v>
      </c>
      <c r="N144" s="230">
        <f t="shared" si="97"/>
        <v>16266</v>
      </c>
      <c r="O144" s="230">
        <f t="shared" si="97"/>
        <v>17068</v>
      </c>
      <c r="P144" s="230">
        <f t="shared" si="97"/>
        <v>48000</v>
      </c>
      <c r="Q144" s="230">
        <f t="shared" si="97"/>
        <v>25267</v>
      </c>
      <c r="R144" s="230">
        <f t="shared" si="97"/>
        <v>26066</v>
      </c>
      <c r="S144" s="230">
        <f t="shared" si="97"/>
        <v>26066</v>
      </c>
      <c r="T144" s="230">
        <f t="shared" si="97"/>
        <v>77399</v>
      </c>
      <c r="V144" s="305">
        <v>30133</v>
      </c>
      <c r="W144" s="305">
        <v>30133</v>
      </c>
      <c r="X144" s="305">
        <v>30134</v>
      </c>
      <c r="Y144" s="278">
        <f>+SUM(V144:X144)</f>
        <v>90400</v>
      </c>
    </row>
    <row r="145" spans="1:25">
      <c r="D145" s="200"/>
      <c r="E145" s="200"/>
      <c r="F145" s="200"/>
      <c r="G145" s="200"/>
      <c r="I145" s="232">
        <f t="shared" ref="I145:T145" si="98">I136+I144</f>
        <v>95067.515151515152</v>
      </c>
      <c r="J145" s="232">
        <f t="shared" si="98"/>
        <v>103567.51515151515</v>
      </c>
      <c r="K145" s="232">
        <f t="shared" si="98"/>
        <v>117178.60606060606</v>
      </c>
      <c r="L145" s="230">
        <f t="shared" si="49"/>
        <v>315813.63636363635</v>
      </c>
      <c r="M145" s="232">
        <f t="shared" si="98"/>
        <v>255109.93939393936</v>
      </c>
      <c r="N145" s="232">
        <f t="shared" si="98"/>
        <v>174573.57575757572</v>
      </c>
      <c r="O145" s="232">
        <f t="shared" si="98"/>
        <v>214049.81818181815</v>
      </c>
      <c r="P145" s="232">
        <f t="shared" si="98"/>
        <v>643733.33333333349</v>
      </c>
      <c r="Q145" s="232">
        <f t="shared" si="98"/>
        <v>288885.18181818182</v>
      </c>
      <c r="R145" s="232">
        <f t="shared" si="98"/>
        <v>305441.75757575757</v>
      </c>
      <c r="S145" s="232">
        <f t="shared" si="98"/>
        <v>305441.75757575757</v>
      </c>
      <c r="T145" s="232">
        <f t="shared" si="98"/>
        <v>899768.69696969702</v>
      </c>
      <c r="V145" s="308">
        <v>354508.75757575757</v>
      </c>
      <c r="W145" s="308">
        <v>354508.75757575757</v>
      </c>
      <c r="X145" s="308">
        <v>583246.27272727271</v>
      </c>
      <c r="Y145" s="278">
        <f>+SUM(V145:X145)</f>
        <v>1292263.7878787878</v>
      </c>
    </row>
    <row r="146" spans="1:25">
      <c r="L146" s="230">
        <f t="shared" si="49"/>
        <v>0</v>
      </c>
      <c r="V146" s="297"/>
      <c r="W146" s="297"/>
      <c r="X146" s="297"/>
    </row>
    <row r="147" spans="1:25">
      <c r="B147" s="200" t="s">
        <v>297</v>
      </c>
      <c r="C147" s="233"/>
      <c r="D147" s="233"/>
      <c r="F147" s="233"/>
      <c r="G147" s="233"/>
      <c r="L147" s="230">
        <f t="shared" si="49"/>
        <v>0</v>
      </c>
      <c r="Q147" s="212"/>
      <c r="R147" s="212"/>
      <c r="T147" s="212"/>
      <c r="V147" s="297"/>
      <c r="W147" s="297"/>
      <c r="X147" s="297"/>
    </row>
    <row r="148" spans="1:25" hidden="1" outlineLevel="1">
      <c r="B148" s="245" t="s">
        <v>298</v>
      </c>
      <c r="C148" s="246"/>
      <c r="D148" s="246"/>
      <c r="E148" s="246"/>
      <c r="F148" s="247" t="s">
        <v>241</v>
      </c>
      <c r="G148" s="233"/>
      <c r="L148" s="230">
        <f t="shared" si="49"/>
        <v>0</v>
      </c>
      <c r="Q148" s="212"/>
      <c r="R148" s="212"/>
      <c r="T148" s="212"/>
      <c r="V148" s="297"/>
      <c r="W148" s="297"/>
      <c r="X148" s="297"/>
    </row>
    <row r="149" spans="1:25" hidden="1" outlineLevel="1">
      <c r="B149" s="195" t="s">
        <v>161</v>
      </c>
      <c r="C149" s="195" t="s">
        <v>162</v>
      </c>
      <c r="D149" s="213">
        <v>55000</v>
      </c>
      <c r="E149" s="212">
        <f>D149*[4]Assumptions!B11/[4]Assumptions!B12</f>
        <v>21666.666666666668</v>
      </c>
      <c r="F149" s="199" t="s">
        <v>157</v>
      </c>
      <c r="G149" s="195" t="s">
        <v>163</v>
      </c>
      <c r="I149" s="212">
        <f t="shared" ref="I149:O149" si="99">I13*8/2</f>
        <v>15781.81818181816</v>
      </c>
      <c r="J149" s="212">
        <f t="shared" si="99"/>
        <v>15781.81818181816</v>
      </c>
      <c r="K149" s="212">
        <f t="shared" si="99"/>
        <v>15781.81818181816</v>
      </c>
      <c r="L149" s="230">
        <f t="shared" si="49"/>
        <v>47345.454545454479</v>
      </c>
      <c r="M149" s="212">
        <f t="shared" si="99"/>
        <v>15781.81818181816</v>
      </c>
      <c r="N149" s="212">
        <f t="shared" si="99"/>
        <v>15781.81818181816</v>
      </c>
      <c r="O149" s="212">
        <f t="shared" si="99"/>
        <v>15781.81818181816</v>
      </c>
      <c r="P149" s="212">
        <f t="shared" ref="P149:P153" si="100">SUM(M149:O149)</f>
        <v>47345.454545454479</v>
      </c>
      <c r="Q149" s="212">
        <v>17333.333333333336</v>
      </c>
      <c r="R149" s="212">
        <v>17333.333333333336</v>
      </c>
      <c r="S149" s="278">
        <v>17333.333333333336</v>
      </c>
      <c r="T149" s="212">
        <f t="shared" ref="T149:T155" si="101">SUM(Q149:S149)</f>
        <v>52000.000000000007</v>
      </c>
      <c r="U149" s="195">
        <v>5400</v>
      </c>
      <c r="V149" s="300">
        <v>17333.333333333336</v>
      </c>
      <c r="W149" s="300">
        <v>17333.333333333336</v>
      </c>
      <c r="X149" s="300">
        <v>97333.333333333343</v>
      </c>
      <c r="Y149" s="278">
        <f t="shared" ref="Y149:Y155" si="102">SUM(V149:X149)</f>
        <v>132000</v>
      </c>
    </row>
    <row r="150" spans="1:25" hidden="1" outlineLevel="1">
      <c r="B150" s="195" t="s">
        <v>299</v>
      </c>
      <c r="C150" s="195" t="s">
        <v>300</v>
      </c>
      <c r="D150" s="213">
        <v>60000</v>
      </c>
      <c r="E150" s="212">
        <f>D150*[4]Assumptions!B11/[4]Assumptions!B12</f>
        <v>23636.363636363636</v>
      </c>
      <c r="F150" s="199">
        <v>0.15</v>
      </c>
      <c r="G150" s="248"/>
      <c r="I150" s="212"/>
      <c r="L150" s="230">
        <f t="shared" si="49"/>
        <v>0</v>
      </c>
      <c r="M150" s="212">
        <f>E150*0.51</f>
        <v>12054.545454545454</v>
      </c>
      <c r="N150" s="212">
        <f t="shared" ref="N150" si="103">$E$150</f>
        <v>23636.363636363636</v>
      </c>
      <c r="O150" s="331">
        <f>$E$150+(SUM(M150:N150)+$E$150)*$F$150</f>
        <v>32535.454545454544</v>
      </c>
      <c r="P150" s="212">
        <f t="shared" si="100"/>
        <v>68226.363636363632</v>
      </c>
      <c r="Q150" s="212">
        <v>23636.363636363636</v>
      </c>
      <c r="R150" s="212">
        <v>23636.363636363636</v>
      </c>
      <c r="S150" s="300">
        <f>$E$150+(SUM(Q150:R150)+$E$150)*$F$150</f>
        <v>34272.727272727272</v>
      </c>
      <c r="T150" s="212">
        <f t="shared" si="101"/>
        <v>81545.454545454544</v>
      </c>
      <c r="U150" s="195">
        <v>5400</v>
      </c>
      <c r="V150" s="300">
        <v>23636.363636363636</v>
      </c>
      <c r="W150" s="300">
        <v>23636.363636363636</v>
      </c>
      <c r="X150" s="300">
        <v>34272.727272727272</v>
      </c>
      <c r="Y150" s="278">
        <f t="shared" si="102"/>
        <v>81545.454545454544</v>
      </c>
    </row>
    <row r="151" spans="1:25" hidden="1" outlineLevel="1">
      <c r="B151" s="195" t="s">
        <v>301</v>
      </c>
      <c r="C151" s="195" t="s">
        <v>302</v>
      </c>
      <c r="D151" s="213">
        <v>46500</v>
      </c>
      <c r="E151" s="212">
        <f>D151*[4]Assumptions!B11/[4]Assumptions!B12</f>
        <v>18318.18181818182</v>
      </c>
      <c r="F151" s="199">
        <v>0.15</v>
      </c>
      <c r="G151" s="248"/>
      <c r="I151" s="212">
        <f t="shared" ref="I151:N151" si="104">$E$151</f>
        <v>18318.18181818182</v>
      </c>
      <c r="J151" s="212">
        <f t="shared" si="104"/>
        <v>18318.18181818182</v>
      </c>
      <c r="K151" s="331">
        <f>$E$151+(SUM(I151:J151)+$E$151)*$F$151</f>
        <v>26561.36363636364</v>
      </c>
      <c r="L151" s="230">
        <f t="shared" si="49"/>
        <v>63197.727272727279</v>
      </c>
      <c r="M151" s="212">
        <f t="shared" si="104"/>
        <v>18318.18181818182</v>
      </c>
      <c r="N151" s="212">
        <f t="shared" si="104"/>
        <v>18318.18181818182</v>
      </c>
      <c r="O151" s="331">
        <f>$E$151+(SUM(M151:N151)+$E$151)*$F$151</f>
        <v>26561.36363636364</v>
      </c>
      <c r="P151" s="212">
        <f t="shared" si="100"/>
        <v>63197.727272727279</v>
      </c>
      <c r="Q151" s="212">
        <v>18318.18181818182</v>
      </c>
      <c r="R151" s="212">
        <v>18318.18181818182</v>
      </c>
      <c r="S151" s="300">
        <f>$E$151+(SUM(Q151:R151)+$E$151)*$F$151</f>
        <v>26561.36363636364</v>
      </c>
      <c r="T151" s="212">
        <f t="shared" si="101"/>
        <v>63197.727272727279</v>
      </c>
      <c r="U151" s="195">
        <v>5400</v>
      </c>
      <c r="V151" s="300">
        <v>18318.18181818182</v>
      </c>
      <c r="W151" s="300">
        <v>18318.18181818182</v>
      </c>
      <c r="X151" s="300">
        <v>26561.36363636364</v>
      </c>
      <c r="Y151" s="278">
        <f t="shared" si="102"/>
        <v>63197.727272727279</v>
      </c>
    </row>
    <row r="152" spans="1:25" hidden="1" outlineLevel="1">
      <c r="B152" s="195" t="s">
        <v>303</v>
      </c>
      <c r="C152" s="195" t="s">
        <v>304</v>
      </c>
      <c r="D152" s="213">
        <v>45150</v>
      </c>
      <c r="E152" s="212">
        <f>D152*[4]Assumptions!B11/[4]Assumptions!B12</f>
        <v>17786.363636363636</v>
      </c>
      <c r="F152" s="199">
        <v>0.15</v>
      </c>
      <c r="G152" s="248"/>
      <c r="I152" s="212">
        <f t="shared" ref="I152:N152" si="105">$E$152</f>
        <v>17786.363636363636</v>
      </c>
      <c r="J152" s="212">
        <f t="shared" si="105"/>
        <v>17786.363636363636</v>
      </c>
      <c r="K152" s="331">
        <f>$E$152+(SUM(I152:J152)+$E$152)*$F$152</f>
        <v>25790.227272727272</v>
      </c>
      <c r="L152" s="230">
        <f t="shared" si="49"/>
        <v>61362.954545454544</v>
      </c>
      <c r="M152" s="212">
        <f t="shared" si="105"/>
        <v>17786.363636363636</v>
      </c>
      <c r="N152" s="212">
        <f t="shared" si="105"/>
        <v>17786.363636363636</v>
      </c>
      <c r="O152" s="331">
        <f>$E$152+(SUM(M152:N152)+$E$152)*$F$152</f>
        <v>25790.227272727272</v>
      </c>
      <c r="P152" s="212">
        <f t="shared" si="100"/>
        <v>61362.954545454544</v>
      </c>
      <c r="Q152" s="212">
        <v>17786.363636363636</v>
      </c>
      <c r="R152" s="212">
        <v>17786.363636363636</v>
      </c>
      <c r="S152" s="300">
        <f>$E$152+(SUM(Q152:R152)+$E$152)*$F$152</f>
        <v>25790.227272727272</v>
      </c>
      <c r="T152" s="212">
        <f t="shared" si="101"/>
        <v>61362.954545454544</v>
      </c>
      <c r="U152" s="195">
        <v>5400</v>
      </c>
      <c r="V152" s="300">
        <v>17786.363636363636</v>
      </c>
      <c r="W152" s="300">
        <v>17786.363636363636</v>
      </c>
      <c r="X152" s="300">
        <v>25790.227272727272</v>
      </c>
      <c r="Y152" s="278">
        <f t="shared" si="102"/>
        <v>61362.954545454544</v>
      </c>
    </row>
    <row r="153" spans="1:25" hidden="1" outlineLevel="1">
      <c r="B153" s="195" t="s">
        <v>305</v>
      </c>
      <c r="C153" s="195" t="s">
        <v>306</v>
      </c>
      <c r="D153" s="213">
        <v>30000</v>
      </c>
      <c r="E153" s="212">
        <f>D153*[4]Assumptions!B11/[4]Assumptions!B12</f>
        <v>11818.181818181818</v>
      </c>
      <c r="F153" s="199">
        <v>0</v>
      </c>
      <c r="G153" s="248"/>
      <c r="I153" s="212">
        <f>$E$153</f>
        <v>11818.181818181818</v>
      </c>
      <c r="J153" s="212">
        <f>$E$153</f>
        <v>11818.181818181818</v>
      </c>
      <c r="K153" s="212">
        <f>$E$153</f>
        <v>11818.181818181818</v>
      </c>
      <c r="L153" s="230">
        <f t="shared" si="49"/>
        <v>35454.545454545456</v>
      </c>
      <c r="M153" s="212">
        <f>$E$153</f>
        <v>11818.181818181818</v>
      </c>
      <c r="N153" s="212">
        <f>$E$153</f>
        <v>11818.181818181818</v>
      </c>
      <c r="O153" s="212"/>
      <c r="P153" s="212">
        <f t="shared" si="100"/>
        <v>23636.363636363636</v>
      </c>
      <c r="Q153" s="212"/>
      <c r="R153" s="212"/>
      <c r="S153" s="278">
        <v>11818.181818181818</v>
      </c>
      <c r="T153" s="212">
        <f t="shared" si="101"/>
        <v>11818.181818181818</v>
      </c>
      <c r="U153" s="195">
        <v>5400</v>
      </c>
      <c r="V153" s="300">
        <v>11818.181818181818</v>
      </c>
      <c r="W153" s="300">
        <v>11818.181818181818</v>
      </c>
      <c r="X153" s="300">
        <v>11818.181818181818</v>
      </c>
      <c r="Y153" s="278">
        <f t="shared" si="102"/>
        <v>35454.545454545456</v>
      </c>
    </row>
    <row r="154" spans="1:25" hidden="1" outlineLevel="1">
      <c r="B154" s="195" t="s">
        <v>307</v>
      </c>
      <c r="C154" s="195" t="s">
        <v>166</v>
      </c>
      <c r="D154" s="213">
        <v>50000</v>
      </c>
      <c r="E154" s="212">
        <f>D154*[4]Assumptions!B11/[4]Assumptions!B12</f>
        <v>19696.9696969697</v>
      </c>
      <c r="F154" s="199">
        <v>0</v>
      </c>
      <c r="G154" s="248"/>
      <c r="L154" s="230">
        <f t="shared" si="49"/>
        <v>0</v>
      </c>
      <c r="Q154" s="212">
        <v>19696.9696969697</v>
      </c>
      <c r="R154" s="212">
        <v>19696.9696969697</v>
      </c>
      <c r="S154" s="278">
        <v>19696.9696969697</v>
      </c>
      <c r="T154" s="212">
        <f t="shared" si="101"/>
        <v>59090.909090909103</v>
      </c>
      <c r="U154" s="195">
        <v>5400</v>
      </c>
      <c r="V154" s="300">
        <v>19696.9696969697</v>
      </c>
      <c r="W154" s="300">
        <v>19696.9696969697</v>
      </c>
      <c r="X154" s="300">
        <v>19696.9696969697</v>
      </c>
      <c r="Y154" s="278">
        <f t="shared" si="102"/>
        <v>59090.909090909103</v>
      </c>
    </row>
    <row r="155" spans="1:25" hidden="1" outlineLevel="1">
      <c r="B155" s="195" t="s">
        <v>308</v>
      </c>
      <c r="C155" s="195" t="s">
        <v>166</v>
      </c>
      <c r="D155" s="213">
        <v>50000</v>
      </c>
      <c r="E155" s="212">
        <f>D155*[4]Assumptions!B11/[4]Assumptions!B12</f>
        <v>19696.9696969697</v>
      </c>
      <c r="F155" s="199">
        <v>0</v>
      </c>
      <c r="G155" s="248"/>
      <c r="L155" s="230">
        <f t="shared" si="49"/>
        <v>0</v>
      </c>
      <c r="Q155" s="212">
        <v>19696.9696969697</v>
      </c>
      <c r="R155" s="212">
        <v>19696.9696969697</v>
      </c>
      <c r="S155" s="278">
        <v>19696.9696969697</v>
      </c>
      <c r="T155" s="212">
        <f t="shared" si="101"/>
        <v>59090.909090909103</v>
      </c>
      <c r="U155" s="195">
        <v>5400</v>
      </c>
      <c r="V155" s="300">
        <v>19696.9696969697</v>
      </c>
      <c r="W155" s="300">
        <v>19696.9696969697</v>
      </c>
      <c r="X155" s="300">
        <v>19696.9696969697</v>
      </c>
      <c r="Y155" s="278">
        <f t="shared" si="102"/>
        <v>59090.909090909103</v>
      </c>
    </row>
    <row r="156" spans="1:25" hidden="1" outlineLevel="1">
      <c r="B156" s="233"/>
      <c r="C156" s="233"/>
      <c r="D156" s="233"/>
      <c r="E156" s="233"/>
      <c r="F156" s="233"/>
      <c r="G156" s="233"/>
      <c r="L156" s="230">
        <f t="shared" ref="L156:L198" si="106">SUM(I156:K156)</f>
        <v>0</v>
      </c>
      <c r="V156" s="297"/>
      <c r="W156" s="297"/>
      <c r="X156" s="297"/>
      <c r="Y156" s="278"/>
    </row>
    <row r="157" spans="1:25" hidden="1" outlineLevel="1">
      <c r="B157" s="233"/>
      <c r="C157" s="233"/>
      <c r="D157" s="233"/>
      <c r="E157" s="233"/>
      <c r="F157" s="233"/>
      <c r="G157" s="233"/>
      <c r="L157" s="230">
        <f t="shared" si="106"/>
        <v>0</v>
      </c>
      <c r="Q157" s="212"/>
      <c r="R157" s="212"/>
      <c r="T157" s="212"/>
      <c r="V157" s="297"/>
      <c r="W157" s="297"/>
      <c r="X157" s="297"/>
      <c r="Y157" s="278"/>
    </row>
    <row r="158" spans="1:25" hidden="1" outlineLevel="1">
      <c r="B158" s="209" t="s">
        <v>309</v>
      </c>
      <c r="C158" s="206"/>
      <c r="D158" s="206"/>
      <c r="E158" s="206"/>
      <c r="F158" s="210"/>
      <c r="G158" s="206"/>
      <c r="L158" s="230">
        <f t="shared" si="106"/>
        <v>0</v>
      </c>
      <c r="Q158" s="212"/>
      <c r="R158" s="212"/>
      <c r="S158" s="278">
        <v>0</v>
      </c>
      <c r="T158" s="212"/>
      <c r="V158" s="297"/>
      <c r="W158" s="297"/>
      <c r="X158" s="297"/>
      <c r="Y158" s="278"/>
    </row>
    <row r="159" spans="1:25" hidden="1" outlineLevel="1">
      <c r="A159" s="194" t="s">
        <v>154</v>
      </c>
      <c r="B159" s="195" t="s">
        <v>310</v>
      </c>
      <c r="C159" s="195" t="s">
        <v>311</v>
      </c>
      <c r="D159" s="213">
        <v>44100</v>
      </c>
      <c r="E159" s="212">
        <f>D159*[4]Assumptions!$B$11/[4]Assumptions!$B$12</f>
        <v>17372.727272727272</v>
      </c>
      <c r="I159" s="212">
        <f>$E$159</f>
        <v>17372.727272727272</v>
      </c>
      <c r="J159" s="212">
        <f>E159</f>
        <v>17372.727272727272</v>
      </c>
      <c r="K159" s="212">
        <f t="shared" ref="K159:O160" si="107">J159</f>
        <v>17372.727272727272</v>
      </c>
      <c r="L159" s="230">
        <f t="shared" si="106"/>
        <v>52118.181818181816</v>
      </c>
      <c r="M159" s="212">
        <f>K159</f>
        <v>17372.727272727272</v>
      </c>
      <c r="N159" s="212">
        <f t="shared" si="107"/>
        <v>17372.727272727272</v>
      </c>
      <c r="O159" s="212">
        <f t="shared" si="107"/>
        <v>17372.727272727272</v>
      </c>
      <c r="P159" s="212">
        <f t="shared" ref="P159:P176" si="108">SUM(M159:O159)</f>
        <v>52118.181818181816</v>
      </c>
      <c r="Q159" s="212">
        <v>17372.727272727272</v>
      </c>
      <c r="R159" s="212">
        <v>17372.727272727272</v>
      </c>
      <c r="S159" s="278">
        <v>17372.727272727272</v>
      </c>
      <c r="T159" s="212">
        <f t="shared" ref="T159:T166" si="109">SUM(Q159:S159)</f>
        <v>52118.181818181816</v>
      </c>
      <c r="U159" s="195">
        <v>5400</v>
      </c>
      <c r="V159" s="300">
        <v>17372.727272727272</v>
      </c>
      <c r="W159" s="300">
        <v>17372.727272727272</v>
      </c>
      <c r="X159" s="300">
        <v>17372.727272727272</v>
      </c>
      <c r="Y159" s="278">
        <f t="shared" ref="Y159:Y166" si="110">SUM(V159:X159)</f>
        <v>52118.181818181816</v>
      </c>
    </row>
    <row r="160" spans="1:25" hidden="1" outlineLevel="1">
      <c r="A160" s="194" t="s">
        <v>154</v>
      </c>
      <c r="B160" s="195" t="s">
        <v>310</v>
      </c>
      <c r="C160" s="195" t="s">
        <v>312</v>
      </c>
      <c r="D160" s="213">
        <v>42000</v>
      </c>
      <c r="E160" s="212">
        <f>D160*[4]Assumptions!$B$11/[4]Assumptions!$B$12</f>
        <v>16545.454545454548</v>
      </c>
      <c r="I160" s="212">
        <f>$E$160</f>
        <v>16545.454545454548</v>
      </c>
      <c r="J160" s="212">
        <f>$E$160</f>
        <v>16545.454545454548</v>
      </c>
      <c r="K160" s="212">
        <f>E160</f>
        <v>16545.454545454548</v>
      </c>
      <c r="L160" s="230">
        <f t="shared" si="106"/>
        <v>49636.363636363647</v>
      </c>
      <c r="M160" s="212">
        <f>K160</f>
        <v>16545.454545454548</v>
      </c>
      <c r="N160" s="212">
        <f t="shared" si="107"/>
        <v>16545.454545454548</v>
      </c>
      <c r="O160" s="212">
        <f t="shared" si="107"/>
        <v>16545.454545454548</v>
      </c>
      <c r="P160" s="212">
        <f t="shared" si="108"/>
        <v>49636.363636363647</v>
      </c>
      <c r="Q160" s="212">
        <v>16545.454545454548</v>
      </c>
      <c r="R160" s="212">
        <v>16545.454545454548</v>
      </c>
      <c r="S160" s="278">
        <v>16545.454545454548</v>
      </c>
      <c r="T160" s="212">
        <f t="shared" si="109"/>
        <v>49636.363636363647</v>
      </c>
      <c r="U160" s="195">
        <v>5400</v>
      </c>
      <c r="V160" s="300">
        <v>16545.454545454548</v>
      </c>
      <c r="W160" s="300">
        <v>16545.454545454548</v>
      </c>
      <c r="X160" s="300">
        <v>16545.454545454548</v>
      </c>
      <c r="Y160" s="278">
        <f t="shared" si="110"/>
        <v>49636.363636363647</v>
      </c>
    </row>
    <row r="161" spans="1:16334" hidden="1" outlineLevel="1">
      <c r="A161" s="194" t="s">
        <v>154</v>
      </c>
      <c r="B161" s="195" t="s">
        <v>313</v>
      </c>
      <c r="C161" s="195" t="s">
        <v>314</v>
      </c>
      <c r="D161" s="213">
        <v>40000</v>
      </c>
      <c r="E161" s="212">
        <f>D161*[4]Assumptions!$B$11/[4]Assumptions!$B$12</f>
        <v>15757.575757575758</v>
      </c>
      <c r="I161" s="212"/>
      <c r="J161" s="212"/>
      <c r="K161" s="212"/>
      <c r="L161" s="230">
        <f t="shared" si="106"/>
        <v>0</v>
      </c>
      <c r="M161" s="212">
        <f>E161/4</f>
        <v>3939.3939393939395</v>
      </c>
      <c r="N161" s="212">
        <f t="shared" ref="N161:O161" si="111">$E$161</f>
        <v>15757.575757575758</v>
      </c>
      <c r="O161" s="212">
        <f t="shared" si="111"/>
        <v>15757.575757575758</v>
      </c>
      <c r="P161" s="212">
        <f t="shared" si="108"/>
        <v>35454.545454545456</v>
      </c>
      <c r="Q161" s="212">
        <v>15757.575757575758</v>
      </c>
      <c r="R161" s="212">
        <v>15757.575757575758</v>
      </c>
      <c r="S161" s="278">
        <v>15757.575757575758</v>
      </c>
      <c r="T161" s="212">
        <f t="shared" si="109"/>
        <v>47272.727272727272</v>
      </c>
      <c r="U161" s="195">
        <v>5400</v>
      </c>
      <c r="V161" s="300">
        <v>15757.575757575758</v>
      </c>
      <c r="W161" s="300">
        <v>15757.575757575758</v>
      </c>
      <c r="X161" s="300">
        <v>15757.575757575758</v>
      </c>
      <c r="Y161" s="278">
        <f t="shared" si="110"/>
        <v>47272.727272727272</v>
      </c>
    </row>
    <row r="162" spans="1:16334" hidden="1" outlineLevel="1">
      <c r="A162" s="194" t="s">
        <v>154</v>
      </c>
      <c r="B162" s="195" t="s">
        <v>315</v>
      </c>
      <c r="C162" s="195" t="s">
        <v>316</v>
      </c>
      <c r="D162" s="213">
        <v>35000</v>
      </c>
      <c r="E162" s="212">
        <f>D162*[4]Assumptions!$B$11/[4]Assumptions!$B$12</f>
        <v>13787.878787878788</v>
      </c>
      <c r="I162" s="212">
        <f t="shared" ref="I162:O162" si="112">$E$162</f>
        <v>13787.878787878788</v>
      </c>
      <c r="J162" s="212">
        <f t="shared" si="112"/>
        <v>13787.878787878788</v>
      </c>
      <c r="K162" s="212">
        <f t="shared" si="112"/>
        <v>13787.878787878788</v>
      </c>
      <c r="L162" s="230">
        <f t="shared" si="106"/>
        <v>41363.636363636368</v>
      </c>
      <c r="M162" s="212">
        <f t="shared" si="112"/>
        <v>13787.878787878788</v>
      </c>
      <c r="N162" s="212">
        <f t="shared" si="112"/>
        <v>13787.878787878788</v>
      </c>
      <c r="O162" s="212">
        <f t="shared" si="112"/>
        <v>13787.878787878788</v>
      </c>
      <c r="P162" s="212">
        <f t="shared" si="108"/>
        <v>41363.636363636368</v>
      </c>
      <c r="Q162" s="212">
        <v>13787.878787878788</v>
      </c>
      <c r="R162" s="212">
        <v>13787.878787878788</v>
      </c>
      <c r="S162" s="278">
        <v>13787.878787878788</v>
      </c>
      <c r="T162" s="212">
        <f t="shared" si="109"/>
        <v>41363.636363636368</v>
      </c>
      <c r="U162" s="195">
        <v>5400</v>
      </c>
      <c r="V162" s="300">
        <v>13787.878787878788</v>
      </c>
      <c r="W162" s="300">
        <v>13787.878787878788</v>
      </c>
      <c r="X162" s="300">
        <v>13787.878787878788</v>
      </c>
      <c r="Y162" s="278">
        <f t="shared" si="110"/>
        <v>41363.636363636368</v>
      </c>
    </row>
    <row r="163" spans="1:16334" hidden="1" outlineLevel="1">
      <c r="A163" s="194" t="s">
        <v>317</v>
      </c>
      <c r="B163" s="195" t="s">
        <v>318</v>
      </c>
      <c r="C163" s="195" t="s">
        <v>319</v>
      </c>
      <c r="D163" s="213">
        <v>27000</v>
      </c>
      <c r="E163" s="212">
        <f>D163*[4]Assumptions!$B$11/[4]Assumptions!$B$12</f>
        <v>10636.363636363636</v>
      </c>
      <c r="I163" s="212">
        <v>0</v>
      </c>
      <c r="J163" s="212">
        <v>0</v>
      </c>
      <c r="K163" s="212">
        <f>E163*0.95</f>
        <v>10104.545454545454</v>
      </c>
      <c r="L163" s="230">
        <f t="shared" si="106"/>
        <v>10104.545454545454</v>
      </c>
      <c r="M163" s="212">
        <f>0.79*E163</f>
        <v>8402.7272727272721</v>
      </c>
      <c r="N163" s="212">
        <v>0</v>
      </c>
      <c r="O163" s="212">
        <v>0</v>
      </c>
      <c r="P163" s="212">
        <f t="shared" si="108"/>
        <v>8402.7272727272721</v>
      </c>
      <c r="Q163" s="212">
        <v>0</v>
      </c>
      <c r="R163" s="212">
        <v>0</v>
      </c>
      <c r="S163" s="278">
        <v>0</v>
      </c>
      <c r="T163" s="212">
        <f t="shared" si="109"/>
        <v>0</v>
      </c>
      <c r="U163" s="195">
        <v>5400</v>
      </c>
      <c r="V163" s="300">
        <v>0</v>
      </c>
      <c r="W163" s="300">
        <v>0</v>
      </c>
      <c r="X163" s="300">
        <v>0</v>
      </c>
      <c r="Y163" s="278">
        <f t="shared" si="110"/>
        <v>0</v>
      </c>
    </row>
    <row r="164" spans="1:16334" hidden="1" outlineLevel="1">
      <c r="A164" s="194" t="s">
        <v>154</v>
      </c>
      <c r="B164" s="195" t="s">
        <v>320</v>
      </c>
      <c r="C164" s="195" t="s">
        <v>321</v>
      </c>
      <c r="D164" s="213">
        <v>28000</v>
      </c>
      <c r="E164" s="212">
        <f>D164*[4]Assumptions!$B$11/[4]Assumptions!$B$12</f>
        <v>11030.30303030303</v>
      </c>
      <c r="I164" s="212">
        <f t="shared" ref="I164:O164" si="113">$E$164</f>
        <v>11030.30303030303</v>
      </c>
      <c r="J164" s="212">
        <f t="shared" si="113"/>
        <v>11030.30303030303</v>
      </c>
      <c r="K164" s="212">
        <f t="shared" si="113"/>
        <v>11030.30303030303</v>
      </c>
      <c r="L164" s="230">
        <f t="shared" si="106"/>
        <v>33090.909090909088</v>
      </c>
      <c r="M164" s="212">
        <f t="shared" si="113"/>
        <v>11030.30303030303</v>
      </c>
      <c r="N164" s="212">
        <f t="shared" si="113"/>
        <v>11030.30303030303</v>
      </c>
      <c r="O164" s="212">
        <f t="shared" si="113"/>
        <v>11030.30303030303</v>
      </c>
      <c r="P164" s="212">
        <f t="shared" si="108"/>
        <v>33090.909090909088</v>
      </c>
      <c r="Q164" s="212">
        <v>11030.30303030303</v>
      </c>
      <c r="R164" s="212">
        <v>11030.30303030303</v>
      </c>
      <c r="S164" s="278">
        <v>11030.30303030303</v>
      </c>
      <c r="T164" s="212">
        <f t="shared" si="109"/>
        <v>33090.909090909088</v>
      </c>
      <c r="U164" s="195">
        <v>5400</v>
      </c>
      <c r="V164" s="300">
        <v>11030.30303030303</v>
      </c>
      <c r="W164" s="300">
        <v>11030.30303030303</v>
      </c>
      <c r="X164" s="300">
        <v>11030.30303030303</v>
      </c>
      <c r="Y164" s="278">
        <f t="shared" si="110"/>
        <v>33090.909090909088</v>
      </c>
    </row>
    <row r="165" spans="1:16334" hidden="1" outlineLevel="1">
      <c r="A165" s="194" t="s">
        <v>154</v>
      </c>
      <c r="B165" s="195" t="s">
        <v>322</v>
      </c>
      <c r="C165" s="195" t="s">
        <v>323</v>
      </c>
      <c r="D165" s="213">
        <v>35000</v>
      </c>
      <c r="E165" s="212">
        <f>D165*[4]Assumptions!$B$11/[4]Assumptions!$B$12</f>
        <v>13787.878787878788</v>
      </c>
      <c r="I165" s="212">
        <v>0</v>
      </c>
      <c r="J165" s="212">
        <f>E165*0.15</f>
        <v>2068.181818181818</v>
      </c>
      <c r="K165" s="212">
        <f>E165</f>
        <v>13787.878787878788</v>
      </c>
      <c r="L165" s="230">
        <f t="shared" si="106"/>
        <v>15856.060606060606</v>
      </c>
      <c r="M165" s="212">
        <f>K165</f>
        <v>13787.878787878788</v>
      </c>
      <c r="N165" s="212">
        <f t="shared" ref="N165:O165" si="114">M165</f>
        <v>13787.878787878788</v>
      </c>
      <c r="O165" s="212">
        <f t="shared" si="114"/>
        <v>13787.878787878788</v>
      </c>
      <c r="P165" s="212">
        <f t="shared" si="108"/>
        <v>41363.636363636368</v>
      </c>
      <c r="Q165" s="212">
        <v>13787.878787878788</v>
      </c>
      <c r="R165" s="212">
        <v>13787.878787878788</v>
      </c>
      <c r="S165" s="278">
        <v>13787.878787878788</v>
      </c>
      <c r="T165" s="212">
        <f t="shared" si="109"/>
        <v>41363.636363636368</v>
      </c>
      <c r="U165" s="195">
        <v>5400</v>
      </c>
      <c r="V165" s="300">
        <v>13787.878787878788</v>
      </c>
      <c r="W165" s="300">
        <v>13787.878787878788</v>
      </c>
      <c r="X165" s="300">
        <v>13787.878787878788</v>
      </c>
      <c r="Y165" s="278">
        <f t="shared" si="110"/>
        <v>41363.636363636368</v>
      </c>
    </row>
    <row r="166" spans="1:16334" hidden="1" outlineLevel="1">
      <c r="A166" s="249"/>
      <c r="B166" s="195" t="s">
        <v>324</v>
      </c>
      <c r="C166" s="195" t="s">
        <v>166</v>
      </c>
      <c r="D166" s="249"/>
      <c r="E166" s="212">
        <v>19000</v>
      </c>
      <c r="F166" s="249"/>
      <c r="G166" s="249"/>
      <c r="H166" s="249"/>
      <c r="I166" s="250">
        <f t="shared" ref="I166:O166" si="115">$E$166*I167</f>
        <v>0</v>
      </c>
      <c r="J166" s="250">
        <f t="shared" si="115"/>
        <v>0</v>
      </c>
      <c r="K166" s="250">
        <f t="shared" si="115"/>
        <v>0</v>
      </c>
      <c r="L166" s="230">
        <f t="shared" si="106"/>
        <v>0</v>
      </c>
      <c r="M166" s="250">
        <f t="shared" si="115"/>
        <v>0</v>
      </c>
      <c r="N166" s="250">
        <f t="shared" si="115"/>
        <v>0</v>
      </c>
      <c r="O166" s="250">
        <f t="shared" si="115"/>
        <v>0</v>
      </c>
      <c r="P166" s="212">
        <f t="shared" si="108"/>
        <v>0</v>
      </c>
      <c r="Q166" s="212">
        <v>19000</v>
      </c>
      <c r="R166" s="212">
        <v>19000</v>
      </c>
      <c r="S166" s="278">
        <v>19000</v>
      </c>
      <c r="T166" s="212">
        <f t="shared" si="109"/>
        <v>57000</v>
      </c>
      <c r="U166" s="249">
        <v>5400</v>
      </c>
      <c r="V166" s="315">
        <v>38000</v>
      </c>
      <c r="W166" s="315">
        <v>38000</v>
      </c>
      <c r="X166" s="315">
        <v>38000</v>
      </c>
      <c r="Y166" s="278">
        <f t="shared" si="110"/>
        <v>114000</v>
      </c>
      <c r="Z166" s="249"/>
      <c r="AA166" s="249"/>
      <c r="AB166" s="249"/>
      <c r="AC166" s="249"/>
      <c r="AD166" s="249"/>
      <c r="AE166" s="249"/>
      <c r="AF166" s="249"/>
      <c r="AG166" s="249"/>
      <c r="AH166" s="249"/>
      <c r="AI166" s="249"/>
      <c r="AJ166" s="249"/>
      <c r="AK166" s="249"/>
      <c r="AL166" s="249"/>
      <c r="AM166" s="249"/>
      <c r="AN166" s="249"/>
      <c r="AO166" s="249"/>
      <c r="AP166" s="249"/>
      <c r="AQ166" s="249"/>
      <c r="AR166" s="249"/>
      <c r="AS166" s="249"/>
      <c r="AT166" s="249"/>
      <c r="AU166" s="249"/>
      <c r="AV166" s="249"/>
      <c r="AW166" s="249"/>
      <c r="AX166" s="249"/>
      <c r="AY166" s="249"/>
      <c r="AZ166" s="249"/>
      <c r="BA166" s="249"/>
      <c r="BB166" s="249"/>
      <c r="BC166" s="249"/>
      <c r="BD166" s="249"/>
      <c r="BE166" s="249"/>
      <c r="BF166" s="249"/>
      <c r="BG166" s="249"/>
      <c r="BH166" s="249"/>
      <c r="BI166" s="249"/>
      <c r="BJ166" s="249"/>
      <c r="BK166" s="249"/>
      <c r="BL166" s="249"/>
      <c r="BM166" s="249"/>
      <c r="BN166" s="249"/>
      <c r="BO166" s="249"/>
      <c r="BP166" s="249"/>
      <c r="BQ166" s="249"/>
      <c r="BR166" s="249"/>
      <c r="BS166" s="249"/>
      <c r="BT166" s="249"/>
      <c r="BU166" s="249"/>
      <c r="BV166" s="249"/>
      <c r="BW166" s="249"/>
      <c r="BX166" s="249"/>
      <c r="BY166" s="249"/>
      <c r="BZ166" s="249"/>
      <c r="CA166" s="249"/>
      <c r="CB166" s="249"/>
      <c r="CC166" s="249"/>
      <c r="CD166" s="249"/>
      <c r="CE166" s="249"/>
      <c r="CF166" s="249"/>
      <c r="CG166" s="249"/>
      <c r="CH166" s="249"/>
      <c r="CI166" s="249"/>
      <c r="CJ166" s="249"/>
      <c r="CK166" s="249"/>
      <c r="CL166" s="249"/>
      <c r="CM166" s="249"/>
      <c r="CN166" s="249"/>
      <c r="CO166" s="249"/>
      <c r="CP166" s="249"/>
      <c r="CQ166" s="249"/>
      <c r="CR166" s="249"/>
      <c r="CS166" s="249"/>
      <c r="CT166" s="249"/>
      <c r="CU166" s="249"/>
      <c r="CV166" s="249"/>
      <c r="CW166" s="249"/>
      <c r="CX166" s="249"/>
      <c r="CY166" s="249"/>
      <c r="CZ166" s="249"/>
      <c r="DA166" s="249"/>
      <c r="DB166" s="249"/>
      <c r="DC166" s="249"/>
      <c r="DD166" s="249"/>
      <c r="DE166" s="249"/>
      <c r="DF166" s="249"/>
      <c r="DG166" s="249"/>
      <c r="DH166" s="249"/>
      <c r="DI166" s="249"/>
      <c r="DJ166" s="249"/>
      <c r="DK166" s="249"/>
      <c r="DL166" s="249"/>
      <c r="DM166" s="249"/>
      <c r="DN166" s="249"/>
      <c r="DO166" s="249"/>
      <c r="DP166" s="249"/>
      <c r="DQ166" s="249"/>
      <c r="DR166" s="249"/>
      <c r="DS166" s="249"/>
      <c r="DT166" s="249"/>
      <c r="DU166" s="249"/>
      <c r="DV166" s="249"/>
      <c r="DW166" s="249"/>
      <c r="DX166" s="249"/>
      <c r="DY166" s="249"/>
      <c r="DZ166" s="249"/>
      <c r="EA166" s="249"/>
      <c r="EB166" s="249"/>
      <c r="EC166" s="249"/>
      <c r="ED166" s="249"/>
      <c r="EE166" s="249"/>
      <c r="EF166" s="249"/>
      <c r="EG166" s="249"/>
      <c r="EH166" s="249"/>
      <c r="EI166" s="249"/>
      <c r="EJ166" s="249"/>
      <c r="EK166" s="249"/>
      <c r="EL166" s="249"/>
      <c r="EM166" s="249"/>
      <c r="EN166" s="249"/>
      <c r="EO166" s="249"/>
      <c r="EP166" s="249"/>
      <c r="EQ166" s="249"/>
      <c r="ER166" s="249"/>
      <c r="ES166" s="249"/>
      <c r="ET166" s="249"/>
      <c r="EU166" s="249"/>
      <c r="EV166" s="249"/>
      <c r="EW166" s="249"/>
      <c r="EX166" s="249"/>
      <c r="EY166" s="249"/>
      <c r="EZ166" s="249"/>
      <c r="FA166" s="249"/>
      <c r="FB166" s="249"/>
      <c r="FC166" s="249"/>
      <c r="FD166" s="249"/>
      <c r="FE166" s="249"/>
      <c r="FF166" s="249"/>
      <c r="FG166" s="249"/>
      <c r="FH166" s="249"/>
      <c r="FI166" s="249"/>
      <c r="FJ166" s="249"/>
      <c r="FK166" s="249"/>
      <c r="FL166" s="249"/>
      <c r="FM166" s="249"/>
      <c r="FN166" s="249"/>
      <c r="FO166" s="249"/>
      <c r="FP166" s="249"/>
      <c r="FQ166" s="249"/>
      <c r="FR166" s="249"/>
      <c r="FS166" s="249"/>
      <c r="FT166" s="249"/>
      <c r="FU166" s="249"/>
      <c r="FV166" s="249"/>
      <c r="FW166" s="249"/>
      <c r="FX166" s="249"/>
      <c r="FY166" s="249"/>
      <c r="FZ166" s="249"/>
      <c r="GA166" s="249"/>
      <c r="GB166" s="249"/>
      <c r="GC166" s="249"/>
      <c r="GD166" s="249"/>
      <c r="GE166" s="249"/>
      <c r="GF166" s="249"/>
      <c r="GG166" s="249"/>
      <c r="GH166" s="249"/>
      <c r="GI166" s="249"/>
      <c r="GJ166" s="249"/>
      <c r="GK166" s="249"/>
      <c r="GL166" s="249"/>
      <c r="GM166" s="249"/>
      <c r="GN166" s="249"/>
      <c r="GO166" s="249"/>
      <c r="GP166" s="249"/>
      <c r="GQ166" s="249"/>
      <c r="GR166" s="249"/>
      <c r="GS166" s="249"/>
      <c r="GT166" s="249"/>
      <c r="GU166" s="249"/>
      <c r="GV166" s="249"/>
      <c r="GW166" s="249"/>
      <c r="GX166" s="249"/>
      <c r="GY166" s="249"/>
      <c r="GZ166" s="249"/>
      <c r="HA166" s="249"/>
      <c r="HB166" s="249"/>
      <c r="HC166" s="249"/>
      <c r="HD166" s="249"/>
      <c r="HE166" s="249"/>
      <c r="HF166" s="249"/>
      <c r="HG166" s="249"/>
      <c r="HH166" s="249"/>
      <c r="HI166" s="249"/>
      <c r="HJ166" s="249"/>
      <c r="HK166" s="249"/>
      <c r="HL166" s="249"/>
      <c r="HM166" s="249"/>
      <c r="HN166" s="249"/>
      <c r="HO166" s="249"/>
      <c r="HP166" s="249"/>
      <c r="HQ166" s="249"/>
      <c r="HR166" s="249"/>
      <c r="HS166" s="249"/>
      <c r="HT166" s="249"/>
      <c r="HU166" s="249"/>
      <c r="HV166" s="249"/>
      <c r="HW166" s="249"/>
      <c r="HX166" s="249"/>
      <c r="HY166" s="249"/>
      <c r="HZ166" s="249"/>
      <c r="IA166" s="249"/>
      <c r="IB166" s="249"/>
      <c r="IC166" s="249"/>
      <c r="ID166" s="249"/>
      <c r="IE166" s="249"/>
      <c r="IF166" s="249"/>
      <c r="IG166" s="249"/>
      <c r="IH166" s="249"/>
      <c r="II166" s="249"/>
      <c r="IJ166" s="249"/>
      <c r="IK166" s="249"/>
      <c r="IL166" s="249"/>
      <c r="IM166" s="249"/>
      <c r="IN166" s="249"/>
      <c r="IO166" s="249"/>
      <c r="IP166" s="249"/>
      <c r="IQ166" s="249"/>
      <c r="IR166" s="249"/>
      <c r="IS166" s="249"/>
      <c r="IT166" s="249"/>
      <c r="IU166" s="249"/>
      <c r="IV166" s="249"/>
      <c r="IW166" s="249"/>
      <c r="IX166" s="249"/>
      <c r="IY166" s="249"/>
      <c r="IZ166" s="249"/>
      <c r="JA166" s="249"/>
      <c r="JB166" s="249"/>
      <c r="JC166" s="249"/>
      <c r="JD166" s="249"/>
      <c r="JE166" s="249"/>
      <c r="JF166" s="249"/>
      <c r="JG166" s="249"/>
      <c r="JH166" s="249"/>
      <c r="JI166" s="249"/>
      <c r="JJ166" s="249"/>
      <c r="JK166" s="249"/>
      <c r="JL166" s="249"/>
      <c r="JM166" s="249"/>
      <c r="JN166" s="249"/>
      <c r="JO166" s="249"/>
      <c r="JP166" s="249"/>
      <c r="JQ166" s="249"/>
      <c r="JR166" s="249"/>
      <c r="JS166" s="249"/>
      <c r="JT166" s="249"/>
      <c r="JU166" s="249"/>
      <c r="JV166" s="249"/>
      <c r="JW166" s="249"/>
      <c r="JX166" s="249"/>
      <c r="JY166" s="249"/>
      <c r="JZ166" s="249"/>
      <c r="KA166" s="249"/>
      <c r="KB166" s="249"/>
      <c r="KC166" s="249"/>
      <c r="KD166" s="249"/>
      <c r="KE166" s="249"/>
      <c r="KF166" s="249"/>
      <c r="KG166" s="249"/>
      <c r="KH166" s="249"/>
      <c r="KI166" s="249"/>
      <c r="KJ166" s="249"/>
      <c r="KK166" s="249"/>
      <c r="KL166" s="249"/>
      <c r="KM166" s="249"/>
      <c r="KN166" s="249"/>
      <c r="KO166" s="249"/>
      <c r="KP166" s="249"/>
      <c r="KQ166" s="249"/>
      <c r="KR166" s="249"/>
      <c r="KS166" s="249"/>
      <c r="KT166" s="249"/>
      <c r="KU166" s="249"/>
      <c r="KV166" s="249"/>
      <c r="KW166" s="249"/>
      <c r="KX166" s="249"/>
      <c r="KY166" s="249"/>
      <c r="KZ166" s="249"/>
      <c r="LA166" s="249"/>
      <c r="LB166" s="249"/>
      <c r="LC166" s="249"/>
      <c r="LD166" s="249"/>
      <c r="LE166" s="249"/>
      <c r="LF166" s="249"/>
      <c r="LG166" s="249"/>
      <c r="LH166" s="249"/>
      <c r="LI166" s="249"/>
      <c r="LJ166" s="249"/>
      <c r="LK166" s="249"/>
      <c r="LL166" s="249"/>
      <c r="LM166" s="249"/>
      <c r="LN166" s="249"/>
      <c r="LO166" s="249"/>
      <c r="LP166" s="249"/>
      <c r="LQ166" s="249"/>
      <c r="LR166" s="249"/>
      <c r="LS166" s="249"/>
      <c r="LT166" s="249"/>
      <c r="LU166" s="249"/>
      <c r="LV166" s="249"/>
      <c r="LW166" s="249"/>
      <c r="LX166" s="249"/>
      <c r="LY166" s="249"/>
      <c r="LZ166" s="249"/>
      <c r="MA166" s="249"/>
      <c r="MB166" s="249"/>
      <c r="MC166" s="249"/>
      <c r="MD166" s="249"/>
      <c r="ME166" s="249"/>
      <c r="MF166" s="249"/>
      <c r="MG166" s="249"/>
      <c r="MH166" s="249"/>
      <c r="MI166" s="249"/>
      <c r="MJ166" s="249"/>
      <c r="MK166" s="249"/>
      <c r="ML166" s="249"/>
      <c r="MM166" s="249"/>
      <c r="MN166" s="249"/>
      <c r="MO166" s="249"/>
      <c r="MP166" s="249"/>
      <c r="MQ166" s="249"/>
      <c r="MR166" s="249"/>
      <c r="MS166" s="249"/>
      <c r="MT166" s="249"/>
      <c r="MU166" s="249"/>
      <c r="MV166" s="249"/>
      <c r="MW166" s="249"/>
      <c r="MX166" s="249"/>
      <c r="MY166" s="249"/>
      <c r="MZ166" s="249"/>
      <c r="NA166" s="249"/>
      <c r="NB166" s="249"/>
      <c r="NC166" s="249"/>
      <c r="ND166" s="249"/>
      <c r="NE166" s="249"/>
      <c r="NF166" s="249"/>
      <c r="NG166" s="249"/>
      <c r="NH166" s="249"/>
      <c r="NI166" s="249"/>
      <c r="NJ166" s="249"/>
      <c r="NK166" s="249"/>
      <c r="NL166" s="249"/>
      <c r="NM166" s="249"/>
      <c r="NN166" s="249"/>
      <c r="NO166" s="249"/>
      <c r="NP166" s="249"/>
      <c r="NQ166" s="249"/>
      <c r="NR166" s="249"/>
      <c r="NS166" s="249"/>
      <c r="NT166" s="249"/>
      <c r="NU166" s="249"/>
      <c r="NV166" s="249"/>
      <c r="NW166" s="249"/>
      <c r="NX166" s="249"/>
      <c r="NY166" s="249"/>
      <c r="NZ166" s="249"/>
      <c r="OA166" s="249"/>
      <c r="OB166" s="249"/>
      <c r="OC166" s="249"/>
      <c r="OD166" s="249"/>
      <c r="OE166" s="249"/>
      <c r="OF166" s="249"/>
      <c r="OG166" s="249"/>
      <c r="OH166" s="249"/>
      <c r="OI166" s="249"/>
      <c r="OJ166" s="249"/>
      <c r="OK166" s="249"/>
      <c r="OL166" s="249"/>
      <c r="OM166" s="249"/>
      <c r="ON166" s="249"/>
      <c r="OO166" s="249"/>
      <c r="OP166" s="249"/>
      <c r="OQ166" s="249"/>
      <c r="OR166" s="249"/>
      <c r="OS166" s="249"/>
      <c r="OT166" s="249"/>
      <c r="OU166" s="249"/>
      <c r="OV166" s="249"/>
      <c r="OW166" s="249"/>
      <c r="OX166" s="249"/>
      <c r="OY166" s="249"/>
      <c r="OZ166" s="249"/>
      <c r="PA166" s="249"/>
      <c r="PB166" s="249"/>
      <c r="PC166" s="249"/>
      <c r="PD166" s="249"/>
      <c r="PE166" s="249"/>
      <c r="PF166" s="249"/>
      <c r="PG166" s="249"/>
      <c r="PH166" s="249"/>
      <c r="PI166" s="249"/>
      <c r="PJ166" s="249"/>
      <c r="PK166" s="249"/>
      <c r="PL166" s="249"/>
      <c r="PM166" s="249"/>
      <c r="PN166" s="249"/>
      <c r="PO166" s="249"/>
      <c r="PP166" s="249"/>
      <c r="PQ166" s="249"/>
      <c r="PR166" s="249"/>
      <c r="PS166" s="249"/>
      <c r="PT166" s="249"/>
      <c r="PU166" s="249"/>
      <c r="PV166" s="249"/>
      <c r="PW166" s="249"/>
      <c r="PX166" s="249"/>
      <c r="PY166" s="249"/>
      <c r="PZ166" s="249"/>
      <c r="QA166" s="249"/>
      <c r="QB166" s="249"/>
      <c r="QC166" s="249"/>
      <c r="QD166" s="249"/>
      <c r="QE166" s="249"/>
      <c r="QF166" s="249"/>
      <c r="QG166" s="249"/>
      <c r="QH166" s="249"/>
      <c r="QI166" s="249"/>
      <c r="QJ166" s="249"/>
      <c r="QK166" s="249"/>
      <c r="QL166" s="249"/>
      <c r="QM166" s="249"/>
      <c r="QN166" s="249"/>
      <c r="QO166" s="249"/>
      <c r="QP166" s="249"/>
      <c r="QQ166" s="249"/>
      <c r="QR166" s="249"/>
      <c r="QS166" s="249"/>
      <c r="QT166" s="249"/>
      <c r="QU166" s="249"/>
      <c r="QV166" s="249"/>
      <c r="QW166" s="249"/>
      <c r="QX166" s="249"/>
      <c r="QY166" s="249"/>
      <c r="QZ166" s="249"/>
      <c r="RA166" s="249"/>
      <c r="RB166" s="249"/>
      <c r="RC166" s="249"/>
      <c r="RD166" s="249"/>
      <c r="RE166" s="249"/>
      <c r="RF166" s="249"/>
      <c r="RG166" s="249"/>
      <c r="RH166" s="249"/>
      <c r="RI166" s="249"/>
      <c r="RJ166" s="249"/>
      <c r="RK166" s="249"/>
      <c r="RL166" s="249"/>
      <c r="RM166" s="249"/>
      <c r="RN166" s="249"/>
      <c r="RO166" s="249"/>
      <c r="RP166" s="249"/>
      <c r="RQ166" s="249"/>
      <c r="RR166" s="249"/>
      <c r="RS166" s="249"/>
      <c r="RT166" s="249"/>
      <c r="RU166" s="249"/>
      <c r="RV166" s="249"/>
      <c r="RW166" s="249"/>
      <c r="RX166" s="249"/>
      <c r="RY166" s="249"/>
      <c r="RZ166" s="249"/>
      <c r="SA166" s="249"/>
      <c r="SB166" s="249"/>
      <c r="SC166" s="249"/>
      <c r="SD166" s="249"/>
      <c r="SE166" s="249"/>
      <c r="SF166" s="249"/>
      <c r="SG166" s="249"/>
      <c r="SH166" s="249"/>
      <c r="SI166" s="249"/>
      <c r="SJ166" s="249"/>
      <c r="SK166" s="249"/>
      <c r="SL166" s="249"/>
      <c r="SM166" s="249"/>
      <c r="SN166" s="249"/>
      <c r="SO166" s="249"/>
      <c r="SP166" s="249"/>
      <c r="SQ166" s="249"/>
      <c r="SR166" s="249"/>
      <c r="SS166" s="249"/>
      <c r="ST166" s="249"/>
      <c r="SU166" s="249"/>
      <c r="SV166" s="249"/>
      <c r="SW166" s="249"/>
      <c r="SX166" s="249"/>
      <c r="SY166" s="249"/>
      <c r="SZ166" s="249"/>
      <c r="TA166" s="249"/>
      <c r="TB166" s="249"/>
      <c r="TC166" s="249"/>
      <c r="TD166" s="249"/>
      <c r="TE166" s="249"/>
      <c r="TF166" s="249"/>
      <c r="TG166" s="249"/>
      <c r="TH166" s="249"/>
      <c r="TI166" s="249"/>
      <c r="TJ166" s="249"/>
      <c r="TK166" s="249"/>
      <c r="TL166" s="249"/>
      <c r="TM166" s="249"/>
      <c r="TN166" s="249"/>
      <c r="TO166" s="249"/>
      <c r="TP166" s="249"/>
      <c r="TQ166" s="249"/>
      <c r="TR166" s="249"/>
      <c r="TS166" s="249"/>
      <c r="TT166" s="249"/>
      <c r="TU166" s="249"/>
      <c r="TV166" s="249"/>
      <c r="TW166" s="249"/>
      <c r="TX166" s="249"/>
      <c r="TY166" s="249"/>
      <c r="TZ166" s="249"/>
      <c r="UA166" s="249"/>
      <c r="UB166" s="249"/>
      <c r="UC166" s="249"/>
      <c r="UD166" s="249"/>
      <c r="UE166" s="249"/>
      <c r="UF166" s="249"/>
      <c r="UG166" s="249"/>
      <c r="UH166" s="249"/>
      <c r="UI166" s="249"/>
      <c r="UJ166" s="249"/>
      <c r="UK166" s="249"/>
      <c r="UL166" s="249"/>
      <c r="UM166" s="249"/>
      <c r="UN166" s="249"/>
      <c r="UO166" s="249"/>
      <c r="UP166" s="249"/>
      <c r="UQ166" s="249"/>
      <c r="UR166" s="249"/>
      <c r="US166" s="249"/>
      <c r="UT166" s="249"/>
      <c r="UU166" s="249"/>
      <c r="UV166" s="249"/>
      <c r="UW166" s="249"/>
      <c r="UX166" s="249"/>
      <c r="UY166" s="249"/>
      <c r="UZ166" s="249"/>
      <c r="VA166" s="249"/>
      <c r="VB166" s="249"/>
      <c r="VC166" s="249"/>
      <c r="VD166" s="249"/>
      <c r="VE166" s="249"/>
      <c r="VF166" s="249"/>
      <c r="VG166" s="249"/>
      <c r="VH166" s="249"/>
      <c r="VI166" s="249"/>
      <c r="VJ166" s="249"/>
      <c r="VK166" s="249"/>
      <c r="VL166" s="249"/>
      <c r="VM166" s="249"/>
      <c r="VN166" s="249"/>
      <c r="VO166" s="249"/>
      <c r="VP166" s="249"/>
      <c r="VQ166" s="249"/>
      <c r="VR166" s="249"/>
      <c r="VS166" s="249"/>
      <c r="VT166" s="249"/>
      <c r="VU166" s="249"/>
      <c r="VV166" s="249"/>
      <c r="VW166" s="249"/>
      <c r="VX166" s="249"/>
      <c r="VY166" s="249"/>
      <c r="VZ166" s="249"/>
      <c r="WA166" s="249"/>
      <c r="WB166" s="249"/>
      <c r="WC166" s="249"/>
      <c r="WD166" s="249"/>
      <c r="WE166" s="249"/>
      <c r="WF166" s="249"/>
      <c r="WG166" s="249"/>
      <c r="WH166" s="249"/>
      <c r="WI166" s="249"/>
      <c r="WJ166" s="249"/>
      <c r="WK166" s="249"/>
      <c r="WL166" s="249"/>
      <c r="WM166" s="249"/>
      <c r="WN166" s="249"/>
      <c r="WO166" s="249"/>
      <c r="WP166" s="249"/>
      <c r="WQ166" s="249"/>
      <c r="WR166" s="249"/>
      <c r="WS166" s="249"/>
      <c r="WT166" s="249"/>
      <c r="WU166" s="249"/>
      <c r="WV166" s="249"/>
      <c r="WW166" s="249"/>
      <c r="WX166" s="249"/>
      <c r="WY166" s="249"/>
      <c r="WZ166" s="249"/>
      <c r="XA166" s="249"/>
      <c r="XB166" s="249"/>
      <c r="XC166" s="249"/>
      <c r="XD166" s="249"/>
      <c r="XE166" s="249"/>
      <c r="XF166" s="249"/>
      <c r="XG166" s="249"/>
      <c r="XH166" s="249"/>
      <c r="XI166" s="249"/>
      <c r="XJ166" s="249"/>
      <c r="XK166" s="249"/>
      <c r="XL166" s="249"/>
      <c r="XM166" s="249"/>
      <c r="XN166" s="249"/>
      <c r="XO166" s="249"/>
      <c r="XP166" s="249"/>
      <c r="XQ166" s="249"/>
      <c r="XR166" s="249"/>
      <c r="XS166" s="249"/>
      <c r="XT166" s="249"/>
      <c r="XU166" s="249"/>
      <c r="XV166" s="249"/>
      <c r="XW166" s="249"/>
      <c r="XX166" s="249"/>
      <c r="XY166" s="249"/>
      <c r="XZ166" s="249"/>
      <c r="YA166" s="249"/>
      <c r="YB166" s="249"/>
      <c r="YC166" s="249"/>
      <c r="YD166" s="249"/>
      <c r="YE166" s="249"/>
      <c r="YF166" s="249"/>
      <c r="YG166" s="249"/>
      <c r="YH166" s="249"/>
      <c r="YI166" s="249"/>
      <c r="YJ166" s="249"/>
      <c r="YK166" s="249"/>
      <c r="YL166" s="249"/>
      <c r="YM166" s="249"/>
      <c r="YN166" s="249"/>
      <c r="YO166" s="249"/>
      <c r="YP166" s="249"/>
      <c r="YQ166" s="249"/>
      <c r="YR166" s="249"/>
      <c r="YS166" s="249"/>
      <c r="YT166" s="249"/>
      <c r="YU166" s="249"/>
      <c r="YV166" s="249"/>
      <c r="YW166" s="249"/>
      <c r="YX166" s="249"/>
      <c r="YY166" s="249"/>
      <c r="YZ166" s="249"/>
      <c r="ZA166" s="249"/>
      <c r="ZB166" s="249"/>
      <c r="ZC166" s="249"/>
      <c r="ZD166" s="249"/>
      <c r="ZE166" s="249"/>
      <c r="ZF166" s="249"/>
      <c r="ZG166" s="249"/>
      <c r="ZH166" s="249"/>
      <c r="ZI166" s="249"/>
      <c r="ZJ166" s="249"/>
      <c r="ZK166" s="249"/>
      <c r="ZL166" s="249"/>
      <c r="ZM166" s="249"/>
      <c r="ZN166" s="249"/>
      <c r="ZO166" s="249"/>
      <c r="ZP166" s="249"/>
      <c r="ZQ166" s="249"/>
      <c r="ZR166" s="249"/>
      <c r="ZS166" s="249"/>
      <c r="ZT166" s="249"/>
      <c r="ZU166" s="249"/>
      <c r="ZV166" s="249"/>
      <c r="ZW166" s="249"/>
      <c r="ZX166" s="249"/>
      <c r="ZY166" s="249"/>
      <c r="ZZ166" s="249"/>
      <c r="AAA166" s="249"/>
      <c r="AAB166" s="249"/>
      <c r="AAC166" s="249"/>
      <c r="AAD166" s="249"/>
      <c r="AAE166" s="249"/>
      <c r="AAF166" s="249"/>
      <c r="AAG166" s="249"/>
      <c r="AAH166" s="249"/>
      <c r="AAI166" s="249"/>
      <c r="AAJ166" s="249"/>
      <c r="AAK166" s="249"/>
      <c r="AAL166" s="249"/>
      <c r="AAM166" s="249"/>
      <c r="AAN166" s="249"/>
      <c r="AAO166" s="249"/>
      <c r="AAP166" s="249"/>
      <c r="AAQ166" s="249"/>
      <c r="AAR166" s="249"/>
      <c r="AAS166" s="249"/>
      <c r="AAT166" s="249"/>
      <c r="AAU166" s="249"/>
      <c r="AAV166" s="249"/>
      <c r="AAW166" s="249"/>
      <c r="AAX166" s="249"/>
      <c r="AAY166" s="249"/>
      <c r="AAZ166" s="249"/>
      <c r="ABA166" s="249"/>
      <c r="ABB166" s="249"/>
      <c r="ABC166" s="249"/>
      <c r="ABD166" s="249"/>
      <c r="ABE166" s="249"/>
      <c r="ABF166" s="249"/>
      <c r="ABG166" s="249"/>
      <c r="ABH166" s="249"/>
      <c r="ABI166" s="249"/>
      <c r="ABJ166" s="249"/>
      <c r="ABK166" s="249"/>
      <c r="ABL166" s="249"/>
      <c r="ABM166" s="249"/>
      <c r="ABN166" s="249"/>
      <c r="ABO166" s="249"/>
      <c r="ABP166" s="249"/>
      <c r="ABQ166" s="249"/>
      <c r="ABR166" s="249"/>
      <c r="ABS166" s="249"/>
      <c r="ABT166" s="249"/>
      <c r="ABU166" s="249"/>
      <c r="ABV166" s="249"/>
      <c r="ABW166" s="249"/>
      <c r="ABX166" s="249"/>
      <c r="ABY166" s="249"/>
      <c r="ABZ166" s="249"/>
      <c r="ACA166" s="249"/>
      <c r="ACB166" s="249"/>
      <c r="ACC166" s="249"/>
      <c r="ACD166" s="249"/>
      <c r="ACE166" s="249"/>
      <c r="ACF166" s="249"/>
      <c r="ACG166" s="249"/>
      <c r="ACH166" s="249"/>
      <c r="ACI166" s="249"/>
      <c r="ACJ166" s="249"/>
      <c r="ACK166" s="249"/>
      <c r="ACL166" s="249"/>
      <c r="ACM166" s="249"/>
      <c r="ACN166" s="249"/>
      <c r="ACO166" s="249"/>
      <c r="ACP166" s="249"/>
      <c r="ACQ166" s="249"/>
      <c r="ACR166" s="249"/>
      <c r="ACS166" s="249"/>
      <c r="ACT166" s="249"/>
      <c r="ACU166" s="249"/>
      <c r="ACV166" s="249"/>
      <c r="ACW166" s="249"/>
      <c r="ACX166" s="249"/>
      <c r="ACY166" s="249"/>
      <c r="ACZ166" s="249"/>
      <c r="ADA166" s="249"/>
      <c r="ADB166" s="249"/>
      <c r="ADC166" s="249"/>
      <c r="ADD166" s="249"/>
      <c r="ADE166" s="249"/>
      <c r="ADF166" s="249"/>
      <c r="ADG166" s="249"/>
      <c r="ADH166" s="249"/>
      <c r="ADI166" s="249"/>
      <c r="ADJ166" s="249"/>
      <c r="ADK166" s="249"/>
      <c r="ADL166" s="249"/>
      <c r="ADM166" s="249"/>
      <c r="ADN166" s="249"/>
      <c r="ADO166" s="249"/>
      <c r="ADP166" s="249"/>
      <c r="ADQ166" s="249"/>
      <c r="ADR166" s="249"/>
      <c r="ADS166" s="249"/>
      <c r="ADT166" s="249"/>
      <c r="ADU166" s="249"/>
      <c r="ADV166" s="249"/>
      <c r="ADW166" s="249"/>
      <c r="ADX166" s="249"/>
      <c r="ADY166" s="249"/>
      <c r="ADZ166" s="249"/>
      <c r="AEA166" s="249"/>
      <c r="AEB166" s="249"/>
      <c r="AEC166" s="249"/>
      <c r="AED166" s="249"/>
      <c r="AEE166" s="249"/>
      <c r="AEF166" s="249"/>
      <c r="AEG166" s="249"/>
      <c r="AEH166" s="249"/>
      <c r="AEI166" s="249"/>
      <c r="AEJ166" s="249"/>
      <c r="AEK166" s="249"/>
      <c r="AEL166" s="249"/>
      <c r="AEM166" s="249"/>
      <c r="AEN166" s="249"/>
      <c r="AEO166" s="249"/>
      <c r="AEP166" s="249"/>
      <c r="AEQ166" s="249"/>
      <c r="AER166" s="249"/>
      <c r="AES166" s="249"/>
      <c r="AET166" s="249"/>
      <c r="AEU166" s="249"/>
      <c r="AEV166" s="249"/>
      <c r="AEW166" s="249"/>
      <c r="AEX166" s="249"/>
      <c r="AEY166" s="249"/>
      <c r="AEZ166" s="249"/>
      <c r="AFA166" s="249"/>
      <c r="AFB166" s="249"/>
      <c r="AFC166" s="249"/>
      <c r="AFD166" s="249"/>
      <c r="AFE166" s="249"/>
      <c r="AFF166" s="249"/>
      <c r="AFG166" s="249"/>
      <c r="AFH166" s="249"/>
      <c r="AFI166" s="249"/>
      <c r="AFJ166" s="249"/>
      <c r="AFK166" s="249"/>
      <c r="AFL166" s="249"/>
      <c r="AFM166" s="249"/>
      <c r="AFN166" s="249"/>
      <c r="AFO166" s="249"/>
      <c r="AFP166" s="249"/>
      <c r="AFQ166" s="249"/>
      <c r="AFR166" s="249"/>
      <c r="AFS166" s="249"/>
      <c r="AFT166" s="249"/>
      <c r="AFU166" s="249"/>
      <c r="AFV166" s="249"/>
      <c r="AFW166" s="249"/>
      <c r="AFX166" s="249"/>
      <c r="AFY166" s="249"/>
      <c r="AFZ166" s="249"/>
      <c r="AGA166" s="249"/>
      <c r="AGB166" s="249"/>
      <c r="AGC166" s="249"/>
      <c r="AGD166" s="249"/>
      <c r="AGE166" s="249"/>
      <c r="AGF166" s="249"/>
      <c r="AGG166" s="249"/>
      <c r="AGH166" s="249"/>
      <c r="AGI166" s="249"/>
      <c r="AGJ166" s="249"/>
      <c r="AGK166" s="249"/>
      <c r="AGL166" s="249"/>
      <c r="AGM166" s="249"/>
      <c r="AGN166" s="249"/>
      <c r="AGO166" s="249"/>
      <c r="AGP166" s="249"/>
      <c r="AGQ166" s="249"/>
      <c r="AGR166" s="249"/>
      <c r="AGS166" s="249"/>
      <c r="AGT166" s="249"/>
      <c r="AGU166" s="249"/>
      <c r="AGV166" s="249"/>
      <c r="AGW166" s="249"/>
      <c r="AGX166" s="249"/>
      <c r="AGY166" s="249"/>
      <c r="AGZ166" s="249"/>
      <c r="AHA166" s="249"/>
      <c r="AHB166" s="249"/>
      <c r="AHC166" s="249"/>
      <c r="AHD166" s="249"/>
      <c r="AHE166" s="249"/>
      <c r="AHF166" s="249"/>
      <c r="AHG166" s="249"/>
      <c r="AHH166" s="249"/>
      <c r="AHI166" s="249"/>
      <c r="AHJ166" s="249"/>
      <c r="AHK166" s="249"/>
      <c r="AHL166" s="249"/>
      <c r="AHM166" s="249"/>
      <c r="AHN166" s="249"/>
      <c r="AHO166" s="249"/>
      <c r="AHP166" s="249"/>
      <c r="AHQ166" s="249"/>
      <c r="AHR166" s="249"/>
      <c r="AHS166" s="249"/>
      <c r="AHT166" s="249"/>
      <c r="AHU166" s="249"/>
      <c r="AHV166" s="249"/>
      <c r="AHW166" s="249"/>
      <c r="AHX166" s="249"/>
      <c r="AHY166" s="249"/>
      <c r="AHZ166" s="249"/>
      <c r="AIA166" s="249"/>
      <c r="AIB166" s="249"/>
      <c r="AIC166" s="249"/>
      <c r="AID166" s="249"/>
      <c r="AIE166" s="249"/>
      <c r="AIF166" s="249"/>
      <c r="AIG166" s="249"/>
      <c r="AIH166" s="249"/>
      <c r="AII166" s="249"/>
      <c r="AIJ166" s="249"/>
      <c r="AIK166" s="249"/>
      <c r="AIL166" s="249"/>
      <c r="AIM166" s="249"/>
      <c r="AIN166" s="249"/>
      <c r="AIO166" s="249"/>
      <c r="AIP166" s="249"/>
      <c r="AIQ166" s="249"/>
      <c r="AIR166" s="249"/>
      <c r="AIS166" s="249"/>
      <c r="AIT166" s="249"/>
      <c r="AIU166" s="249"/>
      <c r="AIV166" s="249"/>
      <c r="AIW166" s="249"/>
      <c r="AIX166" s="249"/>
      <c r="AIY166" s="249"/>
      <c r="AIZ166" s="249"/>
      <c r="AJA166" s="249"/>
      <c r="AJB166" s="249"/>
      <c r="AJC166" s="249"/>
      <c r="AJD166" s="249"/>
      <c r="AJE166" s="249"/>
      <c r="AJF166" s="249"/>
      <c r="AJG166" s="249"/>
      <c r="AJH166" s="249"/>
      <c r="AJI166" s="249"/>
      <c r="AJJ166" s="249"/>
      <c r="AJK166" s="249"/>
      <c r="AJL166" s="249"/>
      <c r="AJM166" s="249"/>
      <c r="AJN166" s="249"/>
      <c r="AJO166" s="249"/>
      <c r="AJP166" s="249"/>
      <c r="AJQ166" s="249"/>
      <c r="AJR166" s="249"/>
      <c r="AJS166" s="249"/>
      <c r="AJT166" s="249"/>
      <c r="AJU166" s="249"/>
      <c r="AJV166" s="249"/>
      <c r="AJW166" s="249"/>
      <c r="AJX166" s="249"/>
      <c r="AJY166" s="249"/>
      <c r="AJZ166" s="249"/>
      <c r="AKA166" s="249"/>
      <c r="AKB166" s="249"/>
      <c r="AKC166" s="249"/>
      <c r="AKD166" s="249"/>
      <c r="AKE166" s="249"/>
      <c r="AKF166" s="249"/>
      <c r="AKG166" s="249"/>
      <c r="AKH166" s="249"/>
      <c r="AKI166" s="249"/>
      <c r="AKJ166" s="249"/>
      <c r="AKK166" s="249"/>
      <c r="AKL166" s="249"/>
      <c r="AKM166" s="249"/>
      <c r="AKN166" s="249"/>
      <c r="AKO166" s="249"/>
      <c r="AKP166" s="249"/>
      <c r="AKQ166" s="249"/>
      <c r="AKR166" s="249"/>
      <c r="AKS166" s="249"/>
      <c r="AKT166" s="249"/>
      <c r="AKU166" s="249"/>
      <c r="AKV166" s="249"/>
      <c r="AKW166" s="249"/>
      <c r="AKX166" s="249"/>
      <c r="AKY166" s="249"/>
      <c r="AKZ166" s="249"/>
      <c r="ALA166" s="249"/>
      <c r="ALB166" s="249"/>
      <c r="ALC166" s="249"/>
      <c r="ALD166" s="249"/>
      <c r="ALE166" s="249"/>
      <c r="ALF166" s="249"/>
      <c r="ALG166" s="249"/>
      <c r="ALH166" s="249"/>
      <c r="ALI166" s="249"/>
      <c r="ALJ166" s="249"/>
      <c r="ALK166" s="249"/>
      <c r="ALL166" s="249"/>
      <c r="ALM166" s="249"/>
      <c r="ALN166" s="249"/>
      <c r="ALO166" s="249"/>
      <c r="ALP166" s="249"/>
      <c r="ALQ166" s="249"/>
      <c r="ALR166" s="249"/>
      <c r="ALS166" s="249"/>
      <c r="ALT166" s="249"/>
      <c r="ALU166" s="249"/>
      <c r="ALV166" s="249"/>
      <c r="ALW166" s="249"/>
      <c r="ALX166" s="249"/>
      <c r="ALY166" s="249"/>
      <c r="ALZ166" s="249"/>
      <c r="AMA166" s="249"/>
      <c r="AMB166" s="249"/>
      <c r="AMC166" s="249"/>
      <c r="AMD166" s="249"/>
      <c r="AME166" s="249"/>
      <c r="AMF166" s="249"/>
      <c r="AMG166" s="249"/>
      <c r="AMH166" s="249"/>
      <c r="AMI166" s="249"/>
      <c r="AMJ166" s="249"/>
      <c r="AMK166" s="249"/>
      <c r="AML166" s="249"/>
      <c r="AMM166" s="249"/>
      <c r="AMN166" s="249"/>
      <c r="AMO166" s="249"/>
      <c r="AMP166" s="249"/>
      <c r="AMQ166" s="249"/>
      <c r="AMR166" s="249"/>
      <c r="AMS166" s="249"/>
      <c r="AMT166" s="249"/>
      <c r="AMU166" s="249"/>
      <c r="AMV166" s="249"/>
      <c r="AMW166" s="249"/>
      <c r="AMX166" s="249"/>
      <c r="AMY166" s="249"/>
      <c r="AMZ166" s="249"/>
      <c r="ANA166" s="249"/>
      <c r="ANB166" s="249"/>
      <c r="ANC166" s="249"/>
      <c r="AND166" s="249"/>
      <c r="ANE166" s="249"/>
      <c r="ANF166" s="249"/>
      <c r="ANG166" s="249"/>
      <c r="ANH166" s="249"/>
      <c r="ANI166" s="249"/>
      <c r="ANJ166" s="249"/>
      <c r="ANK166" s="249"/>
      <c r="ANL166" s="249"/>
      <c r="ANM166" s="249"/>
      <c r="ANN166" s="249"/>
      <c r="ANO166" s="249"/>
      <c r="ANP166" s="249"/>
      <c r="ANQ166" s="249"/>
      <c r="ANR166" s="249"/>
      <c r="ANS166" s="249"/>
      <c r="ANT166" s="249"/>
      <c r="ANU166" s="249"/>
      <c r="ANV166" s="249"/>
      <c r="ANW166" s="249"/>
      <c r="ANX166" s="249"/>
      <c r="ANY166" s="249"/>
      <c r="ANZ166" s="249"/>
      <c r="AOA166" s="249"/>
      <c r="AOB166" s="249"/>
      <c r="AOC166" s="249"/>
      <c r="AOD166" s="249"/>
      <c r="AOE166" s="249"/>
      <c r="AOF166" s="249"/>
      <c r="AOG166" s="249"/>
      <c r="AOH166" s="249"/>
      <c r="AOI166" s="249"/>
      <c r="AOJ166" s="249"/>
      <c r="AOK166" s="249"/>
      <c r="AOL166" s="249"/>
      <c r="AOM166" s="249"/>
      <c r="AON166" s="249"/>
      <c r="AOO166" s="249"/>
      <c r="AOP166" s="249"/>
      <c r="AOQ166" s="249"/>
      <c r="AOR166" s="249"/>
      <c r="AOS166" s="249"/>
      <c r="AOT166" s="249"/>
      <c r="AOU166" s="249"/>
      <c r="AOV166" s="249"/>
      <c r="AOW166" s="249"/>
      <c r="AOX166" s="249"/>
      <c r="AOY166" s="249"/>
      <c r="AOZ166" s="249"/>
      <c r="APA166" s="249"/>
      <c r="APB166" s="249"/>
      <c r="APC166" s="249"/>
      <c r="APD166" s="249"/>
      <c r="APE166" s="249"/>
      <c r="APF166" s="249"/>
      <c r="APG166" s="249"/>
      <c r="APH166" s="249"/>
      <c r="API166" s="249"/>
      <c r="APJ166" s="249"/>
      <c r="APK166" s="249"/>
      <c r="APL166" s="249"/>
      <c r="APM166" s="249"/>
      <c r="APN166" s="249"/>
      <c r="APO166" s="249"/>
      <c r="APP166" s="249"/>
      <c r="APQ166" s="249"/>
      <c r="APR166" s="249"/>
      <c r="APS166" s="249"/>
      <c r="APT166" s="249"/>
      <c r="APU166" s="249"/>
      <c r="APV166" s="249"/>
      <c r="APW166" s="249"/>
      <c r="APX166" s="249"/>
      <c r="APY166" s="249"/>
      <c r="APZ166" s="249"/>
      <c r="AQA166" s="249"/>
      <c r="AQB166" s="249"/>
      <c r="AQC166" s="249"/>
      <c r="AQD166" s="249"/>
      <c r="AQE166" s="249"/>
      <c r="AQF166" s="249"/>
      <c r="AQG166" s="249"/>
      <c r="AQH166" s="249"/>
      <c r="AQI166" s="249"/>
      <c r="AQJ166" s="249"/>
      <c r="AQK166" s="249"/>
      <c r="AQL166" s="249"/>
      <c r="AQM166" s="249"/>
      <c r="AQN166" s="249"/>
      <c r="AQO166" s="249"/>
      <c r="AQP166" s="249"/>
      <c r="AQQ166" s="249"/>
      <c r="AQR166" s="249"/>
      <c r="AQS166" s="249"/>
      <c r="AQT166" s="249"/>
      <c r="AQU166" s="249"/>
      <c r="AQV166" s="249"/>
      <c r="AQW166" s="249"/>
      <c r="AQX166" s="249"/>
      <c r="AQY166" s="249"/>
      <c r="AQZ166" s="249"/>
      <c r="ARA166" s="249"/>
      <c r="ARB166" s="249"/>
      <c r="ARC166" s="249"/>
      <c r="ARD166" s="249"/>
      <c r="ARE166" s="249"/>
      <c r="ARF166" s="249"/>
      <c r="ARG166" s="249"/>
      <c r="ARH166" s="249"/>
      <c r="ARI166" s="249"/>
      <c r="ARJ166" s="249"/>
      <c r="ARK166" s="249"/>
      <c r="ARL166" s="249"/>
      <c r="ARM166" s="249"/>
      <c r="ARN166" s="249"/>
      <c r="ARO166" s="249"/>
      <c r="ARP166" s="249"/>
      <c r="ARQ166" s="249"/>
      <c r="ARR166" s="249"/>
      <c r="ARS166" s="249"/>
      <c r="ART166" s="249"/>
      <c r="ARU166" s="249"/>
      <c r="ARV166" s="249"/>
      <c r="ARW166" s="249"/>
      <c r="ARX166" s="249"/>
      <c r="ARY166" s="249"/>
      <c r="ARZ166" s="249"/>
      <c r="ASA166" s="249"/>
      <c r="ASB166" s="249"/>
      <c r="ASC166" s="249"/>
      <c r="ASD166" s="249"/>
      <c r="ASE166" s="249"/>
      <c r="ASF166" s="249"/>
      <c r="ASG166" s="249"/>
      <c r="ASH166" s="249"/>
      <c r="ASI166" s="249"/>
      <c r="ASJ166" s="249"/>
      <c r="ASK166" s="249"/>
      <c r="ASL166" s="249"/>
      <c r="ASM166" s="249"/>
      <c r="ASN166" s="249"/>
      <c r="ASO166" s="249"/>
      <c r="ASP166" s="249"/>
      <c r="ASQ166" s="249"/>
      <c r="ASR166" s="249"/>
      <c r="ASS166" s="249"/>
      <c r="AST166" s="249"/>
      <c r="ASU166" s="249"/>
      <c r="ASV166" s="249"/>
      <c r="ASW166" s="249"/>
      <c r="ASX166" s="249"/>
      <c r="ASY166" s="249"/>
      <c r="ASZ166" s="249"/>
      <c r="ATA166" s="249"/>
      <c r="ATB166" s="249"/>
      <c r="ATC166" s="249"/>
      <c r="ATD166" s="249"/>
      <c r="ATE166" s="249"/>
      <c r="ATF166" s="249"/>
      <c r="ATG166" s="249"/>
      <c r="ATH166" s="249"/>
      <c r="ATI166" s="249"/>
      <c r="ATJ166" s="249"/>
      <c r="ATK166" s="249"/>
      <c r="ATL166" s="249"/>
      <c r="ATM166" s="249"/>
      <c r="ATN166" s="249"/>
      <c r="ATO166" s="249"/>
      <c r="ATP166" s="249"/>
      <c r="ATQ166" s="249"/>
      <c r="ATR166" s="249"/>
      <c r="ATS166" s="249"/>
      <c r="ATT166" s="249"/>
      <c r="ATU166" s="249"/>
      <c r="ATV166" s="249"/>
      <c r="ATW166" s="249"/>
      <c r="ATX166" s="249"/>
      <c r="ATY166" s="249"/>
      <c r="ATZ166" s="249"/>
      <c r="AUA166" s="249"/>
      <c r="AUB166" s="249"/>
      <c r="AUC166" s="249"/>
      <c r="AUD166" s="249"/>
      <c r="AUE166" s="249"/>
      <c r="AUF166" s="249"/>
      <c r="AUG166" s="249"/>
      <c r="AUH166" s="249"/>
      <c r="AUI166" s="249"/>
      <c r="AUJ166" s="249"/>
      <c r="AUK166" s="249"/>
      <c r="AUL166" s="249"/>
      <c r="AUM166" s="249"/>
      <c r="AUN166" s="249"/>
      <c r="AUO166" s="249"/>
      <c r="AUP166" s="249"/>
      <c r="AUQ166" s="249"/>
      <c r="AUR166" s="249"/>
      <c r="AUS166" s="249"/>
      <c r="AUT166" s="249"/>
      <c r="AUU166" s="249"/>
      <c r="AUV166" s="249"/>
      <c r="AUW166" s="249"/>
      <c r="AUX166" s="249"/>
      <c r="AUY166" s="249"/>
      <c r="AUZ166" s="249"/>
      <c r="AVA166" s="249"/>
      <c r="AVB166" s="249"/>
      <c r="AVC166" s="249"/>
      <c r="AVD166" s="249"/>
      <c r="AVE166" s="249"/>
      <c r="AVF166" s="249"/>
      <c r="AVG166" s="249"/>
      <c r="AVH166" s="249"/>
      <c r="AVI166" s="249"/>
      <c r="AVJ166" s="249"/>
      <c r="AVK166" s="249"/>
      <c r="AVL166" s="249"/>
      <c r="AVM166" s="249"/>
      <c r="AVN166" s="249"/>
      <c r="AVO166" s="249"/>
      <c r="AVP166" s="249"/>
      <c r="AVQ166" s="249"/>
      <c r="AVR166" s="249"/>
      <c r="AVS166" s="249"/>
      <c r="AVT166" s="249"/>
      <c r="AVU166" s="249"/>
      <c r="AVV166" s="249"/>
      <c r="AVW166" s="249"/>
      <c r="AVX166" s="249"/>
      <c r="AVY166" s="249"/>
      <c r="AVZ166" s="249"/>
      <c r="AWA166" s="249"/>
      <c r="AWB166" s="249"/>
      <c r="AWC166" s="249"/>
      <c r="AWD166" s="249"/>
      <c r="AWE166" s="249"/>
      <c r="AWF166" s="249"/>
      <c r="AWG166" s="249"/>
      <c r="AWH166" s="249"/>
      <c r="AWI166" s="249"/>
      <c r="AWJ166" s="249"/>
      <c r="AWK166" s="249"/>
      <c r="AWL166" s="249"/>
      <c r="AWM166" s="249"/>
      <c r="AWN166" s="249"/>
      <c r="AWO166" s="249"/>
      <c r="AWP166" s="249"/>
      <c r="AWQ166" s="249"/>
      <c r="AWR166" s="249"/>
      <c r="AWS166" s="249"/>
      <c r="AWT166" s="249"/>
      <c r="AWU166" s="249"/>
      <c r="AWV166" s="249"/>
      <c r="AWW166" s="249"/>
      <c r="AWX166" s="249"/>
      <c r="AWY166" s="249"/>
      <c r="AWZ166" s="249"/>
      <c r="AXA166" s="249"/>
      <c r="AXB166" s="249"/>
      <c r="AXC166" s="249"/>
      <c r="AXD166" s="249"/>
      <c r="AXE166" s="249"/>
      <c r="AXF166" s="249"/>
      <c r="AXG166" s="249"/>
      <c r="AXH166" s="249"/>
      <c r="AXI166" s="249"/>
      <c r="AXJ166" s="249"/>
      <c r="AXK166" s="249"/>
      <c r="AXL166" s="249"/>
      <c r="AXM166" s="249"/>
      <c r="AXN166" s="249"/>
      <c r="AXO166" s="249"/>
      <c r="AXP166" s="249"/>
      <c r="AXQ166" s="249"/>
      <c r="AXR166" s="249"/>
      <c r="AXS166" s="249"/>
      <c r="AXT166" s="249"/>
      <c r="AXU166" s="249"/>
      <c r="AXV166" s="249"/>
      <c r="AXW166" s="249"/>
      <c r="AXX166" s="249"/>
      <c r="AXY166" s="249"/>
      <c r="AXZ166" s="249"/>
      <c r="AYA166" s="249"/>
      <c r="AYB166" s="249"/>
      <c r="AYC166" s="249"/>
      <c r="AYD166" s="249"/>
      <c r="AYE166" s="249"/>
      <c r="AYF166" s="249"/>
      <c r="AYG166" s="249"/>
      <c r="AYH166" s="249"/>
      <c r="AYI166" s="249"/>
      <c r="AYJ166" s="249"/>
      <c r="AYK166" s="249"/>
      <c r="AYL166" s="249"/>
      <c r="AYM166" s="249"/>
      <c r="AYN166" s="249"/>
      <c r="AYO166" s="249"/>
      <c r="AYP166" s="249"/>
      <c r="AYQ166" s="249"/>
      <c r="AYR166" s="249"/>
      <c r="AYS166" s="249"/>
      <c r="AYT166" s="249"/>
      <c r="AYU166" s="249"/>
      <c r="AYV166" s="249"/>
      <c r="AYW166" s="249"/>
      <c r="AYX166" s="249"/>
      <c r="AYY166" s="249"/>
      <c r="AYZ166" s="249"/>
      <c r="AZA166" s="249"/>
      <c r="AZB166" s="249"/>
      <c r="AZC166" s="249"/>
      <c r="AZD166" s="249"/>
      <c r="AZE166" s="249"/>
      <c r="AZF166" s="249"/>
      <c r="AZG166" s="249"/>
      <c r="AZH166" s="249"/>
      <c r="AZI166" s="249"/>
      <c r="AZJ166" s="249"/>
      <c r="AZK166" s="249"/>
      <c r="AZL166" s="249"/>
      <c r="AZM166" s="249"/>
      <c r="AZN166" s="249"/>
      <c r="AZO166" s="249"/>
      <c r="AZP166" s="249"/>
      <c r="AZQ166" s="249"/>
      <c r="AZR166" s="249"/>
      <c r="AZS166" s="249"/>
      <c r="AZT166" s="249"/>
      <c r="AZU166" s="249"/>
      <c r="AZV166" s="249"/>
      <c r="AZW166" s="249"/>
      <c r="AZX166" s="249"/>
      <c r="AZY166" s="249"/>
      <c r="AZZ166" s="249"/>
      <c r="BAA166" s="249"/>
      <c r="BAB166" s="249"/>
      <c r="BAC166" s="249"/>
      <c r="BAD166" s="249"/>
      <c r="BAE166" s="249"/>
      <c r="BAF166" s="249"/>
      <c r="BAG166" s="249"/>
      <c r="BAH166" s="249"/>
      <c r="BAI166" s="249"/>
      <c r="BAJ166" s="249"/>
      <c r="BAK166" s="249"/>
      <c r="BAL166" s="249"/>
      <c r="BAM166" s="249"/>
      <c r="BAN166" s="249"/>
      <c r="BAO166" s="249"/>
      <c r="BAP166" s="249"/>
      <c r="BAQ166" s="249"/>
      <c r="BAR166" s="249"/>
      <c r="BAS166" s="249"/>
      <c r="BAT166" s="249"/>
      <c r="BAU166" s="249"/>
      <c r="BAV166" s="249"/>
      <c r="BAW166" s="249"/>
      <c r="BAX166" s="249"/>
      <c r="BAY166" s="249"/>
      <c r="BAZ166" s="249"/>
      <c r="BBA166" s="249"/>
      <c r="BBB166" s="249"/>
      <c r="BBC166" s="249"/>
      <c r="BBD166" s="249"/>
      <c r="BBE166" s="249"/>
      <c r="BBF166" s="249"/>
      <c r="BBG166" s="249"/>
      <c r="BBH166" s="249"/>
      <c r="BBI166" s="249"/>
      <c r="BBJ166" s="249"/>
      <c r="BBK166" s="249"/>
      <c r="BBL166" s="249"/>
      <c r="BBM166" s="249"/>
      <c r="BBN166" s="249"/>
      <c r="BBO166" s="249"/>
      <c r="BBP166" s="249"/>
      <c r="BBQ166" s="249"/>
      <c r="BBR166" s="249"/>
      <c r="BBS166" s="249"/>
      <c r="BBT166" s="249"/>
      <c r="BBU166" s="249"/>
      <c r="BBV166" s="249"/>
      <c r="BBW166" s="249"/>
      <c r="BBX166" s="249"/>
      <c r="BBY166" s="249"/>
      <c r="BBZ166" s="249"/>
      <c r="BCA166" s="249"/>
      <c r="BCB166" s="249"/>
      <c r="BCC166" s="249"/>
      <c r="BCD166" s="249"/>
      <c r="BCE166" s="249"/>
      <c r="BCF166" s="249"/>
      <c r="BCG166" s="249"/>
      <c r="BCH166" s="249"/>
      <c r="BCI166" s="249"/>
      <c r="BCJ166" s="249"/>
      <c r="BCK166" s="249"/>
      <c r="BCL166" s="249"/>
      <c r="BCM166" s="249"/>
      <c r="BCN166" s="249"/>
      <c r="BCO166" s="249"/>
      <c r="BCP166" s="249"/>
      <c r="BCQ166" s="249"/>
      <c r="BCR166" s="249"/>
      <c r="BCS166" s="249"/>
      <c r="BCT166" s="249"/>
      <c r="BCU166" s="249"/>
      <c r="BCV166" s="249"/>
      <c r="BCW166" s="249"/>
      <c r="BCX166" s="249"/>
      <c r="BCY166" s="249"/>
      <c r="BCZ166" s="249"/>
      <c r="BDA166" s="249"/>
      <c r="BDB166" s="249"/>
      <c r="BDC166" s="249"/>
      <c r="BDD166" s="249"/>
      <c r="BDE166" s="249"/>
      <c r="BDF166" s="249"/>
      <c r="BDG166" s="249"/>
      <c r="BDH166" s="249"/>
      <c r="BDI166" s="249"/>
      <c r="BDJ166" s="249"/>
      <c r="BDK166" s="249"/>
      <c r="BDL166" s="249"/>
      <c r="BDM166" s="249"/>
      <c r="BDN166" s="249"/>
      <c r="BDO166" s="249"/>
      <c r="BDP166" s="249"/>
      <c r="BDQ166" s="249"/>
      <c r="BDR166" s="249"/>
      <c r="BDS166" s="249"/>
      <c r="BDT166" s="249"/>
      <c r="BDU166" s="249"/>
      <c r="BDV166" s="249"/>
      <c r="BDW166" s="249"/>
      <c r="BDX166" s="249"/>
      <c r="BDY166" s="249"/>
      <c r="BDZ166" s="249"/>
      <c r="BEA166" s="249"/>
      <c r="BEB166" s="249"/>
      <c r="BEC166" s="249"/>
      <c r="BED166" s="249"/>
      <c r="BEE166" s="249"/>
      <c r="BEF166" s="249"/>
      <c r="BEG166" s="249"/>
      <c r="BEH166" s="249"/>
      <c r="BEI166" s="249"/>
      <c r="BEJ166" s="249"/>
      <c r="BEK166" s="249"/>
      <c r="BEL166" s="249"/>
      <c r="BEM166" s="249"/>
      <c r="BEN166" s="249"/>
      <c r="BEO166" s="249"/>
      <c r="BEP166" s="249"/>
      <c r="BEQ166" s="249"/>
      <c r="BER166" s="249"/>
      <c r="BES166" s="249"/>
      <c r="BET166" s="249"/>
      <c r="BEU166" s="249"/>
      <c r="BEV166" s="249"/>
      <c r="BEW166" s="249"/>
      <c r="BEX166" s="249"/>
      <c r="BEY166" s="249"/>
      <c r="BEZ166" s="249"/>
      <c r="BFA166" s="249"/>
      <c r="BFB166" s="249"/>
      <c r="BFC166" s="249"/>
      <c r="BFD166" s="249"/>
      <c r="BFE166" s="249"/>
      <c r="BFF166" s="249"/>
      <c r="BFG166" s="249"/>
      <c r="BFH166" s="249"/>
      <c r="BFI166" s="249"/>
      <c r="BFJ166" s="249"/>
      <c r="BFK166" s="249"/>
      <c r="BFL166" s="249"/>
      <c r="BFM166" s="249"/>
      <c r="BFN166" s="249"/>
      <c r="BFO166" s="249"/>
      <c r="BFP166" s="249"/>
      <c r="BFQ166" s="249"/>
      <c r="BFR166" s="249"/>
      <c r="BFS166" s="249"/>
      <c r="BFT166" s="249"/>
      <c r="BFU166" s="249"/>
      <c r="BFV166" s="249"/>
      <c r="BFW166" s="249"/>
      <c r="BFX166" s="249"/>
      <c r="BFY166" s="249"/>
      <c r="BFZ166" s="249"/>
      <c r="BGA166" s="249"/>
      <c r="BGB166" s="249"/>
      <c r="BGC166" s="249"/>
      <c r="BGD166" s="249"/>
      <c r="BGE166" s="249"/>
      <c r="BGF166" s="249"/>
      <c r="BGG166" s="249"/>
      <c r="BGH166" s="249"/>
      <c r="BGI166" s="249"/>
      <c r="BGJ166" s="249"/>
      <c r="BGK166" s="249"/>
      <c r="BGL166" s="249"/>
      <c r="BGM166" s="249"/>
      <c r="BGN166" s="249"/>
      <c r="BGO166" s="249"/>
      <c r="BGP166" s="249"/>
      <c r="BGQ166" s="249"/>
      <c r="BGR166" s="249"/>
      <c r="BGS166" s="249"/>
      <c r="BGT166" s="249"/>
      <c r="BGU166" s="249"/>
      <c r="BGV166" s="249"/>
      <c r="BGW166" s="249"/>
      <c r="BGX166" s="249"/>
      <c r="BGY166" s="249"/>
      <c r="BGZ166" s="249"/>
      <c r="BHA166" s="249"/>
      <c r="BHB166" s="249"/>
      <c r="BHC166" s="249"/>
      <c r="BHD166" s="249"/>
      <c r="BHE166" s="249"/>
      <c r="BHF166" s="249"/>
      <c r="BHG166" s="249"/>
      <c r="BHH166" s="249"/>
      <c r="BHI166" s="249"/>
      <c r="BHJ166" s="249"/>
      <c r="BHK166" s="249"/>
      <c r="BHL166" s="249"/>
      <c r="BHM166" s="249"/>
      <c r="BHN166" s="249"/>
      <c r="BHO166" s="249"/>
      <c r="BHP166" s="249"/>
      <c r="BHQ166" s="249"/>
      <c r="BHR166" s="249"/>
      <c r="BHS166" s="249"/>
      <c r="BHT166" s="249"/>
      <c r="BHU166" s="249"/>
      <c r="BHV166" s="249"/>
      <c r="BHW166" s="249"/>
      <c r="BHX166" s="249"/>
      <c r="BHY166" s="249"/>
      <c r="BHZ166" s="249"/>
      <c r="BIA166" s="249"/>
      <c r="BIB166" s="249"/>
      <c r="BIC166" s="249"/>
      <c r="BID166" s="249"/>
      <c r="BIE166" s="249"/>
      <c r="BIF166" s="249"/>
      <c r="BIG166" s="249"/>
      <c r="BIH166" s="249"/>
      <c r="BII166" s="249"/>
      <c r="BIJ166" s="249"/>
      <c r="BIK166" s="249"/>
      <c r="BIL166" s="249"/>
      <c r="BIM166" s="249"/>
      <c r="BIN166" s="249"/>
      <c r="BIO166" s="249"/>
      <c r="BIP166" s="249"/>
      <c r="BIQ166" s="249"/>
      <c r="BIR166" s="249"/>
      <c r="BIS166" s="249"/>
      <c r="BIT166" s="249"/>
      <c r="BIU166" s="249"/>
      <c r="BIV166" s="249"/>
      <c r="BIW166" s="249"/>
      <c r="BIX166" s="249"/>
      <c r="BIY166" s="249"/>
      <c r="BIZ166" s="249"/>
      <c r="BJA166" s="249"/>
      <c r="BJB166" s="249"/>
      <c r="BJC166" s="249"/>
      <c r="BJD166" s="249"/>
      <c r="BJE166" s="249"/>
      <c r="BJF166" s="249"/>
      <c r="BJG166" s="249"/>
      <c r="BJH166" s="249"/>
      <c r="BJI166" s="249"/>
      <c r="BJJ166" s="249"/>
      <c r="BJK166" s="249"/>
      <c r="BJL166" s="249"/>
      <c r="BJM166" s="249"/>
      <c r="BJN166" s="249"/>
      <c r="BJO166" s="249"/>
      <c r="BJP166" s="249"/>
      <c r="BJQ166" s="249"/>
      <c r="BJR166" s="249"/>
      <c r="BJS166" s="249"/>
      <c r="BJT166" s="249"/>
      <c r="BJU166" s="249"/>
      <c r="BJV166" s="249"/>
      <c r="BJW166" s="249"/>
      <c r="BJX166" s="249"/>
      <c r="BJY166" s="249"/>
      <c r="BJZ166" s="249"/>
      <c r="BKA166" s="249"/>
      <c r="BKB166" s="249"/>
      <c r="BKC166" s="249"/>
      <c r="BKD166" s="249"/>
      <c r="BKE166" s="249"/>
      <c r="BKF166" s="249"/>
      <c r="BKG166" s="249"/>
      <c r="BKH166" s="249"/>
      <c r="BKI166" s="249"/>
      <c r="BKJ166" s="249"/>
      <c r="BKK166" s="249"/>
      <c r="BKL166" s="249"/>
      <c r="BKM166" s="249"/>
      <c r="BKN166" s="249"/>
      <c r="BKO166" s="249"/>
      <c r="BKP166" s="249"/>
      <c r="BKQ166" s="249"/>
      <c r="BKR166" s="249"/>
      <c r="BKS166" s="249"/>
      <c r="BKT166" s="249"/>
      <c r="BKU166" s="249"/>
      <c r="BKV166" s="249"/>
      <c r="BKW166" s="249"/>
      <c r="BKX166" s="249"/>
      <c r="BKY166" s="249"/>
      <c r="BKZ166" s="249"/>
      <c r="BLA166" s="249"/>
      <c r="BLB166" s="249"/>
      <c r="BLC166" s="249"/>
      <c r="BLD166" s="249"/>
      <c r="BLE166" s="249"/>
      <c r="BLF166" s="249"/>
      <c r="BLG166" s="249"/>
      <c r="BLH166" s="249"/>
      <c r="BLI166" s="249"/>
      <c r="BLJ166" s="249"/>
      <c r="BLK166" s="249"/>
      <c r="BLL166" s="249"/>
      <c r="BLM166" s="249"/>
      <c r="BLN166" s="249"/>
      <c r="BLO166" s="249"/>
      <c r="BLP166" s="249"/>
      <c r="BLQ166" s="249"/>
      <c r="BLR166" s="249"/>
      <c r="BLS166" s="249"/>
      <c r="BLT166" s="249"/>
      <c r="BLU166" s="249"/>
      <c r="BLV166" s="249"/>
      <c r="BLW166" s="249"/>
      <c r="BLX166" s="249"/>
      <c r="BLY166" s="249"/>
      <c r="BLZ166" s="249"/>
      <c r="BMA166" s="249"/>
      <c r="BMB166" s="249"/>
      <c r="BMC166" s="249"/>
      <c r="BMD166" s="249"/>
      <c r="BME166" s="249"/>
      <c r="BMF166" s="249"/>
      <c r="BMG166" s="249"/>
      <c r="BMH166" s="249"/>
      <c r="BMI166" s="249"/>
      <c r="BMJ166" s="249"/>
      <c r="BMK166" s="249"/>
      <c r="BML166" s="249"/>
      <c r="BMM166" s="249"/>
      <c r="BMN166" s="249"/>
      <c r="BMO166" s="249"/>
      <c r="BMP166" s="249"/>
      <c r="BMQ166" s="249"/>
      <c r="BMR166" s="249"/>
      <c r="BMS166" s="249"/>
      <c r="BMT166" s="249"/>
      <c r="BMU166" s="249"/>
      <c r="BMV166" s="249"/>
      <c r="BMW166" s="249"/>
      <c r="BMX166" s="249"/>
      <c r="BMY166" s="249"/>
      <c r="BMZ166" s="249"/>
      <c r="BNA166" s="249"/>
      <c r="BNB166" s="249"/>
      <c r="BNC166" s="249"/>
      <c r="BND166" s="249"/>
      <c r="BNE166" s="249"/>
      <c r="BNF166" s="249"/>
      <c r="BNG166" s="249"/>
      <c r="BNH166" s="249"/>
      <c r="BNI166" s="249"/>
      <c r="BNJ166" s="249"/>
      <c r="BNK166" s="249"/>
      <c r="BNL166" s="249"/>
      <c r="BNM166" s="249"/>
      <c r="BNN166" s="249"/>
      <c r="BNO166" s="249"/>
      <c r="BNP166" s="249"/>
      <c r="BNQ166" s="249"/>
      <c r="BNR166" s="249"/>
      <c r="BNS166" s="249"/>
      <c r="BNT166" s="249"/>
      <c r="BNU166" s="249"/>
      <c r="BNV166" s="249"/>
      <c r="BNW166" s="249"/>
      <c r="BNX166" s="249"/>
      <c r="BNY166" s="249"/>
      <c r="BNZ166" s="249"/>
      <c r="BOA166" s="249"/>
      <c r="BOB166" s="249"/>
      <c r="BOC166" s="249"/>
      <c r="BOD166" s="249"/>
      <c r="BOE166" s="249"/>
      <c r="BOF166" s="249"/>
      <c r="BOG166" s="249"/>
      <c r="BOH166" s="249"/>
      <c r="BOI166" s="249"/>
      <c r="BOJ166" s="249"/>
      <c r="BOK166" s="249"/>
      <c r="BOL166" s="249"/>
      <c r="BOM166" s="249"/>
      <c r="BON166" s="249"/>
      <c r="BOO166" s="249"/>
      <c r="BOP166" s="249"/>
      <c r="BOQ166" s="249"/>
      <c r="BOR166" s="249"/>
      <c r="BOS166" s="249"/>
      <c r="BOT166" s="249"/>
      <c r="BOU166" s="249"/>
      <c r="BOV166" s="249"/>
      <c r="BOW166" s="249"/>
      <c r="BOX166" s="249"/>
      <c r="BOY166" s="249"/>
      <c r="BOZ166" s="249"/>
      <c r="BPA166" s="249"/>
      <c r="BPB166" s="249"/>
      <c r="BPC166" s="249"/>
      <c r="BPD166" s="249"/>
      <c r="BPE166" s="249"/>
      <c r="BPF166" s="249"/>
      <c r="BPG166" s="249"/>
      <c r="BPH166" s="249"/>
      <c r="BPI166" s="249"/>
      <c r="BPJ166" s="249"/>
      <c r="BPK166" s="249"/>
      <c r="BPL166" s="249"/>
      <c r="BPM166" s="249"/>
      <c r="BPN166" s="249"/>
      <c r="BPO166" s="249"/>
      <c r="BPP166" s="249"/>
      <c r="BPQ166" s="249"/>
      <c r="BPR166" s="249"/>
      <c r="BPS166" s="249"/>
      <c r="BPT166" s="249"/>
      <c r="BPU166" s="249"/>
      <c r="BPV166" s="249"/>
      <c r="BPW166" s="249"/>
      <c r="BPX166" s="249"/>
      <c r="BPY166" s="249"/>
      <c r="BPZ166" s="249"/>
      <c r="BQA166" s="249"/>
      <c r="BQB166" s="249"/>
      <c r="BQC166" s="249"/>
      <c r="BQD166" s="249"/>
      <c r="BQE166" s="249"/>
      <c r="BQF166" s="249"/>
      <c r="BQG166" s="249"/>
      <c r="BQH166" s="249"/>
      <c r="BQI166" s="249"/>
      <c r="BQJ166" s="249"/>
      <c r="BQK166" s="249"/>
      <c r="BQL166" s="249"/>
      <c r="BQM166" s="249"/>
      <c r="BQN166" s="249"/>
      <c r="BQO166" s="249"/>
      <c r="BQP166" s="249"/>
      <c r="BQQ166" s="249"/>
      <c r="BQR166" s="249"/>
      <c r="BQS166" s="249"/>
      <c r="BQT166" s="249"/>
      <c r="BQU166" s="249"/>
      <c r="BQV166" s="249"/>
      <c r="BQW166" s="249"/>
      <c r="BQX166" s="249"/>
      <c r="BQY166" s="249"/>
      <c r="BQZ166" s="249"/>
      <c r="BRA166" s="249"/>
      <c r="BRB166" s="249"/>
      <c r="BRC166" s="249"/>
      <c r="BRD166" s="249"/>
      <c r="BRE166" s="249"/>
      <c r="BRF166" s="249"/>
      <c r="BRG166" s="249"/>
      <c r="BRH166" s="249"/>
      <c r="BRI166" s="249"/>
      <c r="BRJ166" s="249"/>
      <c r="BRK166" s="249"/>
      <c r="BRL166" s="249"/>
      <c r="BRM166" s="249"/>
      <c r="BRN166" s="249"/>
      <c r="BRO166" s="249"/>
      <c r="BRP166" s="249"/>
      <c r="BRQ166" s="249"/>
      <c r="BRR166" s="249"/>
      <c r="BRS166" s="249"/>
      <c r="BRT166" s="249"/>
      <c r="BRU166" s="249"/>
      <c r="BRV166" s="249"/>
      <c r="BRW166" s="249"/>
      <c r="BRX166" s="249"/>
      <c r="BRY166" s="249"/>
      <c r="BRZ166" s="249"/>
      <c r="BSA166" s="249"/>
      <c r="BSB166" s="249"/>
      <c r="BSC166" s="249"/>
      <c r="BSD166" s="249"/>
      <c r="BSE166" s="249"/>
      <c r="BSF166" s="249"/>
      <c r="BSG166" s="249"/>
      <c r="BSH166" s="249"/>
      <c r="BSI166" s="249"/>
      <c r="BSJ166" s="249"/>
      <c r="BSK166" s="249"/>
      <c r="BSL166" s="249"/>
      <c r="BSM166" s="249"/>
      <c r="BSN166" s="249"/>
      <c r="BSO166" s="249"/>
      <c r="BSP166" s="249"/>
      <c r="BSQ166" s="249"/>
      <c r="BSR166" s="249"/>
      <c r="BSS166" s="249"/>
      <c r="BST166" s="249"/>
      <c r="BSU166" s="249"/>
      <c r="BSV166" s="249"/>
      <c r="BSW166" s="249"/>
      <c r="BSX166" s="249"/>
      <c r="BSY166" s="249"/>
      <c r="BSZ166" s="249"/>
      <c r="BTA166" s="249"/>
      <c r="BTB166" s="249"/>
      <c r="BTC166" s="249"/>
      <c r="BTD166" s="249"/>
      <c r="BTE166" s="249"/>
      <c r="BTF166" s="249"/>
      <c r="BTG166" s="249"/>
      <c r="BTH166" s="249"/>
      <c r="BTI166" s="249"/>
      <c r="BTJ166" s="249"/>
      <c r="BTK166" s="249"/>
      <c r="BTL166" s="249"/>
      <c r="BTM166" s="249"/>
      <c r="BTN166" s="249"/>
      <c r="BTO166" s="249"/>
      <c r="BTP166" s="249"/>
      <c r="BTQ166" s="249"/>
      <c r="BTR166" s="249"/>
      <c r="BTS166" s="249"/>
      <c r="BTT166" s="249"/>
      <c r="BTU166" s="249"/>
      <c r="BTV166" s="249"/>
      <c r="BTW166" s="249"/>
      <c r="BTX166" s="249"/>
      <c r="BTY166" s="249"/>
      <c r="BTZ166" s="249"/>
      <c r="BUA166" s="249"/>
      <c r="BUB166" s="249"/>
      <c r="BUC166" s="249"/>
      <c r="BUD166" s="249"/>
      <c r="BUE166" s="249"/>
      <c r="BUF166" s="249"/>
      <c r="BUG166" s="249"/>
      <c r="BUH166" s="249"/>
      <c r="BUI166" s="249"/>
      <c r="BUJ166" s="249"/>
      <c r="BUK166" s="249"/>
      <c r="BUL166" s="249"/>
      <c r="BUM166" s="249"/>
      <c r="BUN166" s="249"/>
      <c r="BUO166" s="249"/>
      <c r="BUP166" s="249"/>
      <c r="BUQ166" s="249"/>
      <c r="BUR166" s="249"/>
      <c r="BUS166" s="249"/>
      <c r="BUT166" s="249"/>
      <c r="BUU166" s="249"/>
      <c r="BUV166" s="249"/>
      <c r="BUW166" s="249"/>
      <c r="BUX166" s="249"/>
      <c r="BUY166" s="249"/>
      <c r="BUZ166" s="249"/>
      <c r="BVA166" s="249"/>
      <c r="BVB166" s="249"/>
      <c r="BVC166" s="249"/>
      <c r="BVD166" s="249"/>
      <c r="BVE166" s="249"/>
      <c r="BVF166" s="249"/>
      <c r="BVG166" s="249"/>
      <c r="BVH166" s="249"/>
      <c r="BVI166" s="249"/>
      <c r="BVJ166" s="249"/>
      <c r="BVK166" s="249"/>
      <c r="BVL166" s="249"/>
      <c r="BVM166" s="249"/>
      <c r="BVN166" s="249"/>
      <c r="BVO166" s="249"/>
      <c r="BVP166" s="249"/>
      <c r="BVQ166" s="249"/>
      <c r="BVR166" s="249"/>
      <c r="BVS166" s="249"/>
      <c r="BVT166" s="249"/>
      <c r="BVU166" s="249"/>
      <c r="BVV166" s="249"/>
      <c r="BVW166" s="249"/>
      <c r="BVX166" s="249"/>
      <c r="BVY166" s="249"/>
      <c r="BVZ166" s="249"/>
      <c r="BWA166" s="249"/>
      <c r="BWB166" s="249"/>
      <c r="BWC166" s="249"/>
      <c r="BWD166" s="249"/>
      <c r="BWE166" s="249"/>
      <c r="BWF166" s="249"/>
      <c r="BWG166" s="249"/>
      <c r="BWH166" s="249"/>
      <c r="BWI166" s="249"/>
      <c r="BWJ166" s="249"/>
      <c r="BWK166" s="249"/>
      <c r="BWL166" s="249"/>
      <c r="BWM166" s="249"/>
      <c r="BWN166" s="249"/>
      <c r="BWO166" s="249"/>
      <c r="BWP166" s="249"/>
      <c r="BWQ166" s="249"/>
      <c r="BWR166" s="249"/>
      <c r="BWS166" s="249"/>
      <c r="BWT166" s="249"/>
      <c r="BWU166" s="249"/>
      <c r="BWV166" s="249"/>
      <c r="BWW166" s="249"/>
      <c r="BWX166" s="249"/>
      <c r="BWY166" s="249"/>
      <c r="BWZ166" s="249"/>
      <c r="BXA166" s="249"/>
      <c r="BXB166" s="249"/>
      <c r="BXC166" s="249"/>
      <c r="BXD166" s="249"/>
      <c r="BXE166" s="249"/>
      <c r="BXF166" s="249"/>
      <c r="BXG166" s="249"/>
      <c r="BXH166" s="249"/>
      <c r="BXI166" s="249"/>
      <c r="BXJ166" s="249"/>
      <c r="BXK166" s="249"/>
      <c r="BXL166" s="249"/>
      <c r="BXM166" s="249"/>
      <c r="BXN166" s="249"/>
      <c r="BXO166" s="249"/>
      <c r="BXP166" s="249"/>
      <c r="BXQ166" s="249"/>
      <c r="BXR166" s="249"/>
      <c r="BXS166" s="249"/>
      <c r="BXT166" s="249"/>
      <c r="BXU166" s="249"/>
      <c r="BXV166" s="249"/>
      <c r="BXW166" s="249"/>
      <c r="BXX166" s="249"/>
      <c r="BXY166" s="249"/>
      <c r="BXZ166" s="249"/>
      <c r="BYA166" s="249"/>
      <c r="BYB166" s="249"/>
      <c r="BYC166" s="249"/>
      <c r="BYD166" s="249"/>
      <c r="BYE166" s="249"/>
      <c r="BYF166" s="249"/>
      <c r="BYG166" s="249"/>
      <c r="BYH166" s="249"/>
      <c r="BYI166" s="249"/>
      <c r="BYJ166" s="249"/>
      <c r="BYK166" s="249"/>
      <c r="BYL166" s="249"/>
      <c r="BYM166" s="249"/>
      <c r="BYN166" s="249"/>
      <c r="BYO166" s="249"/>
      <c r="BYP166" s="249"/>
      <c r="BYQ166" s="249"/>
      <c r="BYR166" s="249"/>
      <c r="BYS166" s="249"/>
      <c r="BYT166" s="249"/>
      <c r="BYU166" s="249"/>
      <c r="BYV166" s="249"/>
      <c r="BYW166" s="249"/>
      <c r="BYX166" s="249"/>
      <c r="BYY166" s="249"/>
      <c r="BYZ166" s="249"/>
      <c r="BZA166" s="249"/>
      <c r="BZB166" s="249"/>
      <c r="BZC166" s="249"/>
      <c r="BZD166" s="249"/>
      <c r="BZE166" s="249"/>
      <c r="BZF166" s="249"/>
      <c r="BZG166" s="249"/>
      <c r="BZH166" s="249"/>
      <c r="BZI166" s="249"/>
      <c r="BZJ166" s="249"/>
      <c r="BZK166" s="249"/>
      <c r="BZL166" s="249"/>
      <c r="BZM166" s="249"/>
      <c r="BZN166" s="249"/>
      <c r="BZO166" s="249"/>
      <c r="BZP166" s="249"/>
      <c r="BZQ166" s="249"/>
      <c r="BZR166" s="249"/>
      <c r="BZS166" s="249"/>
      <c r="BZT166" s="249"/>
      <c r="BZU166" s="249"/>
      <c r="BZV166" s="249"/>
      <c r="BZW166" s="249"/>
      <c r="BZX166" s="249"/>
      <c r="BZY166" s="249"/>
      <c r="BZZ166" s="249"/>
      <c r="CAA166" s="249"/>
      <c r="CAB166" s="249"/>
      <c r="CAC166" s="249"/>
      <c r="CAD166" s="249"/>
      <c r="CAE166" s="249"/>
      <c r="CAF166" s="249"/>
      <c r="CAG166" s="249"/>
      <c r="CAH166" s="249"/>
      <c r="CAI166" s="249"/>
      <c r="CAJ166" s="249"/>
      <c r="CAK166" s="249"/>
      <c r="CAL166" s="249"/>
      <c r="CAM166" s="249"/>
      <c r="CAN166" s="249"/>
      <c r="CAO166" s="249"/>
      <c r="CAP166" s="249"/>
      <c r="CAQ166" s="249"/>
      <c r="CAR166" s="249"/>
      <c r="CAS166" s="249"/>
      <c r="CAT166" s="249"/>
      <c r="CAU166" s="249"/>
      <c r="CAV166" s="249"/>
      <c r="CAW166" s="249"/>
      <c r="CAX166" s="249"/>
      <c r="CAY166" s="249"/>
      <c r="CAZ166" s="249"/>
      <c r="CBA166" s="249"/>
      <c r="CBB166" s="249"/>
      <c r="CBC166" s="249"/>
      <c r="CBD166" s="249"/>
      <c r="CBE166" s="249"/>
      <c r="CBF166" s="249"/>
      <c r="CBG166" s="249"/>
      <c r="CBH166" s="249"/>
      <c r="CBI166" s="249"/>
      <c r="CBJ166" s="249"/>
      <c r="CBK166" s="249"/>
      <c r="CBL166" s="249"/>
      <c r="CBM166" s="249"/>
      <c r="CBN166" s="249"/>
      <c r="CBO166" s="249"/>
      <c r="CBP166" s="249"/>
      <c r="CBQ166" s="249"/>
      <c r="CBR166" s="249"/>
      <c r="CBS166" s="249"/>
      <c r="CBT166" s="249"/>
      <c r="CBU166" s="249"/>
      <c r="CBV166" s="249"/>
      <c r="CBW166" s="249"/>
      <c r="CBX166" s="249"/>
      <c r="CBY166" s="249"/>
      <c r="CBZ166" s="249"/>
      <c r="CCA166" s="249"/>
      <c r="CCB166" s="249"/>
      <c r="CCC166" s="249"/>
      <c r="CCD166" s="249"/>
      <c r="CCE166" s="249"/>
      <c r="CCF166" s="249"/>
      <c r="CCG166" s="249"/>
      <c r="CCH166" s="249"/>
      <c r="CCI166" s="249"/>
      <c r="CCJ166" s="249"/>
      <c r="CCK166" s="249"/>
      <c r="CCL166" s="249"/>
      <c r="CCM166" s="249"/>
      <c r="CCN166" s="249"/>
      <c r="CCO166" s="249"/>
      <c r="CCP166" s="249"/>
      <c r="CCQ166" s="249"/>
      <c r="CCR166" s="249"/>
      <c r="CCS166" s="249"/>
      <c r="CCT166" s="249"/>
      <c r="CCU166" s="249"/>
      <c r="CCV166" s="249"/>
      <c r="CCW166" s="249"/>
      <c r="CCX166" s="249"/>
      <c r="CCY166" s="249"/>
      <c r="CCZ166" s="249"/>
      <c r="CDA166" s="249"/>
      <c r="CDB166" s="249"/>
      <c r="CDC166" s="249"/>
      <c r="CDD166" s="249"/>
      <c r="CDE166" s="249"/>
      <c r="CDF166" s="249"/>
      <c r="CDG166" s="249"/>
      <c r="CDH166" s="249"/>
      <c r="CDI166" s="249"/>
      <c r="CDJ166" s="249"/>
      <c r="CDK166" s="249"/>
      <c r="CDL166" s="249"/>
      <c r="CDM166" s="249"/>
      <c r="CDN166" s="249"/>
      <c r="CDO166" s="249"/>
      <c r="CDP166" s="249"/>
      <c r="CDQ166" s="249"/>
      <c r="CDR166" s="249"/>
      <c r="CDS166" s="249"/>
      <c r="CDT166" s="249"/>
      <c r="CDU166" s="249"/>
      <c r="CDV166" s="249"/>
      <c r="CDW166" s="249"/>
      <c r="CDX166" s="249"/>
      <c r="CDY166" s="249"/>
      <c r="CDZ166" s="249"/>
      <c r="CEA166" s="249"/>
      <c r="CEB166" s="249"/>
      <c r="CEC166" s="249"/>
      <c r="CED166" s="249"/>
      <c r="CEE166" s="249"/>
      <c r="CEF166" s="249"/>
      <c r="CEG166" s="249"/>
      <c r="CEH166" s="249"/>
      <c r="CEI166" s="249"/>
      <c r="CEJ166" s="249"/>
      <c r="CEK166" s="249"/>
      <c r="CEL166" s="249"/>
      <c r="CEM166" s="249"/>
      <c r="CEN166" s="249"/>
      <c r="CEO166" s="249"/>
      <c r="CEP166" s="249"/>
      <c r="CEQ166" s="249"/>
      <c r="CER166" s="249"/>
      <c r="CES166" s="249"/>
      <c r="CET166" s="249"/>
      <c r="CEU166" s="249"/>
      <c r="CEV166" s="249"/>
      <c r="CEW166" s="249"/>
      <c r="CEX166" s="249"/>
      <c r="CEY166" s="249"/>
      <c r="CEZ166" s="249"/>
      <c r="CFA166" s="249"/>
      <c r="CFB166" s="249"/>
      <c r="CFC166" s="249"/>
      <c r="CFD166" s="249"/>
      <c r="CFE166" s="249"/>
      <c r="CFF166" s="249"/>
      <c r="CFG166" s="249"/>
      <c r="CFH166" s="249"/>
      <c r="CFI166" s="249"/>
      <c r="CFJ166" s="249"/>
      <c r="CFK166" s="249"/>
      <c r="CFL166" s="249"/>
      <c r="CFM166" s="249"/>
      <c r="CFN166" s="249"/>
      <c r="CFO166" s="249"/>
      <c r="CFP166" s="249"/>
      <c r="CFQ166" s="249"/>
      <c r="CFR166" s="249"/>
      <c r="CFS166" s="249"/>
      <c r="CFT166" s="249"/>
      <c r="CFU166" s="249"/>
      <c r="CFV166" s="249"/>
      <c r="CFW166" s="249"/>
      <c r="CFX166" s="249"/>
      <c r="CFY166" s="249"/>
      <c r="CFZ166" s="249"/>
      <c r="CGA166" s="249"/>
      <c r="CGB166" s="249"/>
      <c r="CGC166" s="249"/>
      <c r="CGD166" s="249"/>
      <c r="CGE166" s="249"/>
      <c r="CGF166" s="249"/>
      <c r="CGG166" s="249"/>
      <c r="CGH166" s="249"/>
      <c r="CGI166" s="249"/>
      <c r="CGJ166" s="249"/>
      <c r="CGK166" s="249"/>
      <c r="CGL166" s="249"/>
      <c r="CGM166" s="249"/>
      <c r="CGN166" s="249"/>
      <c r="CGO166" s="249"/>
      <c r="CGP166" s="249"/>
      <c r="CGQ166" s="249"/>
      <c r="CGR166" s="249"/>
      <c r="CGS166" s="249"/>
      <c r="CGT166" s="249"/>
      <c r="CGU166" s="249"/>
      <c r="CGV166" s="249"/>
      <c r="CGW166" s="249"/>
      <c r="CGX166" s="249"/>
      <c r="CGY166" s="249"/>
      <c r="CGZ166" s="249"/>
      <c r="CHA166" s="249"/>
      <c r="CHB166" s="249"/>
      <c r="CHC166" s="249"/>
      <c r="CHD166" s="249"/>
      <c r="CHE166" s="249"/>
      <c r="CHF166" s="249"/>
      <c r="CHG166" s="249"/>
      <c r="CHH166" s="249"/>
      <c r="CHI166" s="249"/>
      <c r="CHJ166" s="249"/>
      <c r="CHK166" s="249"/>
      <c r="CHL166" s="249"/>
      <c r="CHM166" s="249"/>
      <c r="CHN166" s="249"/>
      <c r="CHO166" s="249"/>
      <c r="CHP166" s="249"/>
      <c r="CHQ166" s="249"/>
      <c r="CHR166" s="249"/>
      <c r="CHS166" s="249"/>
      <c r="CHT166" s="249"/>
      <c r="CHU166" s="249"/>
      <c r="CHV166" s="249"/>
      <c r="CHW166" s="249"/>
      <c r="CHX166" s="249"/>
      <c r="CHY166" s="249"/>
      <c r="CHZ166" s="249"/>
      <c r="CIA166" s="249"/>
      <c r="CIB166" s="249"/>
      <c r="CIC166" s="249"/>
      <c r="CID166" s="249"/>
      <c r="CIE166" s="249"/>
      <c r="CIF166" s="249"/>
      <c r="CIG166" s="249"/>
      <c r="CIH166" s="249"/>
      <c r="CII166" s="249"/>
      <c r="CIJ166" s="249"/>
      <c r="CIK166" s="249"/>
      <c r="CIL166" s="249"/>
      <c r="CIM166" s="249"/>
      <c r="CIN166" s="249"/>
      <c r="CIO166" s="249"/>
      <c r="CIP166" s="249"/>
      <c r="CIQ166" s="249"/>
      <c r="CIR166" s="249"/>
      <c r="CIS166" s="249"/>
      <c r="CIT166" s="249"/>
      <c r="CIU166" s="249"/>
      <c r="CIV166" s="249"/>
      <c r="CIW166" s="249"/>
      <c r="CIX166" s="249"/>
      <c r="CIY166" s="249"/>
      <c r="CIZ166" s="249"/>
      <c r="CJA166" s="249"/>
      <c r="CJB166" s="249"/>
      <c r="CJC166" s="249"/>
      <c r="CJD166" s="249"/>
      <c r="CJE166" s="249"/>
      <c r="CJF166" s="249"/>
      <c r="CJG166" s="249"/>
      <c r="CJH166" s="249"/>
      <c r="CJI166" s="249"/>
      <c r="CJJ166" s="249"/>
      <c r="CJK166" s="249"/>
      <c r="CJL166" s="249"/>
      <c r="CJM166" s="249"/>
      <c r="CJN166" s="249"/>
      <c r="CJO166" s="249"/>
      <c r="CJP166" s="249"/>
      <c r="CJQ166" s="249"/>
      <c r="CJR166" s="249"/>
      <c r="CJS166" s="249"/>
      <c r="CJT166" s="249"/>
      <c r="CJU166" s="249"/>
      <c r="CJV166" s="249"/>
      <c r="CJW166" s="249"/>
      <c r="CJX166" s="249"/>
      <c r="CJY166" s="249"/>
      <c r="CJZ166" s="249"/>
      <c r="CKA166" s="249"/>
      <c r="CKB166" s="249"/>
      <c r="CKC166" s="249"/>
      <c r="CKD166" s="249"/>
      <c r="CKE166" s="249"/>
      <c r="CKF166" s="249"/>
      <c r="CKG166" s="249"/>
      <c r="CKH166" s="249"/>
      <c r="CKI166" s="249"/>
      <c r="CKJ166" s="249"/>
      <c r="CKK166" s="249"/>
      <c r="CKL166" s="249"/>
      <c r="CKM166" s="249"/>
      <c r="CKN166" s="249"/>
      <c r="CKO166" s="249"/>
      <c r="CKP166" s="249"/>
      <c r="CKQ166" s="249"/>
      <c r="CKR166" s="249"/>
      <c r="CKS166" s="249"/>
      <c r="CKT166" s="249"/>
      <c r="CKU166" s="249"/>
      <c r="CKV166" s="249"/>
      <c r="CKW166" s="249"/>
      <c r="CKX166" s="249"/>
      <c r="CKY166" s="249"/>
      <c r="CKZ166" s="249"/>
      <c r="CLA166" s="249"/>
      <c r="CLB166" s="249"/>
      <c r="CLC166" s="249"/>
      <c r="CLD166" s="249"/>
      <c r="CLE166" s="249"/>
      <c r="CLF166" s="249"/>
      <c r="CLG166" s="249"/>
      <c r="CLH166" s="249"/>
      <c r="CLI166" s="249"/>
      <c r="CLJ166" s="249"/>
      <c r="CLK166" s="249"/>
      <c r="CLL166" s="249"/>
      <c r="CLM166" s="249"/>
      <c r="CLN166" s="249"/>
      <c r="CLO166" s="249"/>
      <c r="CLP166" s="249"/>
      <c r="CLQ166" s="249"/>
      <c r="CLR166" s="249"/>
      <c r="CLS166" s="249"/>
      <c r="CLT166" s="249"/>
      <c r="CLU166" s="249"/>
      <c r="CLV166" s="249"/>
      <c r="CLW166" s="249"/>
      <c r="CLX166" s="249"/>
      <c r="CLY166" s="249"/>
      <c r="CLZ166" s="249"/>
      <c r="CMA166" s="249"/>
      <c r="CMB166" s="249"/>
      <c r="CMC166" s="249"/>
      <c r="CMD166" s="249"/>
      <c r="CME166" s="249"/>
      <c r="CMF166" s="249"/>
      <c r="CMG166" s="249"/>
      <c r="CMH166" s="249"/>
      <c r="CMI166" s="249"/>
      <c r="CMJ166" s="249"/>
      <c r="CMK166" s="249"/>
      <c r="CML166" s="249"/>
      <c r="CMM166" s="249"/>
      <c r="CMN166" s="249"/>
      <c r="CMO166" s="249"/>
      <c r="CMP166" s="249"/>
      <c r="CMQ166" s="249"/>
      <c r="CMR166" s="249"/>
      <c r="CMS166" s="249"/>
      <c r="CMT166" s="249"/>
      <c r="CMU166" s="249"/>
      <c r="CMV166" s="249"/>
      <c r="CMW166" s="249"/>
      <c r="CMX166" s="249"/>
      <c r="CMY166" s="249"/>
      <c r="CMZ166" s="249"/>
      <c r="CNA166" s="249"/>
      <c r="CNB166" s="249"/>
      <c r="CNC166" s="249"/>
      <c r="CND166" s="249"/>
      <c r="CNE166" s="249"/>
      <c r="CNF166" s="249"/>
      <c r="CNG166" s="249"/>
      <c r="CNH166" s="249"/>
      <c r="CNI166" s="249"/>
      <c r="CNJ166" s="249"/>
      <c r="CNK166" s="249"/>
      <c r="CNL166" s="249"/>
      <c r="CNM166" s="249"/>
      <c r="CNN166" s="249"/>
      <c r="CNO166" s="249"/>
      <c r="CNP166" s="249"/>
      <c r="CNQ166" s="249"/>
      <c r="CNR166" s="249"/>
      <c r="CNS166" s="249"/>
      <c r="CNT166" s="249"/>
      <c r="CNU166" s="249"/>
      <c r="CNV166" s="249"/>
      <c r="CNW166" s="249"/>
      <c r="CNX166" s="249"/>
      <c r="CNY166" s="249"/>
      <c r="CNZ166" s="249"/>
      <c r="COA166" s="249"/>
      <c r="COB166" s="249"/>
      <c r="COC166" s="249"/>
      <c r="COD166" s="249"/>
      <c r="COE166" s="249"/>
      <c r="COF166" s="249"/>
      <c r="COG166" s="249"/>
      <c r="COH166" s="249"/>
      <c r="COI166" s="249"/>
      <c r="COJ166" s="249"/>
      <c r="COK166" s="249"/>
      <c r="COL166" s="249"/>
      <c r="COM166" s="249"/>
      <c r="CON166" s="249"/>
      <c r="COO166" s="249"/>
      <c r="COP166" s="249"/>
      <c r="COQ166" s="249"/>
      <c r="COR166" s="249"/>
      <c r="COS166" s="249"/>
      <c r="COT166" s="249"/>
      <c r="COU166" s="249"/>
      <c r="COV166" s="249"/>
      <c r="COW166" s="249"/>
      <c r="COX166" s="249"/>
      <c r="COY166" s="249"/>
      <c r="COZ166" s="249"/>
      <c r="CPA166" s="249"/>
      <c r="CPB166" s="249"/>
      <c r="CPC166" s="249"/>
      <c r="CPD166" s="249"/>
      <c r="CPE166" s="249"/>
      <c r="CPF166" s="249"/>
      <c r="CPG166" s="249"/>
      <c r="CPH166" s="249"/>
      <c r="CPI166" s="249"/>
      <c r="CPJ166" s="249"/>
      <c r="CPK166" s="249"/>
      <c r="CPL166" s="249"/>
      <c r="CPM166" s="249"/>
      <c r="CPN166" s="249"/>
      <c r="CPO166" s="249"/>
      <c r="CPP166" s="249"/>
      <c r="CPQ166" s="249"/>
      <c r="CPR166" s="249"/>
      <c r="CPS166" s="249"/>
      <c r="CPT166" s="249"/>
      <c r="CPU166" s="249"/>
      <c r="CPV166" s="249"/>
      <c r="CPW166" s="249"/>
      <c r="CPX166" s="249"/>
      <c r="CPY166" s="249"/>
      <c r="CPZ166" s="249"/>
      <c r="CQA166" s="249"/>
      <c r="CQB166" s="249"/>
      <c r="CQC166" s="249"/>
      <c r="CQD166" s="249"/>
      <c r="CQE166" s="249"/>
      <c r="CQF166" s="249"/>
      <c r="CQG166" s="249"/>
      <c r="CQH166" s="249"/>
      <c r="CQI166" s="249"/>
      <c r="CQJ166" s="249"/>
      <c r="CQK166" s="249"/>
      <c r="CQL166" s="249"/>
      <c r="CQM166" s="249"/>
      <c r="CQN166" s="249"/>
      <c r="CQO166" s="249"/>
      <c r="CQP166" s="249"/>
      <c r="CQQ166" s="249"/>
      <c r="CQR166" s="249"/>
      <c r="CQS166" s="249"/>
      <c r="CQT166" s="249"/>
      <c r="CQU166" s="249"/>
      <c r="CQV166" s="249"/>
      <c r="CQW166" s="249"/>
      <c r="CQX166" s="249"/>
      <c r="CQY166" s="249"/>
      <c r="CQZ166" s="249"/>
      <c r="CRA166" s="249"/>
      <c r="CRB166" s="249"/>
      <c r="CRC166" s="249"/>
      <c r="CRD166" s="249"/>
      <c r="CRE166" s="249"/>
      <c r="CRF166" s="249"/>
      <c r="CRG166" s="249"/>
      <c r="CRH166" s="249"/>
      <c r="CRI166" s="249"/>
      <c r="CRJ166" s="249"/>
      <c r="CRK166" s="249"/>
      <c r="CRL166" s="249"/>
      <c r="CRM166" s="249"/>
      <c r="CRN166" s="249"/>
      <c r="CRO166" s="249"/>
      <c r="CRP166" s="249"/>
      <c r="CRQ166" s="249"/>
      <c r="CRR166" s="249"/>
      <c r="CRS166" s="249"/>
      <c r="CRT166" s="249"/>
      <c r="CRU166" s="249"/>
      <c r="CRV166" s="249"/>
      <c r="CRW166" s="249"/>
      <c r="CRX166" s="249"/>
      <c r="CRY166" s="249"/>
      <c r="CRZ166" s="249"/>
      <c r="CSA166" s="249"/>
      <c r="CSB166" s="249"/>
      <c r="CSC166" s="249"/>
      <c r="CSD166" s="249"/>
      <c r="CSE166" s="249"/>
      <c r="CSF166" s="249"/>
      <c r="CSG166" s="249"/>
      <c r="CSH166" s="249"/>
      <c r="CSI166" s="249"/>
      <c r="CSJ166" s="249"/>
      <c r="CSK166" s="249"/>
      <c r="CSL166" s="249"/>
      <c r="CSM166" s="249"/>
      <c r="CSN166" s="249"/>
      <c r="CSO166" s="249"/>
      <c r="CSP166" s="249"/>
      <c r="CSQ166" s="249"/>
      <c r="CSR166" s="249"/>
      <c r="CSS166" s="249"/>
      <c r="CST166" s="249"/>
      <c r="CSU166" s="249"/>
      <c r="CSV166" s="249"/>
      <c r="CSW166" s="249"/>
      <c r="CSX166" s="249"/>
      <c r="CSY166" s="249"/>
      <c r="CSZ166" s="249"/>
      <c r="CTA166" s="249"/>
      <c r="CTB166" s="249"/>
      <c r="CTC166" s="249"/>
      <c r="CTD166" s="249"/>
      <c r="CTE166" s="249"/>
      <c r="CTF166" s="249"/>
      <c r="CTG166" s="249"/>
      <c r="CTH166" s="249"/>
      <c r="CTI166" s="249"/>
      <c r="CTJ166" s="249"/>
      <c r="CTK166" s="249"/>
      <c r="CTL166" s="249"/>
      <c r="CTM166" s="249"/>
      <c r="CTN166" s="249"/>
      <c r="CTO166" s="249"/>
      <c r="CTP166" s="249"/>
      <c r="CTQ166" s="249"/>
      <c r="CTR166" s="249"/>
      <c r="CTS166" s="249"/>
      <c r="CTT166" s="249"/>
      <c r="CTU166" s="249"/>
      <c r="CTV166" s="249"/>
      <c r="CTW166" s="249"/>
      <c r="CTX166" s="249"/>
      <c r="CTY166" s="249"/>
      <c r="CTZ166" s="249"/>
      <c r="CUA166" s="249"/>
      <c r="CUB166" s="249"/>
      <c r="CUC166" s="249"/>
      <c r="CUD166" s="249"/>
      <c r="CUE166" s="249"/>
      <c r="CUF166" s="249"/>
      <c r="CUG166" s="249"/>
      <c r="CUH166" s="249"/>
      <c r="CUI166" s="249"/>
      <c r="CUJ166" s="249"/>
      <c r="CUK166" s="249"/>
      <c r="CUL166" s="249"/>
      <c r="CUM166" s="249"/>
      <c r="CUN166" s="249"/>
      <c r="CUO166" s="249"/>
      <c r="CUP166" s="249"/>
      <c r="CUQ166" s="249"/>
      <c r="CUR166" s="249"/>
      <c r="CUS166" s="249"/>
      <c r="CUT166" s="249"/>
      <c r="CUU166" s="249"/>
      <c r="CUV166" s="249"/>
      <c r="CUW166" s="249"/>
      <c r="CUX166" s="249"/>
      <c r="CUY166" s="249"/>
      <c r="CUZ166" s="249"/>
      <c r="CVA166" s="249"/>
      <c r="CVB166" s="249"/>
      <c r="CVC166" s="249"/>
      <c r="CVD166" s="249"/>
      <c r="CVE166" s="249"/>
      <c r="CVF166" s="249"/>
      <c r="CVG166" s="249"/>
      <c r="CVH166" s="249"/>
      <c r="CVI166" s="249"/>
      <c r="CVJ166" s="249"/>
      <c r="CVK166" s="249"/>
      <c r="CVL166" s="249"/>
      <c r="CVM166" s="249"/>
      <c r="CVN166" s="249"/>
      <c r="CVO166" s="249"/>
      <c r="CVP166" s="249"/>
      <c r="CVQ166" s="249"/>
      <c r="CVR166" s="249"/>
      <c r="CVS166" s="249"/>
      <c r="CVT166" s="249"/>
      <c r="CVU166" s="249"/>
      <c r="CVV166" s="249"/>
      <c r="CVW166" s="249"/>
      <c r="CVX166" s="249"/>
      <c r="CVY166" s="249"/>
      <c r="CVZ166" s="249"/>
      <c r="CWA166" s="249"/>
      <c r="CWB166" s="249"/>
      <c r="CWC166" s="249"/>
      <c r="CWD166" s="249"/>
      <c r="CWE166" s="249"/>
      <c r="CWF166" s="249"/>
      <c r="CWG166" s="249"/>
      <c r="CWH166" s="249"/>
      <c r="CWI166" s="249"/>
      <c r="CWJ166" s="249"/>
      <c r="CWK166" s="249"/>
      <c r="CWL166" s="249"/>
      <c r="CWM166" s="249"/>
      <c r="CWN166" s="249"/>
      <c r="CWO166" s="249"/>
      <c r="CWP166" s="249"/>
      <c r="CWQ166" s="249"/>
      <c r="CWR166" s="249"/>
      <c r="CWS166" s="249"/>
      <c r="CWT166" s="249"/>
      <c r="CWU166" s="249"/>
      <c r="CWV166" s="249"/>
      <c r="CWW166" s="249"/>
      <c r="CWX166" s="249"/>
      <c r="CWY166" s="249"/>
      <c r="CWZ166" s="249"/>
      <c r="CXA166" s="249"/>
      <c r="CXB166" s="249"/>
      <c r="CXC166" s="249"/>
      <c r="CXD166" s="249"/>
      <c r="CXE166" s="249"/>
      <c r="CXF166" s="249"/>
      <c r="CXG166" s="249"/>
      <c r="CXH166" s="249"/>
      <c r="CXI166" s="249"/>
      <c r="CXJ166" s="249"/>
      <c r="CXK166" s="249"/>
      <c r="CXL166" s="249"/>
      <c r="CXM166" s="249"/>
      <c r="CXN166" s="249"/>
      <c r="CXO166" s="249"/>
      <c r="CXP166" s="249"/>
      <c r="CXQ166" s="249"/>
      <c r="CXR166" s="249"/>
      <c r="CXS166" s="249"/>
      <c r="CXT166" s="249"/>
      <c r="CXU166" s="249"/>
      <c r="CXV166" s="249"/>
      <c r="CXW166" s="249"/>
      <c r="CXX166" s="249"/>
      <c r="CXY166" s="249"/>
      <c r="CXZ166" s="249"/>
      <c r="CYA166" s="249"/>
      <c r="CYB166" s="249"/>
      <c r="CYC166" s="249"/>
      <c r="CYD166" s="249"/>
      <c r="CYE166" s="249"/>
      <c r="CYF166" s="249"/>
      <c r="CYG166" s="249"/>
      <c r="CYH166" s="249"/>
      <c r="CYI166" s="249"/>
      <c r="CYJ166" s="249"/>
      <c r="CYK166" s="249"/>
      <c r="CYL166" s="249"/>
      <c r="CYM166" s="249"/>
      <c r="CYN166" s="249"/>
      <c r="CYO166" s="249"/>
      <c r="CYP166" s="249"/>
      <c r="CYQ166" s="249"/>
      <c r="CYR166" s="249"/>
      <c r="CYS166" s="249"/>
      <c r="CYT166" s="249"/>
      <c r="CYU166" s="249"/>
      <c r="CYV166" s="249"/>
      <c r="CYW166" s="249"/>
      <c r="CYX166" s="249"/>
      <c r="CYY166" s="249"/>
      <c r="CYZ166" s="249"/>
      <c r="CZA166" s="249"/>
      <c r="CZB166" s="249"/>
      <c r="CZC166" s="249"/>
      <c r="CZD166" s="249"/>
      <c r="CZE166" s="249"/>
      <c r="CZF166" s="249"/>
      <c r="CZG166" s="249"/>
      <c r="CZH166" s="249"/>
      <c r="CZI166" s="249"/>
      <c r="CZJ166" s="249"/>
      <c r="CZK166" s="249"/>
      <c r="CZL166" s="249"/>
      <c r="CZM166" s="249"/>
      <c r="CZN166" s="249"/>
      <c r="CZO166" s="249"/>
      <c r="CZP166" s="249"/>
      <c r="CZQ166" s="249"/>
      <c r="CZR166" s="249"/>
      <c r="CZS166" s="249"/>
      <c r="CZT166" s="249"/>
      <c r="CZU166" s="249"/>
      <c r="CZV166" s="249"/>
      <c r="CZW166" s="249"/>
      <c r="CZX166" s="249"/>
      <c r="CZY166" s="249"/>
      <c r="CZZ166" s="249"/>
      <c r="DAA166" s="249"/>
      <c r="DAB166" s="249"/>
      <c r="DAC166" s="249"/>
      <c r="DAD166" s="249"/>
      <c r="DAE166" s="249"/>
      <c r="DAF166" s="249"/>
      <c r="DAG166" s="249"/>
      <c r="DAH166" s="249"/>
      <c r="DAI166" s="249"/>
      <c r="DAJ166" s="249"/>
      <c r="DAK166" s="249"/>
      <c r="DAL166" s="249"/>
      <c r="DAM166" s="249"/>
      <c r="DAN166" s="249"/>
      <c r="DAO166" s="249"/>
      <c r="DAP166" s="249"/>
      <c r="DAQ166" s="249"/>
      <c r="DAR166" s="249"/>
      <c r="DAS166" s="249"/>
      <c r="DAT166" s="249"/>
      <c r="DAU166" s="249"/>
      <c r="DAV166" s="249"/>
      <c r="DAW166" s="249"/>
      <c r="DAX166" s="249"/>
      <c r="DAY166" s="249"/>
      <c r="DAZ166" s="249"/>
      <c r="DBA166" s="249"/>
      <c r="DBB166" s="249"/>
      <c r="DBC166" s="249"/>
      <c r="DBD166" s="249"/>
      <c r="DBE166" s="249"/>
      <c r="DBF166" s="249"/>
      <c r="DBG166" s="249"/>
      <c r="DBH166" s="249"/>
      <c r="DBI166" s="249"/>
      <c r="DBJ166" s="249"/>
      <c r="DBK166" s="249"/>
      <c r="DBL166" s="249"/>
      <c r="DBM166" s="249"/>
      <c r="DBN166" s="249"/>
      <c r="DBO166" s="249"/>
      <c r="DBP166" s="249"/>
      <c r="DBQ166" s="249"/>
      <c r="DBR166" s="249"/>
      <c r="DBS166" s="249"/>
      <c r="DBT166" s="249"/>
      <c r="DBU166" s="249"/>
      <c r="DBV166" s="249"/>
      <c r="DBW166" s="249"/>
      <c r="DBX166" s="249"/>
      <c r="DBY166" s="249"/>
      <c r="DBZ166" s="249"/>
      <c r="DCA166" s="249"/>
      <c r="DCB166" s="249"/>
      <c r="DCC166" s="249"/>
      <c r="DCD166" s="249"/>
      <c r="DCE166" s="249"/>
      <c r="DCF166" s="249"/>
      <c r="DCG166" s="249"/>
      <c r="DCH166" s="249"/>
      <c r="DCI166" s="249"/>
      <c r="DCJ166" s="249"/>
      <c r="DCK166" s="249"/>
      <c r="DCL166" s="249"/>
      <c r="DCM166" s="249"/>
      <c r="DCN166" s="249"/>
      <c r="DCO166" s="249"/>
      <c r="DCP166" s="249"/>
      <c r="DCQ166" s="249"/>
      <c r="DCR166" s="249"/>
      <c r="DCS166" s="249"/>
      <c r="DCT166" s="249"/>
      <c r="DCU166" s="249"/>
      <c r="DCV166" s="249"/>
      <c r="DCW166" s="249"/>
      <c r="DCX166" s="249"/>
      <c r="DCY166" s="249"/>
      <c r="DCZ166" s="249"/>
      <c r="DDA166" s="249"/>
      <c r="DDB166" s="249"/>
      <c r="DDC166" s="249"/>
      <c r="DDD166" s="249"/>
      <c r="DDE166" s="249"/>
      <c r="DDF166" s="249"/>
      <c r="DDG166" s="249"/>
      <c r="DDH166" s="249"/>
      <c r="DDI166" s="249"/>
      <c r="DDJ166" s="249"/>
      <c r="DDK166" s="249"/>
      <c r="DDL166" s="249"/>
      <c r="DDM166" s="249"/>
      <c r="DDN166" s="249"/>
      <c r="DDO166" s="249"/>
      <c r="DDP166" s="249"/>
      <c r="DDQ166" s="249"/>
      <c r="DDR166" s="249"/>
      <c r="DDS166" s="249"/>
      <c r="DDT166" s="249"/>
      <c r="DDU166" s="249"/>
      <c r="DDV166" s="249"/>
      <c r="DDW166" s="249"/>
      <c r="DDX166" s="249"/>
      <c r="DDY166" s="249"/>
      <c r="DDZ166" s="249"/>
      <c r="DEA166" s="249"/>
      <c r="DEB166" s="249"/>
      <c r="DEC166" s="249"/>
      <c r="DED166" s="249"/>
      <c r="DEE166" s="249"/>
      <c r="DEF166" s="249"/>
      <c r="DEG166" s="249"/>
      <c r="DEH166" s="249"/>
      <c r="DEI166" s="249"/>
      <c r="DEJ166" s="249"/>
      <c r="DEK166" s="249"/>
      <c r="DEL166" s="249"/>
      <c r="DEM166" s="249"/>
      <c r="DEN166" s="249"/>
      <c r="DEO166" s="249"/>
      <c r="DEP166" s="249"/>
      <c r="DEQ166" s="249"/>
      <c r="DER166" s="249"/>
      <c r="DES166" s="249"/>
      <c r="DET166" s="249"/>
      <c r="DEU166" s="249"/>
      <c r="DEV166" s="249"/>
      <c r="DEW166" s="249"/>
      <c r="DEX166" s="249"/>
      <c r="DEY166" s="249"/>
      <c r="DEZ166" s="249"/>
      <c r="DFA166" s="249"/>
      <c r="DFB166" s="249"/>
      <c r="DFC166" s="249"/>
      <c r="DFD166" s="249"/>
      <c r="DFE166" s="249"/>
      <c r="DFF166" s="249"/>
      <c r="DFG166" s="249"/>
      <c r="DFH166" s="249"/>
      <c r="DFI166" s="249"/>
      <c r="DFJ166" s="249"/>
      <c r="DFK166" s="249"/>
      <c r="DFL166" s="249"/>
      <c r="DFM166" s="249"/>
      <c r="DFN166" s="249"/>
      <c r="DFO166" s="249"/>
      <c r="DFP166" s="249"/>
      <c r="DFQ166" s="249"/>
      <c r="DFR166" s="249"/>
      <c r="DFS166" s="249"/>
      <c r="DFT166" s="249"/>
      <c r="DFU166" s="249"/>
      <c r="DFV166" s="249"/>
      <c r="DFW166" s="249"/>
      <c r="DFX166" s="249"/>
      <c r="DFY166" s="249"/>
      <c r="DFZ166" s="249"/>
      <c r="DGA166" s="249"/>
      <c r="DGB166" s="249"/>
      <c r="DGC166" s="249"/>
      <c r="DGD166" s="249"/>
      <c r="DGE166" s="249"/>
      <c r="DGF166" s="249"/>
      <c r="DGG166" s="249"/>
      <c r="DGH166" s="249"/>
      <c r="DGI166" s="249"/>
      <c r="DGJ166" s="249"/>
      <c r="DGK166" s="249"/>
      <c r="DGL166" s="249"/>
      <c r="DGM166" s="249"/>
      <c r="DGN166" s="249"/>
      <c r="DGO166" s="249"/>
      <c r="DGP166" s="249"/>
      <c r="DGQ166" s="249"/>
      <c r="DGR166" s="249"/>
      <c r="DGS166" s="249"/>
      <c r="DGT166" s="249"/>
      <c r="DGU166" s="249"/>
      <c r="DGV166" s="249"/>
      <c r="DGW166" s="249"/>
      <c r="DGX166" s="249"/>
      <c r="DGY166" s="249"/>
      <c r="DGZ166" s="249"/>
      <c r="DHA166" s="249"/>
      <c r="DHB166" s="249"/>
      <c r="DHC166" s="249"/>
      <c r="DHD166" s="249"/>
      <c r="DHE166" s="249"/>
      <c r="DHF166" s="249"/>
      <c r="DHG166" s="249"/>
      <c r="DHH166" s="249"/>
      <c r="DHI166" s="249"/>
      <c r="DHJ166" s="249"/>
      <c r="DHK166" s="249"/>
      <c r="DHL166" s="249"/>
      <c r="DHM166" s="249"/>
      <c r="DHN166" s="249"/>
      <c r="DHO166" s="249"/>
      <c r="DHP166" s="249"/>
      <c r="DHQ166" s="249"/>
      <c r="DHR166" s="249"/>
      <c r="DHS166" s="249"/>
      <c r="DHT166" s="249"/>
      <c r="DHU166" s="249"/>
      <c r="DHV166" s="249"/>
      <c r="DHW166" s="249"/>
      <c r="DHX166" s="249"/>
      <c r="DHY166" s="249"/>
      <c r="DHZ166" s="249"/>
      <c r="DIA166" s="249"/>
      <c r="DIB166" s="249"/>
      <c r="DIC166" s="249"/>
      <c r="DID166" s="249"/>
      <c r="DIE166" s="249"/>
      <c r="DIF166" s="249"/>
      <c r="DIG166" s="249"/>
      <c r="DIH166" s="249"/>
      <c r="DII166" s="249"/>
      <c r="DIJ166" s="249"/>
      <c r="DIK166" s="249"/>
      <c r="DIL166" s="249"/>
      <c r="DIM166" s="249"/>
      <c r="DIN166" s="249"/>
      <c r="DIO166" s="249"/>
      <c r="DIP166" s="249"/>
      <c r="DIQ166" s="249"/>
      <c r="DIR166" s="249"/>
      <c r="DIS166" s="249"/>
      <c r="DIT166" s="249"/>
      <c r="DIU166" s="249"/>
      <c r="DIV166" s="249"/>
      <c r="DIW166" s="249"/>
      <c r="DIX166" s="249"/>
      <c r="DIY166" s="249"/>
      <c r="DIZ166" s="249"/>
      <c r="DJA166" s="249"/>
      <c r="DJB166" s="249"/>
      <c r="DJC166" s="249"/>
      <c r="DJD166" s="249"/>
      <c r="DJE166" s="249"/>
      <c r="DJF166" s="249"/>
      <c r="DJG166" s="249"/>
      <c r="DJH166" s="249"/>
      <c r="DJI166" s="249"/>
      <c r="DJJ166" s="249"/>
      <c r="DJK166" s="249"/>
      <c r="DJL166" s="249"/>
      <c r="DJM166" s="249"/>
      <c r="DJN166" s="249"/>
      <c r="DJO166" s="249"/>
      <c r="DJP166" s="249"/>
      <c r="DJQ166" s="249"/>
      <c r="DJR166" s="249"/>
      <c r="DJS166" s="249"/>
      <c r="DJT166" s="249"/>
      <c r="DJU166" s="249"/>
      <c r="DJV166" s="249"/>
      <c r="DJW166" s="249"/>
      <c r="DJX166" s="249"/>
      <c r="DJY166" s="249"/>
      <c r="DJZ166" s="249"/>
      <c r="DKA166" s="249"/>
      <c r="DKB166" s="249"/>
      <c r="DKC166" s="249"/>
      <c r="DKD166" s="249"/>
      <c r="DKE166" s="249"/>
      <c r="DKF166" s="249"/>
      <c r="DKG166" s="249"/>
      <c r="DKH166" s="249"/>
      <c r="DKI166" s="249"/>
      <c r="DKJ166" s="249"/>
      <c r="DKK166" s="249"/>
      <c r="DKL166" s="249"/>
      <c r="DKM166" s="249"/>
      <c r="DKN166" s="249"/>
      <c r="DKO166" s="249"/>
      <c r="DKP166" s="249"/>
      <c r="DKQ166" s="249"/>
      <c r="DKR166" s="249"/>
      <c r="DKS166" s="249"/>
      <c r="DKT166" s="249"/>
      <c r="DKU166" s="249"/>
      <c r="DKV166" s="249"/>
      <c r="DKW166" s="249"/>
      <c r="DKX166" s="249"/>
      <c r="DKY166" s="249"/>
      <c r="DKZ166" s="249"/>
      <c r="DLA166" s="249"/>
      <c r="DLB166" s="249"/>
      <c r="DLC166" s="249"/>
      <c r="DLD166" s="249"/>
      <c r="DLE166" s="249"/>
      <c r="DLF166" s="249"/>
      <c r="DLG166" s="249"/>
      <c r="DLH166" s="249"/>
      <c r="DLI166" s="249"/>
      <c r="DLJ166" s="249"/>
      <c r="DLK166" s="249"/>
      <c r="DLL166" s="249"/>
      <c r="DLM166" s="249"/>
      <c r="DLN166" s="249"/>
      <c r="DLO166" s="249"/>
      <c r="DLP166" s="249"/>
      <c r="DLQ166" s="249"/>
      <c r="DLR166" s="249"/>
      <c r="DLS166" s="249"/>
      <c r="DLT166" s="249"/>
      <c r="DLU166" s="249"/>
      <c r="DLV166" s="249"/>
      <c r="DLW166" s="249"/>
      <c r="DLX166" s="249"/>
      <c r="DLY166" s="249"/>
      <c r="DLZ166" s="249"/>
      <c r="DMA166" s="249"/>
      <c r="DMB166" s="249"/>
      <c r="DMC166" s="249"/>
      <c r="DMD166" s="249"/>
      <c r="DME166" s="249"/>
      <c r="DMF166" s="249"/>
      <c r="DMG166" s="249"/>
      <c r="DMH166" s="249"/>
      <c r="DMI166" s="249"/>
      <c r="DMJ166" s="249"/>
      <c r="DMK166" s="249"/>
      <c r="DML166" s="249"/>
      <c r="DMM166" s="249"/>
      <c r="DMN166" s="249"/>
      <c r="DMO166" s="249"/>
      <c r="DMP166" s="249"/>
      <c r="DMQ166" s="249"/>
      <c r="DMR166" s="249"/>
      <c r="DMS166" s="249"/>
      <c r="DMT166" s="249"/>
      <c r="DMU166" s="249"/>
      <c r="DMV166" s="249"/>
      <c r="DMW166" s="249"/>
      <c r="DMX166" s="249"/>
      <c r="DMY166" s="249"/>
      <c r="DMZ166" s="249"/>
      <c r="DNA166" s="249"/>
      <c r="DNB166" s="249"/>
      <c r="DNC166" s="249"/>
      <c r="DND166" s="249"/>
      <c r="DNE166" s="249"/>
      <c r="DNF166" s="249"/>
      <c r="DNG166" s="249"/>
      <c r="DNH166" s="249"/>
      <c r="DNI166" s="249"/>
      <c r="DNJ166" s="249"/>
      <c r="DNK166" s="249"/>
      <c r="DNL166" s="249"/>
      <c r="DNM166" s="249"/>
      <c r="DNN166" s="249"/>
      <c r="DNO166" s="249"/>
      <c r="DNP166" s="249"/>
      <c r="DNQ166" s="249"/>
      <c r="DNR166" s="249"/>
      <c r="DNS166" s="249"/>
      <c r="DNT166" s="249"/>
      <c r="DNU166" s="249"/>
      <c r="DNV166" s="249"/>
      <c r="DNW166" s="249"/>
      <c r="DNX166" s="249"/>
      <c r="DNY166" s="249"/>
      <c r="DNZ166" s="249"/>
      <c r="DOA166" s="249"/>
      <c r="DOB166" s="249"/>
      <c r="DOC166" s="249"/>
      <c r="DOD166" s="249"/>
      <c r="DOE166" s="249"/>
      <c r="DOF166" s="249"/>
      <c r="DOG166" s="249"/>
      <c r="DOH166" s="249"/>
      <c r="DOI166" s="249"/>
      <c r="DOJ166" s="249"/>
      <c r="DOK166" s="249"/>
      <c r="DOL166" s="249"/>
      <c r="DOM166" s="249"/>
      <c r="DON166" s="249"/>
      <c r="DOO166" s="249"/>
      <c r="DOP166" s="249"/>
      <c r="DOQ166" s="249"/>
      <c r="DOR166" s="249"/>
      <c r="DOS166" s="249"/>
      <c r="DOT166" s="249"/>
      <c r="DOU166" s="249"/>
      <c r="DOV166" s="249"/>
      <c r="DOW166" s="249"/>
      <c r="DOX166" s="249"/>
      <c r="DOY166" s="249"/>
      <c r="DOZ166" s="249"/>
      <c r="DPA166" s="249"/>
      <c r="DPB166" s="249"/>
      <c r="DPC166" s="249"/>
      <c r="DPD166" s="249"/>
      <c r="DPE166" s="249"/>
      <c r="DPF166" s="249"/>
      <c r="DPG166" s="249"/>
      <c r="DPH166" s="249"/>
      <c r="DPI166" s="249"/>
      <c r="DPJ166" s="249"/>
      <c r="DPK166" s="249"/>
      <c r="DPL166" s="249"/>
      <c r="DPM166" s="249"/>
      <c r="DPN166" s="249"/>
      <c r="DPO166" s="249"/>
      <c r="DPP166" s="249"/>
      <c r="DPQ166" s="249"/>
      <c r="DPR166" s="249"/>
      <c r="DPS166" s="249"/>
      <c r="DPT166" s="249"/>
      <c r="DPU166" s="249"/>
      <c r="DPV166" s="249"/>
      <c r="DPW166" s="249"/>
      <c r="DPX166" s="249"/>
      <c r="DPY166" s="249"/>
      <c r="DPZ166" s="249"/>
      <c r="DQA166" s="249"/>
      <c r="DQB166" s="249"/>
      <c r="DQC166" s="249"/>
      <c r="DQD166" s="249"/>
      <c r="DQE166" s="249"/>
      <c r="DQF166" s="249"/>
      <c r="DQG166" s="249"/>
      <c r="DQH166" s="249"/>
      <c r="DQI166" s="249"/>
      <c r="DQJ166" s="249"/>
      <c r="DQK166" s="249"/>
      <c r="DQL166" s="249"/>
      <c r="DQM166" s="249"/>
      <c r="DQN166" s="249"/>
      <c r="DQO166" s="249"/>
      <c r="DQP166" s="249"/>
      <c r="DQQ166" s="249"/>
      <c r="DQR166" s="249"/>
      <c r="DQS166" s="249"/>
      <c r="DQT166" s="249"/>
      <c r="DQU166" s="249"/>
      <c r="DQV166" s="249"/>
      <c r="DQW166" s="249"/>
      <c r="DQX166" s="249"/>
      <c r="DQY166" s="249"/>
      <c r="DQZ166" s="249"/>
      <c r="DRA166" s="249"/>
      <c r="DRB166" s="249"/>
      <c r="DRC166" s="249"/>
      <c r="DRD166" s="249"/>
      <c r="DRE166" s="249"/>
      <c r="DRF166" s="249"/>
      <c r="DRG166" s="249"/>
      <c r="DRH166" s="249"/>
      <c r="DRI166" s="249"/>
      <c r="DRJ166" s="249"/>
      <c r="DRK166" s="249"/>
      <c r="DRL166" s="249"/>
      <c r="DRM166" s="249"/>
      <c r="DRN166" s="249"/>
      <c r="DRO166" s="249"/>
      <c r="DRP166" s="249"/>
      <c r="DRQ166" s="249"/>
      <c r="DRR166" s="249"/>
      <c r="DRS166" s="249"/>
      <c r="DRT166" s="249"/>
      <c r="DRU166" s="249"/>
      <c r="DRV166" s="249"/>
      <c r="DRW166" s="249"/>
      <c r="DRX166" s="249"/>
      <c r="DRY166" s="249"/>
      <c r="DRZ166" s="249"/>
      <c r="DSA166" s="249"/>
      <c r="DSB166" s="249"/>
      <c r="DSC166" s="249"/>
      <c r="DSD166" s="249"/>
      <c r="DSE166" s="249"/>
      <c r="DSF166" s="249"/>
      <c r="DSG166" s="249"/>
      <c r="DSH166" s="249"/>
      <c r="DSI166" s="249"/>
      <c r="DSJ166" s="249"/>
      <c r="DSK166" s="249"/>
      <c r="DSL166" s="249"/>
      <c r="DSM166" s="249"/>
      <c r="DSN166" s="249"/>
      <c r="DSO166" s="249"/>
      <c r="DSP166" s="249"/>
      <c r="DSQ166" s="249"/>
      <c r="DSR166" s="249"/>
      <c r="DSS166" s="249"/>
      <c r="DST166" s="249"/>
      <c r="DSU166" s="249"/>
      <c r="DSV166" s="249"/>
      <c r="DSW166" s="249"/>
      <c r="DSX166" s="249"/>
      <c r="DSY166" s="249"/>
      <c r="DSZ166" s="249"/>
      <c r="DTA166" s="249"/>
      <c r="DTB166" s="249"/>
      <c r="DTC166" s="249"/>
      <c r="DTD166" s="249"/>
      <c r="DTE166" s="249"/>
      <c r="DTF166" s="249"/>
      <c r="DTG166" s="249"/>
      <c r="DTH166" s="249"/>
      <c r="DTI166" s="249"/>
      <c r="DTJ166" s="249"/>
      <c r="DTK166" s="249"/>
      <c r="DTL166" s="249"/>
      <c r="DTM166" s="249"/>
      <c r="DTN166" s="249"/>
      <c r="DTO166" s="249"/>
      <c r="DTP166" s="249"/>
      <c r="DTQ166" s="249"/>
      <c r="DTR166" s="249"/>
      <c r="DTS166" s="249"/>
      <c r="DTT166" s="249"/>
      <c r="DTU166" s="249"/>
      <c r="DTV166" s="249"/>
      <c r="DTW166" s="249"/>
      <c r="DTX166" s="249"/>
      <c r="DTY166" s="249"/>
      <c r="DTZ166" s="249"/>
      <c r="DUA166" s="249"/>
      <c r="DUB166" s="249"/>
      <c r="DUC166" s="249"/>
      <c r="DUD166" s="249"/>
      <c r="DUE166" s="249"/>
      <c r="DUF166" s="249"/>
      <c r="DUG166" s="249"/>
      <c r="DUH166" s="249"/>
      <c r="DUI166" s="249"/>
      <c r="DUJ166" s="249"/>
      <c r="DUK166" s="249"/>
      <c r="DUL166" s="249"/>
      <c r="DUM166" s="249"/>
      <c r="DUN166" s="249"/>
      <c r="DUO166" s="249"/>
      <c r="DUP166" s="249"/>
      <c r="DUQ166" s="249"/>
      <c r="DUR166" s="249"/>
      <c r="DUS166" s="249"/>
      <c r="DUT166" s="249"/>
      <c r="DUU166" s="249"/>
      <c r="DUV166" s="249"/>
      <c r="DUW166" s="249"/>
      <c r="DUX166" s="249"/>
      <c r="DUY166" s="249"/>
      <c r="DUZ166" s="249"/>
      <c r="DVA166" s="249"/>
      <c r="DVB166" s="249"/>
      <c r="DVC166" s="249"/>
      <c r="DVD166" s="249"/>
      <c r="DVE166" s="249"/>
      <c r="DVF166" s="249"/>
      <c r="DVG166" s="249"/>
      <c r="DVH166" s="249"/>
      <c r="DVI166" s="249"/>
      <c r="DVJ166" s="249"/>
      <c r="DVK166" s="249"/>
      <c r="DVL166" s="249"/>
      <c r="DVM166" s="249"/>
      <c r="DVN166" s="249"/>
      <c r="DVO166" s="249"/>
      <c r="DVP166" s="249"/>
      <c r="DVQ166" s="249"/>
      <c r="DVR166" s="249"/>
      <c r="DVS166" s="249"/>
      <c r="DVT166" s="249"/>
      <c r="DVU166" s="249"/>
      <c r="DVV166" s="249"/>
      <c r="DVW166" s="249"/>
      <c r="DVX166" s="249"/>
      <c r="DVY166" s="249"/>
      <c r="DVZ166" s="249"/>
      <c r="DWA166" s="249"/>
      <c r="DWB166" s="249"/>
      <c r="DWC166" s="249"/>
      <c r="DWD166" s="249"/>
      <c r="DWE166" s="249"/>
      <c r="DWF166" s="249"/>
      <c r="DWG166" s="249"/>
      <c r="DWH166" s="249"/>
      <c r="DWI166" s="249"/>
      <c r="DWJ166" s="249"/>
      <c r="DWK166" s="249"/>
      <c r="DWL166" s="249"/>
      <c r="DWM166" s="249"/>
      <c r="DWN166" s="249"/>
      <c r="DWO166" s="249"/>
      <c r="DWP166" s="249"/>
      <c r="DWQ166" s="249"/>
      <c r="DWR166" s="249"/>
      <c r="DWS166" s="249"/>
      <c r="DWT166" s="249"/>
      <c r="DWU166" s="249"/>
      <c r="DWV166" s="249"/>
      <c r="DWW166" s="249"/>
      <c r="DWX166" s="249"/>
      <c r="DWY166" s="249"/>
      <c r="DWZ166" s="249"/>
      <c r="DXA166" s="249"/>
      <c r="DXB166" s="249"/>
      <c r="DXC166" s="249"/>
      <c r="DXD166" s="249"/>
      <c r="DXE166" s="249"/>
      <c r="DXF166" s="249"/>
      <c r="DXG166" s="249"/>
      <c r="DXH166" s="249"/>
      <c r="DXI166" s="249"/>
      <c r="DXJ166" s="249"/>
      <c r="DXK166" s="249"/>
      <c r="DXL166" s="249"/>
      <c r="DXM166" s="249"/>
      <c r="DXN166" s="249"/>
      <c r="DXO166" s="249"/>
      <c r="DXP166" s="249"/>
      <c r="DXQ166" s="249"/>
      <c r="DXR166" s="249"/>
      <c r="DXS166" s="249"/>
      <c r="DXT166" s="249"/>
      <c r="DXU166" s="249"/>
      <c r="DXV166" s="249"/>
      <c r="DXW166" s="249"/>
      <c r="DXX166" s="249"/>
      <c r="DXY166" s="249"/>
      <c r="DXZ166" s="249"/>
      <c r="DYA166" s="249"/>
      <c r="DYB166" s="249"/>
      <c r="DYC166" s="249"/>
      <c r="DYD166" s="249"/>
      <c r="DYE166" s="249"/>
      <c r="DYF166" s="249"/>
      <c r="DYG166" s="249"/>
      <c r="DYH166" s="249"/>
      <c r="DYI166" s="249"/>
      <c r="DYJ166" s="249"/>
      <c r="DYK166" s="249"/>
      <c r="DYL166" s="249"/>
      <c r="DYM166" s="249"/>
      <c r="DYN166" s="249"/>
      <c r="DYO166" s="249"/>
      <c r="DYP166" s="249"/>
      <c r="DYQ166" s="249"/>
      <c r="DYR166" s="249"/>
      <c r="DYS166" s="249"/>
      <c r="DYT166" s="249"/>
      <c r="DYU166" s="249"/>
      <c r="DYV166" s="249"/>
      <c r="DYW166" s="249"/>
      <c r="DYX166" s="249"/>
      <c r="DYY166" s="249"/>
      <c r="DYZ166" s="249"/>
      <c r="DZA166" s="249"/>
      <c r="DZB166" s="249"/>
      <c r="DZC166" s="249"/>
      <c r="DZD166" s="249"/>
      <c r="DZE166" s="249"/>
      <c r="DZF166" s="249"/>
      <c r="DZG166" s="249"/>
      <c r="DZH166" s="249"/>
      <c r="DZI166" s="249"/>
      <c r="DZJ166" s="249"/>
      <c r="DZK166" s="249"/>
      <c r="DZL166" s="249"/>
      <c r="DZM166" s="249"/>
      <c r="DZN166" s="249"/>
      <c r="DZO166" s="249"/>
      <c r="DZP166" s="249"/>
      <c r="DZQ166" s="249"/>
      <c r="DZR166" s="249"/>
      <c r="DZS166" s="249"/>
      <c r="DZT166" s="249"/>
      <c r="DZU166" s="249"/>
      <c r="DZV166" s="249"/>
      <c r="DZW166" s="249"/>
      <c r="DZX166" s="249"/>
      <c r="DZY166" s="249"/>
      <c r="DZZ166" s="249"/>
      <c r="EAA166" s="249"/>
      <c r="EAB166" s="249"/>
      <c r="EAC166" s="249"/>
      <c r="EAD166" s="249"/>
      <c r="EAE166" s="249"/>
      <c r="EAF166" s="249"/>
      <c r="EAG166" s="249"/>
      <c r="EAH166" s="249"/>
      <c r="EAI166" s="249"/>
      <c r="EAJ166" s="249"/>
      <c r="EAK166" s="249"/>
      <c r="EAL166" s="249"/>
      <c r="EAM166" s="249"/>
      <c r="EAN166" s="249"/>
      <c r="EAO166" s="249"/>
      <c r="EAP166" s="249"/>
      <c r="EAQ166" s="249"/>
      <c r="EAR166" s="249"/>
      <c r="EAS166" s="249"/>
      <c r="EAT166" s="249"/>
      <c r="EAU166" s="249"/>
      <c r="EAV166" s="249"/>
      <c r="EAW166" s="249"/>
      <c r="EAX166" s="249"/>
      <c r="EAY166" s="249"/>
      <c r="EAZ166" s="249"/>
      <c r="EBA166" s="249"/>
      <c r="EBB166" s="249"/>
      <c r="EBC166" s="249"/>
      <c r="EBD166" s="249"/>
      <c r="EBE166" s="249"/>
      <c r="EBF166" s="249"/>
      <c r="EBG166" s="249"/>
      <c r="EBH166" s="249"/>
      <c r="EBI166" s="249"/>
      <c r="EBJ166" s="249"/>
      <c r="EBK166" s="249"/>
      <c r="EBL166" s="249"/>
      <c r="EBM166" s="249"/>
      <c r="EBN166" s="249"/>
      <c r="EBO166" s="249"/>
      <c r="EBP166" s="249"/>
      <c r="EBQ166" s="249"/>
      <c r="EBR166" s="249"/>
      <c r="EBS166" s="249"/>
      <c r="EBT166" s="249"/>
      <c r="EBU166" s="249"/>
      <c r="EBV166" s="249"/>
      <c r="EBW166" s="249"/>
      <c r="EBX166" s="249"/>
      <c r="EBY166" s="249"/>
      <c r="EBZ166" s="249"/>
      <c r="ECA166" s="249"/>
      <c r="ECB166" s="249"/>
      <c r="ECC166" s="249"/>
      <c r="ECD166" s="249"/>
      <c r="ECE166" s="249"/>
      <c r="ECF166" s="249"/>
      <c r="ECG166" s="249"/>
      <c r="ECH166" s="249"/>
      <c r="ECI166" s="249"/>
      <c r="ECJ166" s="249"/>
      <c r="ECK166" s="249"/>
      <c r="ECL166" s="249"/>
      <c r="ECM166" s="249"/>
      <c r="ECN166" s="249"/>
      <c r="ECO166" s="249"/>
      <c r="ECP166" s="249"/>
      <c r="ECQ166" s="249"/>
      <c r="ECR166" s="249"/>
      <c r="ECS166" s="249"/>
      <c r="ECT166" s="249"/>
      <c r="ECU166" s="249"/>
      <c r="ECV166" s="249"/>
      <c r="ECW166" s="249"/>
      <c r="ECX166" s="249"/>
      <c r="ECY166" s="249"/>
      <c r="ECZ166" s="249"/>
      <c r="EDA166" s="249"/>
      <c r="EDB166" s="249"/>
      <c r="EDC166" s="249"/>
      <c r="EDD166" s="249"/>
      <c r="EDE166" s="249"/>
      <c r="EDF166" s="249"/>
      <c r="EDG166" s="249"/>
      <c r="EDH166" s="249"/>
      <c r="EDI166" s="249"/>
      <c r="EDJ166" s="249"/>
      <c r="EDK166" s="249"/>
      <c r="EDL166" s="249"/>
      <c r="EDM166" s="249"/>
      <c r="EDN166" s="249"/>
      <c r="EDO166" s="249"/>
      <c r="EDP166" s="249"/>
      <c r="EDQ166" s="249"/>
      <c r="EDR166" s="249"/>
      <c r="EDS166" s="249"/>
      <c r="EDT166" s="249"/>
      <c r="EDU166" s="249"/>
      <c r="EDV166" s="249"/>
      <c r="EDW166" s="249"/>
      <c r="EDX166" s="249"/>
      <c r="EDY166" s="249"/>
      <c r="EDZ166" s="249"/>
      <c r="EEA166" s="249"/>
      <c r="EEB166" s="249"/>
      <c r="EEC166" s="249"/>
      <c r="EED166" s="249"/>
      <c r="EEE166" s="249"/>
      <c r="EEF166" s="249"/>
      <c r="EEG166" s="249"/>
      <c r="EEH166" s="249"/>
      <c r="EEI166" s="249"/>
      <c r="EEJ166" s="249"/>
      <c r="EEK166" s="249"/>
      <c r="EEL166" s="249"/>
      <c r="EEM166" s="249"/>
      <c r="EEN166" s="249"/>
      <c r="EEO166" s="249"/>
      <c r="EEP166" s="249"/>
      <c r="EEQ166" s="249"/>
      <c r="EER166" s="249"/>
      <c r="EES166" s="249"/>
      <c r="EET166" s="249"/>
      <c r="EEU166" s="249"/>
      <c r="EEV166" s="249"/>
      <c r="EEW166" s="249"/>
      <c r="EEX166" s="249"/>
      <c r="EEY166" s="249"/>
      <c r="EEZ166" s="249"/>
      <c r="EFA166" s="249"/>
      <c r="EFB166" s="249"/>
      <c r="EFC166" s="249"/>
      <c r="EFD166" s="249"/>
      <c r="EFE166" s="249"/>
      <c r="EFF166" s="249"/>
      <c r="EFG166" s="249"/>
      <c r="EFH166" s="249"/>
      <c r="EFI166" s="249"/>
      <c r="EFJ166" s="249"/>
      <c r="EFK166" s="249"/>
      <c r="EFL166" s="249"/>
      <c r="EFM166" s="249"/>
      <c r="EFN166" s="249"/>
      <c r="EFO166" s="249"/>
      <c r="EFP166" s="249"/>
      <c r="EFQ166" s="249"/>
      <c r="EFR166" s="249"/>
      <c r="EFS166" s="249"/>
      <c r="EFT166" s="249"/>
      <c r="EFU166" s="249"/>
      <c r="EFV166" s="249"/>
      <c r="EFW166" s="249"/>
      <c r="EFX166" s="249"/>
      <c r="EFY166" s="249"/>
      <c r="EFZ166" s="249"/>
      <c r="EGA166" s="249"/>
      <c r="EGB166" s="249"/>
      <c r="EGC166" s="249"/>
      <c r="EGD166" s="249"/>
      <c r="EGE166" s="249"/>
      <c r="EGF166" s="249"/>
      <c r="EGG166" s="249"/>
      <c r="EGH166" s="249"/>
      <c r="EGI166" s="249"/>
      <c r="EGJ166" s="249"/>
      <c r="EGK166" s="249"/>
      <c r="EGL166" s="249"/>
      <c r="EGM166" s="249"/>
      <c r="EGN166" s="249"/>
      <c r="EGO166" s="249"/>
      <c r="EGP166" s="249"/>
      <c r="EGQ166" s="249"/>
      <c r="EGR166" s="249"/>
      <c r="EGS166" s="249"/>
      <c r="EGT166" s="249"/>
      <c r="EGU166" s="249"/>
      <c r="EGV166" s="249"/>
      <c r="EGW166" s="249"/>
      <c r="EGX166" s="249"/>
      <c r="EGY166" s="249"/>
      <c r="EGZ166" s="249"/>
      <c r="EHA166" s="249"/>
      <c r="EHB166" s="249"/>
      <c r="EHC166" s="249"/>
      <c r="EHD166" s="249"/>
      <c r="EHE166" s="249"/>
      <c r="EHF166" s="249"/>
      <c r="EHG166" s="249"/>
      <c r="EHH166" s="249"/>
      <c r="EHI166" s="249"/>
      <c r="EHJ166" s="249"/>
      <c r="EHK166" s="249"/>
      <c r="EHL166" s="249"/>
      <c r="EHM166" s="249"/>
      <c r="EHN166" s="249"/>
      <c r="EHO166" s="249"/>
      <c r="EHP166" s="249"/>
      <c r="EHQ166" s="249"/>
      <c r="EHR166" s="249"/>
      <c r="EHS166" s="249"/>
      <c r="EHT166" s="249"/>
      <c r="EHU166" s="249"/>
      <c r="EHV166" s="249"/>
      <c r="EHW166" s="249"/>
      <c r="EHX166" s="249"/>
      <c r="EHY166" s="249"/>
      <c r="EHZ166" s="249"/>
      <c r="EIA166" s="249"/>
      <c r="EIB166" s="249"/>
      <c r="EIC166" s="249"/>
      <c r="EID166" s="249"/>
      <c r="EIE166" s="249"/>
      <c r="EIF166" s="249"/>
      <c r="EIG166" s="249"/>
      <c r="EIH166" s="249"/>
      <c r="EII166" s="249"/>
      <c r="EIJ166" s="249"/>
      <c r="EIK166" s="249"/>
      <c r="EIL166" s="249"/>
      <c r="EIM166" s="249"/>
      <c r="EIN166" s="249"/>
      <c r="EIO166" s="249"/>
      <c r="EIP166" s="249"/>
      <c r="EIQ166" s="249"/>
      <c r="EIR166" s="249"/>
      <c r="EIS166" s="249"/>
      <c r="EIT166" s="249"/>
      <c r="EIU166" s="249"/>
      <c r="EIV166" s="249"/>
      <c r="EIW166" s="249"/>
      <c r="EIX166" s="249"/>
      <c r="EIY166" s="249"/>
      <c r="EIZ166" s="249"/>
      <c r="EJA166" s="249"/>
      <c r="EJB166" s="249"/>
      <c r="EJC166" s="249"/>
      <c r="EJD166" s="249"/>
      <c r="EJE166" s="249"/>
      <c r="EJF166" s="249"/>
      <c r="EJG166" s="249"/>
      <c r="EJH166" s="249"/>
      <c r="EJI166" s="249"/>
      <c r="EJJ166" s="249"/>
      <c r="EJK166" s="249"/>
      <c r="EJL166" s="249"/>
      <c r="EJM166" s="249"/>
      <c r="EJN166" s="249"/>
      <c r="EJO166" s="249"/>
      <c r="EJP166" s="249"/>
      <c r="EJQ166" s="249"/>
      <c r="EJR166" s="249"/>
      <c r="EJS166" s="249"/>
      <c r="EJT166" s="249"/>
      <c r="EJU166" s="249"/>
      <c r="EJV166" s="249"/>
      <c r="EJW166" s="249"/>
      <c r="EJX166" s="249"/>
      <c r="EJY166" s="249"/>
      <c r="EJZ166" s="249"/>
      <c r="EKA166" s="249"/>
      <c r="EKB166" s="249"/>
      <c r="EKC166" s="249"/>
      <c r="EKD166" s="249"/>
      <c r="EKE166" s="249"/>
      <c r="EKF166" s="249"/>
      <c r="EKG166" s="249"/>
      <c r="EKH166" s="249"/>
      <c r="EKI166" s="249"/>
      <c r="EKJ166" s="249"/>
      <c r="EKK166" s="249"/>
      <c r="EKL166" s="249"/>
      <c r="EKM166" s="249"/>
      <c r="EKN166" s="249"/>
      <c r="EKO166" s="249"/>
      <c r="EKP166" s="249"/>
      <c r="EKQ166" s="249"/>
      <c r="EKR166" s="249"/>
      <c r="EKS166" s="249"/>
      <c r="EKT166" s="249"/>
      <c r="EKU166" s="249"/>
      <c r="EKV166" s="249"/>
      <c r="EKW166" s="249"/>
      <c r="EKX166" s="249"/>
      <c r="EKY166" s="249"/>
      <c r="EKZ166" s="249"/>
      <c r="ELA166" s="249"/>
      <c r="ELB166" s="249"/>
      <c r="ELC166" s="249"/>
      <c r="ELD166" s="249"/>
      <c r="ELE166" s="249"/>
      <c r="ELF166" s="249"/>
      <c r="ELG166" s="249"/>
      <c r="ELH166" s="249"/>
      <c r="ELI166" s="249"/>
      <c r="ELJ166" s="249"/>
      <c r="ELK166" s="249"/>
      <c r="ELL166" s="249"/>
      <c r="ELM166" s="249"/>
      <c r="ELN166" s="249"/>
      <c r="ELO166" s="249"/>
      <c r="ELP166" s="249"/>
      <c r="ELQ166" s="249"/>
      <c r="ELR166" s="249"/>
      <c r="ELS166" s="249"/>
      <c r="ELT166" s="249"/>
      <c r="ELU166" s="249"/>
      <c r="ELV166" s="249"/>
      <c r="ELW166" s="249"/>
      <c r="ELX166" s="249"/>
      <c r="ELY166" s="249"/>
      <c r="ELZ166" s="249"/>
      <c r="EMA166" s="249"/>
      <c r="EMB166" s="249"/>
      <c r="EMC166" s="249"/>
      <c r="EMD166" s="249"/>
      <c r="EME166" s="249"/>
      <c r="EMF166" s="249"/>
      <c r="EMG166" s="249"/>
      <c r="EMH166" s="249"/>
      <c r="EMI166" s="249"/>
      <c r="EMJ166" s="249"/>
      <c r="EMK166" s="249"/>
      <c r="EML166" s="249"/>
      <c r="EMM166" s="249"/>
      <c r="EMN166" s="249"/>
      <c r="EMO166" s="249"/>
      <c r="EMP166" s="249"/>
      <c r="EMQ166" s="249"/>
      <c r="EMR166" s="249"/>
      <c r="EMS166" s="249"/>
      <c r="EMT166" s="249"/>
      <c r="EMU166" s="249"/>
      <c r="EMV166" s="249"/>
      <c r="EMW166" s="249"/>
      <c r="EMX166" s="249"/>
      <c r="EMY166" s="249"/>
      <c r="EMZ166" s="249"/>
      <c r="ENA166" s="249"/>
      <c r="ENB166" s="249"/>
      <c r="ENC166" s="249"/>
      <c r="END166" s="249"/>
      <c r="ENE166" s="249"/>
      <c r="ENF166" s="249"/>
      <c r="ENG166" s="249"/>
      <c r="ENH166" s="249"/>
      <c r="ENI166" s="249"/>
      <c r="ENJ166" s="249"/>
      <c r="ENK166" s="249"/>
      <c r="ENL166" s="249"/>
      <c r="ENM166" s="249"/>
      <c r="ENN166" s="249"/>
      <c r="ENO166" s="249"/>
      <c r="ENP166" s="249"/>
      <c r="ENQ166" s="249"/>
      <c r="ENR166" s="249"/>
      <c r="ENS166" s="249"/>
      <c r="ENT166" s="249"/>
      <c r="ENU166" s="249"/>
      <c r="ENV166" s="249"/>
      <c r="ENW166" s="249"/>
      <c r="ENX166" s="249"/>
      <c r="ENY166" s="249"/>
      <c r="ENZ166" s="249"/>
      <c r="EOA166" s="249"/>
      <c r="EOB166" s="249"/>
      <c r="EOC166" s="249"/>
      <c r="EOD166" s="249"/>
      <c r="EOE166" s="249"/>
      <c r="EOF166" s="249"/>
      <c r="EOG166" s="249"/>
      <c r="EOH166" s="249"/>
      <c r="EOI166" s="249"/>
      <c r="EOJ166" s="249"/>
      <c r="EOK166" s="249"/>
      <c r="EOL166" s="249"/>
      <c r="EOM166" s="249"/>
      <c r="EON166" s="249"/>
      <c r="EOO166" s="249"/>
      <c r="EOP166" s="249"/>
      <c r="EOQ166" s="249"/>
      <c r="EOR166" s="249"/>
      <c r="EOS166" s="249"/>
      <c r="EOT166" s="249"/>
      <c r="EOU166" s="249"/>
      <c r="EOV166" s="249"/>
      <c r="EOW166" s="249"/>
      <c r="EOX166" s="249"/>
      <c r="EOY166" s="249"/>
      <c r="EOZ166" s="249"/>
      <c r="EPA166" s="249"/>
      <c r="EPB166" s="249"/>
      <c r="EPC166" s="249"/>
      <c r="EPD166" s="249"/>
      <c r="EPE166" s="249"/>
      <c r="EPF166" s="249"/>
      <c r="EPG166" s="249"/>
      <c r="EPH166" s="249"/>
      <c r="EPI166" s="249"/>
      <c r="EPJ166" s="249"/>
      <c r="EPK166" s="249"/>
      <c r="EPL166" s="249"/>
      <c r="EPM166" s="249"/>
      <c r="EPN166" s="249"/>
      <c r="EPO166" s="249"/>
      <c r="EPP166" s="249"/>
      <c r="EPQ166" s="249"/>
      <c r="EPR166" s="249"/>
      <c r="EPS166" s="249"/>
      <c r="EPT166" s="249"/>
      <c r="EPU166" s="249"/>
      <c r="EPV166" s="249"/>
      <c r="EPW166" s="249"/>
      <c r="EPX166" s="249"/>
      <c r="EPY166" s="249"/>
      <c r="EPZ166" s="249"/>
      <c r="EQA166" s="249"/>
      <c r="EQB166" s="249"/>
      <c r="EQC166" s="249"/>
      <c r="EQD166" s="249"/>
      <c r="EQE166" s="249"/>
      <c r="EQF166" s="249"/>
      <c r="EQG166" s="249"/>
      <c r="EQH166" s="249"/>
      <c r="EQI166" s="249"/>
      <c r="EQJ166" s="249"/>
      <c r="EQK166" s="249"/>
      <c r="EQL166" s="249"/>
      <c r="EQM166" s="249"/>
      <c r="EQN166" s="249"/>
      <c r="EQO166" s="249"/>
      <c r="EQP166" s="249"/>
      <c r="EQQ166" s="249"/>
      <c r="EQR166" s="249"/>
      <c r="EQS166" s="249"/>
      <c r="EQT166" s="249"/>
      <c r="EQU166" s="249"/>
      <c r="EQV166" s="249"/>
      <c r="EQW166" s="249"/>
      <c r="EQX166" s="249"/>
      <c r="EQY166" s="249"/>
      <c r="EQZ166" s="249"/>
      <c r="ERA166" s="249"/>
      <c r="ERB166" s="249"/>
      <c r="ERC166" s="249"/>
      <c r="ERD166" s="249"/>
      <c r="ERE166" s="249"/>
      <c r="ERF166" s="249"/>
      <c r="ERG166" s="249"/>
      <c r="ERH166" s="249"/>
      <c r="ERI166" s="249"/>
      <c r="ERJ166" s="249"/>
      <c r="ERK166" s="249"/>
      <c r="ERL166" s="249"/>
      <c r="ERM166" s="249"/>
      <c r="ERN166" s="249"/>
      <c r="ERO166" s="249"/>
      <c r="ERP166" s="249"/>
      <c r="ERQ166" s="249"/>
      <c r="ERR166" s="249"/>
      <c r="ERS166" s="249"/>
      <c r="ERT166" s="249"/>
      <c r="ERU166" s="249"/>
      <c r="ERV166" s="249"/>
      <c r="ERW166" s="249"/>
      <c r="ERX166" s="249"/>
      <c r="ERY166" s="249"/>
      <c r="ERZ166" s="249"/>
      <c r="ESA166" s="249"/>
      <c r="ESB166" s="249"/>
      <c r="ESC166" s="249"/>
      <c r="ESD166" s="249"/>
      <c r="ESE166" s="249"/>
      <c r="ESF166" s="249"/>
      <c r="ESG166" s="249"/>
      <c r="ESH166" s="249"/>
      <c r="ESI166" s="249"/>
      <c r="ESJ166" s="249"/>
      <c r="ESK166" s="249"/>
      <c r="ESL166" s="249"/>
      <c r="ESM166" s="249"/>
      <c r="ESN166" s="249"/>
      <c r="ESO166" s="249"/>
      <c r="ESP166" s="249"/>
      <c r="ESQ166" s="249"/>
      <c r="ESR166" s="249"/>
      <c r="ESS166" s="249"/>
      <c r="EST166" s="249"/>
      <c r="ESU166" s="249"/>
      <c r="ESV166" s="249"/>
      <c r="ESW166" s="249"/>
      <c r="ESX166" s="249"/>
      <c r="ESY166" s="249"/>
      <c r="ESZ166" s="249"/>
      <c r="ETA166" s="249"/>
      <c r="ETB166" s="249"/>
      <c r="ETC166" s="249"/>
      <c r="ETD166" s="249"/>
      <c r="ETE166" s="249"/>
      <c r="ETF166" s="249"/>
      <c r="ETG166" s="249"/>
      <c r="ETH166" s="249"/>
      <c r="ETI166" s="249"/>
      <c r="ETJ166" s="249"/>
      <c r="ETK166" s="249"/>
      <c r="ETL166" s="249"/>
      <c r="ETM166" s="249"/>
      <c r="ETN166" s="249"/>
      <c r="ETO166" s="249"/>
      <c r="ETP166" s="249"/>
      <c r="ETQ166" s="249"/>
      <c r="ETR166" s="249"/>
      <c r="ETS166" s="249"/>
      <c r="ETT166" s="249"/>
      <c r="ETU166" s="249"/>
      <c r="ETV166" s="249"/>
      <c r="ETW166" s="249"/>
      <c r="ETX166" s="249"/>
      <c r="ETY166" s="249"/>
      <c r="ETZ166" s="249"/>
      <c r="EUA166" s="249"/>
      <c r="EUB166" s="249"/>
      <c r="EUC166" s="249"/>
      <c r="EUD166" s="249"/>
      <c r="EUE166" s="249"/>
      <c r="EUF166" s="249"/>
      <c r="EUG166" s="249"/>
      <c r="EUH166" s="249"/>
      <c r="EUI166" s="249"/>
      <c r="EUJ166" s="249"/>
      <c r="EUK166" s="249"/>
      <c r="EUL166" s="249"/>
      <c r="EUM166" s="249"/>
      <c r="EUN166" s="249"/>
      <c r="EUO166" s="249"/>
      <c r="EUP166" s="249"/>
      <c r="EUQ166" s="249"/>
      <c r="EUR166" s="249"/>
      <c r="EUS166" s="249"/>
      <c r="EUT166" s="249"/>
      <c r="EUU166" s="249"/>
      <c r="EUV166" s="249"/>
      <c r="EUW166" s="249"/>
      <c r="EUX166" s="249"/>
      <c r="EUY166" s="249"/>
      <c r="EUZ166" s="249"/>
      <c r="EVA166" s="249"/>
      <c r="EVB166" s="249"/>
      <c r="EVC166" s="249"/>
      <c r="EVD166" s="249"/>
      <c r="EVE166" s="249"/>
      <c r="EVF166" s="249"/>
      <c r="EVG166" s="249"/>
      <c r="EVH166" s="249"/>
      <c r="EVI166" s="249"/>
      <c r="EVJ166" s="249"/>
      <c r="EVK166" s="249"/>
      <c r="EVL166" s="249"/>
      <c r="EVM166" s="249"/>
      <c r="EVN166" s="249"/>
      <c r="EVO166" s="249"/>
      <c r="EVP166" s="249"/>
      <c r="EVQ166" s="249"/>
      <c r="EVR166" s="249"/>
      <c r="EVS166" s="249"/>
      <c r="EVT166" s="249"/>
      <c r="EVU166" s="249"/>
      <c r="EVV166" s="249"/>
      <c r="EVW166" s="249"/>
      <c r="EVX166" s="249"/>
      <c r="EVY166" s="249"/>
      <c r="EVZ166" s="249"/>
      <c r="EWA166" s="249"/>
      <c r="EWB166" s="249"/>
      <c r="EWC166" s="249"/>
      <c r="EWD166" s="249"/>
      <c r="EWE166" s="249"/>
      <c r="EWF166" s="249"/>
      <c r="EWG166" s="249"/>
      <c r="EWH166" s="249"/>
      <c r="EWI166" s="249"/>
      <c r="EWJ166" s="249"/>
      <c r="EWK166" s="249"/>
      <c r="EWL166" s="249"/>
      <c r="EWM166" s="249"/>
      <c r="EWN166" s="249"/>
      <c r="EWO166" s="249"/>
      <c r="EWP166" s="249"/>
      <c r="EWQ166" s="249"/>
      <c r="EWR166" s="249"/>
      <c r="EWS166" s="249"/>
      <c r="EWT166" s="249"/>
      <c r="EWU166" s="249"/>
      <c r="EWV166" s="249"/>
      <c r="EWW166" s="249"/>
      <c r="EWX166" s="249"/>
      <c r="EWY166" s="249"/>
      <c r="EWZ166" s="249"/>
      <c r="EXA166" s="249"/>
      <c r="EXB166" s="249"/>
      <c r="EXC166" s="249"/>
      <c r="EXD166" s="249"/>
      <c r="EXE166" s="249"/>
      <c r="EXF166" s="249"/>
      <c r="EXG166" s="249"/>
      <c r="EXH166" s="249"/>
      <c r="EXI166" s="249"/>
      <c r="EXJ166" s="249"/>
      <c r="EXK166" s="249"/>
      <c r="EXL166" s="249"/>
      <c r="EXM166" s="249"/>
      <c r="EXN166" s="249"/>
      <c r="EXO166" s="249"/>
      <c r="EXP166" s="249"/>
      <c r="EXQ166" s="249"/>
      <c r="EXR166" s="249"/>
      <c r="EXS166" s="249"/>
      <c r="EXT166" s="249"/>
      <c r="EXU166" s="249"/>
      <c r="EXV166" s="249"/>
      <c r="EXW166" s="249"/>
      <c r="EXX166" s="249"/>
      <c r="EXY166" s="249"/>
      <c r="EXZ166" s="249"/>
      <c r="EYA166" s="249"/>
      <c r="EYB166" s="249"/>
      <c r="EYC166" s="249"/>
      <c r="EYD166" s="249"/>
      <c r="EYE166" s="249"/>
      <c r="EYF166" s="249"/>
      <c r="EYG166" s="249"/>
      <c r="EYH166" s="249"/>
      <c r="EYI166" s="249"/>
      <c r="EYJ166" s="249"/>
      <c r="EYK166" s="249"/>
      <c r="EYL166" s="249"/>
      <c r="EYM166" s="249"/>
      <c r="EYN166" s="249"/>
      <c r="EYO166" s="249"/>
      <c r="EYP166" s="249"/>
      <c r="EYQ166" s="249"/>
      <c r="EYR166" s="249"/>
      <c r="EYS166" s="249"/>
      <c r="EYT166" s="249"/>
      <c r="EYU166" s="249"/>
      <c r="EYV166" s="249"/>
      <c r="EYW166" s="249"/>
      <c r="EYX166" s="249"/>
      <c r="EYY166" s="249"/>
      <c r="EYZ166" s="249"/>
      <c r="EZA166" s="249"/>
      <c r="EZB166" s="249"/>
      <c r="EZC166" s="249"/>
      <c r="EZD166" s="249"/>
      <c r="EZE166" s="249"/>
      <c r="EZF166" s="249"/>
      <c r="EZG166" s="249"/>
      <c r="EZH166" s="249"/>
      <c r="EZI166" s="249"/>
      <c r="EZJ166" s="249"/>
      <c r="EZK166" s="249"/>
      <c r="EZL166" s="249"/>
      <c r="EZM166" s="249"/>
      <c r="EZN166" s="249"/>
      <c r="EZO166" s="249"/>
      <c r="EZP166" s="249"/>
      <c r="EZQ166" s="249"/>
      <c r="EZR166" s="249"/>
      <c r="EZS166" s="249"/>
      <c r="EZT166" s="249"/>
      <c r="EZU166" s="249"/>
      <c r="EZV166" s="249"/>
      <c r="EZW166" s="249"/>
      <c r="EZX166" s="249"/>
      <c r="EZY166" s="249"/>
      <c r="EZZ166" s="249"/>
      <c r="FAA166" s="249"/>
      <c r="FAB166" s="249"/>
      <c r="FAC166" s="249"/>
      <c r="FAD166" s="249"/>
      <c r="FAE166" s="249"/>
      <c r="FAF166" s="249"/>
      <c r="FAG166" s="249"/>
      <c r="FAH166" s="249"/>
      <c r="FAI166" s="249"/>
      <c r="FAJ166" s="249"/>
      <c r="FAK166" s="249"/>
      <c r="FAL166" s="249"/>
      <c r="FAM166" s="249"/>
      <c r="FAN166" s="249"/>
      <c r="FAO166" s="249"/>
      <c r="FAP166" s="249"/>
      <c r="FAQ166" s="249"/>
      <c r="FAR166" s="249"/>
      <c r="FAS166" s="249"/>
      <c r="FAT166" s="249"/>
      <c r="FAU166" s="249"/>
      <c r="FAV166" s="249"/>
      <c r="FAW166" s="249"/>
      <c r="FAX166" s="249"/>
      <c r="FAY166" s="249"/>
      <c r="FAZ166" s="249"/>
      <c r="FBA166" s="249"/>
      <c r="FBB166" s="249"/>
      <c r="FBC166" s="249"/>
      <c r="FBD166" s="249"/>
      <c r="FBE166" s="249"/>
      <c r="FBF166" s="249"/>
      <c r="FBG166" s="249"/>
      <c r="FBH166" s="249"/>
      <c r="FBI166" s="249"/>
      <c r="FBJ166" s="249"/>
      <c r="FBK166" s="249"/>
      <c r="FBL166" s="249"/>
      <c r="FBM166" s="249"/>
      <c r="FBN166" s="249"/>
      <c r="FBO166" s="249"/>
      <c r="FBP166" s="249"/>
      <c r="FBQ166" s="249"/>
      <c r="FBR166" s="249"/>
      <c r="FBS166" s="249"/>
      <c r="FBT166" s="249"/>
      <c r="FBU166" s="249"/>
      <c r="FBV166" s="249"/>
      <c r="FBW166" s="249"/>
      <c r="FBX166" s="249"/>
      <c r="FBY166" s="249"/>
      <c r="FBZ166" s="249"/>
      <c r="FCA166" s="249"/>
      <c r="FCB166" s="249"/>
      <c r="FCC166" s="249"/>
      <c r="FCD166" s="249"/>
      <c r="FCE166" s="249"/>
      <c r="FCF166" s="249"/>
      <c r="FCG166" s="249"/>
      <c r="FCH166" s="249"/>
      <c r="FCI166" s="249"/>
      <c r="FCJ166" s="249"/>
      <c r="FCK166" s="249"/>
      <c r="FCL166" s="249"/>
      <c r="FCM166" s="249"/>
      <c r="FCN166" s="249"/>
      <c r="FCO166" s="249"/>
      <c r="FCP166" s="249"/>
      <c r="FCQ166" s="249"/>
      <c r="FCR166" s="249"/>
      <c r="FCS166" s="249"/>
      <c r="FCT166" s="249"/>
      <c r="FCU166" s="249"/>
      <c r="FCV166" s="249"/>
      <c r="FCW166" s="249"/>
      <c r="FCX166" s="249"/>
      <c r="FCY166" s="249"/>
      <c r="FCZ166" s="249"/>
      <c r="FDA166" s="249"/>
      <c r="FDB166" s="249"/>
      <c r="FDC166" s="249"/>
      <c r="FDD166" s="249"/>
      <c r="FDE166" s="249"/>
      <c r="FDF166" s="249"/>
      <c r="FDG166" s="249"/>
      <c r="FDH166" s="249"/>
      <c r="FDI166" s="249"/>
      <c r="FDJ166" s="249"/>
      <c r="FDK166" s="249"/>
      <c r="FDL166" s="249"/>
      <c r="FDM166" s="249"/>
      <c r="FDN166" s="249"/>
      <c r="FDO166" s="249"/>
      <c r="FDP166" s="249"/>
      <c r="FDQ166" s="249"/>
      <c r="FDR166" s="249"/>
      <c r="FDS166" s="249"/>
      <c r="FDT166" s="249"/>
      <c r="FDU166" s="249"/>
      <c r="FDV166" s="249"/>
      <c r="FDW166" s="249"/>
      <c r="FDX166" s="249"/>
      <c r="FDY166" s="249"/>
      <c r="FDZ166" s="249"/>
      <c r="FEA166" s="249"/>
      <c r="FEB166" s="249"/>
      <c r="FEC166" s="249"/>
      <c r="FED166" s="249"/>
      <c r="FEE166" s="249"/>
      <c r="FEF166" s="249"/>
      <c r="FEG166" s="249"/>
      <c r="FEH166" s="249"/>
      <c r="FEI166" s="249"/>
      <c r="FEJ166" s="249"/>
      <c r="FEK166" s="249"/>
      <c r="FEL166" s="249"/>
      <c r="FEM166" s="249"/>
      <c r="FEN166" s="249"/>
      <c r="FEO166" s="249"/>
      <c r="FEP166" s="249"/>
      <c r="FEQ166" s="249"/>
      <c r="FER166" s="249"/>
      <c r="FES166" s="249"/>
      <c r="FET166" s="249"/>
      <c r="FEU166" s="249"/>
      <c r="FEV166" s="249"/>
      <c r="FEW166" s="249"/>
      <c r="FEX166" s="249"/>
      <c r="FEY166" s="249"/>
      <c r="FEZ166" s="249"/>
      <c r="FFA166" s="249"/>
      <c r="FFB166" s="249"/>
      <c r="FFC166" s="249"/>
      <c r="FFD166" s="249"/>
      <c r="FFE166" s="249"/>
      <c r="FFF166" s="249"/>
      <c r="FFG166" s="249"/>
      <c r="FFH166" s="249"/>
      <c r="FFI166" s="249"/>
      <c r="FFJ166" s="249"/>
      <c r="FFK166" s="249"/>
      <c r="FFL166" s="249"/>
      <c r="FFM166" s="249"/>
      <c r="FFN166" s="249"/>
      <c r="FFO166" s="249"/>
      <c r="FFP166" s="249"/>
      <c r="FFQ166" s="249"/>
      <c r="FFR166" s="249"/>
      <c r="FFS166" s="249"/>
      <c r="FFT166" s="249"/>
      <c r="FFU166" s="249"/>
      <c r="FFV166" s="249"/>
      <c r="FFW166" s="249"/>
      <c r="FFX166" s="249"/>
      <c r="FFY166" s="249"/>
      <c r="FFZ166" s="249"/>
      <c r="FGA166" s="249"/>
      <c r="FGB166" s="249"/>
      <c r="FGC166" s="249"/>
      <c r="FGD166" s="249"/>
      <c r="FGE166" s="249"/>
      <c r="FGF166" s="249"/>
      <c r="FGG166" s="249"/>
      <c r="FGH166" s="249"/>
      <c r="FGI166" s="249"/>
      <c r="FGJ166" s="249"/>
      <c r="FGK166" s="249"/>
      <c r="FGL166" s="249"/>
      <c r="FGM166" s="249"/>
      <c r="FGN166" s="249"/>
      <c r="FGO166" s="249"/>
      <c r="FGP166" s="249"/>
      <c r="FGQ166" s="249"/>
      <c r="FGR166" s="249"/>
      <c r="FGS166" s="249"/>
      <c r="FGT166" s="249"/>
      <c r="FGU166" s="249"/>
      <c r="FGV166" s="249"/>
      <c r="FGW166" s="249"/>
      <c r="FGX166" s="249"/>
      <c r="FGY166" s="249"/>
      <c r="FGZ166" s="249"/>
      <c r="FHA166" s="249"/>
      <c r="FHB166" s="249"/>
      <c r="FHC166" s="249"/>
      <c r="FHD166" s="249"/>
      <c r="FHE166" s="249"/>
      <c r="FHF166" s="249"/>
      <c r="FHG166" s="249"/>
      <c r="FHH166" s="249"/>
      <c r="FHI166" s="249"/>
      <c r="FHJ166" s="249"/>
      <c r="FHK166" s="249"/>
      <c r="FHL166" s="249"/>
      <c r="FHM166" s="249"/>
      <c r="FHN166" s="249"/>
      <c r="FHO166" s="249"/>
      <c r="FHP166" s="249"/>
      <c r="FHQ166" s="249"/>
      <c r="FHR166" s="249"/>
      <c r="FHS166" s="249"/>
      <c r="FHT166" s="249"/>
      <c r="FHU166" s="249"/>
      <c r="FHV166" s="249"/>
      <c r="FHW166" s="249"/>
      <c r="FHX166" s="249"/>
      <c r="FHY166" s="249"/>
      <c r="FHZ166" s="249"/>
      <c r="FIA166" s="249"/>
      <c r="FIB166" s="249"/>
      <c r="FIC166" s="249"/>
      <c r="FID166" s="249"/>
      <c r="FIE166" s="249"/>
      <c r="FIF166" s="249"/>
      <c r="FIG166" s="249"/>
      <c r="FIH166" s="249"/>
      <c r="FII166" s="249"/>
      <c r="FIJ166" s="249"/>
      <c r="FIK166" s="249"/>
      <c r="FIL166" s="249"/>
      <c r="FIM166" s="249"/>
      <c r="FIN166" s="249"/>
      <c r="FIO166" s="249"/>
      <c r="FIP166" s="249"/>
      <c r="FIQ166" s="249"/>
      <c r="FIR166" s="249"/>
      <c r="FIS166" s="249"/>
      <c r="FIT166" s="249"/>
      <c r="FIU166" s="249"/>
      <c r="FIV166" s="249"/>
      <c r="FIW166" s="249"/>
      <c r="FIX166" s="249"/>
      <c r="FIY166" s="249"/>
      <c r="FIZ166" s="249"/>
      <c r="FJA166" s="249"/>
      <c r="FJB166" s="249"/>
      <c r="FJC166" s="249"/>
      <c r="FJD166" s="249"/>
      <c r="FJE166" s="249"/>
      <c r="FJF166" s="249"/>
      <c r="FJG166" s="249"/>
      <c r="FJH166" s="249"/>
      <c r="FJI166" s="249"/>
      <c r="FJJ166" s="249"/>
      <c r="FJK166" s="249"/>
      <c r="FJL166" s="249"/>
      <c r="FJM166" s="249"/>
      <c r="FJN166" s="249"/>
      <c r="FJO166" s="249"/>
      <c r="FJP166" s="249"/>
      <c r="FJQ166" s="249"/>
      <c r="FJR166" s="249"/>
      <c r="FJS166" s="249"/>
      <c r="FJT166" s="249"/>
      <c r="FJU166" s="249"/>
      <c r="FJV166" s="249"/>
      <c r="FJW166" s="249"/>
      <c r="FJX166" s="249"/>
      <c r="FJY166" s="249"/>
      <c r="FJZ166" s="249"/>
      <c r="FKA166" s="249"/>
      <c r="FKB166" s="249"/>
      <c r="FKC166" s="249"/>
      <c r="FKD166" s="249"/>
      <c r="FKE166" s="249"/>
      <c r="FKF166" s="249"/>
      <c r="FKG166" s="249"/>
      <c r="FKH166" s="249"/>
      <c r="FKI166" s="249"/>
      <c r="FKJ166" s="249"/>
      <c r="FKK166" s="249"/>
      <c r="FKL166" s="249"/>
      <c r="FKM166" s="249"/>
      <c r="FKN166" s="249"/>
      <c r="FKO166" s="249"/>
      <c r="FKP166" s="249"/>
      <c r="FKQ166" s="249"/>
      <c r="FKR166" s="249"/>
      <c r="FKS166" s="249"/>
      <c r="FKT166" s="249"/>
      <c r="FKU166" s="249"/>
      <c r="FKV166" s="249"/>
      <c r="FKW166" s="249"/>
      <c r="FKX166" s="249"/>
      <c r="FKY166" s="249"/>
      <c r="FKZ166" s="249"/>
      <c r="FLA166" s="249"/>
      <c r="FLB166" s="249"/>
      <c r="FLC166" s="249"/>
      <c r="FLD166" s="249"/>
      <c r="FLE166" s="249"/>
      <c r="FLF166" s="249"/>
      <c r="FLG166" s="249"/>
      <c r="FLH166" s="249"/>
      <c r="FLI166" s="249"/>
      <c r="FLJ166" s="249"/>
      <c r="FLK166" s="249"/>
      <c r="FLL166" s="249"/>
      <c r="FLM166" s="249"/>
      <c r="FLN166" s="249"/>
      <c r="FLO166" s="249"/>
      <c r="FLP166" s="249"/>
      <c r="FLQ166" s="249"/>
      <c r="FLR166" s="249"/>
      <c r="FLS166" s="249"/>
      <c r="FLT166" s="249"/>
      <c r="FLU166" s="249"/>
      <c r="FLV166" s="249"/>
      <c r="FLW166" s="249"/>
      <c r="FLX166" s="249"/>
      <c r="FLY166" s="249"/>
      <c r="FLZ166" s="249"/>
      <c r="FMA166" s="249"/>
      <c r="FMB166" s="249"/>
      <c r="FMC166" s="249"/>
      <c r="FMD166" s="249"/>
      <c r="FME166" s="249"/>
      <c r="FMF166" s="249"/>
      <c r="FMG166" s="249"/>
      <c r="FMH166" s="249"/>
      <c r="FMI166" s="249"/>
      <c r="FMJ166" s="249"/>
      <c r="FMK166" s="249"/>
      <c r="FML166" s="249"/>
      <c r="FMM166" s="249"/>
      <c r="FMN166" s="249"/>
      <c r="FMO166" s="249"/>
      <c r="FMP166" s="249"/>
      <c r="FMQ166" s="249"/>
      <c r="FMR166" s="249"/>
      <c r="FMS166" s="249"/>
      <c r="FMT166" s="249"/>
      <c r="FMU166" s="249"/>
      <c r="FMV166" s="249"/>
      <c r="FMW166" s="249"/>
      <c r="FMX166" s="249"/>
      <c r="FMY166" s="249"/>
      <c r="FMZ166" s="249"/>
      <c r="FNA166" s="249"/>
      <c r="FNB166" s="249"/>
      <c r="FNC166" s="249"/>
      <c r="FND166" s="249"/>
      <c r="FNE166" s="249"/>
      <c r="FNF166" s="249"/>
      <c r="FNG166" s="249"/>
      <c r="FNH166" s="249"/>
      <c r="FNI166" s="249"/>
      <c r="FNJ166" s="249"/>
      <c r="FNK166" s="249"/>
      <c r="FNL166" s="249"/>
      <c r="FNM166" s="249"/>
      <c r="FNN166" s="249"/>
      <c r="FNO166" s="249"/>
      <c r="FNP166" s="249"/>
      <c r="FNQ166" s="249"/>
      <c r="FNR166" s="249"/>
      <c r="FNS166" s="249"/>
      <c r="FNT166" s="249"/>
      <c r="FNU166" s="249"/>
      <c r="FNV166" s="249"/>
      <c r="FNW166" s="249"/>
      <c r="FNX166" s="249"/>
      <c r="FNY166" s="249"/>
      <c r="FNZ166" s="249"/>
      <c r="FOA166" s="249"/>
      <c r="FOB166" s="249"/>
      <c r="FOC166" s="249"/>
      <c r="FOD166" s="249"/>
      <c r="FOE166" s="249"/>
      <c r="FOF166" s="249"/>
      <c r="FOG166" s="249"/>
      <c r="FOH166" s="249"/>
      <c r="FOI166" s="249"/>
      <c r="FOJ166" s="249"/>
      <c r="FOK166" s="249"/>
      <c r="FOL166" s="249"/>
      <c r="FOM166" s="249"/>
      <c r="FON166" s="249"/>
      <c r="FOO166" s="249"/>
      <c r="FOP166" s="249"/>
      <c r="FOQ166" s="249"/>
      <c r="FOR166" s="249"/>
      <c r="FOS166" s="249"/>
      <c r="FOT166" s="249"/>
      <c r="FOU166" s="249"/>
      <c r="FOV166" s="249"/>
      <c r="FOW166" s="249"/>
      <c r="FOX166" s="249"/>
      <c r="FOY166" s="249"/>
      <c r="FOZ166" s="249"/>
      <c r="FPA166" s="249"/>
      <c r="FPB166" s="249"/>
      <c r="FPC166" s="249"/>
      <c r="FPD166" s="249"/>
      <c r="FPE166" s="249"/>
      <c r="FPF166" s="249"/>
      <c r="FPG166" s="249"/>
      <c r="FPH166" s="249"/>
      <c r="FPI166" s="249"/>
      <c r="FPJ166" s="249"/>
      <c r="FPK166" s="249"/>
      <c r="FPL166" s="249"/>
      <c r="FPM166" s="249"/>
      <c r="FPN166" s="249"/>
      <c r="FPO166" s="249"/>
      <c r="FPP166" s="249"/>
      <c r="FPQ166" s="249"/>
      <c r="FPR166" s="249"/>
      <c r="FPS166" s="249"/>
      <c r="FPT166" s="249"/>
      <c r="FPU166" s="249"/>
      <c r="FPV166" s="249"/>
      <c r="FPW166" s="249"/>
      <c r="FPX166" s="249"/>
      <c r="FPY166" s="249"/>
      <c r="FPZ166" s="249"/>
      <c r="FQA166" s="249"/>
      <c r="FQB166" s="249"/>
      <c r="FQC166" s="249"/>
      <c r="FQD166" s="249"/>
      <c r="FQE166" s="249"/>
      <c r="FQF166" s="249"/>
      <c r="FQG166" s="249"/>
      <c r="FQH166" s="249"/>
      <c r="FQI166" s="249"/>
      <c r="FQJ166" s="249"/>
      <c r="FQK166" s="249"/>
      <c r="FQL166" s="249"/>
      <c r="FQM166" s="249"/>
      <c r="FQN166" s="249"/>
      <c r="FQO166" s="249"/>
      <c r="FQP166" s="249"/>
      <c r="FQQ166" s="249"/>
      <c r="FQR166" s="249"/>
      <c r="FQS166" s="249"/>
      <c r="FQT166" s="249"/>
      <c r="FQU166" s="249"/>
      <c r="FQV166" s="249"/>
      <c r="FQW166" s="249"/>
      <c r="FQX166" s="249"/>
      <c r="FQY166" s="249"/>
      <c r="FQZ166" s="249"/>
      <c r="FRA166" s="249"/>
      <c r="FRB166" s="249"/>
      <c r="FRC166" s="249"/>
      <c r="FRD166" s="249"/>
      <c r="FRE166" s="249"/>
      <c r="FRF166" s="249"/>
      <c r="FRG166" s="249"/>
      <c r="FRH166" s="249"/>
      <c r="FRI166" s="249"/>
      <c r="FRJ166" s="249"/>
      <c r="FRK166" s="249"/>
      <c r="FRL166" s="249"/>
      <c r="FRM166" s="249"/>
      <c r="FRN166" s="249"/>
      <c r="FRO166" s="249"/>
      <c r="FRP166" s="249"/>
      <c r="FRQ166" s="249"/>
      <c r="FRR166" s="249"/>
      <c r="FRS166" s="249"/>
      <c r="FRT166" s="249"/>
      <c r="FRU166" s="249"/>
      <c r="FRV166" s="249"/>
      <c r="FRW166" s="249"/>
      <c r="FRX166" s="249"/>
      <c r="FRY166" s="249"/>
      <c r="FRZ166" s="249"/>
      <c r="FSA166" s="249"/>
      <c r="FSB166" s="249"/>
      <c r="FSC166" s="249"/>
      <c r="FSD166" s="249"/>
      <c r="FSE166" s="249"/>
      <c r="FSF166" s="249"/>
      <c r="FSG166" s="249"/>
      <c r="FSH166" s="249"/>
      <c r="FSI166" s="249"/>
      <c r="FSJ166" s="249"/>
      <c r="FSK166" s="249"/>
      <c r="FSL166" s="249"/>
      <c r="FSM166" s="249"/>
      <c r="FSN166" s="249"/>
      <c r="FSO166" s="249"/>
      <c r="FSP166" s="249"/>
      <c r="FSQ166" s="249"/>
      <c r="FSR166" s="249"/>
      <c r="FSS166" s="249"/>
      <c r="FST166" s="249"/>
      <c r="FSU166" s="249"/>
      <c r="FSV166" s="249"/>
      <c r="FSW166" s="249"/>
      <c r="FSX166" s="249"/>
      <c r="FSY166" s="249"/>
      <c r="FSZ166" s="249"/>
      <c r="FTA166" s="249"/>
      <c r="FTB166" s="249"/>
      <c r="FTC166" s="249"/>
      <c r="FTD166" s="249"/>
      <c r="FTE166" s="249"/>
      <c r="FTF166" s="249"/>
      <c r="FTG166" s="249"/>
      <c r="FTH166" s="249"/>
      <c r="FTI166" s="249"/>
      <c r="FTJ166" s="249"/>
      <c r="FTK166" s="249"/>
      <c r="FTL166" s="249"/>
      <c r="FTM166" s="249"/>
      <c r="FTN166" s="249"/>
      <c r="FTO166" s="249"/>
      <c r="FTP166" s="249"/>
      <c r="FTQ166" s="249"/>
      <c r="FTR166" s="249"/>
      <c r="FTS166" s="249"/>
      <c r="FTT166" s="249"/>
      <c r="FTU166" s="249"/>
      <c r="FTV166" s="249"/>
      <c r="FTW166" s="249"/>
      <c r="FTX166" s="249"/>
      <c r="FTY166" s="249"/>
      <c r="FTZ166" s="249"/>
      <c r="FUA166" s="249"/>
      <c r="FUB166" s="249"/>
      <c r="FUC166" s="249"/>
      <c r="FUD166" s="249"/>
      <c r="FUE166" s="249"/>
      <c r="FUF166" s="249"/>
      <c r="FUG166" s="249"/>
      <c r="FUH166" s="249"/>
      <c r="FUI166" s="249"/>
      <c r="FUJ166" s="249"/>
      <c r="FUK166" s="249"/>
      <c r="FUL166" s="249"/>
      <c r="FUM166" s="249"/>
      <c r="FUN166" s="249"/>
      <c r="FUO166" s="249"/>
      <c r="FUP166" s="249"/>
      <c r="FUQ166" s="249"/>
      <c r="FUR166" s="249"/>
      <c r="FUS166" s="249"/>
      <c r="FUT166" s="249"/>
      <c r="FUU166" s="249"/>
      <c r="FUV166" s="249"/>
      <c r="FUW166" s="249"/>
      <c r="FUX166" s="249"/>
      <c r="FUY166" s="249"/>
      <c r="FUZ166" s="249"/>
      <c r="FVA166" s="249"/>
      <c r="FVB166" s="249"/>
      <c r="FVC166" s="249"/>
      <c r="FVD166" s="249"/>
      <c r="FVE166" s="249"/>
      <c r="FVF166" s="249"/>
      <c r="FVG166" s="249"/>
      <c r="FVH166" s="249"/>
      <c r="FVI166" s="249"/>
      <c r="FVJ166" s="249"/>
      <c r="FVK166" s="249"/>
      <c r="FVL166" s="249"/>
      <c r="FVM166" s="249"/>
      <c r="FVN166" s="249"/>
      <c r="FVO166" s="249"/>
      <c r="FVP166" s="249"/>
      <c r="FVQ166" s="249"/>
      <c r="FVR166" s="249"/>
      <c r="FVS166" s="249"/>
      <c r="FVT166" s="249"/>
      <c r="FVU166" s="249"/>
      <c r="FVV166" s="249"/>
      <c r="FVW166" s="249"/>
      <c r="FVX166" s="249"/>
      <c r="FVY166" s="249"/>
      <c r="FVZ166" s="249"/>
      <c r="FWA166" s="249"/>
      <c r="FWB166" s="249"/>
      <c r="FWC166" s="249"/>
      <c r="FWD166" s="249"/>
      <c r="FWE166" s="249"/>
      <c r="FWF166" s="249"/>
      <c r="FWG166" s="249"/>
      <c r="FWH166" s="249"/>
      <c r="FWI166" s="249"/>
      <c r="FWJ166" s="249"/>
      <c r="FWK166" s="249"/>
      <c r="FWL166" s="249"/>
      <c r="FWM166" s="249"/>
      <c r="FWN166" s="249"/>
      <c r="FWO166" s="249"/>
      <c r="FWP166" s="249"/>
      <c r="FWQ166" s="249"/>
      <c r="FWR166" s="249"/>
      <c r="FWS166" s="249"/>
      <c r="FWT166" s="249"/>
      <c r="FWU166" s="249"/>
      <c r="FWV166" s="249"/>
      <c r="FWW166" s="249"/>
      <c r="FWX166" s="249"/>
      <c r="FWY166" s="249"/>
      <c r="FWZ166" s="249"/>
      <c r="FXA166" s="249"/>
      <c r="FXB166" s="249"/>
      <c r="FXC166" s="249"/>
      <c r="FXD166" s="249"/>
      <c r="FXE166" s="249"/>
      <c r="FXF166" s="249"/>
      <c r="FXG166" s="249"/>
      <c r="FXH166" s="249"/>
      <c r="FXI166" s="249"/>
      <c r="FXJ166" s="249"/>
      <c r="FXK166" s="249"/>
      <c r="FXL166" s="249"/>
      <c r="FXM166" s="249"/>
      <c r="FXN166" s="249"/>
      <c r="FXO166" s="249"/>
      <c r="FXP166" s="249"/>
      <c r="FXQ166" s="249"/>
      <c r="FXR166" s="249"/>
      <c r="FXS166" s="249"/>
      <c r="FXT166" s="249"/>
      <c r="FXU166" s="249"/>
      <c r="FXV166" s="249"/>
      <c r="FXW166" s="249"/>
      <c r="FXX166" s="249"/>
      <c r="FXY166" s="249"/>
      <c r="FXZ166" s="249"/>
      <c r="FYA166" s="249"/>
      <c r="FYB166" s="249"/>
      <c r="FYC166" s="249"/>
      <c r="FYD166" s="249"/>
      <c r="FYE166" s="249"/>
      <c r="FYF166" s="249"/>
      <c r="FYG166" s="249"/>
      <c r="FYH166" s="249"/>
      <c r="FYI166" s="249"/>
      <c r="FYJ166" s="249"/>
      <c r="FYK166" s="249"/>
      <c r="FYL166" s="249"/>
      <c r="FYM166" s="249"/>
      <c r="FYN166" s="249"/>
      <c r="FYO166" s="249"/>
      <c r="FYP166" s="249"/>
      <c r="FYQ166" s="249"/>
      <c r="FYR166" s="249"/>
      <c r="FYS166" s="249"/>
      <c r="FYT166" s="249"/>
      <c r="FYU166" s="249"/>
      <c r="FYV166" s="249"/>
      <c r="FYW166" s="249"/>
      <c r="FYX166" s="249"/>
      <c r="FYY166" s="249"/>
      <c r="FYZ166" s="249"/>
      <c r="FZA166" s="249"/>
      <c r="FZB166" s="249"/>
      <c r="FZC166" s="249"/>
      <c r="FZD166" s="249"/>
      <c r="FZE166" s="249"/>
      <c r="FZF166" s="249"/>
      <c r="FZG166" s="249"/>
      <c r="FZH166" s="249"/>
      <c r="FZI166" s="249"/>
      <c r="FZJ166" s="249"/>
      <c r="FZK166" s="249"/>
      <c r="FZL166" s="249"/>
      <c r="FZM166" s="249"/>
      <c r="FZN166" s="249"/>
      <c r="FZO166" s="249"/>
      <c r="FZP166" s="249"/>
      <c r="FZQ166" s="249"/>
      <c r="FZR166" s="249"/>
      <c r="FZS166" s="249"/>
      <c r="FZT166" s="249"/>
      <c r="FZU166" s="249"/>
      <c r="FZV166" s="249"/>
      <c r="FZW166" s="249"/>
      <c r="FZX166" s="249"/>
      <c r="FZY166" s="249"/>
      <c r="FZZ166" s="249"/>
      <c r="GAA166" s="249"/>
      <c r="GAB166" s="249"/>
      <c r="GAC166" s="249"/>
      <c r="GAD166" s="249"/>
      <c r="GAE166" s="249"/>
      <c r="GAF166" s="249"/>
      <c r="GAG166" s="249"/>
      <c r="GAH166" s="249"/>
      <c r="GAI166" s="249"/>
      <c r="GAJ166" s="249"/>
      <c r="GAK166" s="249"/>
      <c r="GAL166" s="249"/>
      <c r="GAM166" s="249"/>
      <c r="GAN166" s="249"/>
      <c r="GAO166" s="249"/>
      <c r="GAP166" s="249"/>
      <c r="GAQ166" s="249"/>
      <c r="GAR166" s="249"/>
      <c r="GAS166" s="249"/>
      <c r="GAT166" s="249"/>
      <c r="GAU166" s="249"/>
      <c r="GAV166" s="249"/>
      <c r="GAW166" s="249"/>
      <c r="GAX166" s="249"/>
      <c r="GAY166" s="249"/>
      <c r="GAZ166" s="249"/>
      <c r="GBA166" s="249"/>
      <c r="GBB166" s="249"/>
      <c r="GBC166" s="249"/>
      <c r="GBD166" s="249"/>
      <c r="GBE166" s="249"/>
      <c r="GBF166" s="249"/>
      <c r="GBG166" s="249"/>
      <c r="GBH166" s="249"/>
      <c r="GBI166" s="249"/>
      <c r="GBJ166" s="249"/>
      <c r="GBK166" s="249"/>
      <c r="GBL166" s="249"/>
      <c r="GBM166" s="249"/>
      <c r="GBN166" s="249"/>
      <c r="GBO166" s="249"/>
      <c r="GBP166" s="249"/>
      <c r="GBQ166" s="249"/>
      <c r="GBR166" s="249"/>
      <c r="GBS166" s="249"/>
      <c r="GBT166" s="249"/>
      <c r="GBU166" s="249"/>
      <c r="GBV166" s="249"/>
      <c r="GBW166" s="249"/>
      <c r="GBX166" s="249"/>
      <c r="GBY166" s="249"/>
      <c r="GBZ166" s="249"/>
      <c r="GCA166" s="249"/>
      <c r="GCB166" s="249"/>
      <c r="GCC166" s="249"/>
      <c r="GCD166" s="249"/>
      <c r="GCE166" s="249"/>
      <c r="GCF166" s="249"/>
      <c r="GCG166" s="249"/>
      <c r="GCH166" s="249"/>
      <c r="GCI166" s="249"/>
      <c r="GCJ166" s="249"/>
      <c r="GCK166" s="249"/>
      <c r="GCL166" s="249"/>
      <c r="GCM166" s="249"/>
      <c r="GCN166" s="249"/>
      <c r="GCO166" s="249"/>
      <c r="GCP166" s="249"/>
      <c r="GCQ166" s="249"/>
      <c r="GCR166" s="249"/>
      <c r="GCS166" s="249"/>
      <c r="GCT166" s="249"/>
      <c r="GCU166" s="249"/>
      <c r="GCV166" s="249"/>
      <c r="GCW166" s="249"/>
      <c r="GCX166" s="249"/>
      <c r="GCY166" s="249"/>
      <c r="GCZ166" s="249"/>
      <c r="GDA166" s="249"/>
      <c r="GDB166" s="249"/>
      <c r="GDC166" s="249"/>
      <c r="GDD166" s="249"/>
      <c r="GDE166" s="249"/>
      <c r="GDF166" s="249"/>
      <c r="GDG166" s="249"/>
      <c r="GDH166" s="249"/>
      <c r="GDI166" s="249"/>
      <c r="GDJ166" s="249"/>
      <c r="GDK166" s="249"/>
      <c r="GDL166" s="249"/>
      <c r="GDM166" s="249"/>
      <c r="GDN166" s="249"/>
      <c r="GDO166" s="249"/>
      <c r="GDP166" s="249"/>
      <c r="GDQ166" s="249"/>
      <c r="GDR166" s="249"/>
      <c r="GDS166" s="249"/>
      <c r="GDT166" s="249"/>
      <c r="GDU166" s="249"/>
      <c r="GDV166" s="249"/>
      <c r="GDW166" s="249"/>
      <c r="GDX166" s="249"/>
      <c r="GDY166" s="249"/>
      <c r="GDZ166" s="249"/>
      <c r="GEA166" s="249"/>
      <c r="GEB166" s="249"/>
      <c r="GEC166" s="249"/>
      <c r="GED166" s="249"/>
      <c r="GEE166" s="249"/>
      <c r="GEF166" s="249"/>
      <c r="GEG166" s="249"/>
      <c r="GEH166" s="249"/>
      <c r="GEI166" s="249"/>
      <c r="GEJ166" s="249"/>
      <c r="GEK166" s="249"/>
      <c r="GEL166" s="249"/>
      <c r="GEM166" s="249"/>
      <c r="GEN166" s="249"/>
      <c r="GEO166" s="249"/>
      <c r="GEP166" s="249"/>
      <c r="GEQ166" s="249"/>
      <c r="GER166" s="249"/>
      <c r="GES166" s="249"/>
      <c r="GET166" s="249"/>
      <c r="GEU166" s="249"/>
      <c r="GEV166" s="249"/>
      <c r="GEW166" s="249"/>
      <c r="GEX166" s="249"/>
      <c r="GEY166" s="249"/>
      <c r="GEZ166" s="249"/>
      <c r="GFA166" s="249"/>
      <c r="GFB166" s="249"/>
      <c r="GFC166" s="249"/>
      <c r="GFD166" s="249"/>
      <c r="GFE166" s="249"/>
      <c r="GFF166" s="249"/>
      <c r="GFG166" s="249"/>
      <c r="GFH166" s="249"/>
      <c r="GFI166" s="249"/>
      <c r="GFJ166" s="249"/>
      <c r="GFK166" s="249"/>
      <c r="GFL166" s="249"/>
      <c r="GFM166" s="249"/>
      <c r="GFN166" s="249"/>
      <c r="GFO166" s="249"/>
      <c r="GFP166" s="249"/>
      <c r="GFQ166" s="249"/>
      <c r="GFR166" s="249"/>
      <c r="GFS166" s="249"/>
      <c r="GFT166" s="249"/>
      <c r="GFU166" s="249"/>
      <c r="GFV166" s="249"/>
      <c r="GFW166" s="249"/>
      <c r="GFX166" s="249"/>
      <c r="GFY166" s="249"/>
      <c r="GFZ166" s="249"/>
      <c r="GGA166" s="249"/>
      <c r="GGB166" s="249"/>
      <c r="GGC166" s="249"/>
      <c r="GGD166" s="249"/>
      <c r="GGE166" s="249"/>
      <c r="GGF166" s="249"/>
      <c r="GGG166" s="249"/>
      <c r="GGH166" s="249"/>
      <c r="GGI166" s="249"/>
      <c r="GGJ166" s="249"/>
      <c r="GGK166" s="249"/>
      <c r="GGL166" s="249"/>
      <c r="GGM166" s="249"/>
      <c r="GGN166" s="249"/>
      <c r="GGO166" s="249"/>
      <c r="GGP166" s="249"/>
      <c r="GGQ166" s="249"/>
      <c r="GGR166" s="249"/>
      <c r="GGS166" s="249"/>
      <c r="GGT166" s="249"/>
      <c r="GGU166" s="249"/>
      <c r="GGV166" s="249"/>
      <c r="GGW166" s="249"/>
      <c r="GGX166" s="249"/>
      <c r="GGY166" s="249"/>
      <c r="GGZ166" s="249"/>
      <c r="GHA166" s="249"/>
      <c r="GHB166" s="249"/>
      <c r="GHC166" s="249"/>
      <c r="GHD166" s="249"/>
      <c r="GHE166" s="249"/>
      <c r="GHF166" s="249"/>
      <c r="GHG166" s="249"/>
      <c r="GHH166" s="249"/>
      <c r="GHI166" s="249"/>
      <c r="GHJ166" s="249"/>
      <c r="GHK166" s="249"/>
      <c r="GHL166" s="249"/>
      <c r="GHM166" s="249"/>
      <c r="GHN166" s="249"/>
      <c r="GHO166" s="249"/>
      <c r="GHP166" s="249"/>
      <c r="GHQ166" s="249"/>
      <c r="GHR166" s="249"/>
      <c r="GHS166" s="249"/>
      <c r="GHT166" s="249"/>
      <c r="GHU166" s="249"/>
      <c r="GHV166" s="249"/>
      <c r="GHW166" s="249"/>
      <c r="GHX166" s="249"/>
      <c r="GHY166" s="249"/>
      <c r="GHZ166" s="249"/>
      <c r="GIA166" s="249"/>
      <c r="GIB166" s="249"/>
      <c r="GIC166" s="249"/>
      <c r="GID166" s="249"/>
      <c r="GIE166" s="249"/>
      <c r="GIF166" s="249"/>
      <c r="GIG166" s="249"/>
      <c r="GIH166" s="249"/>
      <c r="GII166" s="249"/>
      <c r="GIJ166" s="249"/>
      <c r="GIK166" s="249"/>
      <c r="GIL166" s="249"/>
      <c r="GIM166" s="249"/>
      <c r="GIN166" s="249"/>
      <c r="GIO166" s="249"/>
      <c r="GIP166" s="249"/>
      <c r="GIQ166" s="249"/>
      <c r="GIR166" s="249"/>
      <c r="GIS166" s="249"/>
      <c r="GIT166" s="249"/>
      <c r="GIU166" s="249"/>
      <c r="GIV166" s="249"/>
      <c r="GIW166" s="249"/>
      <c r="GIX166" s="249"/>
      <c r="GIY166" s="249"/>
      <c r="GIZ166" s="249"/>
      <c r="GJA166" s="249"/>
      <c r="GJB166" s="249"/>
      <c r="GJC166" s="249"/>
      <c r="GJD166" s="249"/>
      <c r="GJE166" s="249"/>
      <c r="GJF166" s="249"/>
      <c r="GJG166" s="249"/>
      <c r="GJH166" s="249"/>
      <c r="GJI166" s="249"/>
      <c r="GJJ166" s="249"/>
      <c r="GJK166" s="249"/>
      <c r="GJL166" s="249"/>
      <c r="GJM166" s="249"/>
      <c r="GJN166" s="249"/>
      <c r="GJO166" s="249"/>
      <c r="GJP166" s="249"/>
      <c r="GJQ166" s="249"/>
      <c r="GJR166" s="249"/>
      <c r="GJS166" s="249"/>
      <c r="GJT166" s="249"/>
      <c r="GJU166" s="249"/>
      <c r="GJV166" s="249"/>
      <c r="GJW166" s="249"/>
      <c r="GJX166" s="249"/>
      <c r="GJY166" s="249"/>
      <c r="GJZ166" s="249"/>
      <c r="GKA166" s="249"/>
      <c r="GKB166" s="249"/>
      <c r="GKC166" s="249"/>
      <c r="GKD166" s="249"/>
      <c r="GKE166" s="249"/>
      <c r="GKF166" s="249"/>
      <c r="GKG166" s="249"/>
      <c r="GKH166" s="249"/>
      <c r="GKI166" s="249"/>
      <c r="GKJ166" s="249"/>
      <c r="GKK166" s="249"/>
      <c r="GKL166" s="249"/>
      <c r="GKM166" s="249"/>
      <c r="GKN166" s="249"/>
      <c r="GKO166" s="249"/>
      <c r="GKP166" s="249"/>
      <c r="GKQ166" s="249"/>
      <c r="GKR166" s="249"/>
      <c r="GKS166" s="249"/>
      <c r="GKT166" s="249"/>
      <c r="GKU166" s="249"/>
      <c r="GKV166" s="249"/>
      <c r="GKW166" s="249"/>
      <c r="GKX166" s="249"/>
      <c r="GKY166" s="249"/>
      <c r="GKZ166" s="249"/>
      <c r="GLA166" s="249"/>
      <c r="GLB166" s="249"/>
      <c r="GLC166" s="249"/>
      <c r="GLD166" s="249"/>
      <c r="GLE166" s="249"/>
      <c r="GLF166" s="249"/>
      <c r="GLG166" s="249"/>
      <c r="GLH166" s="249"/>
      <c r="GLI166" s="249"/>
      <c r="GLJ166" s="249"/>
      <c r="GLK166" s="249"/>
      <c r="GLL166" s="249"/>
      <c r="GLM166" s="249"/>
      <c r="GLN166" s="249"/>
      <c r="GLO166" s="249"/>
      <c r="GLP166" s="249"/>
      <c r="GLQ166" s="249"/>
      <c r="GLR166" s="249"/>
      <c r="GLS166" s="249"/>
      <c r="GLT166" s="249"/>
      <c r="GLU166" s="249"/>
      <c r="GLV166" s="249"/>
      <c r="GLW166" s="249"/>
      <c r="GLX166" s="249"/>
      <c r="GLY166" s="249"/>
      <c r="GLZ166" s="249"/>
      <c r="GMA166" s="249"/>
      <c r="GMB166" s="249"/>
      <c r="GMC166" s="249"/>
      <c r="GMD166" s="249"/>
      <c r="GME166" s="249"/>
      <c r="GMF166" s="249"/>
      <c r="GMG166" s="249"/>
      <c r="GMH166" s="249"/>
      <c r="GMI166" s="249"/>
      <c r="GMJ166" s="249"/>
      <c r="GMK166" s="249"/>
      <c r="GML166" s="249"/>
      <c r="GMM166" s="249"/>
      <c r="GMN166" s="249"/>
      <c r="GMO166" s="249"/>
      <c r="GMP166" s="249"/>
      <c r="GMQ166" s="249"/>
      <c r="GMR166" s="249"/>
      <c r="GMS166" s="249"/>
      <c r="GMT166" s="249"/>
      <c r="GMU166" s="249"/>
      <c r="GMV166" s="249"/>
      <c r="GMW166" s="249"/>
      <c r="GMX166" s="249"/>
      <c r="GMY166" s="249"/>
      <c r="GMZ166" s="249"/>
      <c r="GNA166" s="249"/>
      <c r="GNB166" s="249"/>
      <c r="GNC166" s="249"/>
      <c r="GND166" s="249"/>
      <c r="GNE166" s="249"/>
      <c r="GNF166" s="249"/>
      <c r="GNG166" s="249"/>
      <c r="GNH166" s="249"/>
      <c r="GNI166" s="249"/>
      <c r="GNJ166" s="249"/>
      <c r="GNK166" s="249"/>
      <c r="GNL166" s="249"/>
      <c r="GNM166" s="249"/>
      <c r="GNN166" s="249"/>
      <c r="GNO166" s="249"/>
      <c r="GNP166" s="249"/>
      <c r="GNQ166" s="249"/>
      <c r="GNR166" s="249"/>
      <c r="GNS166" s="249"/>
      <c r="GNT166" s="249"/>
      <c r="GNU166" s="249"/>
      <c r="GNV166" s="249"/>
      <c r="GNW166" s="249"/>
      <c r="GNX166" s="249"/>
      <c r="GNY166" s="249"/>
      <c r="GNZ166" s="249"/>
      <c r="GOA166" s="249"/>
      <c r="GOB166" s="249"/>
      <c r="GOC166" s="249"/>
      <c r="GOD166" s="249"/>
      <c r="GOE166" s="249"/>
      <c r="GOF166" s="249"/>
      <c r="GOG166" s="249"/>
      <c r="GOH166" s="249"/>
      <c r="GOI166" s="249"/>
      <c r="GOJ166" s="249"/>
      <c r="GOK166" s="249"/>
      <c r="GOL166" s="249"/>
      <c r="GOM166" s="249"/>
      <c r="GON166" s="249"/>
      <c r="GOO166" s="249"/>
      <c r="GOP166" s="249"/>
      <c r="GOQ166" s="249"/>
      <c r="GOR166" s="249"/>
      <c r="GOS166" s="249"/>
      <c r="GOT166" s="249"/>
      <c r="GOU166" s="249"/>
      <c r="GOV166" s="249"/>
      <c r="GOW166" s="249"/>
      <c r="GOX166" s="249"/>
      <c r="GOY166" s="249"/>
      <c r="GOZ166" s="249"/>
      <c r="GPA166" s="249"/>
      <c r="GPB166" s="249"/>
      <c r="GPC166" s="249"/>
      <c r="GPD166" s="249"/>
      <c r="GPE166" s="249"/>
      <c r="GPF166" s="249"/>
      <c r="GPG166" s="249"/>
      <c r="GPH166" s="249"/>
      <c r="GPI166" s="249"/>
      <c r="GPJ166" s="249"/>
      <c r="GPK166" s="249"/>
      <c r="GPL166" s="249"/>
      <c r="GPM166" s="249"/>
      <c r="GPN166" s="249"/>
      <c r="GPO166" s="249"/>
      <c r="GPP166" s="249"/>
      <c r="GPQ166" s="249"/>
      <c r="GPR166" s="249"/>
      <c r="GPS166" s="249"/>
      <c r="GPT166" s="249"/>
      <c r="GPU166" s="249"/>
      <c r="GPV166" s="249"/>
      <c r="GPW166" s="249"/>
      <c r="GPX166" s="249"/>
      <c r="GPY166" s="249"/>
      <c r="GPZ166" s="249"/>
      <c r="GQA166" s="249"/>
      <c r="GQB166" s="249"/>
      <c r="GQC166" s="249"/>
      <c r="GQD166" s="249"/>
      <c r="GQE166" s="249"/>
      <c r="GQF166" s="249"/>
      <c r="GQG166" s="249"/>
      <c r="GQH166" s="249"/>
      <c r="GQI166" s="249"/>
      <c r="GQJ166" s="249"/>
      <c r="GQK166" s="249"/>
      <c r="GQL166" s="249"/>
      <c r="GQM166" s="249"/>
      <c r="GQN166" s="249"/>
      <c r="GQO166" s="249"/>
      <c r="GQP166" s="249"/>
      <c r="GQQ166" s="249"/>
      <c r="GQR166" s="249"/>
      <c r="GQS166" s="249"/>
      <c r="GQT166" s="249"/>
      <c r="GQU166" s="249"/>
      <c r="GQV166" s="249"/>
      <c r="GQW166" s="249"/>
      <c r="GQX166" s="249"/>
      <c r="GQY166" s="249"/>
      <c r="GQZ166" s="249"/>
      <c r="GRA166" s="249"/>
      <c r="GRB166" s="249"/>
      <c r="GRC166" s="249"/>
      <c r="GRD166" s="249"/>
      <c r="GRE166" s="249"/>
      <c r="GRF166" s="249"/>
      <c r="GRG166" s="249"/>
      <c r="GRH166" s="249"/>
      <c r="GRI166" s="249"/>
      <c r="GRJ166" s="249"/>
      <c r="GRK166" s="249"/>
      <c r="GRL166" s="249"/>
      <c r="GRM166" s="249"/>
      <c r="GRN166" s="249"/>
      <c r="GRO166" s="249"/>
      <c r="GRP166" s="249"/>
      <c r="GRQ166" s="249"/>
      <c r="GRR166" s="249"/>
      <c r="GRS166" s="249"/>
      <c r="GRT166" s="249"/>
      <c r="GRU166" s="249"/>
      <c r="GRV166" s="249"/>
      <c r="GRW166" s="249"/>
      <c r="GRX166" s="249"/>
      <c r="GRY166" s="249"/>
      <c r="GRZ166" s="249"/>
      <c r="GSA166" s="249"/>
      <c r="GSB166" s="249"/>
      <c r="GSC166" s="249"/>
      <c r="GSD166" s="249"/>
      <c r="GSE166" s="249"/>
      <c r="GSF166" s="249"/>
      <c r="GSG166" s="249"/>
      <c r="GSH166" s="249"/>
      <c r="GSI166" s="249"/>
      <c r="GSJ166" s="249"/>
      <c r="GSK166" s="249"/>
      <c r="GSL166" s="249"/>
      <c r="GSM166" s="249"/>
      <c r="GSN166" s="249"/>
      <c r="GSO166" s="249"/>
      <c r="GSP166" s="249"/>
      <c r="GSQ166" s="249"/>
      <c r="GSR166" s="249"/>
      <c r="GSS166" s="249"/>
      <c r="GST166" s="249"/>
      <c r="GSU166" s="249"/>
      <c r="GSV166" s="249"/>
      <c r="GSW166" s="249"/>
      <c r="GSX166" s="249"/>
      <c r="GSY166" s="249"/>
      <c r="GSZ166" s="249"/>
      <c r="GTA166" s="249"/>
      <c r="GTB166" s="249"/>
      <c r="GTC166" s="249"/>
      <c r="GTD166" s="249"/>
      <c r="GTE166" s="249"/>
      <c r="GTF166" s="249"/>
      <c r="GTG166" s="249"/>
      <c r="GTH166" s="249"/>
      <c r="GTI166" s="249"/>
      <c r="GTJ166" s="249"/>
      <c r="GTK166" s="249"/>
      <c r="GTL166" s="249"/>
      <c r="GTM166" s="249"/>
      <c r="GTN166" s="249"/>
      <c r="GTO166" s="249"/>
      <c r="GTP166" s="249"/>
      <c r="GTQ166" s="249"/>
      <c r="GTR166" s="249"/>
      <c r="GTS166" s="249"/>
      <c r="GTT166" s="249"/>
      <c r="GTU166" s="249"/>
      <c r="GTV166" s="249"/>
      <c r="GTW166" s="249"/>
      <c r="GTX166" s="249"/>
      <c r="GTY166" s="249"/>
      <c r="GTZ166" s="249"/>
      <c r="GUA166" s="249"/>
      <c r="GUB166" s="249"/>
      <c r="GUC166" s="249"/>
      <c r="GUD166" s="249"/>
      <c r="GUE166" s="249"/>
      <c r="GUF166" s="249"/>
      <c r="GUG166" s="249"/>
      <c r="GUH166" s="249"/>
      <c r="GUI166" s="249"/>
      <c r="GUJ166" s="249"/>
      <c r="GUK166" s="249"/>
      <c r="GUL166" s="249"/>
      <c r="GUM166" s="249"/>
      <c r="GUN166" s="249"/>
      <c r="GUO166" s="249"/>
      <c r="GUP166" s="249"/>
      <c r="GUQ166" s="249"/>
      <c r="GUR166" s="249"/>
      <c r="GUS166" s="249"/>
      <c r="GUT166" s="249"/>
      <c r="GUU166" s="249"/>
      <c r="GUV166" s="249"/>
      <c r="GUW166" s="249"/>
      <c r="GUX166" s="249"/>
      <c r="GUY166" s="249"/>
      <c r="GUZ166" s="249"/>
      <c r="GVA166" s="249"/>
      <c r="GVB166" s="249"/>
      <c r="GVC166" s="249"/>
      <c r="GVD166" s="249"/>
      <c r="GVE166" s="249"/>
      <c r="GVF166" s="249"/>
      <c r="GVG166" s="249"/>
      <c r="GVH166" s="249"/>
      <c r="GVI166" s="249"/>
      <c r="GVJ166" s="249"/>
      <c r="GVK166" s="249"/>
      <c r="GVL166" s="249"/>
      <c r="GVM166" s="249"/>
      <c r="GVN166" s="249"/>
      <c r="GVO166" s="249"/>
      <c r="GVP166" s="249"/>
      <c r="GVQ166" s="249"/>
      <c r="GVR166" s="249"/>
      <c r="GVS166" s="249"/>
      <c r="GVT166" s="249"/>
      <c r="GVU166" s="249"/>
      <c r="GVV166" s="249"/>
      <c r="GVW166" s="249"/>
      <c r="GVX166" s="249"/>
      <c r="GVY166" s="249"/>
      <c r="GVZ166" s="249"/>
      <c r="GWA166" s="249"/>
      <c r="GWB166" s="249"/>
      <c r="GWC166" s="249"/>
      <c r="GWD166" s="249"/>
      <c r="GWE166" s="249"/>
      <c r="GWF166" s="249"/>
      <c r="GWG166" s="249"/>
      <c r="GWH166" s="249"/>
      <c r="GWI166" s="249"/>
      <c r="GWJ166" s="249"/>
      <c r="GWK166" s="249"/>
      <c r="GWL166" s="249"/>
      <c r="GWM166" s="249"/>
      <c r="GWN166" s="249"/>
      <c r="GWO166" s="249"/>
      <c r="GWP166" s="249"/>
      <c r="GWQ166" s="249"/>
      <c r="GWR166" s="249"/>
      <c r="GWS166" s="249"/>
      <c r="GWT166" s="249"/>
      <c r="GWU166" s="249"/>
      <c r="GWV166" s="249"/>
      <c r="GWW166" s="249"/>
      <c r="GWX166" s="249"/>
      <c r="GWY166" s="249"/>
      <c r="GWZ166" s="249"/>
      <c r="GXA166" s="249"/>
      <c r="GXB166" s="249"/>
      <c r="GXC166" s="249"/>
      <c r="GXD166" s="249"/>
      <c r="GXE166" s="249"/>
      <c r="GXF166" s="249"/>
      <c r="GXG166" s="249"/>
      <c r="GXH166" s="249"/>
      <c r="GXI166" s="249"/>
      <c r="GXJ166" s="249"/>
      <c r="GXK166" s="249"/>
      <c r="GXL166" s="249"/>
      <c r="GXM166" s="249"/>
      <c r="GXN166" s="249"/>
      <c r="GXO166" s="249"/>
      <c r="GXP166" s="249"/>
      <c r="GXQ166" s="249"/>
      <c r="GXR166" s="249"/>
      <c r="GXS166" s="249"/>
      <c r="GXT166" s="249"/>
      <c r="GXU166" s="249"/>
      <c r="GXV166" s="249"/>
      <c r="GXW166" s="249"/>
      <c r="GXX166" s="249"/>
      <c r="GXY166" s="249"/>
      <c r="GXZ166" s="249"/>
      <c r="GYA166" s="249"/>
      <c r="GYB166" s="249"/>
      <c r="GYC166" s="249"/>
      <c r="GYD166" s="249"/>
      <c r="GYE166" s="249"/>
      <c r="GYF166" s="249"/>
      <c r="GYG166" s="249"/>
      <c r="GYH166" s="249"/>
      <c r="GYI166" s="249"/>
      <c r="GYJ166" s="249"/>
      <c r="GYK166" s="249"/>
      <c r="GYL166" s="249"/>
      <c r="GYM166" s="249"/>
      <c r="GYN166" s="249"/>
      <c r="GYO166" s="249"/>
      <c r="GYP166" s="249"/>
      <c r="GYQ166" s="249"/>
      <c r="GYR166" s="249"/>
      <c r="GYS166" s="249"/>
      <c r="GYT166" s="249"/>
      <c r="GYU166" s="249"/>
      <c r="GYV166" s="249"/>
      <c r="GYW166" s="249"/>
      <c r="GYX166" s="249"/>
      <c r="GYY166" s="249"/>
      <c r="GYZ166" s="249"/>
      <c r="GZA166" s="249"/>
      <c r="GZB166" s="249"/>
      <c r="GZC166" s="249"/>
      <c r="GZD166" s="249"/>
      <c r="GZE166" s="249"/>
      <c r="GZF166" s="249"/>
      <c r="GZG166" s="249"/>
      <c r="GZH166" s="249"/>
      <c r="GZI166" s="249"/>
      <c r="GZJ166" s="249"/>
      <c r="GZK166" s="249"/>
      <c r="GZL166" s="249"/>
      <c r="GZM166" s="249"/>
      <c r="GZN166" s="249"/>
      <c r="GZO166" s="249"/>
      <c r="GZP166" s="249"/>
      <c r="GZQ166" s="249"/>
      <c r="GZR166" s="249"/>
      <c r="GZS166" s="249"/>
      <c r="GZT166" s="249"/>
      <c r="GZU166" s="249"/>
      <c r="GZV166" s="249"/>
      <c r="GZW166" s="249"/>
      <c r="GZX166" s="249"/>
      <c r="GZY166" s="249"/>
      <c r="GZZ166" s="249"/>
      <c r="HAA166" s="249"/>
      <c r="HAB166" s="249"/>
      <c r="HAC166" s="249"/>
      <c r="HAD166" s="249"/>
      <c r="HAE166" s="249"/>
      <c r="HAF166" s="249"/>
      <c r="HAG166" s="249"/>
      <c r="HAH166" s="249"/>
      <c r="HAI166" s="249"/>
      <c r="HAJ166" s="249"/>
      <c r="HAK166" s="249"/>
      <c r="HAL166" s="249"/>
      <c r="HAM166" s="249"/>
      <c r="HAN166" s="249"/>
      <c r="HAO166" s="249"/>
      <c r="HAP166" s="249"/>
      <c r="HAQ166" s="249"/>
      <c r="HAR166" s="249"/>
      <c r="HAS166" s="249"/>
      <c r="HAT166" s="249"/>
      <c r="HAU166" s="249"/>
      <c r="HAV166" s="249"/>
      <c r="HAW166" s="249"/>
      <c r="HAX166" s="249"/>
      <c r="HAY166" s="249"/>
      <c r="HAZ166" s="249"/>
      <c r="HBA166" s="249"/>
      <c r="HBB166" s="249"/>
      <c r="HBC166" s="249"/>
      <c r="HBD166" s="249"/>
      <c r="HBE166" s="249"/>
      <c r="HBF166" s="249"/>
      <c r="HBG166" s="249"/>
      <c r="HBH166" s="249"/>
      <c r="HBI166" s="249"/>
      <c r="HBJ166" s="249"/>
      <c r="HBK166" s="249"/>
      <c r="HBL166" s="249"/>
      <c r="HBM166" s="249"/>
      <c r="HBN166" s="249"/>
      <c r="HBO166" s="249"/>
      <c r="HBP166" s="249"/>
      <c r="HBQ166" s="249"/>
      <c r="HBR166" s="249"/>
      <c r="HBS166" s="249"/>
      <c r="HBT166" s="249"/>
      <c r="HBU166" s="249"/>
      <c r="HBV166" s="249"/>
      <c r="HBW166" s="249"/>
      <c r="HBX166" s="249"/>
      <c r="HBY166" s="249"/>
      <c r="HBZ166" s="249"/>
      <c r="HCA166" s="249"/>
      <c r="HCB166" s="249"/>
      <c r="HCC166" s="249"/>
      <c r="HCD166" s="249"/>
      <c r="HCE166" s="249"/>
      <c r="HCF166" s="249"/>
      <c r="HCG166" s="249"/>
      <c r="HCH166" s="249"/>
      <c r="HCI166" s="249"/>
      <c r="HCJ166" s="249"/>
      <c r="HCK166" s="249"/>
      <c r="HCL166" s="249"/>
      <c r="HCM166" s="249"/>
      <c r="HCN166" s="249"/>
      <c r="HCO166" s="249"/>
      <c r="HCP166" s="249"/>
      <c r="HCQ166" s="249"/>
      <c r="HCR166" s="249"/>
      <c r="HCS166" s="249"/>
      <c r="HCT166" s="249"/>
      <c r="HCU166" s="249"/>
      <c r="HCV166" s="249"/>
      <c r="HCW166" s="249"/>
      <c r="HCX166" s="249"/>
      <c r="HCY166" s="249"/>
      <c r="HCZ166" s="249"/>
      <c r="HDA166" s="249"/>
      <c r="HDB166" s="249"/>
      <c r="HDC166" s="249"/>
      <c r="HDD166" s="249"/>
      <c r="HDE166" s="249"/>
      <c r="HDF166" s="249"/>
      <c r="HDG166" s="249"/>
      <c r="HDH166" s="249"/>
      <c r="HDI166" s="249"/>
      <c r="HDJ166" s="249"/>
      <c r="HDK166" s="249"/>
      <c r="HDL166" s="249"/>
      <c r="HDM166" s="249"/>
      <c r="HDN166" s="249"/>
      <c r="HDO166" s="249"/>
      <c r="HDP166" s="249"/>
      <c r="HDQ166" s="249"/>
      <c r="HDR166" s="249"/>
      <c r="HDS166" s="249"/>
      <c r="HDT166" s="249"/>
      <c r="HDU166" s="249"/>
      <c r="HDV166" s="249"/>
      <c r="HDW166" s="249"/>
      <c r="HDX166" s="249"/>
      <c r="HDY166" s="249"/>
      <c r="HDZ166" s="249"/>
      <c r="HEA166" s="249"/>
      <c r="HEB166" s="249"/>
      <c r="HEC166" s="249"/>
      <c r="HED166" s="249"/>
      <c r="HEE166" s="249"/>
      <c r="HEF166" s="249"/>
      <c r="HEG166" s="249"/>
      <c r="HEH166" s="249"/>
      <c r="HEI166" s="249"/>
      <c r="HEJ166" s="249"/>
      <c r="HEK166" s="249"/>
      <c r="HEL166" s="249"/>
      <c r="HEM166" s="249"/>
      <c r="HEN166" s="249"/>
      <c r="HEO166" s="249"/>
      <c r="HEP166" s="249"/>
      <c r="HEQ166" s="249"/>
      <c r="HER166" s="249"/>
      <c r="HES166" s="249"/>
      <c r="HET166" s="249"/>
      <c r="HEU166" s="249"/>
      <c r="HEV166" s="249"/>
      <c r="HEW166" s="249"/>
      <c r="HEX166" s="249"/>
      <c r="HEY166" s="249"/>
      <c r="HEZ166" s="249"/>
      <c r="HFA166" s="249"/>
      <c r="HFB166" s="249"/>
      <c r="HFC166" s="249"/>
      <c r="HFD166" s="249"/>
      <c r="HFE166" s="249"/>
      <c r="HFF166" s="249"/>
      <c r="HFG166" s="249"/>
      <c r="HFH166" s="249"/>
      <c r="HFI166" s="249"/>
      <c r="HFJ166" s="249"/>
      <c r="HFK166" s="249"/>
      <c r="HFL166" s="249"/>
      <c r="HFM166" s="249"/>
      <c r="HFN166" s="249"/>
      <c r="HFO166" s="249"/>
      <c r="HFP166" s="249"/>
      <c r="HFQ166" s="249"/>
      <c r="HFR166" s="249"/>
      <c r="HFS166" s="249"/>
      <c r="HFT166" s="249"/>
      <c r="HFU166" s="249"/>
      <c r="HFV166" s="249"/>
      <c r="HFW166" s="249"/>
      <c r="HFX166" s="249"/>
      <c r="HFY166" s="249"/>
      <c r="HFZ166" s="249"/>
      <c r="HGA166" s="249"/>
      <c r="HGB166" s="249"/>
      <c r="HGC166" s="249"/>
      <c r="HGD166" s="249"/>
      <c r="HGE166" s="249"/>
      <c r="HGF166" s="249"/>
      <c r="HGG166" s="249"/>
      <c r="HGH166" s="249"/>
      <c r="HGI166" s="249"/>
      <c r="HGJ166" s="249"/>
      <c r="HGK166" s="249"/>
      <c r="HGL166" s="249"/>
      <c r="HGM166" s="249"/>
      <c r="HGN166" s="249"/>
      <c r="HGO166" s="249"/>
      <c r="HGP166" s="249"/>
      <c r="HGQ166" s="249"/>
      <c r="HGR166" s="249"/>
      <c r="HGS166" s="249"/>
      <c r="HGT166" s="249"/>
      <c r="HGU166" s="249"/>
      <c r="HGV166" s="249"/>
      <c r="HGW166" s="249"/>
      <c r="HGX166" s="249"/>
      <c r="HGY166" s="249"/>
      <c r="HGZ166" s="249"/>
      <c r="HHA166" s="249"/>
      <c r="HHB166" s="249"/>
      <c r="HHC166" s="249"/>
      <c r="HHD166" s="249"/>
      <c r="HHE166" s="249"/>
      <c r="HHF166" s="249"/>
      <c r="HHG166" s="249"/>
      <c r="HHH166" s="249"/>
      <c r="HHI166" s="249"/>
      <c r="HHJ166" s="249"/>
      <c r="HHK166" s="249"/>
      <c r="HHL166" s="249"/>
      <c r="HHM166" s="249"/>
      <c r="HHN166" s="249"/>
      <c r="HHO166" s="249"/>
      <c r="HHP166" s="249"/>
      <c r="HHQ166" s="249"/>
      <c r="HHR166" s="249"/>
      <c r="HHS166" s="249"/>
      <c r="HHT166" s="249"/>
      <c r="HHU166" s="249"/>
      <c r="HHV166" s="249"/>
      <c r="HHW166" s="249"/>
      <c r="HHX166" s="249"/>
      <c r="HHY166" s="249"/>
      <c r="HHZ166" s="249"/>
      <c r="HIA166" s="249"/>
      <c r="HIB166" s="249"/>
      <c r="HIC166" s="249"/>
      <c r="HID166" s="249"/>
      <c r="HIE166" s="249"/>
      <c r="HIF166" s="249"/>
      <c r="HIG166" s="249"/>
      <c r="HIH166" s="249"/>
      <c r="HII166" s="249"/>
      <c r="HIJ166" s="249"/>
      <c r="HIK166" s="249"/>
      <c r="HIL166" s="249"/>
      <c r="HIM166" s="249"/>
      <c r="HIN166" s="249"/>
      <c r="HIO166" s="249"/>
      <c r="HIP166" s="249"/>
      <c r="HIQ166" s="249"/>
      <c r="HIR166" s="249"/>
      <c r="HIS166" s="249"/>
      <c r="HIT166" s="249"/>
      <c r="HIU166" s="249"/>
      <c r="HIV166" s="249"/>
      <c r="HIW166" s="249"/>
      <c r="HIX166" s="249"/>
      <c r="HIY166" s="249"/>
      <c r="HIZ166" s="249"/>
      <c r="HJA166" s="249"/>
      <c r="HJB166" s="249"/>
      <c r="HJC166" s="249"/>
      <c r="HJD166" s="249"/>
      <c r="HJE166" s="249"/>
      <c r="HJF166" s="249"/>
      <c r="HJG166" s="249"/>
      <c r="HJH166" s="249"/>
      <c r="HJI166" s="249"/>
      <c r="HJJ166" s="249"/>
      <c r="HJK166" s="249"/>
      <c r="HJL166" s="249"/>
      <c r="HJM166" s="249"/>
      <c r="HJN166" s="249"/>
      <c r="HJO166" s="249"/>
      <c r="HJP166" s="249"/>
      <c r="HJQ166" s="249"/>
      <c r="HJR166" s="249"/>
      <c r="HJS166" s="249"/>
      <c r="HJT166" s="249"/>
      <c r="HJU166" s="249"/>
      <c r="HJV166" s="249"/>
      <c r="HJW166" s="249"/>
      <c r="HJX166" s="249"/>
      <c r="HJY166" s="249"/>
      <c r="HJZ166" s="249"/>
      <c r="HKA166" s="249"/>
      <c r="HKB166" s="249"/>
      <c r="HKC166" s="249"/>
      <c r="HKD166" s="249"/>
      <c r="HKE166" s="249"/>
      <c r="HKF166" s="249"/>
      <c r="HKG166" s="249"/>
      <c r="HKH166" s="249"/>
      <c r="HKI166" s="249"/>
      <c r="HKJ166" s="249"/>
      <c r="HKK166" s="249"/>
      <c r="HKL166" s="249"/>
      <c r="HKM166" s="249"/>
      <c r="HKN166" s="249"/>
      <c r="HKO166" s="249"/>
      <c r="HKP166" s="249"/>
      <c r="HKQ166" s="249"/>
      <c r="HKR166" s="249"/>
      <c r="HKS166" s="249"/>
      <c r="HKT166" s="249"/>
      <c r="HKU166" s="249"/>
      <c r="HKV166" s="249"/>
      <c r="HKW166" s="249"/>
      <c r="HKX166" s="249"/>
      <c r="HKY166" s="249"/>
      <c r="HKZ166" s="249"/>
      <c r="HLA166" s="249"/>
      <c r="HLB166" s="249"/>
      <c r="HLC166" s="249"/>
      <c r="HLD166" s="249"/>
      <c r="HLE166" s="249"/>
      <c r="HLF166" s="249"/>
      <c r="HLG166" s="249"/>
      <c r="HLH166" s="249"/>
      <c r="HLI166" s="249"/>
      <c r="HLJ166" s="249"/>
      <c r="HLK166" s="249"/>
      <c r="HLL166" s="249"/>
      <c r="HLM166" s="249"/>
      <c r="HLN166" s="249"/>
      <c r="HLO166" s="249"/>
      <c r="HLP166" s="249"/>
      <c r="HLQ166" s="249"/>
      <c r="HLR166" s="249"/>
      <c r="HLS166" s="249"/>
      <c r="HLT166" s="249"/>
      <c r="HLU166" s="249"/>
      <c r="HLV166" s="249"/>
      <c r="HLW166" s="249"/>
      <c r="HLX166" s="249"/>
      <c r="HLY166" s="249"/>
      <c r="HLZ166" s="249"/>
      <c r="HMA166" s="249"/>
      <c r="HMB166" s="249"/>
      <c r="HMC166" s="249"/>
      <c r="HMD166" s="249"/>
      <c r="HME166" s="249"/>
      <c r="HMF166" s="249"/>
      <c r="HMG166" s="249"/>
      <c r="HMH166" s="249"/>
      <c r="HMI166" s="249"/>
      <c r="HMJ166" s="249"/>
      <c r="HMK166" s="249"/>
      <c r="HML166" s="249"/>
      <c r="HMM166" s="249"/>
      <c r="HMN166" s="249"/>
      <c r="HMO166" s="249"/>
      <c r="HMP166" s="249"/>
      <c r="HMQ166" s="249"/>
      <c r="HMR166" s="249"/>
      <c r="HMS166" s="249"/>
      <c r="HMT166" s="249"/>
      <c r="HMU166" s="249"/>
      <c r="HMV166" s="249"/>
      <c r="HMW166" s="249"/>
      <c r="HMX166" s="249"/>
      <c r="HMY166" s="249"/>
      <c r="HMZ166" s="249"/>
      <c r="HNA166" s="249"/>
      <c r="HNB166" s="249"/>
      <c r="HNC166" s="249"/>
      <c r="HND166" s="249"/>
      <c r="HNE166" s="249"/>
      <c r="HNF166" s="249"/>
      <c r="HNG166" s="249"/>
      <c r="HNH166" s="249"/>
      <c r="HNI166" s="249"/>
      <c r="HNJ166" s="249"/>
      <c r="HNK166" s="249"/>
      <c r="HNL166" s="249"/>
      <c r="HNM166" s="249"/>
      <c r="HNN166" s="249"/>
      <c r="HNO166" s="249"/>
      <c r="HNP166" s="249"/>
      <c r="HNQ166" s="249"/>
      <c r="HNR166" s="249"/>
      <c r="HNS166" s="249"/>
      <c r="HNT166" s="249"/>
      <c r="HNU166" s="249"/>
      <c r="HNV166" s="249"/>
      <c r="HNW166" s="249"/>
      <c r="HNX166" s="249"/>
      <c r="HNY166" s="249"/>
      <c r="HNZ166" s="249"/>
      <c r="HOA166" s="249"/>
      <c r="HOB166" s="249"/>
      <c r="HOC166" s="249"/>
      <c r="HOD166" s="249"/>
      <c r="HOE166" s="249"/>
      <c r="HOF166" s="249"/>
      <c r="HOG166" s="249"/>
      <c r="HOH166" s="249"/>
      <c r="HOI166" s="249"/>
      <c r="HOJ166" s="249"/>
      <c r="HOK166" s="249"/>
      <c r="HOL166" s="249"/>
      <c r="HOM166" s="249"/>
      <c r="HON166" s="249"/>
      <c r="HOO166" s="249"/>
      <c r="HOP166" s="249"/>
      <c r="HOQ166" s="249"/>
      <c r="HOR166" s="249"/>
      <c r="HOS166" s="249"/>
      <c r="HOT166" s="249"/>
      <c r="HOU166" s="249"/>
      <c r="HOV166" s="249"/>
      <c r="HOW166" s="249"/>
      <c r="HOX166" s="249"/>
      <c r="HOY166" s="249"/>
      <c r="HOZ166" s="249"/>
      <c r="HPA166" s="249"/>
      <c r="HPB166" s="249"/>
      <c r="HPC166" s="249"/>
      <c r="HPD166" s="249"/>
      <c r="HPE166" s="249"/>
      <c r="HPF166" s="249"/>
      <c r="HPG166" s="249"/>
      <c r="HPH166" s="249"/>
      <c r="HPI166" s="249"/>
      <c r="HPJ166" s="249"/>
      <c r="HPK166" s="249"/>
      <c r="HPL166" s="249"/>
      <c r="HPM166" s="249"/>
      <c r="HPN166" s="249"/>
      <c r="HPO166" s="249"/>
      <c r="HPP166" s="249"/>
      <c r="HPQ166" s="249"/>
      <c r="HPR166" s="249"/>
      <c r="HPS166" s="249"/>
      <c r="HPT166" s="249"/>
      <c r="HPU166" s="249"/>
      <c r="HPV166" s="249"/>
      <c r="HPW166" s="249"/>
      <c r="HPX166" s="249"/>
      <c r="HPY166" s="249"/>
      <c r="HPZ166" s="249"/>
      <c r="HQA166" s="249"/>
      <c r="HQB166" s="249"/>
      <c r="HQC166" s="249"/>
      <c r="HQD166" s="249"/>
      <c r="HQE166" s="249"/>
      <c r="HQF166" s="249"/>
      <c r="HQG166" s="249"/>
      <c r="HQH166" s="249"/>
      <c r="HQI166" s="249"/>
      <c r="HQJ166" s="249"/>
      <c r="HQK166" s="249"/>
      <c r="HQL166" s="249"/>
      <c r="HQM166" s="249"/>
      <c r="HQN166" s="249"/>
      <c r="HQO166" s="249"/>
      <c r="HQP166" s="249"/>
      <c r="HQQ166" s="249"/>
      <c r="HQR166" s="249"/>
      <c r="HQS166" s="249"/>
      <c r="HQT166" s="249"/>
      <c r="HQU166" s="249"/>
      <c r="HQV166" s="249"/>
      <c r="HQW166" s="249"/>
      <c r="HQX166" s="249"/>
      <c r="HQY166" s="249"/>
      <c r="HQZ166" s="249"/>
      <c r="HRA166" s="249"/>
      <c r="HRB166" s="249"/>
      <c r="HRC166" s="249"/>
      <c r="HRD166" s="249"/>
      <c r="HRE166" s="249"/>
      <c r="HRF166" s="249"/>
      <c r="HRG166" s="249"/>
      <c r="HRH166" s="249"/>
      <c r="HRI166" s="249"/>
      <c r="HRJ166" s="249"/>
      <c r="HRK166" s="249"/>
      <c r="HRL166" s="249"/>
      <c r="HRM166" s="249"/>
      <c r="HRN166" s="249"/>
      <c r="HRO166" s="249"/>
      <c r="HRP166" s="249"/>
      <c r="HRQ166" s="249"/>
      <c r="HRR166" s="249"/>
      <c r="HRS166" s="249"/>
      <c r="HRT166" s="249"/>
      <c r="HRU166" s="249"/>
      <c r="HRV166" s="249"/>
      <c r="HRW166" s="249"/>
      <c r="HRX166" s="249"/>
      <c r="HRY166" s="249"/>
      <c r="HRZ166" s="249"/>
      <c r="HSA166" s="249"/>
      <c r="HSB166" s="249"/>
      <c r="HSC166" s="249"/>
      <c r="HSD166" s="249"/>
      <c r="HSE166" s="249"/>
      <c r="HSF166" s="249"/>
      <c r="HSG166" s="249"/>
      <c r="HSH166" s="249"/>
      <c r="HSI166" s="249"/>
      <c r="HSJ166" s="249"/>
      <c r="HSK166" s="249"/>
      <c r="HSL166" s="249"/>
      <c r="HSM166" s="249"/>
      <c r="HSN166" s="249"/>
      <c r="HSO166" s="249"/>
      <c r="HSP166" s="249"/>
      <c r="HSQ166" s="249"/>
      <c r="HSR166" s="249"/>
      <c r="HSS166" s="249"/>
      <c r="HST166" s="249"/>
      <c r="HSU166" s="249"/>
      <c r="HSV166" s="249"/>
      <c r="HSW166" s="249"/>
      <c r="HSX166" s="249"/>
      <c r="HSY166" s="249"/>
      <c r="HSZ166" s="249"/>
      <c r="HTA166" s="249"/>
      <c r="HTB166" s="249"/>
      <c r="HTC166" s="249"/>
      <c r="HTD166" s="249"/>
      <c r="HTE166" s="249"/>
      <c r="HTF166" s="249"/>
      <c r="HTG166" s="249"/>
      <c r="HTH166" s="249"/>
      <c r="HTI166" s="249"/>
      <c r="HTJ166" s="249"/>
      <c r="HTK166" s="249"/>
      <c r="HTL166" s="249"/>
      <c r="HTM166" s="249"/>
      <c r="HTN166" s="249"/>
      <c r="HTO166" s="249"/>
      <c r="HTP166" s="249"/>
      <c r="HTQ166" s="249"/>
      <c r="HTR166" s="249"/>
      <c r="HTS166" s="249"/>
      <c r="HTT166" s="249"/>
      <c r="HTU166" s="249"/>
      <c r="HTV166" s="249"/>
      <c r="HTW166" s="249"/>
      <c r="HTX166" s="249"/>
      <c r="HTY166" s="249"/>
      <c r="HTZ166" s="249"/>
      <c r="HUA166" s="249"/>
      <c r="HUB166" s="249"/>
      <c r="HUC166" s="249"/>
      <c r="HUD166" s="249"/>
      <c r="HUE166" s="249"/>
      <c r="HUF166" s="249"/>
      <c r="HUG166" s="249"/>
      <c r="HUH166" s="249"/>
      <c r="HUI166" s="249"/>
      <c r="HUJ166" s="249"/>
      <c r="HUK166" s="249"/>
      <c r="HUL166" s="249"/>
      <c r="HUM166" s="249"/>
      <c r="HUN166" s="249"/>
      <c r="HUO166" s="249"/>
      <c r="HUP166" s="249"/>
      <c r="HUQ166" s="249"/>
      <c r="HUR166" s="249"/>
      <c r="HUS166" s="249"/>
      <c r="HUT166" s="249"/>
      <c r="HUU166" s="249"/>
      <c r="HUV166" s="249"/>
      <c r="HUW166" s="249"/>
      <c r="HUX166" s="249"/>
      <c r="HUY166" s="249"/>
      <c r="HUZ166" s="249"/>
      <c r="HVA166" s="249"/>
      <c r="HVB166" s="249"/>
      <c r="HVC166" s="249"/>
      <c r="HVD166" s="249"/>
      <c r="HVE166" s="249"/>
      <c r="HVF166" s="249"/>
      <c r="HVG166" s="249"/>
      <c r="HVH166" s="249"/>
      <c r="HVI166" s="249"/>
      <c r="HVJ166" s="249"/>
      <c r="HVK166" s="249"/>
      <c r="HVL166" s="249"/>
      <c r="HVM166" s="249"/>
      <c r="HVN166" s="249"/>
      <c r="HVO166" s="249"/>
      <c r="HVP166" s="249"/>
      <c r="HVQ166" s="249"/>
      <c r="HVR166" s="249"/>
      <c r="HVS166" s="249"/>
      <c r="HVT166" s="249"/>
      <c r="HVU166" s="249"/>
      <c r="HVV166" s="249"/>
      <c r="HVW166" s="249"/>
      <c r="HVX166" s="249"/>
      <c r="HVY166" s="249"/>
      <c r="HVZ166" s="249"/>
      <c r="HWA166" s="249"/>
      <c r="HWB166" s="249"/>
      <c r="HWC166" s="249"/>
      <c r="HWD166" s="249"/>
      <c r="HWE166" s="249"/>
      <c r="HWF166" s="249"/>
      <c r="HWG166" s="249"/>
      <c r="HWH166" s="249"/>
      <c r="HWI166" s="249"/>
      <c r="HWJ166" s="249"/>
      <c r="HWK166" s="249"/>
      <c r="HWL166" s="249"/>
      <c r="HWM166" s="249"/>
      <c r="HWN166" s="249"/>
      <c r="HWO166" s="249"/>
      <c r="HWP166" s="249"/>
      <c r="HWQ166" s="249"/>
      <c r="HWR166" s="249"/>
      <c r="HWS166" s="249"/>
      <c r="HWT166" s="249"/>
      <c r="HWU166" s="249"/>
      <c r="HWV166" s="249"/>
      <c r="HWW166" s="249"/>
      <c r="HWX166" s="249"/>
      <c r="HWY166" s="249"/>
      <c r="HWZ166" s="249"/>
      <c r="HXA166" s="249"/>
      <c r="HXB166" s="249"/>
      <c r="HXC166" s="249"/>
      <c r="HXD166" s="249"/>
      <c r="HXE166" s="249"/>
      <c r="HXF166" s="249"/>
      <c r="HXG166" s="249"/>
      <c r="HXH166" s="249"/>
      <c r="HXI166" s="249"/>
      <c r="HXJ166" s="249"/>
      <c r="HXK166" s="249"/>
      <c r="HXL166" s="249"/>
      <c r="HXM166" s="249"/>
      <c r="HXN166" s="249"/>
      <c r="HXO166" s="249"/>
      <c r="HXP166" s="249"/>
      <c r="HXQ166" s="249"/>
      <c r="HXR166" s="249"/>
      <c r="HXS166" s="249"/>
      <c r="HXT166" s="249"/>
      <c r="HXU166" s="249"/>
      <c r="HXV166" s="249"/>
      <c r="HXW166" s="249"/>
      <c r="HXX166" s="249"/>
      <c r="HXY166" s="249"/>
      <c r="HXZ166" s="249"/>
      <c r="HYA166" s="249"/>
      <c r="HYB166" s="249"/>
      <c r="HYC166" s="249"/>
      <c r="HYD166" s="249"/>
      <c r="HYE166" s="249"/>
      <c r="HYF166" s="249"/>
      <c r="HYG166" s="249"/>
      <c r="HYH166" s="249"/>
      <c r="HYI166" s="249"/>
      <c r="HYJ166" s="249"/>
      <c r="HYK166" s="249"/>
      <c r="HYL166" s="249"/>
      <c r="HYM166" s="249"/>
      <c r="HYN166" s="249"/>
      <c r="HYO166" s="249"/>
      <c r="HYP166" s="249"/>
      <c r="HYQ166" s="249"/>
      <c r="HYR166" s="249"/>
      <c r="HYS166" s="249"/>
      <c r="HYT166" s="249"/>
      <c r="HYU166" s="249"/>
      <c r="HYV166" s="249"/>
      <c r="HYW166" s="249"/>
      <c r="HYX166" s="249"/>
      <c r="HYY166" s="249"/>
      <c r="HYZ166" s="249"/>
      <c r="HZA166" s="249"/>
      <c r="HZB166" s="249"/>
      <c r="HZC166" s="249"/>
      <c r="HZD166" s="249"/>
      <c r="HZE166" s="249"/>
      <c r="HZF166" s="249"/>
      <c r="HZG166" s="249"/>
      <c r="HZH166" s="249"/>
      <c r="HZI166" s="249"/>
      <c r="HZJ166" s="249"/>
      <c r="HZK166" s="249"/>
      <c r="HZL166" s="249"/>
      <c r="HZM166" s="249"/>
      <c r="HZN166" s="249"/>
      <c r="HZO166" s="249"/>
      <c r="HZP166" s="249"/>
      <c r="HZQ166" s="249"/>
      <c r="HZR166" s="249"/>
      <c r="HZS166" s="249"/>
      <c r="HZT166" s="249"/>
      <c r="HZU166" s="249"/>
      <c r="HZV166" s="249"/>
      <c r="HZW166" s="249"/>
      <c r="HZX166" s="249"/>
      <c r="HZY166" s="249"/>
      <c r="HZZ166" s="249"/>
      <c r="IAA166" s="249"/>
      <c r="IAB166" s="249"/>
      <c r="IAC166" s="249"/>
      <c r="IAD166" s="249"/>
      <c r="IAE166" s="249"/>
      <c r="IAF166" s="249"/>
      <c r="IAG166" s="249"/>
      <c r="IAH166" s="249"/>
      <c r="IAI166" s="249"/>
      <c r="IAJ166" s="249"/>
      <c r="IAK166" s="249"/>
      <c r="IAL166" s="249"/>
      <c r="IAM166" s="249"/>
      <c r="IAN166" s="249"/>
      <c r="IAO166" s="249"/>
      <c r="IAP166" s="249"/>
      <c r="IAQ166" s="249"/>
      <c r="IAR166" s="249"/>
      <c r="IAS166" s="249"/>
      <c r="IAT166" s="249"/>
      <c r="IAU166" s="249"/>
      <c r="IAV166" s="249"/>
      <c r="IAW166" s="249"/>
      <c r="IAX166" s="249"/>
      <c r="IAY166" s="249"/>
      <c r="IAZ166" s="249"/>
      <c r="IBA166" s="249"/>
      <c r="IBB166" s="249"/>
      <c r="IBC166" s="249"/>
      <c r="IBD166" s="249"/>
      <c r="IBE166" s="249"/>
      <c r="IBF166" s="249"/>
      <c r="IBG166" s="249"/>
      <c r="IBH166" s="249"/>
      <c r="IBI166" s="249"/>
      <c r="IBJ166" s="249"/>
      <c r="IBK166" s="249"/>
      <c r="IBL166" s="249"/>
      <c r="IBM166" s="249"/>
      <c r="IBN166" s="249"/>
      <c r="IBO166" s="249"/>
      <c r="IBP166" s="249"/>
      <c r="IBQ166" s="249"/>
      <c r="IBR166" s="249"/>
      <c r="IBS166" s="249"/>
      <c r="IBT166" s="249"/>
      <c r="IBU166" s="249"/>
      <c r="IBV166" s="249"/>
      <c r="IBW166" s="249"/>
      <c r="IBX166" s="249"/>
      <c r="IBY166" s="249"/>
      <c r="IBZ166" s="249"/>
      <c r="ICA166" s="249"/>
      <c r="ICB166" s="249"/>
      <c r="ICC166" s="249"/>
      <c r="ICD166" s="249"/>
      <c r="ICE166" s="249"/>
      <c r="ICF166" s="249"/>
      <c r="ICG166" s="249"/>
      <c r="ICH166" s="249"/>
      <c r="ICI166" s="249"/>
      <c r="ICJ166" s="249"/>
      <c r="ICK166" s="249"/>
      <c r="ICL166" s="249"/>
      <c r="ICM166" s="249"/>
      <c r="ICN166" s="249"/>
      <c r="ICO166" s="249"/>
      <c r="ICP166" s="249"/>
      <c r="ICQ166" s="249"/>
      <c r="ICR166" s="249"/>
      <c r="ICS166" s="249"/>
      <c r="ICT166" s="249"/>
      <c r="ICU166" s="249"/>
      <c r="ICV166" s="249"/>
      <c r="ICW166" s="249"/>
      <c r="ICX166" s="249"/>
      <c r="ICY166" s="249"/>
      <c r="ICZ166" s="249"/>
      <c r="IDA166" s="249"/>
      <c r="IDB166" s="249"/>
      <c r="IDC166" s="249"/>
      <c r="IDD166" s="249"/>
      <c r="IDE166" s="249"/>
      <c r="IDF166" s="249"/>
      <c r="IDG166" s="249"/>
      <c r="IDH166" s="249"/>
      <c r="IDI166" s="249"/>
      <c r="IDJ166" s="249"/>
      <c r="IDK166" s="249"/>
      <c r="IDL166" s="249"/>
      <c r="IDM166" s="249"/>
      <c r="IDN166" s="249"/>
      <c r="IDO166" s="249"/>
      <c r="IDP166" s="249"/>
      <c r="IDQ166" s="249"/>
      <c r="IDR166" s="249"/>
      <c r="IDS166" s="249"/>
      <c r="IDT166" s="249"/>
      <c r="IDU166" s="249"/>
      <c r="IDV166" s="249"/>
      <c r="IDW166" s="249"/>
      <c r="IDX166" s="249"/>
      <c r="IDY166" s="249"/>
      <c r="IDZ166" s="249"/>
      <c r="IEA166" s="249"/>
      <c r="IEB166" s="249"/>
      <c r="IEC166" s="249"/>
      <c r="IED166" s="249"/>
      <c r="IEE166" s="249"/>
      <c r="IEF166" s="249"/>
      <c r="IEG166" s="249"/>
      <c r="IEH166" s="249"/>
      <c r="IEI166" s="249"/>
      <c r="IEJ166" s="249"/>
      <c r="IEK166" s="249"/>
      <c r="IEL166" s="249"/>
      <c r="IEM166" s="249"/>
      <c r="IEN166" s="249"/>
      <c r="IEO166" s="249"/>
      <c r="IEP166" s="249"/>
      <c r="IEQ166" s="249"/>
      <c r="IER166" s="249"/>
      <c r="IES166" s="249"/>
      <c r="IET166" s="249"/>
      <c r="IEU166" s="249"/>
      <c r="IEV166" s="249"/>
      <c r="IEW166" s="249"/>
      <c r="IEX166" s="249"/>
      <c r="IEY166" s="249"/>
      <c r="IEZ166" s="249"/>
      <c r="IFA166" s="249"/>
      <c r="IFB166" s="249"/>
      <c r="IFC166" s="249"/>
      <c r="IFD166" s="249"/>
      <c r="IFE166" s="249"/>
      <c r="IFF166" s="249"/>
      <c r="IFG166" s="249"/>
      <c r="IFH166" s="249"/>
      <c r="IFI166" s="249"/>
      <c r="IFJ166" s="249"/>
      <c r="IFK166" s="249"/>
      <c r="IFL166" s="249"/>
      <c r="IFM166" s="249"/>
      <c r="IFN166" s="249"/>
      <c r="IFO166" s="249"/>
      <c r="IFP166" s="249"/>
      <c r="IFQ166" s="249"/>
      <c r="IFR166" s="249"/>
      <c r="IFS166" s="249"/>
      <c r="IFT166" s="249"/>
      <c r="IFU166" s="249"/>
      <c r="IFV166" s="249"/>
      <c r="IFW166" s="249"/>
      <c r="IFX166" s="249"/>
      <c r="IFY166" s="249"/>
      <c r="IFZ166" s="249"/>
      <c r="IGA166" s="249"/>
      <c r="IGB166" s="249"/>
      <c r="IGC166" s="249"/>
      <c r="IGD166" s="249"/>
      <c r="IGE166" s="249"/>
      <c r="IGF166" s="249"/>
      <c r="IGG166" s="249"/>
      <c r="IGH166" s="249"/>
      <c r="IGI166" s="249"/>
      <c r="IGJ166" s="249"/>
      <c r="IGK166" s="249"/>
      <c r="IGL166" s="249"/>
      <c r="IGM166" s="249"/>
      <c r="IGN166" s="249"/>
      <c r="IGO166" s="249"/>
      <c r="IGP166" s="249"/>
      <c r="IGQ166" s="249"/>
      <c r="IGR166" s="249"/>
      <c r="IGS166" s="249"/>
      <c r="IGT166" s="249"/>
      <c r="IGU166" s="249"/>
      <c r="IGV166" s="249"/>
      <c r="IGW166" s="249"/>
      <c r="IGX166" s="249"/>
      <c r="IGY166" s="249"/>
      <c r="IGZ166" s="249"/>
      <c r="IHA166" s="249"/>
      <c r="IHB166" s="249"/>
      <c r="IHC166" s="249"/>
      <c r="IHD166" s="249"/>
      <c r="IHE166" s="249"/>
      <c r="IHF166" s="249"/>
      <c r="IHG166" s="249"/>
      <c r="IHH166" s="249"/>
      <c r="IHI166" s="249"/>
      <c r="IHJ166" s="249"/>
      <c r="IHK166" s="249"/>
      <c r="IHL166" s="249"/>
      <c r="IHM166" s="249"/>
      <c r="IHN166" s="249"/>
      <c r="IHO166" s="249"/>
      <c r="IHP166" s="249"/>
      <c r="IHQ166" s="249"/>
      <c r="IHR166" s="249"/>
      <c r="IHS166" s="249"/>
      <c r="IHT166" s="249"/>
      <c r="IHU166" s="249"/>
      <c r="IHV166" s="249"/>
      <c r="IHW166" s="249"/>
      <c r="IHX166" s="249"/>
      <c r="IHY166" s="249"/>
      <c r="IHZ166" s="249"/>
      <c r="IIA166" s="249"/>
      <c r="IIB166" s="249"/>
      <c r="IIC166" s="249"/>
      <c r="IID166" s="249"/>
      <c r="IIE166" s="249"/>
      <c r="IIF166" s="249"/>
      <c r="IIG166" s="249"/>
      <c r="IIH166" s="249"/>
      <c r="III166" s="249"/>
      <c r="IIJ166" s="249"/>
      <c r="IIK166" s="249"/>
      <c r="IIL166" s="249"/>
      <c r="IIM166" s="249"/>
      <c r="IIN166" s="249"/>
      <c r="IIO166" s="249"/>
      <c r="IIP166" s="249"/>
      <c r="IIQ166" s="249"/>
      <c r="IIR166" s="249"/>
      <c r="IIS166" s="249"/>
      <c r="IIT166" s="249"/>
      <c r="IIU166" s="249"/>
      <c r="IIV166" s="249"/>
      <c r="IIW166" s="249"/>
      <c r="IIX166" s="249"/>
      <c r="IIY166" s="249"/>
      <c r="IIZ166" s="249"/>
      <c r="IJA166" s="249"/>
      <c r="IJB166" s="249"/>
      <c r="IJC166" s="249"/>
      <c r="IJD166" s="249"/>
      <c r="IJE166" s="249"/>
      <c r="IJF166" s="249"/>
      <c r="IJG166" s="249"/>
      <c r="IJH166" s="249"/>
      <c r="IJI166" s="249"/>
      <c r="IJJ166" s="249"/>
      <c r="IJK166" s="249"/>
      <c r="IJL166" s="249"/>
      <c r="IJM166" s="249"/>
      <c r="IJN166" s="249"/>
      <c r="IJO166" s="249"/>
      <c r="IJP166" s="249"/>
      <c r="IJQ166" s="249"/>
      <c r="IJR166" s="249"/>
      <c r="IJS166" s="249"/>
      <c r="IJT166" s="249"/>
      <c r="IJU166" s="249"/>
      <c r="IJV166" s="249"/>
      <c r="IJW166" s="249"/>
      <c r="IJX166" s="249"/>
      <c r="IJY166" s="249"/>
      <c r="IJZ166" s="249"/>
      <c r="IKA166" s="249"/>
      <c r="IKB166" s="249"/>
      <c r="IKC166" s="249"/>
      <c r="IKD166" s="249"/>
      <c r="IKE166" s="249"/>
      <c r="IKF166" s="249"/>
      <c r="IKG166" s="249"/>
      <c r="IKH166" s="249"/>
      <c r="IKI166" s="249"/>
      <c r="IKJ166" s="249"/>
      <c r="IKK166" s="249"/>
      <c r="IKL166" s="249"/>
      <c r="IKM166" s="249"/>
      <c r="IKN166" s="249"/>
      <c r="IKO166" s="249"/>
      <c r="IKP166" s="249"/>
      <c r="IKQ166" s="249"/>
      <c r="IKR166" s="249"/>
      <c r="IKS166" s="249"/>
      <c r="IKT166" s="249"/>
      <c r="IKU166" s="249"/>
      <c r="IKV166" s="249"/>
      <c r="IKW166" s="249"/>
      <c r="IKX166" s="249"/>
      <c r="IKY166" s="249"/>
      <c r="IKZ166" s="249"/>
      <c r="ILA166" s="249"/>
      <c r="ILB166" s="249"/>
      <c r="ILC166" s="249"/>
      <c r="ILD166" s="249"/>
      <c r="ILE166" s="249"/>
      <c r="ILF166" s="249"/>
      <c r="ILG166" s="249"/>
      <c r="ILH166" s="249"/>
      <c r="ILI166" s="249"/>
      <c r="ILJ166" s="249"/>
      <c r="ILK166" s="249"/>
      <c r="ILL166" s="249"/>
      <c r="ILM166" s="249"/>
      <c r="ILN166" s="249"/>
      <c r="ILO166" s="249"/>
      <c r="ILP166" s="249"/>
      <c r="ILQ166" s="249"/>
      <c r="ILR166" s="249"/>
      <c r="ILS166" s="249"/>
      <c r="ILT166" s="249"/>
      <c r="ILU166" s="249"/>
      <c r="ILV166" s="249"/>
      <c r="ILW166" s="249"/>
      <c r="ILX166" s="249"/>
      <c r="ILY166" s="249"/>
      <c r="ILZ166" s="249"/>
      <c r="IMA166" s="249"/>
      <c r="IMB166" s="249"/>
      <c r="IMC166" s="249"/>
      <c r="IMD166" s="249"/>
      <c r="IME166" s="249"/>
      <c r="IMF166" s="249"/>
      <c r="IMG166" s="249"/>
      <c r="IMH166" s="249"/>
      <c r="IMI166" s="249"/>
      <c r="IMJ166" s="249"/>
      <c r="IMK166" s="249"/>
      <c r="IML166" s="249"/>
      <c r="IMM166" s="249"/>
      <c r="IMN166" s="249"/>
      <c r="IMO166" s="249"/>
      <c r="IMP166" s="249"/>
      <c r="IMQ166" s="249"/>
      <c r="IMR166" s="249"/>
      <c r="IMS166" s="249"/>
      <c r="IMT166" s="249"/>
      <c r="IMU166" s="249"/>
      <c r="IMV166" s="249"/>
      <c r="IMW166" s="249"/>
      <c r="IMX166" s="249"/>
      <c r="IMY166" s="249"/>
      <c r="IMZ166" s="249"/>
      <c r="INA166" s="249"/>
      <c r="INB166" s="249"/>
      <c r="INC166" s="249"/>
      <c r="IND166" s="249"/>
      <c r="INE166" s="249"/>
      <c r="INF166" s="249"/>
      <c r="ING166" s="249"/>
      <c r="INH166" s="249"/>
      <c r="INI166" s="249"/>
      <c r="INJ166" s="249"/>
      <c r="INK166" s="249"/>
      <c r="INL166" s="249"/>
      <c r="INM166" s="249"/>
      <c r="INN166" s="249"/>
      <c r="INO166" s="249"/>
      <c r="INP166" s="249"/>
      <c r="INQ166" s="249"/>
      <c r="INR166" s="249"/>
      <c r="INS166" s="249"/>
      <c r="INT166" s="249"/>
      <c r="INU166" s="249"/>
      <c r="INV166" s="249"/>
      <c r="INW166" s="249"/>
      <c r="INX166" s="249"/>
      <c r="INY166" s="249"/>
      <c r="INZ166" s="249"/>
      <c r="IOA166" s="249"/>
      <c r="IOB166" s="249"/>
      <c r="IOC166" s="249"/>
      <c r="IOD166" s="249"/>
      <c r="IOE166" s="249"/>
      <c r="IOF166" s="249"/>
      <c r="IOG166" s="249"/>
      <c r="IOH166" s="249"/>
      <c r="IOI166" s="249"/>
      <c r="IOJ166" s="249"/>
      <c r="IOK166" s="249"/>
      <c r="IOL166" s="249"/>
      <c r="IOM166" s="249"/>
      <c r="ION166" s="249"/>
      <c r="IOO166" s="249"/>
      <c r="IOP166" s="249"/>
      <c r="IOQ166" s="249"/>
      <c r="IOR166" s="249"/>
      <c r="IOS166" s="249"/>
      <c r="IOT166" s="249"/>
      <c r="IOU166" s="249"/>
      <c r="IOV166" s="249"/>
      <c r="IOW166" s="249"/>
      <c r="IOX166" s="249"/>
      <c r="IOY166" s="249"/>
      <c r="IOZ166" s="249"/>
      <c r="IPA166" s="249"/>
      <c r="IPB166" s="249"/>
      <c r="IPC166" s="249"/>
      <c r="IPD166" s="249"/>
      <c r="IPE166" s="249"/>
      <c r="IPF166" s="249"/>
      <c r="IPG166" s="249"/>
      <c r="IPH166" s="249"/>
      <c r="IPI166" s="249"/>
      <c r="IPJ166" s="249"/>
      <c r="IPK166" s="249"/>
      <c r="IPL166" s="249"/>
      <c r="IPM166" s="249"/>
      <c r="IPN166" s="249"/>
      <c r="IPO166" s="249"/>
      <c r="IPP166" s="249"/>
      <c r="IPQ166" s="249"/>
      <c r="IPR166" s="249"/>
      <c r="IPS166" s="249"/>
      <c r="IPT166" s="249"/>
      <c r="IPU166" s="249"/>
      <c r="IPV166" s="249"/>
      <c r="IPW166" s="249"/>
      <c r="IPX166" s="249"/>
      <c r="IPY166" s="249"/>
      <c r="IPZ166" s="249"/>
      <c r="IQA166" s="249"/>
      <c r="IQB166" s="249"/>
      <c r="IQC166" s="249"/>
      <c r="IQD166" s="249"/>
      <c r="IQE166" s="249"/>
      <c r="IQF166" s="249"/>
      <c r="IQG166" s="249"/>
      <c r="IQH166" s="249"/>
      <c r="IQI166" s="249"/>
      <c r="IQJ166" s="249"/>
      <c r="IQK166" s="249"/>
      <c r="IQL166" s="249"/>
      <c r="IQM166" s="249"/>
      <c r="IQN166" s="249"/>
      <c r="IQO166" s="249"/>
      <c r="IQP166" s="249"/>
      <c r="IQQ166" s="249"/>
      <c r="IQR166" s="249"/>
      <c r="IQS166" s="249"/>
      <c r="IQT166" s="249"/>
      <c r="IQU166" s="249"/>
      <c r="IQV166" s="249"/>
      <c r="IQW166" s="249"/>
      <c r="IQX166" s="249"/>
      <c r="IQY166" s="249"/>
      <c r="IQZ166" s="249"/>
      <c r="IRA166" s="249"/>
      <c r="IRB166" s="249"/>
      <c r="IRC166" s="249"/>
      <c r="IRD166" s="249"/>
      <c r="IRE166" s="249"/>
      <c r="IRF166" s="249"/>
      <c r="IRG166" s="249"/>
      <c r="IRH166" s="249"/>
      <c r="IRI166" s="249"/>
      <c r="IRJ166" s="249"/>
      <c r="IRK166" s="249"/>
      <c r="IRL166" s="249"/>
      <c r="IRM166" s="249"/>
      <c r="IRN166" s="249"/>
      <c r="IRO166" s="249"/>
      <c r="IRP166" s="249"/>
      <c r="IRQ166" s="249"/>
      <c r="IRR166" s="249"/>
      <c r="IRS166" s="249"/>
      <c r="IRT166" s="249"/>
      <c r="IRU166" s="249"/>
      <c r="IRV166" s="249"/>
      <c r="IRW166" s="249"/>
      <c r="IRX166" s="249"/>
      <c r="IRY166" s="249"/>
      <c r="IRZ166" s="249"/>
      <c r="ISA166" s="249"/>
      <c r="ISB166" s="249"/>
      <c r="ISC166" s="249"/>
      <c r="ISD166" s="249"/>
      <c r="ISE166" s="249"/>
      <c r="ISF166" s="249"/>
      <c r="ISG166" s="249"/>
      <c r="ISH166" s="249"/>
      <c r="ISI166" s="249"/>
      <c r="ISJ166" s="249"/>
      <c r="ISK166" s="249"/>
      <c r="ISL166" s="249"/>
      <c r="ISM166" s="249"/>
      <c r="ISN166" s="249"/>
      <c r="ISO166" s="249"/>
      <c r="ISP166" s="249"/>
      <c r="ISQ166" s="249"/>
      <c r="ISR166" s="249"/>
      <c r="ISS166" s="249"/>
      <c r="IST166" s="249"/>
      <c r="ISU166" s="249"/>
      <c r="ISV166" s="249"/>
      <c r="ISW166" s="249"/>
      <c r="ISX166" s="249"/>
      <c r="ISY166" s="249"/>
      <c r="ISZ166" s="249"/>
      <c r="ITA166" s="249"/>
      <c r="ITB166" s="249"/>
      <c r="ITC166" s="249"/>
      <c r="ITD166" s="249"/>
      <c r="ITE166" s="249"/>
      <c r="ITF166" s="249"/>
      <c r="ITG166" s="249"/>
      <c r="ITH166" s="249"/>
      <c r="ITI166" s="249"/>
      <c r="ITJ166" s="249"/>
      <c r="ITK166" s="249"/>
      <c r="ITL166" s="249"/>
      <c r="ITM166" s="249"/>
      <c r="ITN166" s="249"/>
      <c r="ITO166" s="249"/>
      <c r="ITP166" s="249"/>
      <c r="ITQ166" s="249"/>
      <c r="ITR166" s="249"/>
      <c r="ITS166" s="249"/>
      <c r="ITT166" s="249"/>
      <c r="ITU166" s="249"/>
      <c r="ITV166" s="249"/>
      <c r="ITW166" s="249"/>
      <c r="ITX166" s="249"/>
      <c r="ITY166" s="249"/>
      <c r="ITZ166" s="249"/>
      <c r="IUA166" s="249"/>
      <c r="IUB166" s="249"/>
      <c r="IUC166" s="249"/>
      <c r="IUD166" s="249"/>
      <c r="IUE166" s="249"/>
      <c r="IUF166" s="249"/>
      <c r="IUG166" s="249"/>
      <c r="IUH166" s="249"/>
      <c r="IUI166" s="249"/>
      <c r="IUJ166" s="249"/>
      <c r="IUK166" s="249"/>
      <c r="IUL166" s="249"/>
      <c r="IUM166" s="249"/>
      <c r="IUN166" s="249"/>
      <c r="IUO166" s="249"/>
      <c r="IUP166" s="249"/>
      <c r="IUQ166" s="249"/>
      <c r="IUR166" s="249"/>
      <c r="IUS166" s="249"/>
      <c r="IUT166" s="249"/>
      <c r="IUU166" s="249"/>
      <c r="IUV166" s="249"/>
      <c r="IUW166" s="249"/>
      <c r="IUX166" s="249"/>
      <c r="IUY166" s="249"/>
      <c r="IUZ166" s="249"/>
      <c r="IVA166" s="249"/>
      <c r="IVB166" s="249"/>
      <c r="IVC166" s="249"/>
      <c r="IVD166" s="249"/>
      <c r="IVE166" s="249"/>
      <c r="IVF166" s="249"/>
      <c r="IVG166" s="249"/>
      <c r="IVH166" s="249"/>
      <c r="IVI166" s="249"/>
      <c r="IVJ166" s="249"/>
      <c r="IVK166" s="249"/>
      <c r="IVL166" s="249"/>
      <c r="IVM166" s="249"/>
      <c r="IVN166" s="249"/>
      <c r="IVO166" s="249"/>
      <c r="IVP166" s="249"/>
      <c r="IVQ166" s="249"/>
      <c r="IVR166" s="249"/>
      <c r="IVS166" s="249"/>
      <c r="IVT166" s="249"/>
      <c r="IVU166" s="249"/>
      <c r="IVV166" s="249"/>
      <c r="IVW166" s="249"/>
      <c r="IVX166" s="249"/>
      <c r="IVY166" s="249"/>
      <c r="IVZ166" s="249"/>
      <c r="IWA166" s="249"/>
      <c r="IWB166" s="249"/>
      <c r="IWC166" s="249"/>
      <c r="IWD166" s="249"/>
      <c r="IWE166" s="249"/>
      <c r="IWF166" s="249"/>
      <c r="IWG166" s="249"/>
      <c r="IWH166" s="249"/>
      <c r="IWI166" s="249"/>
      <c r="IWJ166" s="249"/>
      <c r="IWK166" s="249"/>
      <c r="IWL166" s="249"/>
      <c r="IWM166" s="249"/>
      <c r="IWN166" s="249"/>
      <c r="IWO166" s="249"/>
      <c r="IWP166" s="249"/>
      <c r="IWQ166" s="249"/>
      <c r="IWR166" s="249"/>
      <c r="IWS166" s="249"/>
      <c r="IWT166" s="249"/>
      <c r="IWU166" s="249"/>
      <c r="IWV166" s="249"/>
      <c r="IWW166" s="249"/>
      <c r="IWX166" s="249"/>
      <c r="IWY166" s="249"/>
      <c r="IWZ166" s="249"/>
      <c r="IXA166" s="249"/>
      <c r="IXB166" s="249"/>
      <c r="IXC166" s="249"/>
      <c r="IXD166" s="249"/>
      <c r="IXE166" s="249"/>
      <c r="IXF166" s="249"/>
      <c r="IXG166" s="249"/>
      <c r="IXH166" s="249"/>
      <c r="IXI166" s="249"/>
      <c r="IXJ166" s="249"/>
      <c r="IXK166" s="249"/>
      <c r="IXL166" s="249"/>
      <c r="IXM166" s="249"/>
      <c r="IXN166" s="249"/>
      <c r="IXO166" s="249"/>
      <c r="IXP166" s="249"/>
      <c r="IXQ166" s="249"/>
      <c r="IXR166" s="249"/>
      <c r="IXS166" s="249"/>
      <c r="IXT166" s="249"/>
      <c r="IXU166" s="249"/>
      <c r="IXV166" s="249"/>
      <c r="IXW166" s="249"/>
      <c r="IXX166" s="249"/>
      <c r="IXY166" s="249"/>
      <c r="IXZ166" s="249"/>
      <c r="IYA166" s="249"/>
      <c r="IYB166" s="249"/>
      <c r="IYC166" s="249"/>
      <c r="IYD166" s="249"/>
      <c r="IYE166" s="249"/>
      <c r="IYF166" s="249"/>
      <c r="IYG166" s="249"/>
      <c r="IYH166" s="249"/>
      <c r="IYI166" s="249"/>
      <c r="IYJ166" s="249"/>
      <c r="IYK166" s="249"/>
      <c r="IYL166" s="249"/>
      <c r="IYM166" s="249"/>
      <c r="IYN166" s="249"/>
      <c r="IYO166" s="249"/>
      <c r="IYP166" s="249"/>
      <c r="IYQ166" s="249"/>
      <c r="IYR166" s="249"/>
      <c r="IYS166" s="249"/>
      <c r="IYT166" s="249"/>
      <c r="IYU166" s="249"/>
      <c r="IYV166" s="249"/>
      <c r="IYW166" s="249"/>
      <c r="IYX166" s="249"/>
      <c r="IYY166" s="249"/>
      <c r="IYZ166" s="249"/>
      <c r="IZA166" s="249"/>
      <c r="IZB166" s="249"/>
      <c r="IZC166" s="249"/>
      <c r="IZD166" s="249"/>
      <c r="IZE166" s="249"/>
      <c r="IZF166" s="249"/>
      <c r="IZG166" s="249"/>
      <c r="IZH166" s="249"/>
      <c r="IZI166" s="249"/>
      <c r="IZJ166" s="249"/>
      <c r="IZK166" s="249"/>
      <c r="IZL166" s="249"/>
      <c r="IZM166" s="249"/>
      <c r="IZN166" s="249"/>
      <c r="IZO166" s="249"/>
      <c r="IZP166" s="249"/>
      <c r="IZQ166" s="249"/>
      <c r="IZR166" s="249"/>
      <c r="IZS166" s="249"/>
      <c r="IZT166" s="249"/>
      <c r="IZU166" s="249"/>
      <c r="IZV166" s="249"/>
      <c r="IZW166" s="249"/>
      <c r="IZX166" s="249"/>
      <c r="IZY166" s="249"/>
      <c r="IZZ166" s="249"/>
      <c r="JAA166" s="249"/>
      <c r="JAB166" s="249"/>
      <c r="JAC166" s="249"/>
      <c r="JAD166" s="249"/>
      <c r="JAE166" s="249"/>
      <c r="JAF166" s="249"/>
      <c r="JAG166" s="249"/>
      <c r="JAH166" s="249"/>
      <c r="JAI166" s="249"/>
      <c r="JAJ166" s="249"/>
      <c r="JAK166" s="249"/>
      <c r="JAL166" s="249"/>
      <c r="JAM166" s="249"/>
      <c r="JAN166" s="249"/>
      <c r="JAO166" s="249"/>
      <c r="JAP166" s="249"/>
      <c r="JAQ166" s="249"/>
      <c r="JAR166" s="249"/>
      <c r="JAS166" s="249"/>
      <c r="JAT166" s="249"/>
      <c r="JAU166" s="249"/>
      <c r="JAV166" s="249"/>
      <c r="JAW166" s="249"/>
      <c r="JAX166" s="249"/>
      <c r="JAY166" s="249"/>
      <c r="JAZ166" s="249"/>
      <c r="JBA166" s="249"/>
      <c r="JBB166" s="249"/>
      <c r="JBC166" s="249"/>
      <c r="JBD166" s="249"/>
      <c r="JBE166" s="249"/>
      <c r="JBF166" s="249"/>
      <c r="JBG166" s="249"/>
      <c r="JBH166" s="249"/>
      <c r="JBI166" s="249"/>
      <c r="JBJ166" s="249"/>
      <c r="JBK166" s="249"/>
      <c r="JBL166" s="249"/>
      <c r="JBM166" s="249"/>
      <c r="JBN166" s="249"/>
      <c r="JBO166" s="249"/>
      <c r="JBP166" s="249"/>
      <c r="JBQ166" s="249"/>
      <c r="JBR166" s="249"/>
      <c r="JBS166" s="249"/>
      <c r="JBT166" s="249"/>
      <c r="JBU166" s="249"/>
      <c r="JBV166" s="249"/>
      <c r="JBW166" s="249"/>
      <c r="JBX166" s="249"/>
      <c r="JBY166" s="249"/>
      <c r="JBZ166" s="249"/>
      <c r="JCA166" s="249"/>
      <c r="JCB166" s="249"/>
      <c r="JCC166" s="249"/>
      <c r="JCD166" s="249"/>
      <c r="JCE166" s="249"/>
      <c r="JCF166" s="249"/>
      <c r="JCG166" s="249"/>
      <c r="JCH166" s="249"/>
      <c r="JCI166" s="249"/>
      <c r="JCJ166" s="249"/>
      <c r="JCK166" s="249"/>
      <c r="JCL166" s="249"/>
      <c r="JCM166" s="249"/>
      <c r="JCN166" s="249"/>
      <c r="JCO166" s="249"/>
      <c r="JCP166" s="249"/>
      <c r="JCQ166" s="249"/>
      <c r="JCR166" s="249"/>
      <c r="JCS166" s="249"/>
      <c r="JCT166" s="249"/>
      <c r="JCU166" s="249"/>
      <c r="JCV166" s="249"/>
      <c r="JCW166" s="249"/>
      <c r="JCX166" s="249"/>
      <c r="JCY166" s="249"/>
      <c r="JCZ166" s="249"/>
      <c r="JDA166" s="249"/>
      <c r="JDB166" s="249"/>
      <c r="JDC166" s="249"/>
      <c r="JDD166" s="249"/>
      <c r="JDE166" s="249"/>
      <c r="JDF166" s="249"/>
      <c r="JDG166" s="249"/>
      <c r="JDH166" s="249"/>
      <c r="JDI166" s="249"/>
      <c r="JDJ166" s="249"/>
      <c r="JDK166" s="249"/>
      <c r="JDL166" s="249"/>
      <c r="JDM166" s="249"/>
      <c r="JDN166" s="249"/>
      <c r="JDO166" s="249"/>
      <c r="JDP166" s="249"/>
      <c r="JDQ166" s="249"/>
      <c r="JDR166" s="249"/>
      <c r="JDS166" s="249"/>
      <c r="JDT166" s="249"/>
      <c r="JDU166" s="249"/>
      <c r="JDV166" s="249"/>
      <c r="JDW166" s="249"/>
      <c r="JDX166" s="249"/>
      <c r="JDY166" s="249"/>
      <c r="JDZ166" s="249"/>
      <c r="JEA166" s="249"/>
      <c r="JEB166" s="249"/>
      <c r="JEC166" s="249"/>
      <c r="JED166" s="249"/>
      <c r="JEE166" s="249"/>
      <c r="JEF166" s="249"/>
      <c r="JEG166" s="249"/>
      <c r="JEH166" s="249"/>
      <c r="JEI166" s="249"/>
      <c r="JEJ166" s="249"/>
      <c r="JEK166" s="249"/>
      <c r="JEL166" s="249"/>
      <c r="JEM166" s="249"/>
      <c r="JEN166" s="249"/>
      <c r="JEO166" s="249"/>
      <c r="JEP166" s="249"/>
      <c r="JEQ166" s="249"/>
      <c r="JER166" s="249"/>
      <c r="JES166" s="249"/>
      <c r="JET166" s="249"/>
      <c r="JEU166" s="249"/>
      <c r="JEV166" s="249"/>
      <c r="JEW166" s="249"/>
      <c r="JEX166" s="249"/>
      <c r="JEY166" s="249"/>
      <c r="JEZ166" s="249"/>
      <c r="JFA166" s="249"/>
      <c r="JFB166" s="249"/>
      <c r="JFC166" s="249"/>
      <c r="JFD166" s="249"/>
      <c r="JFE166" s="249"/>
      <c r="JFF166" s="249"/>
      <c r="JFG166" s="249"/>
      <c r="JFH166" s="249"/>
      <c r="JFI166" s="249"/>
      <c r="JFJ166" s="249"/>
      <c r="JFK166" s="249"/>
      <c r="JFL166" s="249"/>
      <c r="JFM166" s="249"/>
      <c r="JFN166" s="249"/>
      <c r="JFO166" s="249"/>
      <c r="JFP166" s="249"/>
      <c r="JFQ166" s="249"/>
      <c r="JFR166" s="249"/>
      <c r="JFS166" s="249"/>
      <c r="JFT166" s="249"/>
      <c r="JFU166" s="249"/>
      <c r="JFV166" s="249"/>
      <c r="JFW166" s="249"/>
      <c r="JFX166" s="249"/>
      <c r="JFY166" s="249"/>
      <c r="JFZ166" s="249"/>
      <c r="JGA166" s="249"/>
      <c r="JGB166" s="249"/>
      <c r="JGC166" s="249"/>
      <c r="JGD166" s="249"/>
      <c r="JGE166" s="249"/>
      <c r="JGF166" s="249"/>
      <c r="JGG166" s="249"/>
      <c r="JGH166" s="249"/>
      <c r="JGI166" s="249"/>
      <c r="JGJ166" s="249"/>
      <c r="JGK166" s="249"/>
      <c r="JGL166" s="249"/>
      <c r="JGM166" s="249"/>
      <c r="JGN166" s="249"/>
      <c r="JGO166" s="249"/>
      <c r="JGP166" s="249"/>
      <c r="JGQ166" s="249"/>
      <c r="JGR166" s="249"/>
      <c r="JGS166" s="249"/>
      <c r="JGT166" s="249"/>
      <c r="JGU166" s="249"/>
      <c r="JGV166" s="249"/>
      <c r="JGW166" s="249"/>
      <c r="JGX166" s="249"/>
      <c r="JGY166" s="249"/>
      <c r="JGZ166" s="249"/>
      <c r="JHA166" s="249"/>
      <c r="JHB166" s="249"/>
      <c r="JHC166" s="249"/>
      <c r="JHD166" s="249"/>
      <c r="JHE166" s="249"/>
      <c r="JHF166" s="249"/>
      <c r="JHG166" s="249"/>
      <c r="JHH166" s="249"/>
      <c r="JHI166" s="249"/>
      <c r="JHJ166" s="249"/>
      <c r="JHK166" s="249"/>
      <c r="JHL166" s="249"/>
      <c r="JHM166" s="249"/>
      <c r="JHN166" s="249"/>
      <c r="JHO166" s="249"/>
      <c r="JHP166" s="249"/>
      <c r="JHQ166" s="249"/>
      <c r="JHR166" s="249"/>
      <c r="JHS166" s="249"/>
      <c r="JHT166" s="249"/>
      <c r="JHU166" s="249"/>
      <c r="JHV166" s="249"/>
      <c r="JHW166" s="249"/>
      <c r="JHX166" s="249"/>
      <c r="JHY166" s="249"/>
      <c r="JHZ166" s="249"/>
      <c r="JIA166" s="249"/>
      <c r="JIB166" s="249"/>
      <c r="JIC166" s="249"/>
      <c r="JID166" s="249"/>
      <c r="JIE166" s="249"/>
      <c r="JIF166" s="249"/>
      <c r="JIG166" s="249"/>
      <c r="JIH166" s="249"/>
      <c r="JII166" s="249"/>
      <c r="JIJ166" s="249"/>
      <c r="JIK166" s="249"/>
      <c r="JIL166" s="249"/>
      <c r="JIM166" s="249"/>
      <c r="JIN166" s="249"/>
      <c r="JIO166" s="249"/>
      <c r="JIP166" s="249"/>
      <c r="JIQ166" s="249"/>
      <c r="JIR166" s="249"/>
      <c r="JIS166" s="249"/>
      <c r="JIT166" s="249"/>
      <c r="JIU166" s="249"/>
      <c r="JIV166" s="249"/>
      <c r="JIW166" s="249"/>
      <c r="JIX166" s="249"/>
      <c r="JIY166" s="249"/>
      <c r="JIZ166" s="249"/>
      <c r="JJA166" s="249"/>
      <c r="JJB166" s="249"/>
      <c r="JJC166" s="249"/>
      <c r="JJD166" s="249"/>
      <c r="JJE166" s="249"/>
      <c r="JJF166" s="249"/>
      <c r="JJG166" s="249"/>
      <c r="JJH166" s="249"/>
      <c r="JJI166" s="249"/>
      <c r="JJJ166" s="249"/>
      <c r="JJK166" s="249"/>
      <c r="JJL166" s="249"/>
      <c r="JJM166" s="249"/>
      <c r="JJN166" s="249"/>
      <c r="JJO166" s="249"/>
      <c r="JJP166" s="249"/>
      <c r="JJQ166" s="249"/>
      <c r="JJR166" s="249"/>
      <c r="JJS166" s="249"/>
      <c r="JJT166" s="249"/>
      <c r="JJU166" s="249"/>
      <c r="JJV166" s="249"/>
      <c r="JJW166" s="249"/>
      <c r="JJX166" s="249"/>
      <c r="JJY166" s="249"/>
      <c r="JJZ166" s="249"/>
      <c r="JKA166" s="249"/>
      <c r="JKB166" s="249"/>
      <c r="JKC166" s="249"/>
      <c r="JKD166" s="249"/>
      <c r="JKE166" s="249"/>
      <c r="JKF166" s="249"/>
      <c r="JKG166" s="249"/>
      <c r="JKH166" s="249"/>
      <c r="JKI166" s="249"/>
      <c r="JKJ166" s="249"/>
      <c r="JKK166" s="249"/>
      <c r="JKL166" s="249"/>
      <c r="JKM166" s="249"/>
      <c r="JKN166" s="249"/>
      <c r="JKO166" s="249"/>
      <c r="JKP166" s="249"/>
      <c r="JKQ166" s="249"/>
      <c r="JKR166" s="249"/>
      <c r="JKS166" s="249"/>
      <c r="JKT166" s="249"/>
      <c r="JKU166" s="249"/>
      <c r="JKV166" s="249"/>
      <c r="JKW166" s="249"/>
      <c r="JKX166" s="249"/>
      <c r="JKY166" s="249"/>
      <c r="JKZ166" s="249"/>
      <c r="JLA166" s="249"/>
      <c r="JLB166" s="249"/>
      <c r="JLC166" s="249"/>
      <c r="JLD166" s="249"/>
      <c r="JLE166" s="249"/>
      <c r="JLF166" s="249"/>
      <c r="JLG166" s="249"/>
      <c r="JLH166" s="249"/>
      <c r="JLI166" s="249"/>
      <c r="JLJ166" s="249"/>
      <c r="JLK166" s="249"/>
      <c r="JLL166" s="249"/>
      <c r="JLM166" s="249"/>
      <c r="JLN166" s="249"/>
      <c r="JLO166" s="249"/>
      <c r="JLP166" s="249"/>
      <c r="JLQ166" s="249"/>
      <c r="JLR166" s="249"/>
      <c r="JLS166" s="249"/>
      <c r="JLT166" s="249"/>
      <c r="JLU166" s="249"/>
      <c r="JLV166" s="249"/>
      <c r="JLW166" s="249"/>
      <c r="JLX166" s="249"/>
      <c r="JLY166" s="249"/>
      <c r="JLZ166" s="249"/>
      <c r="JMA166" s="249"/>
      <c r="JMB166" s="249"/>
      <c r="JMC166" s="249"/>
      <c r="JMD166" s="249"/>
      <c r="JME166" s="249"/>
      <c r="JMF166" s="249"/>
      <c r="JMG166" s="249"/>
      <c r="JMH166" s="249"/>
      <c r="JMI166" s="249"/>
      <c r="JMJ166" s="249"/>
      <c r="JMK166" s="249"/>
      <c r="JML166" s="249"/>
      <c r="JMM166" s="249"/>
      <c r="JMN166" s="249"/>
      <c r="JMO166" s="249"/>
      <c r="JMP166" s="249"/>
      <c r="JMQ166" s="249"/>
      <c r="JMR166" s="249"/>
      <c r="JMS166" s="249"/>
      <c r="JMT166" s="249"/>
      <c r="JMU166" s="249"/>
      <c r="JMV166" s="249"/>
      <c r="JMW166" s="249"/>
      <c r="JMX166" s="249"/>
      <c r="JMY166" s="249"/>
      <c r="JMZ166" s="249"/>
      <c r="JNA166" s="249"/>
      <c r="JNB166" s="249"/>
      <c r="JNC166" s="249"/>
      <c r="JND166" s="249"/>
      <c r="JNE166" s="249"/>
      <c r="JNF166" s="249"/>
      <c r="JNG166" s="249"/>
      <c r="JNH166" s="249"/>
      <c r="JNI166" s="249"/>
      <c r="JNJ166" s="249"/>
      <c r="JNK166" s="249"/>
      <c r="JNL166" s="249"/>
      <c r="JNM166" s="249"/>
      <c r="JNN166" s="249"/>
      <c r="JNO166" s="249"/>
      <c r="JNP166" s="249"/>
      <c r="JNQ166" s="249"/>
      <c r="JNR166" s="249"/>
      <c r="JNS166" s="249"/>
      <c r="JNT166" s="249"/>
      <c r="JNU166" s="249"/>
      <c r="JNV166" s="249"/>
      <c r="JNW166" s="249"/>
      <c r="JNX166" s="249"/>
      <c r="JNY166" s="249"/>
      <c r="JNZ166" s="249"/>
      <c r="JOA166" s="249"/>
      <c r="JOB166" s="249"/>
      <c r="JOC166" s="249"/>
      <c r="JOD166" s="249"/>
      <c r="JOE166" s="249"/>
      <c r="JOF166" s="249"/>
      <c r="JOG166" s="249"/>
      <c r="JOH166" s="249"/>
      <c r="JOI166" s="249"/>
      <c r="JOJ166" s="249"/>
      <c r="JOK166" s="249"/>
      <c r="JOL166" s="249"/>
      <c r="JOM166" s="249"/>
      <c r="JON166" s="249"/>
      <c r="JOO166" s="249"/>
      <c r="JOP166" s="249"/>
      <c r="JOQ166" s="249"/>
      <c r="JOR166" s="249"/>
      <c r="JOS166" s="249"/>
      <c r="JOT166" s="249"/>
      <c r="JOU166" s="249"/>
      <c r="JOV166" s="249"/>
      <c r="JOW166" s="249"/>
      <c r="JOX166" s="249"/>
      <c r="JOY166" s="249"/>
      <c r="JOZ166" s="249"/>
      <c r="JPA166" s="249"/>
      <c r="JPB166" s="249"/>
      <c r="JPC166" s="249"/>
      <c r="JPD166" s="249"/>
      <c r="JPE166" s="249"/>
      <c r="JPF166" s="249"/>
      <c r="JPG166" s="249"/>
      <c r="JPH166" s="249"/>
      <c r="JPI166" s="249"/>
      <c r="JPJ166" s="249"/>
      <c r="JPK166" s="249"/>
      <c r="JPL166" s="249"/>
      <c r="JPM166" s="249"/>
      <c r="JPN166" s="249"/>
      <c r="JPO166" s="249"/>
      <c r="JPP166" s="249"/>
      <c r="JPQ166" s="249"/>
      <c r="JPR166" s="249"/>
      <c r="JPS166" s="249"/>
      <c r="JPT166" s="249"/>
      <c r="JPU166" s="249"/>
      <c r="JPV166" s="249"/>
      <c r="JPW166" s="249"/>
      <c r="JPX166" s="249"/>
      <c r="JPY166" s="249"/>
      <c r="JPZ166" s="249"/>
      <c r="JQA166" s="249"/>
      <c r="JQB166" s="249"/>
      <c r="JQC166" s="249"/>
      <c r="JQD166" s="249"/>
      <c r="JQE166" s="249"/>
      <c r="JQF166" s="249"/>
      <c r="JQG166" s="249"/>
      <c r="JQH166" s="249"/>
      <c r="JQI166" s="249"/>
      <c r="JQJ166" s="249"/>
      <c r="JQK166" s="249"/>
      <c r="JQL166" s="249"/>
      <c r="JQM166" s="249"/>
      <c r="JQN166" s="249"/>
      <c r="JQO166" s="249"/>
      <c r="JQP166" s="249"/>
      <c r="JQQ166" s="249"/>
      <c r="JQR166" s="249"/>
      <c r="JQS166" s="249"/>
      <c r="JQT166" s="249"/>
      <c r="JQU166" s="249"/>
      <c r="JQV166" s="249"/>
      <c r="JQW166" s="249"/>
      <c r="JQX166" s="249"/>
      <c r="JQY166" s="249"/>
      <c r="JQZ166" s="249"/>
      <c r="JRA166" s="249"/>
      <c r="JRB166" s="249"/>
      <c r="JRC166" s="249"/>
      <c r="JRD166" s="249"/>
      <c r="JRE166" s="249"/>
      <c r="JRF166" s="249"/>
      <c r="JRG166" s="249"/>
      <c r="JRH166" s="249"/>
      <c r="JRI166" s="249"/>
      <c r="JRJ166" s="249"/>
      <c r="JRK166" s="249"/>
      <c r="JRL166" s="249"/>
      <c r="JRM166" s="249"/>
      <c r="JRN166" s="249"/>
      <c r="JRO166" s="249"/>
      <c r="JRP166" s="249"/>
      <c r="JRQ166" s="249"/>
      <c r="JRR166" s="249"/>
      <c r="JRS166" s="249"/>
      <c r="JRT166" s="249"/>
      <c r="JRU166" s="249"/>
      <c r="JRV166" s="249"/>
      <c r="JRW166" s="249"/>
      <c r="JRX166" s="249"/>
      <c r="JRY166" s="249"/>
      <c r="JRZ166" s="249"/>
      <c r="JSA166" s="249"/>
      <c r="JSB166" s="249"/>
      <c r="JSC166" s="249"/>
      <c r="JSD166" s="249"/>
      <c r="JSE166" s="249"/>
      <c r="JSF166" s="249"/>
      <c r="JSG166" s="249"/>
      <c r="JSH166" s="249"/>
      <c r="JSI166" s="249"/>
      <c r="JSJ166" s="249"/>
      <c r="JSK166" s="249"/>
      <c r="JSL166" s="249"/>
      <c r="JSM166" s="249"/>
      <c r="JSN166" s="249"/>
      <c r="JSO166" s="249"/>
      <c r="JSP166" s="249"/>
      <c r="JSQ166" s="249"/>
      <c r="JSR166" s="249"/>
      <c r="JSS166" s="249"/>
      <c r="JST166" s="249"/>
      <c r="JSU166" s="249"/>
      <c r="JSV166" s="249"/>
      <c r="JSW166" s="249"/>
      <c r="JSX166" s="249"/>
      <c r="JSY166" s="249"/>
      <c r="JSZ166" s="249"/>
      <c r="JTA166" s="249"/>
      <c r="JTB166" s="249"/>
      <c r="JTC166" s="249"/>
      <c r="JTD166" s="249"/>
      <c r="JTE166" s="249"/>
      <c r="JTF166" s="249"/>
      <c r="JTG166" s="249"/>
      <c r="JTH166" s="249"/>
      <c r="JTI166" s="249"/>
      <c r="JTJ166" s="249"/>
      <c r="JTK166" s="249"/>
      <c r="JTL166" s="249"/>
      <c r="JTM166" s="249"/>
      <c r="JTN166" s="249"/>
      <c r="JTO166" s="249"/>
      <c r="JTP166" s="249"/>
      <c r="JTQ166" s="249"/>
      <c r="JTR166" s="249"/>
      <c r="JTS166" s="249"/>
      <c r="JTT166" s="249"/>
      <c r="JTU166" s="249"/>
      <c r="JTV166" s="249"/>
      <c r="JTW166" s="249"/>
      <c r="JTX166" s="249"/>
      <c r="JTY166" s="249"/>
      <c r="JTZ166" s="249"/>
      <c r="JUA166" s="249"/>
      <c r="JUB166" s="249"/>
      <c r="JUC166" s="249"/>
      <c r="JUD166" s="249"/>
      <c r="JUE166" s="249"/>
      <c r="JUF166" s="249"/>
      <c r="JUG166" s="249"/>
      <c r="JUH166" s="249"/>
      <c r="JUI166" s="249"/>
      <c r="JUJ166" s="249"/>
      <c r="JUK166" s="249"/>
      <c r="JUL166" s="249"/>
      <c r="JUM166" s="249"/>
      <c r="JUN166" s="249"/>
      <c r="JUO166" s="249"/>
      <c r="JUP166" s="249"/>
      <c r="JUQ166" s="249"/>
      <c r="JUR166" s="249"/>
      <c r="JUS166" s="249"/>
      <c r="JUT166" s="249"/>
      <c r="JUU166" s="249"/>
      <c r="JUV166" s="249"/>
      <c r="JUW166" s="249"/>
      <c r="JUX166" s="249"/>
      <c r="JUY166" s="249"/>
      <c r="JUZ166" s="249"/>
      <c r="JVA166" s="249"/>
      <c r="JVB166" s="249"/>
      <c r="JVC166" s="249"/>
      <c r="JVD166" s="249"/>
      <c r="JVE166" s="249"/>
      <c r="JVF166" s="249"/>
      <c r="JVG166" s="249"/>
      <c r="JVH166" s="249"/>
      <c r="JVI166" s="249"/>
      <c r="JVJ166" s="249"/>
      <c r="JVK166" s="249"/>
      <c r="JVL166" s="249"/>
      <c r="JVM166" s="249"/>
      <c r="JVN166" s="249"/>
      <c r="JVO166" s="249"/>
      <c r="JVP166" s="249"/>
      <c r="JVQ166" s="249"/>
      <c r="JVR166" s="249"/>
      <c r="JVS166" s="249"/>
      <c r="JVT166" s="249"/>
      <c r="JVU166" s="249"/>
      <c r="JVV166" s="249"/>
      <c r="JVW166" s="249"/>
      <c r="JVX166" s="249"/>
      <c r="JVY166" s="249"/>
      <c r="JVZ166" s="249"/>
      <c r="JWA166" s="249"/>
      <c r="JWB166" s="249"/>
      <c r="JWC166" s="249"/>
      <c r="JWD166" s="249"/>
      <c r="JWE166" s="249"/>
      <c r="JWF166" s="249"/>
      <c r="JWG166" s="249"/>
      <c r="JWH166" s="249"/>
      <c r="JWI166" s="249"/>
      <c r="JWJ166" s="249"/>
      <c r="JWK166" s="249"/>
      <c r="JWL166" s="249"/>
      <c r="JWM166" s="249"/>
      <c r="JWN166" s="249"/>
      <c r="JWO166" s="249"/>
      <c r="JWP166" s="249"/>
      <c r="JWQ166" s="249"/>
      <c r="JWR166" s="249"/>
      <c r="JWS166" s="249"/>
      <c r="JWT166" s="249"/>
      <c r="JWU166" s="249"/>
      <c r="JWV166" s="249"/>
      <c r="JWW166" s="249"/>
      <c r="JWX166" s="249"/>
      <c r="JWY166" s="249"/>
      <c r="JWZ166" s="249"/>
      <c r="JXA166" s="249"/>
      <c r="JXB166" s="249"/>
      <c r="JXC166" s="249"/>
      <c r="JXD166" s="249"/>
      <c r="JXE166" s="249"/>
      <c r="JXF166" s="249"/>
      <c r="JXG166" s="249"/>
      <c r="JXH166" s="249"/>
      <c r="JXI166" s="249"/>
      <c r="JXJ166" s="249"/>
      <c r="JXK166" s="249"/>
      <c r="JXL166" s="249"/>
      <c r="JXM166" s="249"/>
      <c r="JXN166" s="249"/>
      <c r="JXO166" s="249"/>
      <c r="JXP166" s="249"/>
      <c r="JXQ166" s="249"/>
      <c r="JXR166" s="249"/>
      <c r="JXS166" s="249"/>
      <c r="JXT166" s="249"/>
      <c r="JXU166" s="249"/>
      <c r="JXV166" s="249"/>
      <c r="JXW166" s="249"/>
      <c r="JXX166" s="249"/>
      <c r="JXY166" s="249"/>
      <c r="JXZ166" s="249"/>
      <c r="JYA166" s="249"/>
      <c r="JYB166" s="249"/>
      <c r="JYC166" s="249"/>
      <c r="JYD166" s="249"/>
      <c r="JYE166" s="249"/>
      <c r="JYF166" s="249"/>
      <c r="JYG166" s="249"/>
      <c r="JYH166" s="249"/>
      <c r="JYI166" s="249"/>
      <c r="JYJ166" s="249"/>
      <c r="JYK166" s="249"/>
      <c r="JYL166" s="249"/>
      <c r="JYM166" s="249"/>
      <c r="JYN166" s="249"/>
      <c r="JYO166" s="249"/>
      <c r="JYP166" s="249"/>
      <c r="JYQ166" s="249"/>
      <c r="JYR166" s="249"/>
      <c r="JYS166" s="249"/>
      <c r="JYT166" s="249"/>
      <c r="JYU166" s="249"/>
      <c r="JYV166" s="249"/>
      <c r="JYW166" s="249"/>
      <c r="JYX166" s="249"/>
      <c r="JYY166" s="249"/>
      <c r="JYZ166" s="249"/>
      <c r="JZA166" s="249"/>
      <c r="JZB166" s="249"/>
      <c r="JZC166" s="249"/>
      <c r="JZD166" s="249"/>
      <c r="JZE166" s="249"/>
      <c r="JZF166" s="249"/>
      <c r="JZG166" s="249"/>
      <c r="JZH166" s="249"/>
      <c r="JZI166" s="249"/>
      <c r="JZJ166" s="249"/>
      <c r="JZK166" s="249"/>
      <c r="JZL166" s="249"/>
      <c r="JZM166" s="249"/>
      <c r="JZN166" s="249"/>
      <c r="JZO166" s="249"/>
      <c r="JZP166" s="249"/>
      <c r="JZQ166" s="249"/>
      <c r="JZR166" s="249"/>
      <c r="JZS166" s="249"/>
      <c r="JZT166" s="249"/>
      <c r="JZU166" s="249"/>
      <c r="JZV166" s="249"/>
      <c r="JZW166" s="249"/>
      <c r="JZX166" s="249"/>
      <c r="JZY166" s="249"/>
      <c r="JZZ166" s="249"/>
      <c r="KAA166" s="249"/>
      <c r="KAB166" s="249"/>
      <c r="KAC166" s="249"/>
      <c r="KAD166" s="249"/>
      <c r="KAE166" s="249"/>
      <c r="KAF166" s="249"/>
      <c r="KAG166" s="249"/>
      <c r="KAH166" s="249"/>
      <c r="KAI166" s="249"/>
      <c r="KAJ166" s="249"/>
      <c r="KAK166" s="249"/>
      <c r="KAL166" s="249"/>
      <c r="KAM166" s="249"/>
      <c r="KAN166" s="249"/>
      <c r="KAO166" s="249"/>
      <c r="KAP166" s="249"/>
      <c r="KAQ166" s="249"/>
      <c r="KAR166" s="249"/>
      <c r="KAS166" s="249"/>
      <c r="KAT166" s="249"/>
      <c r="KAU166" s="249"/>
      <c r="KAV166" s="249"/>
      <c r="KAW166" s="249"/>
      <c r="KAX166" s="249"/>
      <c r="KAY166" s="249"/>
      <c r="KAZ166" s="249"/>
      <c r="KBA166" s="249"/>
      <c r="KBB166" s="249"/>
      <c r="KBC166" s="249"/>
      <c r="KBD166" s="249"/>
      <c r="KBE166" s="249"/>
      <c r="KBF166" s="249"/>
      <c r="KBG166" s="249"/>
      <c r="KBH166" s="249"/>
      <c r="KBI166" s="249"/>
      <c r="KBJ166" s="249"/>
      <c r="KBK166" s="249"/>
      <c r="KBL166" s="249"/>
      <c r="KBM166" s="249"/>
      <c r="KBN166" s="249"/>
      <c r="KBO166" s="249"/>
      <c r="KBP166" s="249"/>
      <c r="KBQ166" s="249"/>
      <c r="KBR166" s="249"/>
      <c r="KBS166" s="249"/>
      <c r="KBT166" s="249"/>
      <c r="KBU166" s="249"/>
      <c r="KBV166" s="249"/>
      <c r="KBW166" s="249"/>
      <c r="KBX166" s="249"/>
      <c r="KBY166" s="249"/>
      <c r="KBZ166" s="249"/>
      <c r="KCA166" s="249"/>
      <c r="KCB166" s="249"/>
      <c r="KCC166" s="249"/>
      <c r="KCD166" s="249"/>
      <c r="KCE166" s="249"/>
      <c r="KCF166" s="249"/>
      <c r="KCG166" s="249"/>
      <c r="KCH166" s="249"/>
      <c r="KCI166" s="249"/>
      <c r="KCJ166" s="249"/>
      <c r="KCK166" s="249"/>
      <c r="KCL166" s="249"/>
      <c r="KCM166" s="249"/>
      <c r="KCN166" s="249"/>
      <c r="KCO166" s="249"/>
      <c r="KCP166" s="249"/>
      <c r="KCQ166" s="249"/>
      <c r="KCR166" s="249"/>
      <c r="KCS166" s="249"/>
      <c r="KCT166" s="249"/>
      <c r="KCU166" s="249"/>
      <c r="KCV166" s="249"/>
      <c r="KCW166" s="249"/>
      <c r="KCX166" s="249"/>
      <c r="KCY166" s="249"/>
      <c r="KCZ166" s="249"/>
      <c r="KDA166" s="249"/>
      <c r="KDB166" s="249"/>
      <c r="KDC166" s="249"/>
      <c r="KDD166" s="249"/>
      <c r="KDE166" s="249"/>
      <c r="KDF166" s="249"/>
      <c r="KDG166" s="249"/>
      <c r="KDH166" s="249"/>
      <c r="KDI166" s="249"/>
      <c r="KDJ166" s="249"/>
      <c r="KDK166" s="249"/>
      <c r="KDL166" s="249"/>
      <c r="KDM166" s="249"/>
      <c r="KDN166" s="249"/>
      <c r="KDO166" s="249"/>
      <c r="KDP166" s="249"/>
      <c r="KDQ166" s="249"/>
      <c r="KDR166" s="249"/>
      <c r="KDS166" s="249"/>
      <c r="KDT166" s="249"/>
      <c r="KDU166" s="249"/>
      <c r="KDV166" s="249"/>
      <c r="KDW166" s="249"/>
      <c r="KDX166" s="249"/>
      <c r="KDY166" s="249"/>
      <c r="KDZ166" s="249"/>
      <c r="KEA166" s="249"/>
      <c r="KEB166" s="249"/>
      <c r="KEC166" s="249"/>
      <c r="KED166" s="249"/>
      <c r="KEE166" s="249"/>
      <c r="KEF166" s="249"/>
      <c r="KEG166" s="249"/>
      <c r="KEH166" s="249"/>
      <c r="KEI166" s="249"/>
      <c r="KEJ166" s="249"/>
      <c r="KEK166" s="249"/>
      <c r="KEL166" s="249"/>
      <c r="KEM166" s="249"/>
      <c r="KEN166" s="249"/>
      <c r="KEO166" s="249"/>
      <c r="KEP166" s="249"/>
      <c r="KEQ166" s="249"/>
      <c r="KER166" s="249"/>
      <c r="KES166" s="249"/>
      <c r="KET166" s="249"/>
      <c r="KEU166" s="249"/>
      <c r="KEV166" s="249"/>
      <c r="KEW166" s="249"/>
      <c r="KEX166" s="249"/>
      <c r="KEY166" s="249"/>
      <c r="KEZ166" s="249"/>
      <c r="KFA166" s="249"/>
      <c r="KFB166" s="249"/>
      <c r="KFC166" s="249"/>
      <c r="KFD166" s="249"/>
      <c r="KFE166" s="249"/>
      <c r="KFF166" s="249"/>
      <c r="KFG166" s="249"/>
      <c r="KFH166" s="249"/>
      <c r="KFI166" s="249"/>
      <c r="KFJ166" s="249"/>
      <c r="KFK166" s="249"/>
      <c r="KFL166" s="249"/>
      <c r="KFM166" s="249"/>
      <c r="KFN166" s="249"/>
      <c r="KFO166" s="249"/>
      <c r="KFP166" s="249"/>
      <c r="KFQ166" s="249"/>
      <c r="KFR166" s="249"/>
      <c r="KFS166" s="249"/>
      <c r="KFT166" s="249"/>
      <c r="KFU166" s="249"/>
      <c r="KFV166" s="249"/>
      <c r="KFW166" s="249"/>
      <c r="KFX166" s="249"/>
      <c r="KFY166" s="249"/>
      <c r="KFZ166" s="249"/>
      <c r="KGA166" s="249"/>
      <c r="KGB166" s="249"/>
      <c r="KGC166" s="249"/>
      <c r="KGD166" s="249"/>
      <c r="KGE166" s="249"/>
      <c r="KGF166" s="249"/>
      <c r="KGG166" s="249"/>
      <c r="KGH166" s="249"/>
      <c r="KGI166" s="249"/>
      <c r="KGJ166" s="249"/>
      <c r="KGK166" s="249"/>
      <c r="KGL166" s="249"/>
      <c r="KGM166" s="249"/>
      <c r="KGN166" s="249"/>
      <c r="KGO166" s="249"/>
      <c r="KGP166" s="249"/>
      <c r="KGQ166" s="249"/>
      <c r="KGR166" s="249"/>
      <c r="KGS166" s="249"/>
      <c r="KGT166" s="249"/>
      <c r="KGU166" s="249"/>
      <c r="KGV166" s="249"/>
      <c r="KGW166" s="249"/>
      <c r="KGX166" s="249"/>
      <c r="KGY166" s="249"/>
      <c r="KGZ166" s="249"/>
      <c r="KHA166" s="249"/>
      <c r="KHB166" s="249"/>
      <c r="KHC166" s="249"/>
      <c r="KHD166" s="249"/>
      <c r="KHE166" s="249"/>
      <c r="KHF166" s="249"/>
      <c r="KHG166" s="249"/>
      <c r="KHH166" s="249"/>
      <c r="KHI166" s="249"/>
      <c r="KHJ166" s="249"/>
      <c r="KHK166" s="249"/>
      <c r="KHL166" s="249"/>
      <c r="KHM166" s="249"/>
      <c r="KHN166" s="249"/>
      <c r="KHO166" s="249"/>
      <c r="KHP166" s="249"/>
      <c r="KHQ166" s="249"/>
      <c r="KHR166" s="249"/>
      <c r="KHS166" s="249"/>
      <c r="KHT166" s="249"/>
      <c r="KHU166" s="249"/>
      <c r="KHV166" s="249"/>
      <c r="KHW166" s="249"/>
      <c r="KHX166" s="249"/>
      <c r="KHY166" s="249"/>
      <c r="KHZ166" s="249"/>
      <c r="KIA166" s="249"/>
      <c r="KIB166" s="249"/>
      <c r="KIC166" s="249"/>
      <c r="KID166" s="249"/>
      <c r="KIE166" s="249"/>
      <c r="KIF166" s="249"/>
      <c r="KIG166" s="249"/>
      <c r="KIH166" s="249"/>
      <c r="KII166" s="249"/>
      <c r="KIJ166" s="249"/>
      <c r="KIK166" s="249"/>
      <c r="KIL166" s="249"/>
      <c r="KIM166" s="249"/>
      <c r="KIN166" s="249"/>
      <c r="KIO166" s="249"/>
      <c r="KIP166" s="249"/>
      <c r="KIQ166" s="249"/>
      <c r="KIR166" s="249"/>
      <c r="KIS166" s="249"/>
      <c r="KIT166" s="249"/>
      <c r="KIU166" s="249"/>
      <c r="KIV166" s="249"/>
      <c r="KIW166" s="249"/>
      <c r="KIX166" s="249"/>
      <c r="KIY166" s="249"/>
      <c r="KIZ166" s="249"/>
      <c r="KJA166" s="249"/>
      <c r="KJB166" s="249"/>
      <c r="KJC166" s="249"/>
      <c r="KJD166" s="249"/>
      <c r="KJE166" s="249"/>
      <c r="KJF166" s="249"/>
      <c r="KJG166" s="249"/>
      <c r="KJH166" s="249"/>
      <c r="KJI166" s="249"/>
      <c r="KJJ166" s="249"/>
      <c r="KJK166" s="249"/>
      <c r="KJL166" s="249"/>
      <c r="KJM166" s="249"/>
      <c r="KJN166" s="249"/>
      <c r="KJO166" s="249"/>
      <c r="KJP166" s="249"/>
      <c r="KJQ166" s="249"/>
      <c r="KJR166" s="249"/>
      <c r="KJS166" s="249"/>
      <c r="KJT166" s="249"/>
      <c r="KJU166" s="249"/>
      <c r="KJV166" s="249"/>
      <c r="KJW166" s="249"/>
      <c r="KJX166" s="249"/>
      <c r="KJY166" s="249"/>
      <c r="KJZ166" s="249"/>
      <c r="KKA166" s="249"/>
      <c r="KKB166" s="249"/>
      <c r="KKC166" s="249"/>
      <c r="KKD166" s="249"/>
      <c r="KKE166" s="249"/>
      <c r="KKF166" s="249"/>
      <c r="KKG166" s="249"/>
      <c r="KKH166" s="249"/>
      <c r="KKI166" s="249"/>
      <c r="KKJ166" s="249"/>
      <c r="KKK166" s="249"/>
      <c r="KKL166" s="249"/>
      <c r="KKM166" s="249"/>
      <c r="KKN166" s="249"/>
      <c r="KKO166" s="249"/>
      <c r="KKP166" s="249"/>
      <c r="KKQ166" s="249"/>
      <c r="KKR166" s="249"/>
      <c r="KKS166" s="249"/>
      <c r="KKT166" s="249"/>
      <c r="KKU166" s="249"/>
      <c r="KKV166" s="249"/>
      <c r="KKW166" s="249"/>
      <c r="KKX166" s="249"/>
      <c r="KKY166" s="249"/>
      <c r="KKZ166" s="249"/>
      <c r="KLA166" s="249"/>
      <c r="KLB166" s="249"/>
      <c r="KLC166" s="249"/>
      <c r="KLD166" s="249"/>
      <c r="KLE166" s="249"/>
      <c r="KLF166" s="249"/>
      <c r="KLG166" s="249"/>
      <c r="KLH166" s="249"/>
      <c r="KLI166" s="249"/>
      <c r="KLJ166" s="249"/>
      <c r="KLK166" s="249"/>
      <c r="KLL166" s="249"/>
      <c r="KLM166" s="249"/>
      <c r="KLN166" s="249"/>
      <c r="KLO166" s="249"/>
      <c r="KLP166" s="249"/>
      <c r="KLQ166" s="249"/>
      <c r="KLR166" s="249"/>
      <c r="KLS166" s="249"/>
      <c r="KLT166" s="249"/>
      <c r="KLU166" s="249"/>
      <c r="KLV166" s="249"/>
      <c r="KLW166" s="249"/>
      <c r="KLX166" s="249"/>
      <c r="KLY166" s="249"/>
      <c r="KLZ166" s="249"/>
      <c r="KMA166" s="249"/>
      <c r="KMB166" s="249"/>
      <c r="KMC166" s="249"/>
      <c r="KMD166" s="249"/>
      <c r="KME166" s="249"/>
      <c r="KMF166" s="249"/>
      <c r="KMG166" s="249"/>
      <c r="KMH166" s="249"/>
      <c r="KMI166" s="249"/>
      <c r="KMJ166" s="249"/>
      <c r="KMK166" s="249"/>
      <c r="KML166" s="249"/>
      <c r="KMM166" s="249"/>
      <c r="KMN166" s="249"/>
      <c r="KMO166" s="249"/>
      <c r="KMP166" s="249"/>
      <c r="KMQ166" s="249"/>
      <c r="KMR166" s="249"/>
      <c r="KMS166" s="249"/>
      <c r="KMT166" s="249"/>
      <c r="KMU166" s="249"/>
      <c r="KMV166" s="249"/>
      <c r="KMW166" s="249"/>
      <c r="KMX166" s="249"/>
      <c r="KMY166" s="249"/>
      <c r="KMZ166" s="249"/>
      <c r="KNA166" s="249"/>
      <c r="KNB166" s="249"/>
      <c r="KNC166" s="249"/>
      <c r="KND166" s="249"/>
      <c r="KNE166" s="249"/>
      <c r="KNF166" s="249"/>
      <c r="KNG166" s="249"/>
      <c r="KNH166" s="249"/>
      <c r="KNI166" s="249"/>
      <c r="KNJ166" s="249"/>
      <c r="KNK166" s="249"/>
      <c r="KNL166" s="249"/>
      <c r="KNM166" s="249"/>
      <c r="KNN166" s="249"/>
      <c r="KNO166" s="249"/>
      <c r="KNP166" s="249"/>
      <c r="KNQ166" s="249"/>
      <c r="KNR166" s="249"/>
      <c r="KNS166" s="249"/>
      <c r="KNT166" s="249"/>
      <c r="KNU166" s="249"/>
      <c r="KNV166" s="249"/>
      <c r="KNW166" s="249"/>
      <c r="KNX166" s="249"/>
      <c r="KNY166" s="249"/>
      <c r="KNZ166" s="249"/>
      <c r="KOA166" s="249"/>
      <c r="KOB166" s="249"/>
      <c r="KOC166" s="249"/>
      <c r="KOD166" s="249"/>
      <c r="KOE166" s="249"/>
      <c r="KOF166" s="249"/>
      <c r="KOG166" s="249"/>
      <c r="KOH166" s="249"/>
      <c r="KOI166" s="249"/>
      <c r="KOJ166" s="249"/>
      <c r="KOK166" s="249"/>
      <c r="KOL166" s="249"/>
      <c r="KOM166" s="249"/>
      <c r="KON166" s="249"/>
      <c r="KOO166" s="249"/>
      <c r="KOP166" s="249"/>
      <c r="KOQ166" s="249"/>
      <c r="KOR166" s="249"/>
      <c r="KOS166" s="249"/>
      <c r="KOT166" s="249"/>
      <c r="KOU166" s="249"/>
      <c r="KOV166" s="249"/>
      <c r="KOW166" s="249"/>
      <c r="KOX166" s="249"/>
      <c r="KOY166" s="249"/>
      <c r="KOZ166" s="249"/>
      <c r="KPA166" s="249"/>
      <c r="KPB166" s="249"/>
      <c r="KPC166" s="249"/>
      <c r="KPD166" s="249"/>
      <c r="KPE166" s="249"/>
      <c r="KPF166" s="249"/>
      <c r="KPG166" s="249"/>
      <c r="KPH166" s="249"/>
      <c r="KPI166" s="249"/>
      <c r="KPJ166" s="249"/>
      <c r="KPK166" s="249"/>
      <c r="KPL166" s="249"/>
      <c r="KPM166" s="249"/>
      <c r="KPN166" s="249"/>
      <c r="KPO166" s="249"/>
      <c r="KPP166" s="249"/>
      <c r="KPQ166" s="249"/>
      <c r="KPR166" s="249"/>
      <c r="KPS166" s="249"/>
      <c r="KPT166" s="249"/>
      <c r="KPU166" s="249"/>
      <c r="KPV166" s="249"/>
      <c r="KPW166" s="249"/>
      <c r="KPX166" s="249"/>
      <c r="KPY166" s="249"/>
      <c r="KPZ166" s="249"/>
      <c r="KQA166" s="249"/>
      <c r="KQB166" s="249"/>
      <c r="KQC166" s="249"/>
      <c r="KQD166" s="249"/>
      <c r="KQE166" s="249"/>
      <c r="KQF166" s="249"/>
      <c r="KQG166" s="249"/>
      <c r="KQH166" s="249"/>
      <c r="KQI166" s="249"/>
      <c r="KQJ166" s="249"/>
      <c r="KQK166" s="249"/>
      <c r="KQL166" s="249"/>
      <c r="KQM166" s="249"/>
      <c r="KQN166" s="249"/>
      <c r="KQO166" s="249"/>
      <c r="KQP166" s="249"/>
      <c r="KQQ166" s="249"/>
      <c r="KQR166" s="249"/>
      <c r="KQS166" s="249"/>
      <c r="KQT166" s="249"/>
      <c r="KQU166" s="249"/>
      <c r="KQV166" s="249"/>
      <c r="KQW166" s="249"/>
      <c r="KQX166" s="249"/>
      <c r="KQY166" s="249"/>
      <c r="KQZ166" s="249"/>
      <c r="KRA166" s="249"/>
      <c r="KRB166" s="249"/>
      <c r="KRC166" s="249"/>
      <c r="KRD166" s="249"/>
      <c r="KRE166" s="249"/>
      <c r="KRF166" s="249"/>
      <c r="KRG166" s="249"/>
      <c r="KRH166" s="249"/>
      <c r="KRI166" s="249"/>
      <c r="KRJ166" s="249"/>
      <c r="KRK166" s="249"/>
      <c r="KRL166" s="249"/>
      <c r="KRM166" s="249"/>
      <c r="KRN166" s="249"/>
      <c r="KRO166" s="249"/>
      <c r="KRP166" s="249"/>
      <c r="KRQ166" s="249"/>
      <c r="KRR166" s="249"/>
      <c r="KRS166" s="249"/>
      <c r="KRT166" s="249"/>
      <c r="KRU166" s="249"/>
      <c r="KRV166" s="249"/>
      <c r="KRW166" s="249"/>
      <c r="KRX166" s="249"/>
      <c r="KRY166" s="249"/>
      <c r="KRZ166" s="249"/>
      <c r="KSA166" s="249"/>
      <c r="KSB166" s="249"/>
      <c r="KSC166" s="249"/>
      <c r="KSD166" s="249"/>
      <c r="KSE166" s="249"/>
      <c r="KSF166" s="249"/>
      <c r="KSG166" s="249"/>
      <c r="KSH166" s="249"/>
      <c r="KSI166" s="249"/>
      <c r="KSJ166" s="249"/>
      <c r="KSK166" s="249"/>
      <c r="KSL166" s="249"/>
      <c r="KSM166" s="249"/>
      <c r="KSN166" s="249"/>
      <c r="KSO166" s="249"/>
      <c r="KSP166" s="249"/>
      <c r="KSQ166" s="249"/>
      <c r="KSR166" s="249"/>
      <c r="KSS166" s="249"/>
      <c r="KST166" s="249"/>
      <c r="KSU166" s="249"/>
      <c r="KSV166" s="249"/>
      <c r="KSW166" s="249"/>
      <c r="KSX166" s="249"/>
      <c r="KSY166" s="249"/>
      <c r="KSZ166" s="249"/>
      <c r="KTA166" s="249"/>
      <c r="KTB166" s="249"/>
      <c r="KTC166" s="249"/>
      <c r="KTD166" s="249"/>
      <c r="KTE166" s="249"/>
      <c r="KTF166" s="249"/>
      <c r="KTG166" s="249"/>
      <c r="KTH166" s="249"/>
      <c r="KTI166" s="249"/>
      <c r="KTJ166" s="249"/>
      <c r="KTK166" s="249"/>
      <c r="KTL166" s="249"/>
      <c r="KTM166" s="249"/>
      <c r="KTN166" s="249"/>
      <c r="KTO166" s="249"/>
      <c r="KTP166" s="249"/>
      <c r="KTQ166" s="249"/>
      <c r="KTR166" s="249"/>
      <c r="KTS166" s="249"/>
      <c r="KTT166" s="249"/>
      <c r="KTU166" s="249"/>
      <c r="KTV166" s="249"/>
      <c r="KTW166" s="249"/>
      <c r="KTX166" s="249"/>
      <c r="KTY166" s="249"/>
      <c r="KTZ166" s="249"/>
      <c r="KUA166" s="249"/>
      <c r="KUB166" s="249"/>
      <c r="KUC166" s="249"/>
      <c r="KUD166" s="249"/>
      <c r="KUE166" s="249"/>
      <c r="KUF166" s="249"/>
      <c r="KUG166" s="249"/>
      <c r="KUH166" s="249"/>
      <c r="KUI166" s="249"/>
      <c r="KUJ166" s="249"/>
      <c r="KUK166" s="249"/>
      <c r="KUL166" s="249"/>
      <c r="KUM166" s="249"/>
      <c r="KUN166" s="249"/>
      <c r="KUO166" s="249"/>
      <c r="KUP166" s="249"/>
      <c r="KUQ166" s="249"/>
      <c r="KUR166" s="249"/>
      <c r="KUS166" s="249"/>
      <c r="KUT166" s="249"/>
      <c r="KUU166" s="249"/>
      <c r="KUV166" s="249"/>
      <c r="KUW166" s="249"/>
      <c r="KUX166" s="249"/>
      <c r="KUY166" s="249"/>
      <c r="KUZ166" s="249"/>
      <c r="KVA166" s="249"/>
      <c r="KVB166" s="249"/>
      <c r="KVC166" s="249"/>
      <c r="KVD166" s="249"/>
      <c r="KVE166" s="249"/>
      <c r="KVF166" s="249"/>
      <c r="KVG166" s="249"/>
      <c r="KVH166" s="249"/>
      <c r="KVI166" s="249"/>
      <c r="KVJ166" s="249"/>
      <c r="KVK166" s="249"/>
      <c r="KVL166" s="249"/>
      <c r="KVM166" s="249"/>
      <c r="KVN166" s="249"/>
      <c r="KVO166" s="249"/>
      <c r="KVP166" s="249"/>
      <c r="KVQ166" s="249"/>
      <c r="KVR166" s="249"/>
      <c r="KVS166" s="249"/>
      <c r="KVT166" s="249"/>
      <c r="KVU166" s="249"/>
      <c r="KVV166" s="249"/>
      <c r="KVW166" s="249"/>
      <c r="KVX166" s="249"/>
      <c r="KVY166" s="249"/>
      <c r="KVZ166" s="249"/>
      <c r="KWA166" s="249"/>
      <c r="KWB166" s="249"/>
      <c r="KWC166" s="249"/>
      <c r="KWD166" s="249"/>
      <c r="KWE166" s="249"/>
      <c r="KWF166" s="249"/>
      <c r="KWG166" s="249"/>
      <c r="KWH166" s="249"/>
      <c r="KWI166" s="249"/>
      <c r="KWJ166" s="249"/>
      <c r="KWK166" s="249"/>
      <c r="KWL166" s="249"/>
      <c r="KWM166" s="249"/>
      <c r="KWN166" s="249"/>
      <c r="KWO166" s="249"/>
      <c r="KWP166" s="249"/>
      <c r="KWQ166" s="249"/>
      <c r="KWR166" s="249"/>
      <c r="KWS166" s="249"/>
      <c r="KWT166" s="249"/>
      <c r="KWU166" s="249"/>
      <c r="KWV166" s="249"/>
      <c r="KWW166" s="249"/>
      <c r="KWX166" s="249"/>
      <c r="KWY166" s="249"/>
      <c r="KWZ166" s="249"/>
      <c r="KXA166" s="249"/>
      <c r="KXB166" s="249"/>
      <c r="KXC166" s="249"/>
      <c r="KXD166" s="249"/>
      <c r="KXE166" s="249"/>
      <c r="KXF166" s="249"/>
      <c r="KXG166" s="249"/>
      <c r="KXH166" s="249"/>
      <c r="KXI166" s="249"/>
      <c r="KXJ166" s="249"/>
      <c r="KXK166" s="249"/>
      <c r="KXL166" s="249"/>
      <c r="KXM166" s="249"/>
      <c r="KXN166" s="249"/>
      <c r="KXO166" s="249"/>
      <c r="KXP166" s="249"/>
      <c r="KXQ166" s="249"/>
      <c r="KXR166" s="249"/>
      <c r="KXS166" s="249"/>
      <c r="KXT166" s="249"/>
      <c r="KXU166" s="249"/>
      <c r="KXV166" s="249"/>
      <c r="KXW166" s="249"/>
      <c r="KXX166" s="249"/>
      <c r="KXY166" s="249"/>
      <c r="KXZ166" s="249"/>
      <c r="KYA166" s="249"/>
      <c r="KYB166" s="249"/>
      <c r="KYC166" s="249"/>
      <c r="KYD166" s="249"/>
      <c r="KYE166" s="249"/>
      <c r="KYF166" s="249"/>
      <c r="KYG166" s="249"/>
      <c r="KYH166" s="249"/>
      <c r="KYI166" s="249"/>
      <c r="KYJ166" s="249"/>
      <c r="KYK166" s="249"/>
      <c r="KYL166" s="249"/>
      <c r="KYM166" s="249"/>
      <c r="KYN166" s="249"/>
      <c r="KYO166" s="249"/>
      <c r="KYP166" s="249"/>
      <c r="KYQ166" s="249"/>
      <c r="KYR166" s="249"/>
      <c r="KYS166" s="249"/>
      <c r="KYT166" s="249"/>
      <c r="KYU166" s="249"/>
      <c r="KYV166" s="249"/>
      <c r="KYW166" s="249"/>
      <c r="KYX166" s="249"/>
      <c r="KYY166" s="249"/>
      <c r="KYZ166" s="249"/>
      <c r="KZA166" s="249"/>
      <c r="KZB166" s="249"/>
      <c r="KZC166" s="249"/>
      <c r="KZD166" s="249"/>
      <c r="KZE166" s="249"/>
      <c r="KZF166" s="249"/>
      <c r="KZG166" s="249"/>
      <c r="KZH166" s="249"/>
      <c r="KZI166" s="249"/>
      <c r="KZJ166" s="249"/>
      <c r="KZK166" s="249"/>
      <c r="KZL166" s="249"/>
      <c r="KZM166" s="249"/>
      <c r="KZN166" s="249"/>
      <c r="KZO166" s="249"/>
      <c r="KZP166" s="249"/>
      <c r="KZQ166" s="249"/>
      <c r="KZR166" s="249"/>
      <c r="KZS166" s="249"/>
      <c r="KZT166" s="249"/>
      <c r="KZU166" s="249"/>
      <c r="KZV166" s="249"/>
      <c r="KZW166" s="249"/>
      <c r="KZX166" s="249"/>
      <c r="KZY166" s="249"/>
      <c r="KZZ166" s="249"/>
      <c r="LAA166" s="249"/>
      <c r="LAB166" s="249"/>
      <c r="LAC166" s="249"/>
      <c r="LAD166" s="249"/>
      <c r="LAE166" s="249"/>
      <c r="LAF166" s="249"/>
      <c r="LAG166" s="249"/>
      <c r="LAH166" s="249"/>
      <c r="LAI166" s="249"/>
      <c r="LAJ166" s="249"/>
      <c r="LAK166" s="249"/>
      <c r="LAL166" s="249"/>
      <c r="LAM166" s="249"/>
      <c r="LAN166" s="249"/>
      <c r="LAO166" s="249"/>
      <c r="LAP166" s="249"/>
      <c r="LAQ166" s="249"/>
      <c r="LAR166" s="249"/>
      <c r="LAS166" s="249"/>
      <c r="LAT166" s="249"/>
      <c r="LAU166" s="249"/>
      <c r="LAV166" s="249"/>
      <c r="LAW166" s="249"/>
      <c r="LAX166" s="249"/>
      <c r="LAY166" s="249"/>
      <c r="LAZ166" s="249"/>
      <c r="LBA166" s="249"/>
      <c r="LBB166" s="249"/>
      <c r="LBC166" s="249"/>
      <c r="LBD166" s="249"/>
      <c r="LBE166" s="249"/>
      <c r="LBF166" s="249"/>
      <c r="LBG166" s="249"/>
      <c r="LBH166" s="249"/>
      <c r="LBI166" s="249"/>
      <c r="LBJ166" s="249"/>
      <c r="LBK166" s="249"/>
      <c r="LBL166" s="249"/>
      <c r="LBM166" s="249"/>
      <c r="LBN166" s="249"/>
      <c r="LBO166" s="249"/>
      <c r="LBP166" s="249"/>
      <c r="LBQ166" s="249"/>
      <c r="LBR166" s="249"/>
      <c r="LBS166" s="249"/>
      <c r="LBT166" s="249"/>
      <c r="LBU166" s="249"/>
      <c r="LBV166" s="249"/>
      <c r="LBW166" s="249"/>
      <c r="LBX166" s="249"/>
      <c r="LBY166" s="249"/>
      <c r="LBZ166" s="249"/>
      <c r="LCA166" s="249"/>
      <c r="LCB166" s="249"/>
      <c r="LCC166" s="249"/>
      <c r="LCD166" s="249"/>
      <c r="LCE166" s="249"/>
      <c r="LCF166" s="249"/>
      <c r="LCG166" s="249"/>
      <c r="LCH166" s="249"/>
      <c r="LCI166" s="249"/>
      <c r="LCJ166" s="249"/>
      <c r="LCK166" s="249"/>
      <c r="LCL166" s="249"/>
      <c r="LCM166" s="249"/>
      <c r="LCN166" s="249"/>
      <c r="LCO166" s="249"/>
      <c r="LCP166" s="249"/>
      <c r="LCQ166" s="249"/>
      <c r="LCR166" s="249"/>
      <c r="LCS166" s="249"/>
      <c r="LCT166" s="249"/>
      <c r="LCU166" s="249"/>
      <c r="LCV166" s="249"/>
      <c r="LCW166" s="249"/>
      <c r="LCX166" s="249"/>
      <c r="LCY166" s="249"/>
      <c r="LCZ166" s="249"/>
      <c r="LDA166" s="249"/>
      <c r="LDB166" s="249"/>
      <c r="LDC166" s="249"/>
      <c r="LDD166" s="249"/>
      <c r="LDE166" s="249"/>
      <c r="LDF166" s="249"/>
      <c r="LDG166" s="249"/>
      <c r="LDH166" s="249"/>
      <c r="LDI166" s="249"/>
      <c r="LDJ166" s="249"/>
      <c r="LDK166" s="249"/>
      <c r="LDL166" s="249"/>
      <c r="LDM166" s="249"/>
      <c r="LDN166" s="249"/>
      <c r="LDO166" s="249"/>
      <c r="LDP166" s="249"/>
      <c r="LDQ166" s="249"/>
      <c r="LDR166" s="249"/>
      <c r="LDS166" s="249"/>
      <c r="LDT166" s="249"/>
      <c r="LDU166" s="249"/>
      <c r="LDV166" s="249"/>
      <c r="LDW166" s="249"/>
      <c r="LDX166" s="249"/>
      <c r="LDY166" s="249"/>
      <c r="LDZ166" s="249"/>
      <c r="LEA166" s="249"/>
      <c r="LEB166" s="249"/>
      <c r="LEC166" s="249"/>
      <c r="LED166" s="249"/>
      <c r="LEE166" s="249"/>
      <c r="LEF166" s="249"/>
      <c r="LEG166" s="249"/>
      <c r="LEH166" s="249"/>
      <c r="LEI166" s="249"/>
      <c r="LEJ166" s="249"/>
      <c r="LEK166" s="249"/>
      <c r="LEL166" s="249"/>
      <c r="LEM166" s="249"/>
      <c r="LEN166" s="249"/>
      <c r="LEO166" s="249"/>
      <c r="LEP166" s="249"/>
      <c r="LEQ166" s="249"/>
      <c r="LER166" s="249"/>
      <c r="LES166" s="249"/>
      <c r="LET166" s="249"/>
      <c r="LEU166" s="249"/>
      <c r="LEV166" s="249"/>
      <c r="LEW166" s="249"/>
      <c r="LEX166" s="249"/>
      <c r="LEY166" s="249"/>
      <c r="LEZ166" s="249"/>
      <c r="LFA166" s="249"/>
      <c r="LFB166" s="249"/>
      <c r="LFC166" s="249"/>
      <c r="LFD166" s="249"/>
      <c r="LFE166" s="249"/>
      <c r="LFF166" s="249"/>
      <c r="LFG166" s="249"/>
      <c r="LFH166" s="249"/>
      <c r="LFI166" s="249"/>
      <c r="LFJ166" s="249"/>
      <c r="LFK166" s="249"/>
      <c r="LFL166" s="249"/>
      <c r="LFM166" s="249"/>
      <c r="LFN166" s="249"/>
      <c r="LFO166" s="249"/>
      <c r="LFP166" s="249"/>
      <c r="LFQ166" s="249"/>
      <c r="LFR166" s="249"/>
      <c r="LFS166" s="249"/>
      <c r="LFT166" s="249"/>
      <c r="LFU166" s="249"/>
      <c r="LFV166" s="249"/>
      <c r="LFW166" s="249"/>
      <c r="LFX166" s="249"/>
      <c r="LFY166" s="249"/>
      <c r="LFZ166" s="249"/>
      <c r="LGA166" s="249"/>
      <c r="LGB166" s="249"/>
      <c r="LGC166" s="249"/>
      <c r="LGD166" s="249"/>
      <c r="LGE166" s="249"/>
      <c r="LGF166" s="249"/>
      <c r="LGG166" s="249"/>
      <c r="LGH166" s="249"/>
      <c r="LGI166" s="249"/>
      <c r="LGJ166" s="249"/>
      <c r="LGK166" s="249"/>
      <c r="LGL166" s="249"/>
      <c r="LGM166" s="249"/>
      <c r="LGN166" s="249"/>
      <c r="LGO166" s="249"/>
      <c r="LGP166" s="249"/>
      <c r="LGQ166" s="249"/>
      <c r="LGR166" s="249"/>
      <c r="LGS166" s="249"/>
      <c r="LGT166" s="249"/>
      <c r="LGU166" s="249"/>
      <c r="LGV166" s="249"/>
      <c r="LGW166" s="249"/>
      <c r="LGX166" s="249"/>
      <c r="LGY166" s="249"/>
      <c r="LGZ166" s="249"/>
      <c r="LHA166" s="249"/>
      <c r="LHB166" s="249"/>
      <c r="LHC166" s="249"/>
      <c r="LHD166" s="249"/>
      <c r="LHE166" s="249"/>
      <c r="LHF166" s="249"/>
      <c r="LHG166" s="249"/>
      <c r="LHH166" s="249"/>
      <c r="LHI166" s="249"/>
      <c r="LHJ166" s="249"/>
      <c r="LHK166" s="249"/>
      <c r="LHL166" s="249"/>
      <c r="LHM166" s="249"/>
      <c r="LHN166" s="249"/>
      <c r="LHO166" s="249"/>
      <c r="LHP166" s="249"/>
      <c r="LHQ166" s="249"/>
      <c r="LHR166" s="249"/>
      <c r="LHS166" s="249"/>
      <c r="LHT166" s="249"/>
      <c r="LHU166" s="249"/>
      <c r="LHV166" s="249"/>
      <c r="LHW166" s="249"/>
      <c r="LHX166" s="249"/>
      <c r="LHY166" s="249"/>
      <c r="LHZ166" s="249"/>
      <c r="LIA166" s="249"/>
      <c r="LIB166" s="249"/>
      <c r="LIC166" s="249"/>
      <c r="LID166" s="249"/>
      <c r="LIE166" s="249"/>
      <c r="LIF166" s="249"/>
      <c r="LIG166" s="249"/>
      <c r="LIH166" s="249"/>
      <c r="LII166" s="249"/>
      <c r="LIJ166" s="249"/>
      <c r="LIK166" s="249"/>
      <c r="LIL166" s="249"/>
      <c r="LIM166" s="249"/>
      <c r="LIN166" s="249"/>
      <c r="LIO166" s="249"/>
      <c r="LIP166" s="249"/>
      <c r="LIQ166" s="249"/>
      <c r="LIR166" s="249"/>
      <c r="LIS166" s="249"/>
      <c r="LIT166" s="249"/>
      <c r="LIU166" s="249"/>
      <c r="LIV166" s="249"/>
      <c r="LIW166" s="249"/>
      <c r="LIX166" s="249"/>
      <c r="LIY166" s="249"/>
      <c r="LIZ166" s="249"/>
      <c r="LJA166" s="249"/>
      <c r="LJB166" s="249"/>
      <c r="LJC166" s="249"/>
      <c r="LJD166" s="249"/>
      <c r="LJE166" s="249"/>
      <c r="LJF166" s="249"/>
      <c r="LJG166" s="249"/>
      <c r="LJH166" s="249"/>
      <c r="LJI166" s="249"/>
      <c r="LJJ166" s="249"/>
      <c r="LJK166" s="249"/>
      <c r="LJL166" s="249"/>
      <c r="LJM166" s="249"/>
      <c r="LJN166" s="249"/>
      <c r="LJO166" s="249"/>
      <c r="LJP166" s="249"/>
      <c r="LJQ166" s="249"/>
      <c r="LJR166" s="249"/>
      <c r="LJS166" s="249"/>
      <c r="LJT166" s="249"/>
      <c r="LJU166" s="249"/>
      <c r="LJV166" s="249"/>
      <c r="LJW166" s="249"/>
      <c r="LJX166" s="249"/>
      <c r="LJY166" s="249"/>
      <c r="LJZ166" s="249"/>
      <c r="LKA166" s="249"/>
      <c r="LKB166" s="249"/>
      <c r="LKC166" s="249"/>
      <c r="LKD166" s="249"/>
      <c r="LKE166" s="249"/>
      <c r="LKF166" s="249"/>
      <c r="LKG166" s="249"/>
      <c r="LKH166" s="249"/>
      <c r="LKI166" s="249"/>
      <c r="LKJ166" s="249"/>
      <c r="LKK166" s="249"/>
      <c r="LKL166" s="249"/>
      <c r="LKM166" s="249"/>
      <c r="LKN166" s="249"/>
      <c r="LKO166" s="249"/>
      <c r="LKP166" s="249"/>
      <c r="LKQ166" s="249"/>
      <c r="LKR166" s="249"/>
      <c r="LKS166" s="249"/>
      <c r="LKT166" s="249"/>
      <c r="LKU166" s="249"/>
      <c r="LKV166" s="249"/>
      <c r="LKW166" s="249"/>
      <c r="LKX166" s="249"/>
      <c r="LKY166" s="249"/>
      <c r="LKZ166" s="249"/>
      <c r="LLA166" s="249"/>
      <c r="LLB166" s="249"/>
      <c r="LLC166" s="249"/>
      <c r="LLD166" s="249"/>
      <c r="LLE166" s="249"/>
      <c r="LLF166" s="249"/>
      <c r="LLG166" s="249"/>
      <c r="LLH166" s="249"/>
      <c r="LLI166" s="249"/>
      <c r="LLJ166" s="249"/>
      <c r="LLK166" s="249"/>
      <c r="LLL166" s="249"/>
      <c r="LLM166" s="249"/>
      <c r="LLN166" s="249"/>
      <c r="LLO166" s="249"/>
      <c r="LLP166" s="249"/>
      <c r="LLQ166" s="249"/>
      <c r="LLR166" s="249"/>
      <c r="LLS166" s="249"/>
      <c r="LLT166" s="249"/>
      <c r="LLU166" s="249"/>
      <c r="LLV166" s="249"/>
      <c r="LLW166" s="249"/>
      <c r="LLX166" s="249"/>
      <c r="LLY166" s="249"/>
      <c r="LLZ166" s="249"/>
      <c r="LMA166" s="249"/>
      <c r="LMB166" s="249"/>
      <c r="LMC166" s="249"/>
      <c r="LMD166" s="249"/>
      <c r="LME166" s="249"/>
      <c r="LMF166" s="249"/>
      <c r="LMG166" s="249"/>
      <c r="LMH166" s="249"/>
      <c r="LMI166" s="249"/>
      <c r="LMJ166" s="249"/>
      <c r="LMK166" s="249"/>
      <c r="LML166" s="249"/>
      <c r="LMM166" s="249"/>
      <c r="LMN166" s="249"/>
      <c r="LMO166" s="249"/>
      <c r="LMP166" s="249"/>
      <c r="LMQ166" s="249"/>
      <c r="LMR166" s="249"/>
      <c r="LMS166" s="249"/>
      <c r="LMT166" s="249"/>
      <c r="LMU166" s="249"/>
      <c r="LMV166" s="249"/>
      <c r="LMW166" s="249"/>
      <c r="LMX166" s="249"/>
      <c r="LMY166" s="249"/>
      <c r="LMZ166" s="249"/>
      <c r="LNA166" s="249"/>
      <c r="LNB166" s="249"/>
      <c r="LNC166" s="249"/>
      <c r="LND166" s="249"/>
      <c r="LNE166" s="249"/>
      <c r="LNF166" s="249"/>
      <c r="LNG166" s="249"/>
      <c r="LNH166" s="249"/>
      <c r="LNI166" s="249"/>
      <c r="LNJ166" s="249"/>
      <c r="LNK166" s="249"/>
      <c r="LNL166" s="249"/>
      <c r="LNM166" s="249"/>
      <c r="LNN166" s="249"/>
      <c r="LNO166" s="249"/>
      <c r="LNP166" s="249"/>
      <c r="LNQ166" s="249"/>
      <c r="LNR166" s="249"/>
      <c r="LNS166" s="249"/>
      <c r="LNT166" s="249"/>
      <c r="LNU166" s="249"/>
      <c r="LNV166" s="249"/>
      <c r="LNW166" s="249"/>
      <c r="LNX166" s="249"/>
      <c r="LNY166" s="249"/>
      <c r="LNZ166" s="249"/>
      <c r="LOA166" s="249"/>
      <c r="LOB166" s="249"/>
      <c r="LOC166" s="249"/>
      <c r="LOD166" s="249"/>
      <c r="LOE166" s="249"/>
      <c r="LOF166" s="249"/>
      <c r="LOG166" s="249"/>
      <c r="LOH166" s="249"/>
      <c r="LOI166" s="249"/>
      <c r="LOJ166" s="249"/>
      <c r="LOK166" s="249"/>
      <c r="LOL166" s="249"/>
      <c r="LOM166" s="249"/>
      <c r="LON166" s="249"/>
      <c r="LOO166" s="249"/>
      <c r="LOP166" s="249"/>
      <c r="LOQ166" s="249"/>
      <c r="LOR166" s="249"/>
      <c r="LOS166" s="249"/>
      <c r="LOT166" s="249"/>
      <c r="LOU166" s="249"/>
      <c r="LOV166" s="249"/>
      <c r="LOW166" s="249"/>
      <c r="LOX166" s="249"/>
      <c r="LOY166" s="249"/>
      <c r="LOZ166" s="249"/>
      <c r="LPA166" s="249"/>
      <c r="LPB166" s="249"/>
      <c r="LPC166" s="249"/>
      <c r="LPD166" s="249"/>
      <c r="LPE166" s="249"/>
      <c r="LPF166" s="249"/>
      <c r="LPG166" s="249"/>
      <c r="LPH166" s="249"/>
      <c r="LPI166" s="249"/>
      <c r="LPJ166" s="249"/>
      <c r="LPK166" s="249"/>
      <c r="LPL166" s="249"/>
      <c r="LPM166" s="249"/>
      <c r="LPN166" s="249"/>
      <c r="LPO166" s="249"/>
      <c r="LPP166" s="249"/>
      <c r="LPQ166" s="249"/>
      <c r="LPR166" s="249"/>
      <c r="LPS166" s="249"/>
      <c r="LPT166" s="249"/>
      <c r="LPU166" s="249"/>
      <c r="LPV166" s="249"/>
      <c r="LPW166" s="249"/>
      <c r="LPX166" s="249"/>
      <c r="LPY166" s="249"/>
      <c r="LPZ166" s="249"/>
      <c r="LQA166" s="249"/>
      <c r="LQB166" s="249"/>
      <c r="LQC166" s="249"/>
      <c r="LQD166" s="249"/>
      <c r="LQE166" s="249"/>
      <c r="LQF166" s="249"/>
      <c r="LQG166" s="249"/>
      <c r="LQH166" s="249"/>
      <c r="LQI166" s="249"/>
      <c r="LQJ166" s="249"/>
      <c r="LQK166" s="249"/>
      <c r="LQL166" s="249"/>
      <c r="LQM166" s="249"/>
      <c r="LQN166" s="249"/>
      <c r="LQO166" s="249"/>
      <c r="LQP166" s="249"/>
      <c r="LQQ166" s="249"/>
      <c r="LQR166" s="249"/>
      <c r="LQS166" s="249"/>
      <c r="LQT166" s="249"/>
      <c r="LQU166" s="249"/>
      <c r="LQV166" s="249"/>
      <c r="LQW166" s="249"/>
      <c r="LQX166" s="249"/>
      <c r="LQY166" s="249"/>
      <c r="LQZ166" s="249"/>
      <c r="LRA166" s="249"/>
      <c r="LRB166" s="249"/>
      <c r="LRC166" s="249"/>
      <c r="LRD166" s="249"/>
      <c r="LRE166" s="249"/>
      <c r="LRF166" s="249"/>
      <c r="LRG166" s="249"/>
      <c r="LRH166" s="249"/>
      <c r="LRI166" s="249"/>
      <c r="LRJ166" s="249"/>
      <c r="LRK166" s="249"/>
      <c r="LRL166" s="249"/>
      <c r="LRM166" s="249"/>
      <c r="LRN166" s="249"/>
      <c r="LRO166" s="249"/>
      <c r="LRP166" s="249"/>
      <c r="LRQ166" s="249"/>
      <c r="LRR166" s="249"/>
      <c r="LRS166" s="249"/>
      <c r="LRT166" s="249"/>
      <c r="LRU166" s="249"/>
      <c r="LRV166" s="249"/>
      <c r="LRW166" s="249"/>
      <c r="LRX166" s="249"/>
      <c r="LRY166" s="249"/>
      <c r="LRZ166" s="249"/>
      <c r="LSA166" s="249"/>
      <c r="LSB166" s="249"/>
      <c r="LSC166" s="249"/>
      <c r="LSD166" s="249"/>
      <c r="LSE166" s="249"/>
      <c r="LSF166" s="249"/>
      <c r="LSG166" s="249"/>
      <c r="LSH166" s="249"/>
      <c r="LSI166" s="249"/>
      <c r="LSJ166" s="249"/>
      <c r="LSK166" s="249"/>
      <c r="LSL166" s="249"/>
      <c r="LSM166" s="249"/>
      <c r="LSN166" s="249"/>
      <c r="LSO166" s="249"/>
      <c r="LSP166" s="249"/>
      <c r="LSQ166" s="249"/>
      <c r="LSR166" s="249"/>
      <c r="LSS166" s="249"/>
      <c r="LST166" s="249"/>
      <c r="LSU166" s="249"/>
      <c r="LSV166" s="249"/>
      <c r="LSW166" s="249"/>
      <c r="LSX166" s="249"/>
      <c r="LSY166" s="249"/>
      <c r="LSZ166" s="249"/>
      <c r="LTA166" s="249"/>
      <c r="LTB166" s="249"/>
      <c r="LTC166" s="249"/>
      <c r="LTD166" s="249"/>
      <c r="LTE166" s="249"/>
      <c r="LTF166" s="249"/>
      <c r="LTG166" s="249"/>
      <c r="LTH166" s="249"/>
      <c r="LTI166" s="249"/>
      <c r="LTJ166" s="249"/>
      <c r="LTK166" s="249"/>
      <c r="LTL166" s="249"/>
      <c r="LTM166" s="249"/>
      <c r="LTN166" s="249"/>
      <c r="LTO166" s="249"/>
      <c r="LTP166" s="249"/>
      <c r="LTQ166" s="249"/>
      <c r="LTR166" s="249"/>
      <c r="LTS166" s="249"/>
      <c r="LTT166" s="249"/>
      <c r="LTU166" s="249"/>
      <c r="LTV166" s="249"/>
      <c r="LTW166" s="249"/>
      <c r="LTX166" s="249"/>
      <c r="LTY166" s="249"/>
      <c r="LTZ166" s="249"/>
      <c r="LUA166" s="249"/>
      <c r="LUB166" s="249"/>
      <c r="LUC166" s="249"/>
      <c r="LUD166" s="249"/>
      <c r="LUE166" s="249"/>
      <c r="LUF166" s="249"/>
      <c r="LUG166" s="249"/>
      <c r="LUH166" s="249"/>
      <c r="LUI166" s="249"/>
      <c r="LUJ166" s="249"/>
      <c r="LUK166" s="249"/>
      <c r="LUL166" s="249"/>
      <c r="LUM166" s="249"/>
      <c r="LUN166" s="249"/>
      <c r="LUO166" s="249"/>
      <c r="LUP166" s="249"/>
      <c r="LUQ166" s="249"/>
      <c r="LUR166" s="249"/>
      <c r="LUS166" s="249"/>
      <c r="LUT166" s="249"/>
      <c r="LUU166" s="249"/>
      <c r="LUV166" s="249"/>
      <c r="LUW166" s="249"/>
      <c r="LUX166" s="249"/>
      <c r="LUY166" s="249"/>
      <c r="LUZ166" s="249"/>
      <c r="LVA166" s="249"/>
      <c r="LVB166" s="249"/>
      <c r="LVC166" s="249"/>
      <c r="LVD166" s="249"/>
      <c r="LVE166" s="249"/>
      <c r="LVF166" s="249"/>
      <c r="LVG166" s="249"/>
      <c r="LVH166" s="249"/>
      <c r="LVI166" s="249"/>
      <c r="LVJ166" s="249"/>
      <c r="LVK166" s="249"/>
      <c r="LVL166" s="249"/>
      <c r="LVM166" s="249"/>
      <c r="LVN166" s="249"/>
      <c r="LVO166" s="249"/>
      <c r="LVP166" s="249"/>
      <c r="LVQ166" s="249"/>
      <c r="LVR166" s="249"/>
      <c r="LVS166" s="249"/>
      <c r="LVT166" s="249"/>
      <c r="LVU166" s="249"/>
      <c r="LVV166" s="249"/>
      <c r="LVW166" s="249"/>
      <c r="LVX166" s="249"/>
      <c r="LVY166" s="249"/>
      <c r="LVZ166" s="249"/>
      <c r="LWA166" s="249"/>
      <c r="LWB166" s="249"/>
      <c r="LWC166" s="249"/>
      <c r="LWD166" s="249"/>
      <c r="LWE166" s="249"/>
      <c r="LWF166" s="249"/>
      <c r="LWG166" s="249"/>
      <c r="LWH166" s="249"/>
      <c r="LWI166" s="249"/>
      <c r="LWJ166" s="249"/>
      <c r="LWK166" s="249"/>
      <c r="LWL166" s="249"/>
      <c r="LWM166" s="249"/>
      <c r="LWN166" s="249"/>
      <c r="LWO166" s="249"/>
      <c r="LWP166" s="249"/>
      <c r="LWQ166" s="249"/>
      <c r="LWR166" s="249"/>
      <c r="LWS166" s="249"/>
      <c r="LWT166" s="249"/>
      <c r="LWU166" s="249"/>
      <c r="LWV166" s="249"/>
      <c r="LWW166" s="249"/>
      <c r="LWX166" s="249"/>
      <c r="LWY166" s="249"/>
      <c r="LWZ166" s="249"/>
      <c r="LXA166" s="249"/>
      <c r="LXB166" s="249"/>
      <c r="LXC166" s="249"/>
      <c r="LXD166" s="249"/>
      <c r="LXE166" s="249"/>
      <c r="LXF166" s="249"/>
      <c r="LXG166" s="249"/>
      <c r="LXH166" s="249"/>
      <c r="LXI166" s="249"/>
      <c r="LXJ166" s="249"/>
      <c r="LXK166" s="249"/>
      <c r="LXL166" s="249"/>
      <c r="LXM166" s="249"/>
      <c r="LXN166" s="249"/>
      <c r="LXO166" s="249"/>
      <c r="LXP166" s="249"/>
      <c r="LXQ166" s="249"/>
      <c r="LXR166" s="249"/>
      <c r="LXS166" s="249"/>
      <c r="LXT166" s="249"/>
      <c r="LXU166" s="249"/>
      <c r="LXV166" s="249"/>
      <c r="LXW166" s="249"/>
      <c r="LXX166" s="249"/>
      <c r="LXY166" s="249"/>
      <c r="LXZ166" s="249"/>
      <c r="LYA166" s="249"/>
      <c r="LYB166" s="249"/>
      <c r="LYC166" s="249"/>
      <c r="LYD166" s="249"/>
      <c r="LYE166" s="249"/>
      <c r="LYF166" s="249"/>
      <c r="LYG166" s="249"/>
      <c r="LYH166" s="249"/>
      <c r="LYI166" s="249"/>
      <c r="LYJ166" s="249"/>
      <c r="LYK166" s="249"/>
      <c r="LYL166" s="249"/>
      <c r="LYM166" s="249"/>
      <c r="LYN166" s="249"/>
      <c r="LYO166" s="249"/>
      <c r="LYP166" s="249"/>
      <c r="LYQ166" s="249"/>
      <c r="LYR166" s="249"/>
      <c r="LYS166" s="249"/>
      <c r="LYT166" s="249"/>
      <c r="LYU166" s="249"/>
      <c r="LYV166" s="249"/>
      <c r="LYW166" s="249"/>
      <c r="LYX166" s="249"/>
      <c r="LYY166" s="249"/>
      <c r="LYZ166" s="249"/>
      <c r="LZA166" s="249"/>
      <c r="LZB166" s="249"/>
      <c r="LZC166" s="249"/>
      <c r="LZD166" s="249"/>
      <c r="LZE166" s="249"/>
      <c r="LZF166" s="249"/>
      <c r="LZG166" s="249"/>
      <c r="LZH166" s="249"/>
      <c r="LZI166" s="249"/>
      <c r="LZJ166" s="249"/>
      <c r="LZK166" s="249"/>
      <c r="LZL166" s="249"/>
      <c r="LZM166" s="249"/>
      <c r="LZN166" s="249"/>
      <c r="LZO166" s="249"/>
      <c r="LZP166" s="249"/>
      <c r="LZQ166" s="249"/>
      <c r="LZR166" s="249"/>
      <c r="LZS166" s="249"/>
      <c r="LZT166" s="249"/>
      <c r="LZU166" s="249"/>
      <c r="LZV166" s="249"/>
      <c r="LZW166" s="249"/>
      <c r="LZX166" s="249"/>
      <c r="LZY166" s="249"/>
      <c r="LZZ166" s="249"/>
      <c r="MAA166" s="249"/>
      <c r="MAB166" s="249"/>
      <c r="MAC166" s="249"/>
      <c r="MAD166" s="249"/>
      <c r="MAE166" s="249"/>
      <c r="MAF166" s="249"/>
      <c r="MAG166" s="249"/>
      <c r="MAH166" s="249"/>
      <c r="MAI166" s="249"/>
      <c r="MAJ166" s="249"/>
      <c r="MAK166" s="249"/>
      <c r="MAL166" s="249"/>
      <c r="MAM166" s="249"/>
      <c r="MAN166" s="249"/>
      <c r="MAO166" s="249"/>
      <c r="MAP166" s="249"/>
      <c r="MAQ166" s="249"/>
      <c r="MAR166" s="249"/>
      <c r="MAS166" s="249"/>
      <c r="MAT166" s="249"/>
      <c r="MAU166" s="249"/>
      <c r="MAV166" s="249"/>
      <c r="MAW166" s="249"/>
      <c r="MAX166" s="249"/>
      <c r="MAY166" s="249"/>
      <c r="MAZ166" s="249"/>
      <c r="MBA166" s="249"/>
      <c r="MBB166" s="249"/>
      <c r="MBC166" s="249"/>
      <c r="MBD166" s="249"/>
      <c r="MBE166" s="249"/>
      <c r="MBF166" s="249"/>
      <c r="MBG166" s="249"/>
      <c r="MBH166" s="249"/>
      <c r="MBI166" s="249"/>
      <c r="MBJ166" s="249"/>
      <c r="MBK166" s="249"/>
      <c r="MBL166" s="249"/>
      <c r="MBM166" s="249"/>
      <c r="MBN166" s="249"/>
      <c r="MBO166" s="249"/>
      <c r="MBP166" s="249"/>
      <c r="MBQ166" s="249"/>
      <c r="MBR166" s="249"/>
      <c r="MBS166" s="249"/>
      <c r="MBT166" s="249"/>
      <c r="MBU166" s="249"/>
      <c r="MBV166" s="249"/>
      <c r="MBW166" s="249"/>
      <c r="MBX166" s="249"/>
      <c r="MBY166" s="249"/>
      <c r="MBZ166" s="249"/>
      <c r="MCA166" s="249"/>
      <c r="MCB166" s="249"/>
      <c r="MCC166" s="249"/>
      <c r="MCD166" s="249"/>
      <c r="MCE166" s="249"/>
      <c r="MCF166" s="249"/>
      <c r="MCG166" s="249"/>
      <c r="MCH166" s="249"/>
      <c r="MCI166" s="249"/>
      <c r="MCJ166" s="249"/>
      <c r="MCK166" s="249"/>
      <c r="MCL166" s="249"/>
      <c r="MCM166" s="249"/>
      <c r="MCN166" s="249"/>
      <c r="MCO166" s="249"/>
      <c r="MCP166" s="249"/>
      <c r="MCQ166" s="249"/>
      <c r="MCR166" s="249"/>
      <c r="MCS166" s="249"/>
      <c r="MCT166" s="249"/>
      <c r="MCU166" s="249"/>
      <c r="MCV166" s="249"/>
      <c r="MCW166" s="249"/>
      <c r="MCX166" s="249"/>
      <c r="MCY166" s="249"/>
      <c r="MCZ166" s="249"/>
      <c r="MDA166" s="249"/>
      <c r="MDB166" s="249"/>
      <c r="MDC166" s="249"/>
      <c r="MDD166" s="249"/>
      <c r="MDE166" s="249"/>
      <c r="MDF166" s="249"/>
      <c r="MDG166" s="249"/>
      <c r="MDH166" s="249"/>
      <c r="MDI166" s="249"/>
      <c r="MDJ166" s="249"/>
      <c r="MDK166" s="249"/>
      <c r="MDL166" s="249"/>
      <c r="MDM166" s="249"/>
      <c r="MDN166" s="249"/>
      <c r="MDO166" s="249"/>
      <c r="MDP166" s="249"/>
      <c r="MDQ166" s="249"/>
      <c r="MDR166" s="249"/>
      <c r="MDS166" s="249"/>
      <c r="MDT166" s="249"/>
      <c r="MDU166" s="249"/>
      <c r="MDV166" s="249"/>
      <c r="MDW166" s="249"/>
      <c r="MDX166" s="249"/>
      <c r="MDY166" s="249"/>
      <c r="MDZ166" s="249"/>
      <c r="MEA166" s="249"/>
      <c r="MEB166" s="249"/>
      <c r="MEC166" s="249"/>
      <c r="MED166" s="249"/>
      <c r="MEE166" s="249"/>
      <c r="MEF166" s="249"/>
      <c r="MEG166" s="249"/>
      <c r="MEH166" s="249"/>
      <c r="MEI166" s="249"/>
      <c r="MEJ166" s="249"/>
      <c r="MEK166" s="249"/>
      <c r="MEL166" s="249"/>
      <c r="MEM166" s="249"/>
      <c r="MEN166" s="249"/>
      <c r="MEO166" s="249"/>
      <c r="MEP166" s="249"/>
      <c r="MEQ166" s="249"/>
      <c r="MER166" s="249"/>
      <c r="MES166" s="249"/>
      <c r="MET166" s="249"/>
      <c r="MEU166" s="249"/>
      <c r="MEV166" s="249"/>
      <c r="MEW166" s="249"/>
      <c r="MEX166" s="249"/>
      <c r="MEY166" s="249"/>
      <c r="MEZ166" s="249"/>
      <c r="MFA166" s="249"/>
      <c r="MFB166" s="249"/>
      <c r="MFC166" s="249"/>
      <c r="MFD166" s="249"/>
      <c r="MFE166" s="249"/>
      <c r="MFF166" s="249"/>
      <c r="MFG166" s="249"/>
      <c r="MFH166" s="249"/>
      <c r="MFI166" s="249"/>
      <c r="MFJ166" s="249"/>
      <c r="MFK166" s="249"/>
      <c r="MFL166" s="249"/>
      <c r="MFM166" s="249"/>
      <c r="MFN166" s="249"/>
      <c r="MFO166" s="249"/>
      <c r="MFP166" s="249"/>
      <c r="MFQ166" s="249"/>
      <c r="MFR166" s="249"/>
      <c r="MFS166" s="249"/>
      <c r="MFT166" s="249"/>
      <c r="MFU166" s="249"/>
      <c r="MFV166" s="249"/>
      <c r="MFW166" s="249"/>
      <c r="MFX166" s="249"/>
      <c r="MFY166" s="249"/>
      <c r="MFZ166" s="249"/>
      <c r="MGA166" s="249"/>
      <c r="MGB166" s="249"/>
      <c r="MGC166" s="249"/>
      <c r="MGD166" s="249"/>
      <c r="MGE166" s="249"/>
      <c r="MGF166" s="249"/>
      <c r="MGG166" s="249"/>
      <c r="MGH166" s="249"/>
      <c r="MGI166" s="249"/>
      <c r="MGJ166" s="249"/>
      <c r="MGK166" s="249"/>
      <c r="MGL166" s="249"/>
      <c r="MGM166" s="249"/>
      <c r="MGN166" s="249"/>
      <c r="MGO166" s="249"/>
      <c r="MGP166" s="249"/>
      <c r="MGQ166" s="249"/>
      <c r="MGR166" s="249"/>
      <c r="MGS166" s="249"/>
      <c r="MGT166" s="249"/>
      <c r="MGU166" s="249"/>
      <c r="MGV166" s="249"/>
      <c r="MGW166" s="249"/>
      <c r="MGX166" s="249"/>
      <c r="MGY166" s="249"/>
      <c r="MGZ166" s="249"/>
      <c r="MHA166" s="249"/>
      <c r="MHB166" s="249"/>
      <c r="MHC166" s="249"/>
      <c r="MHD166" s="249"/>
      <c r="MHE166" s="249"/>
      <c r="MHF166" s="249"/>
      <c r="MHG166" s="249"/>
      <c r="MHH166" s="249"/>
      <c r="MHI166" s="249"/>
      <c r="MHJ166" s="249"/>
      <c r="MHK166" s="249"/>
      <c r="MHL166" s="249"/>
      <c r="MHM166" s="249"/>
      <c r="MHN166" s="249"/>
      <c r="MHO166" s="249"/>
      <c r="MHP166" s="249"/>
      <c r="MHQ166" s="249"/>
      <c r="MHR166" s="249"/>
      <c r="MHS166" s="249"/>
      <c r="MHT166" s="249"/>
      <c r="MHU166" s="249"/>
      <c r="MHV166" s="249"/>
      <c r="MHW166" s="249"/>
      <c r="MHX166" s="249"/>
      <c r="MHY166" s="249"/>
      <c r="MHZ166" s="249"/>
      <c r="MIA166" s="249"/>
      <c r="MIB166" s="249"/>
      <c r="MIC166" s="249"/>
      <c r="MID166" s="249"/>
      <c r="MIE166" s="249"/>
      <c r="MIF166" s="249"/>
      <c r="MIG166" s="249"/>
      <c r="MIH166" s="249"/>
      <c r="MII166" s="249"/>
      <c r="MIJ166" s="249"/>
      <c r="MIK166" s="249"/>
      <c r="MIL166" s="249"/>
      <c r="MIM166" s="249"/>
      <c r="MIN166" s="249"/>
      <c r="MIO166" s="249"/>
      <c r="MIP166" s="249"/>
      <c r="MIQ166" s="249"/>
      <c r="MIR166" s="249"/>
      <c r="MIS166" s="249"/>
      <c r="MIT166" s="249"/>
      <c r="MIU166" s="249"/>
      <c r="MIV166" s="249"/>
      <c r="MIW166" s="249"/>
      <c r="MIX166" s="249"/>
      <c r="MIY166" s="249"/>
      <c r="MIZ166" s="249"/>
      <c r="MJA166" s="249"/>
      <c r="MJB166" s="249"/>
      <c r="MJC166" s="249"/>
      <c r="MJD166" s="249"/>
      <c r="MJE166" s="249"/>
      <c r="MJF166" s="249"/>
      <c r="MJG166" s="249"/>
      <c r="MJH166" s="249"/>
      <c r="MJI166" s="249"/>
      <c r="MJJ166" s="249"/>
      <c r="MJK166" s="249"/>
      <c r="MJL166" s="249"/>
      <c r="MJM166" s="249"/>
      <c r="MJN166" s="249"/>
      <c r="MJO166" s="249"/>
      <c r="MJP166" s="249"/>
      <c r="MJQ166" s="249"/>
      <c r="MJR166" s="249"/>
      <c r="MJS166" s="249"/>
      <c r="MJT166" s="249"/>
      <c r="MJU166" s="249"/>
      <c r="MJV166" s="249"/>
      <c r="MJW166" s="249"/>
      <c r="MJX166" s="249"/>
      <c r="MJY166" s="249"/>
      <c r="MJZ166" s="249"/>
      <c r="MKA166" s="249"/>
      <c r="MKB166" s="249"/>
      <c r="MKC166" s="249"/>
      <c r="MKD166" s="249"/>
      <c r="MKE166" s="249"/>
      <c r="MKF166" s="249"/>
      <c r="MKG166" s="249"/>
      <c r="MKH166" s="249"/>
      <c r="MKI166" s="249"/>
      <c r="MKJ166" s="249"/>
      <c r="MKK166" s="249"/>
      <c r="MKL166" s="249"/>
      <c r="MKM166" s="249"/>
      <c r="MKN166" s="249"/>
      <c r="MKO166" s="249"/>
      <c r="MKP166" s="249"/>
      <c r="MKQ166" s="249"/>
      <c r="MKR166" s="249"/>
      <c r="MKS166" s="249"/>
      <c r="MKT166" s="249"/>
      <c r="MKU166" s="249"/>
      <c r="MKV166" s="249"/>
      <c r="MKW166" s="249"/>
      <c r="MKX166" s="249"/>
      <c r="MKY166" s="249"/>
      <c r="MKZ166" s="249"/>
      <c r="MLA166" s="249"/>
      <c r="MLB166" s="249"/>
      <c r="MLC166" s="249"/>
      <c r="MLD166" s="249"/>
      <c r="MLE166" s="249"/>
      <c r="MLF166" s="249"/>
      <c r="MLG166" s="249"/>
      <c r="MLH166" s="249"/>
      <c r="MLI166" s="249"/>
      <c r="MLJ166" s="249"/>
      <c r="MLK166" s="249"/>
      <c r="MLL166" s="249"/>
      <c r="MLM166" s="249"/>
      <c r="MLN166" s="249"/>
      <c r="MLO166" s="249"/>
      <c r="MLP166" s="249"/>
      <c r="MLQ166" s="249"/>
      <c r="MLR166" s="249"/>
      <c r="MLS166" s="249"/>
      <c r="MLT166" s="249"/>
      <c r="MLU166" s="249"/>
      <c r="MLV166" s="249"/>
      <c r="MLW166" s="249"/>
      <c r="MLX166" s="249"/>
      <c r="MLY166" s="249"/>
      <c r="MLZ166" s="249"/>
      <c r="MMA166" s="249"/>
      <c r="MMB166" s="249"/>
      <c r="MMC166" s="249"/>
      <c r="MMD166" s="249"/>
      <c r="MME166" s="249"/>
      <c r="MMF166" s="249"/>
      <c r="MMG166" s="249"/>
      <c r="MMH166" s="249"/>
      <c r="MMI166" s="249"/>
      <c r="MMJ166" s="249"/>
      <c r="MMK166" s="249"/>
      <c r="MML166" s="249"/>
      <c r="MMM166" s="249"/>
      <c r="MMN166" s="249"/>
      <c r="MMO166" s="249"/>
      <c r="MMP166" s="249"/>
      <c r="MMQ166" s="249"/>
      <c r="MMR166" s="249"/>
      <c r="MMS166" s="249"/>
      <c r="MMT166" s="249"/>
      <c r="MMU166" s="249"/>
      <c r="MMV166" s="249"/>
      <c r="MMW166" s="249"/>
      <c r="MMX166" s="249"/>
      <c r="MMY166" s="249"/>
      <c r="MMZ166" s="249"/>
      <c r="MNA166" s="249"/>
      <c r="MNB166" s="249"/>
      <c r="MNC166" s="249"/>
      <c r="MND166" s="249"/>
      <c r="MNE166" s="249"/>
      <c r="MNF166" s="249"/>
      <c r="MNG166" s="249"/>
      <c r="MNH166" s="249"/>
      <c r="MNI166" s="249"/>
      <c r="MNJ166" s="249"/>
      <c r="MNK166" s="249"/>
      <c r="MNL166" s="249"/>
      <c r="MNM166" s="249"/>
      <c r="MNN166" s="249"/>
      <c r="MNO166" s="249"/>
      <c r="MNP166" s="249"/>
      <c r="MNQ166" s="249"/>
      <c r="MNR166" s="249"/>
      <c r="MNS166" s="249"/>
      <c r="MNT166" s="249"/>
      <c r="MNU166" s="249"/>
      <c r="MNV166" s="249"/>
      <c r="MNW166" s="249"/>
      <c r="MNX166" s="249"/>
      <c r="MNY166" s="249"/>
      <c r="MNZ166" s="249"/>
      <c r="MOA166" s="249"/>
      <c r="MOB166" s="249"/>
      <c r="MOC166" s="249"/>
      <c r="MOD166" s="249"/>
      <c r="MOE166" s="249"/>
      <c r="MOF166" s="249"/>
      <c r="MOG166" s="249"/>
      <c r="MOH166" s="249"/>
      <c r="MOI166" s="249"/>
      <c r="MOJ166" s="249"/>
      <c r="MOK166" s="249"/>
      <c r="MOL166" s="249"/>
      <c r="MOM166" s="249"/>
      <c r="MON166" s="249"/>
      <c r="MOO166" s="249"/>
      <c r="MOP166" s="249"/>
      <c r="MOQ166" s="249"/>
      <c r="MOR166" s="249"/>
      <c r="MOS166" s="249"/>
      <c r="MOT166" s="249"/>
      <c r="MOU166" s="249"/>
      <c r="MOV166" s="249"/>
      <c r="MOW166" s="249"/>
      <c r="MOX166" s="249"/>
      <c r="MOY166" s="249"/>
      <c r="MOZ166" s="249"/>
      <c r="MPA166" s="249"/>
      <c r="MPB166" s="249"/>
      <c r="MPC166" s="249"/>
      <c r="MPD166" s="249"/>
      <c r="MPE166" s="249"/>
      <c r="MPF166" s="249"/>
      <c r="MPG166" s="249"/>
      <c r="MPH166" s="249"/>
      <c r="MPI166" s="249"/>
      <c r="MPJ166" s="249"/>
      <c r="MPK166" s="249"/>
      <c r="MPL166" s="249"/>
      <c r="MPM166" s="249"/>
      <c r="MPN166" s="249"/>
      <c r="MPO166" s="249"/>
      <c r="MPP166" s="249"/>
      <c r="MPQ166" s="249"/>
      <c r="MPR166" s="249"/>
      <c r="MPS166" s="249"/>
      <c r="MPT166" s="249"/>
      <c r="MPU166" s="249"/>
      <c r="MPV166" s="249"/>
      <c r="MPW166" s="249"/>
      <c r="MPX166" s="249"/>
      <c r="MPY166" s="249"/>
      <c r="MPZ166" s="249"/>
      <c r="MQA166" s="249"/>
      <c r="MQB166" s="249"/>
      <c r="MQC166" s="249"/>
      <c r="MQD166" s="249"/>
      <c r="MQE166" s="249"/>
      <c r="MQF166" s="249"/>
      <c r="MQG166" s="249"/>
      <c r="MQH166" s="249"/>
      <c r="MQI166" s="249"/>
      <c r="MQJ166" s="249"/>
      <c r="MQK166" s="249"/>
      <c r="MQL166" s="249"/>
      <c r="MQM166" s="249"/>
      <c r="MQN166" s="249"/>
      <c r="MQO166" s="249"/>
      <c r="MQP166" s="249"/>
      <c r="MQQ166" s="249"/>
      <c r="MQR166" s="249"/>
      <c r="MQS166" s="249"/>
      <c r="MQT166" s="249"/>
      <c r="MQU166" s="249"/>
      <c r="MQV166" s="249"/>
      <c r="MQW166" s="249"/>
      <c r="MQX166" s="249"/>
      <c r="MQY166" s="249"/>
      <c r="MQZ166" s="249"/>
      <c r="MRA166" s="249"/>
      <c r="MRB166" s="249"/>
      <c r="MRC166" s="249"/>
      <c r="MRD166" s="249"/>
      <c r="MRE166" s="249"/>
      <c r="MRF166" s="249"/>
      <c r="MRG166" s="249"/>
      <c r="MRH166" s="249"/>
      <c r="MRI166" s="249"/>
      <c r="MRJ166" s="249"/>
      <c r="MRK166" s="249"/>
      <c r="MRL166" s="249"/>
      <c r="MRM166" s="249"/>
      <c r="MRN166" s="249"/>
      <c r="MRO166" s="249"/>
      <c r="MRP166" s="249"/>
      <c r="MRQ166" s="249"/>
      <c r="MRR166" s="249"/>
      <c r="MRS166" s="249"/>
      <c r="MRT166" s="249"/>
      <c r="MRU166" s="249"/>
      <c r="MRV166" s="249"/>
      <c r="MRW166" s="249"/>
      <c r="MRX166" s="249"/>
      <c r="MRY166" s="249"/>
      <c r="MRZ166" s="249"/>
      <c r="MSA166" s="249"/>
      <c r="MSB166" s="249"/>
      <c r="MSC166" s="249"/>
      <c r="MSD166" s="249"/>
      <c r="MSE166" s="249"/>
      <c r="MSF166" s="249"/>
      <c r="MSG166" s="249"/>
      <c r="MSH166" s="249"/>
      <c r="MSI166" s="249"/>
      <c r="MSJ166" s="249"/>
      <c r="MSK166" s="249"/>
      <c r="MSL166" s="249"/>
      <c r="MSM166" s="249"/>
      <c r="MSN166" s="249"/>
      <c r="MSO166" s="249"/>
      <c r="MSP166" s="249"/>
      <c r="MSQ166" s="249"/>
      <c r="MSR166" s="249"/>
      <c r="MSS166" s="249"/>
      <c r="MST166" s="249"/>
      <c r="MSU166" s="249"/>
      <c r="MSV166" s="249"/>
      <c r="MSW166" s="249"/>
      <c r="MSX166" s="249"/>
      <c r="MSY166" s="249"/>
      <c r="MSZ166" s="249"/>
      <c r="MTA166" s="249"/>
      <c r="MTB166" s="249"/>
      <c r="MTC166" s="249"/>
      <c r="MTD166" s="249"/>
      <c r="MTE166" s="249"/>
      <c r="MTF166" s="249"/>
      <c r="MTG166" s="249"/>
      <c r="MTH166" s="249"/>
      <c r="MTI166" s="249"/>
      <c r="MTJ166" s="249"/>
      <c r="MTK166" s="249"/>
      <c r="MTL166" s="249"/>
      <c r="MTM166" s="249"/>
      <c r="MTN166" s="249"/>
      <c r="MTO166" s="249"/>
      <c r="MTP166" s="249"/>
      <c r="MTQ166" s="249"/>
      <c r="MTR166" s="249"/>
      <c r="MTS166" s="249"/>
      <c r="MTT166" s="249"/>
      <c r="MTU166" s="249"/>
      <c r="MTV166" s="249"/>
      <c r="MTW166" s="249"/>
      <c r="MTX166" s="249"/>
      <c r="MTY166" s="249"/>
      <c r="MTZ166" s="249"/>
      <c r="MUA166" s="249"/>
      <c r="MUB166" s="249"/>
      <c r="MUC166" s="249"/>
      <c r="MUD166" s="249"/>
      <c r="MUE166" s="249"/>
      <c r="MUF166" s="249"/>
      <c r="MUG166" s="249"/>
      <c r="MUH166" s="249"/>
      <c r="MUI166" s="249"/>
      <c r="MUJ166" s="249"/>
      <c r="MUK166" s="249"/>
      <c r="MUL166" s="249"/>
      <c r="MUM166" s="249"/>
      <c r="MUN166" s="249"/>
      <c r="MUO166" s="249"/>
      <c r="MUP166" s="249"/>
      <c r="MUQ166" s="249"/>
      <c r="MUR166" s="249"/>
      <c r="MUS166" s="249"/>
      <c r="MUT166" s="249"/>
      <c r="MUU166" s="249"/>
      <c r="MUV166" s="249"/>
      <c r="MUW166" s="249"/>
      <c r="MUX166" s="249"/>
      <c r="MUY166" s="249"/>
      <c r="MUZ166" s="249"/>
      <c r="MVA166" s="249"/>
      <c r="MVB166" s="249"/>
      <c r="MVC166" s="249"/>
      <c r="MVD166" s="249"/>
      <c r="MVE166" s="249"/>
      <c r="MVF166" s="249"/>
      <c r="MVG166" s="249"/>
      <c r="MVH166" s="249"/>
      <c r="MVI166" s="249"/>
      <c r="MVJ166" s="249"/>
      <c r="MVK166" s="249"/>
      <c r="MVL166" s="249"/>
      <c r="MVM166" s="249"/>
      <c r="MVN166" s="249"/>
      <c r="MVO166" s="249"/>
      <c r="MVP166" s="249"/>
      <c r="MVQ166" s="249"/>
      <c r="MVR166" s="249"/>
      <c r="MVS166" s="249"/>
      <c r="MVT166" s="249"/>
      <c r="MVU166" s="249"/>
      <c r="MVV166" s="249"/>
      <c r="MVW166" s="249"/>
      <c r="MVX166" s="249"/>
      <c r="MVY166" s="249"/>
      <c r="MVZ166" s="249"/>
      <c r="MWA166" s="249"/>
      <c r="MWB166" s="249"/>
      <c r="MWC166" s="249"/>
      <c r="MWD166" s="249"/>
      <c r="MWE166" s="249"/>
      <c r="MWF166" s="249"/>
      <c r="MWG166" s="249"/>
      <c r="MWH166" s="249"/>
      <c r="MWI166" s="249"/>
      <c r="MWJ166" s="249"/>
      <c r="MWK166" s="249"/>
      <c r="MWL166" s="249"/>
      <c r="MWM166" s="249"/>
      <c r="MWN166" s="249"/>
      <c r="MWO166" s="249"/>
      <c r="MWP166" s="249"/>
      <c r="MWQ166" s="249"/>
      <c r="MWR166" s="249"/>
      <c r="MWS166" s="249"/>
      <c r="MWT166" s="249"/>
      <c r="MWU166" s="249"/>
      <c r="MWV166" s="249"/>
      <c r="MWW166" s="249"/>
      <c r="MWX166" s="249"/>
      <c r="MWY166" s="249"/>
      <c r="MWZ166" s="249"/>
      <c r="MXA166" s="249"/>
      <c r="MXB166" s="249"/>
      <c r="MXC166" s="249"/>
      <c r="MXD166" s="249"/>
      <c r="MXE166" s="249"/>
      <c r="MXF166" s="249"/>
      <c r="MXG166" s="249"/>
      <c r="MXH166" s="249"/>
      <c r="MXI166" s="249"/>
      <c r="MXJ166" s="249"/>
      <c r="MXK166" s="249"/>
      <c r="MXL166" s="249"/>
      <c r="MXM166" s="249"/>
      <c r="MXN166" s="249"/>
      <c r="MXO166" s="249"/>
      <c r="MXP166" s="249"/>
      <c r="MXQ166" s="249"/>
      <c r="MXR166" s="249"/>
      <c r="MXS166" s="249"/>
      <c r="MXT166" s="249"/>
      <c r="MXU166" s="249"/>
      <c r="MXV166" s="249"/>
      <c r="MXW166" s="249"/>
      <c r="MXX166" s="249"/>
      <c r="MXY166" s="249"/>
      <c r="MXZ166" s="249"/>
      <c r="MYA166" s="249"/>
      <c r="MYB166" s="249"/>
      <c r="MYC166" s="249"/>
      <c r="MYD166" s="249"/>
      <c r="MYE166" s="249"/>
      <c r="MYF166" s="249"/>
      <c r="MYG166" s="249"/>
      <c r="MYH166" s="249"/>
      <c r="MYI166" s="249"/>
      <c r="MYJ166" s="249"/>
      <c r="MYK166" s="249"/>
      <c r="MYL166" s="249"/>
      <c r="MYM166" s="249"/>
      <c r="MYN166" s="249"/>
      <c r="MYO166" s="249"/>
      <c r="MYP166" s="249"/>
      <c r="MYQ166" s="249"/>
      <c r="MYR166" s="249"/>
      <c r="MYS166" s="249"/>
      <c r="MYT166" s="249"/>
      <c r="MYU166" s="249"/>
      <c r="MYV166" s="249"/>
      <c r="MYW166" s="249"/>
      <c r="MYX166" s="249"/>
      <c r="MYY166" s="249"/>
      <c r="MYZ166" s="249"/>
      <c r="MZA166" s="249"/>
      <c r="MZB166" s="249"/>
      <c r="MZC166" s="249"/>
      <c r="MZD166" s="249"/>
      <c r="MZE166" s="249"/>
      <c r="MZF166" s="249"/>
      <c r="MZG166" s="249"/>
      <c r="MZH166" s="249"/>
      <c r="MZI166" s="249"/>
      <c r="MZJ166" s="249"/>
      <c r="MZK166" s="249"/>
      <c r="MZL166" s="249"/>
      <c r="MZM166" s="249"/>
      <c r="MZN166" s="249"/>
      <c r="MZO166" s="249"/>
      <c r="MZP166" s="249"/>
      <c r="MZQ166" s="249"/>
      <c r="MZR166" s="249"/>
      <c r="MZS166" s="249"/>
      <c r="MZT166" s="249"/>
      <c r="MZU166" s="249"/>
      <c r="MZV166" s="249"/>
      <c r="MZW166" s="249"/>
      <c r="MZX166" s="249"/>
      <c r="MZY166" s="249"/>
      <c r="MZZ166" s="249"/>
      <c r="NAA166" s="249"/>
      <c r="NAB166" s="249"/>
      <c r="NAC166" s="249"/>
      <c r="NAD166" s="249"/>
      <c r="NAE166" s="249"/>
      <c r="NAF166" s="249"/>
      <c r="NAG166" s="249"/>
      <c r="NAH166" s="249"/>
      <c r="NAI166" s="249"/>
      <c r="NAJ166" s="249"/>
      <c r="NAK166" s="249"/>
      <c r="NAL166" s="249"/>
      <c r="NAM166" s="249"/>
      <c r="NAN166" s="249"/>
      <c r="NAO166" s="249"/>
      <c r="NAP166" s="249"/>
      <c r="NAQ166" s="249"/>
      <c r="NAR166" s="249"/>
      <c r="NAS166" s="249"/>
      <c r="NAT166" s="249"/>
      <c r="NAU166" s="249"/>
      <c r="NAV166" s="249"/>
      <c r="NAW166" s="249"/>
      <c r="NAX166" s="249"/>
      <c r="NAY166" s="249"/>
      <c r="NAZ166" s="249"/>
      <c r="NBA166" s="249"/>
      <c r="NBB166" s="249"/>
      <c r="NBC166" s="249"/>
      <c r="NBD166" s="249"/>
      <c r="NBE166" s="249"/>
      <c r="NBF166" s="249"/>
      <c r="NBG166" s="249"/>
      <c r="NBH166" s="249"/>
      <c r="NBI166" s="249"/>
      <c r="NBJ166" s="249"/>
      <c r="NBK166" s="249"/>
      <c r="NBL166" s="249"/>
      <c r="NBM166" s="249"/>
      <c r="NBN166" s="249"/>
      <c r="NBO166" s="249"/>
      <c r="NBP166" s="249"/>
      <c r="NBQ166" s="249"/>
      <c r="NBR166" s="249"/>
      <c r="NBS166" s="249"/>
      <c r="NBT166" s="249"/>
      <c r="NBU166" s="249"/>
      <c r="NBV166" s="249"/>
      <c r="NBW166" s="249"/>
      <c r="NBX166" s="249"/>
      <c r="NBY166" s="249"/>
      <c r="NBZ166" s="249"/>
      <c r="NCA166" s="249"/>
      <c r="NCB166" s="249"/>
      <c r="NCC166" s="249"/>
      <c r="NCD166" s="249"/>
      <c r="NCE166" s="249"/>
      <c r="NCF166" s="249"/>
      <c r="NCG166" s="249"/>
      <c r="NCH166" s="249"/>
      <c r="NCI166" s="249"/>
      <c r="NCJ166" s="249"/>
      <c r="NCK166" s="249"/>
      <c r="NCL166" s="249"/>
      <c r="NCM166" s="249"/>
      <c r="NCN166" s="249"/>
      <c r="NCO166" s="249"/>
      <c r="NCP166" s="249"/>
      <c r="NCQ166" s="249"/>
      <c r="NCR166" s="249"/>
      <c r="NCS166" s="249"/>
      <c r="NCT166" s="249"/>
      <c r="NCU166" s="249"/>
      <c r="NCV166" s="249"/>
      <c r="NCW166" s="249"/>
      <c r="NCX166" s="249"/>
      <c r="NCY166" s="249"/>
      <c r="NCZ166" s="249"/>
      <c r="NDA166" s="249"/>
      <c r="NDB166" s="249"/>
      <c r="NDC166" s="249"/>
      <c r="NDD166" s="249"/>
      <c r="NDE166" s="249"/>
      <c r="NDF166" s="249"/>
      <c r="NDG166" s="249"/>
      <c r="NDH166" s="249"/>
      <c r="NDI166" s="249"/>
      <c r="NDJ166" s="249"/>
      <c r="NDK166" s="249"/>
      <c r="NDL166" s="249"/>
      <c r="NDM166" s="249"/>
      <c r="NDN166" s="249"/>
      <c r="NDO166" s="249"/>
      <c r="NDP166" s="249"/>
      <c r="NDQ166" s="249"/>
      <c r="NDR166" s="249"/>
      <c r="NDS166" s="249"/>
      <c r="NDT166" s="249"/>
      <c r="NDU166" s="249"/>
      <c r="NDV166" s="249"/>
      <c r="NDW166" s="249"/>
      <c r="NDX166" s="249"/>
      <c r="NDY166" s="249"/>
      <c r="NDZ166" s="249"/>
      <c r="NEA166" s="249"/>
      <c r="NEB166" s="249"/>
      <c r="NEC166" s="249"/>
      <c r="NED166" s="249"/>
      <c r="NEE166" s="249"/>
      <c r="NEF166" s="249"/>
      <c r="NEG166" s="249"/>
      <c r="NEH166" s="249"/>
      <c r="NEI166" s="249"/>
      <c r="NEJ166" s="249"/>
      <c r="NEK166" s="249"/>
      <c r="NEL166" s="249"/>
      <c r="NEM166" s="249"/>
      <c r="NEN166" s="249"/>
      <c r="NEO166" s="249"/>
      <c r="NEP166" s="249"/>
      <c r="NEQ166" s="249"/>
      <c r="NER166" s="249"/>
      <c r="NES166" s="249"/>
      <c r="NET166" s="249"/>
      <c r="NEU166" s="249"/>
      <c r="NEV166" s="249"/>
      <c r="NEW166" s="249"/>
      <c r="NEX166" s="249"/>
      <c r="NEY166" s="249"/>
      <c r="NEZ166" s="249"/>
      <c r="NFA166" s="249"/>
      <c r="NFB166" s="249"/>
      <c r="NFC166" s="249"/>
      <c r="NFD166" s="249"/>
      <c r="NFE166" s="249"/>
      <c r="NFF166" s="249"/>
      <c r="NFG166" s="249"/>
      <c r="NFH166" s="249"/>
      <c r="NFI166" s="249"/>
      <c r="NFJ166" s="249"/>
      <c r="NFK166" s="249"/>
      <c r="NFL166" s="249"/>
      <c r="NFM166" s="249"/>
      <c r="NFN166" s="249"/>
      <c r="NFO166" s="249"/>
      <c r="NFP166" s="249"/>
      <c r="NFQ166" s="249"/>
      <c r="NFR166" s="249"/>
      <c r="NFS166" s="249"/>
      <c r="NFT166" s="249"/>
      <c r="NFU166" s="249"/>
      <c r="NFV166" s="249"/>
      <c r="NFW166" s="249"/>
      <c r="NFX166" s="249"/>
      <c r="NFY166" s="249"/>
      <c r="NFZ166" s="249"/>
      <c r="NGA166" s="249"/>
      <c r="NGB166" s="249"/>
      <c r="NGC166" s="249"/>
      <c r="NGD166" s="249"/>
      <c r="NGE166" s="249"/>
      <c r="NGF166" s="249"/>
      <c r="NGG166" s="249"/>
      <c r="NGH166" s="249"/>
      <c r="NGI166" s="249"/>
      <c r="NGJ166" s="249"/>
      <c r="NGK166" s="249"/>
      <c r="NGL166" s="249"/>
      <c r="NGM166" s="249"/>
      <c r="NGN166" s="249"/>
      <c r="NGO166" s="249"/>
      <c r="NGP166" s="249"/>
      <c r="NGQ166" s="249"/>
      <c r="NGR166" s="249"/>
      <c r="NGS166" s="249"/>
      <c r="NGT166" s="249"/>
      <c r="NGU166" s="249"/>
      <c r="NGV166" s="249"/>
      <c r="NGW166" s="249"/>
      <c r="NGX166" s="249"/>
      <c r="NGY166" s="249"/>
      <c r="NGZ166" s="249"/>
      <c r="NHA166" s="249"/>
      <c r="NHB166" s="249"/>
      <c r="NHC166" s="249"/>
      <c r="NHD166" s="249"/>
      <c r="NHE166" s="249"/>
      <c r="NHF166" s="249"/>
      <c r="NHG166" s="249"/>
      <c r="NHH166" s="249"/>
      <c r="NHI166" s="249"/>
      <c r="NHJ166" s="249"/>
      <c r="NHK166" s="249"/>
      <c r="NHL166" s="249"/>
      <c r="NHM166" s="249"/>
      <c r="NHN166" s="249"/>
      <c r="NHO166" s="249"/>
      <c r="NHP166" s="249"/>
      <c r="NHQ166" s="249"/>
      <c r="NHR166" s="249"/>
      <c r="NHS166" s="249"/>
      <c r="NHT166" s="249"/>
      <c r="NHU166" s="249"/>
      <c r="NHV166" s="249"/>
      <c r="NHW166" s="249"/>
      <c r="NHX166" s="249"/>
      <c r="NHY166" s="249"/>
      <c r="NHZ166" s="249"/>
      <c r="NIA166" s="249"/>
      <c r="NIB166" s="249"/>
      <c r="NIC166" s="249"/>
      <c r="NID166" s="249"/>
      <c r="NIE166" s="249"/>
      <c r="NIF166" s="249"/>
      <c r="NIG166" s="249"/>
      <c r="NIH166" s="249"/>
      <c r="NII166" s="249"/>
      <c r="NIJ166" s="249"/>
      <c r="NIK166" s="249"/>
      <c r="NIL166" s="249"/>
      <c r="NIM166" s="249"/>
      <c r="NIN166" s="249"/>
      <c r="NIO166" s="249"/>
      <c r="NIP166" s="249"/>
      <c r="NIQ166" s="249"/>
      <c r="NIR166" s="249"/>
      <c r="NIS166" s="249"/>
      <c r="NIT166" s="249"/>
      <c r="NIU166" s="249"/>
      <c r="NIV166" s="249"/>
      <c r="NIW166" s="249"/>
      <c r="NIX166" s="249"/>
      <c r="NIY166" s="249"/>
      <c r="NIZ166" s="249"/>
      <c r="NJA166" s="249"/>
      <c r="NJB166" s="249"/>
      <c r="NJC166" s="249"/>
      <c r="NJD166" s="249"/>
      <c r="NJE166" s="249"/>
      <c r="NJF166" s="249"/>
      <c r="NJG166" s="249"/>
      <c r="NJH166" s="249"/>
      <c r="NJI166" s="249"/>
      <c r="NJJ166" s="249"/>
      <c r="NJK166" s="249"/>
      <c r="NJL166" s="249"/>
      <c r="NJM166" s="249"/>
      <c r="NJN166" s="249"/>
      <c r="NJO166" s="249"/>
      <c r="NJP166" s="249"/>
      <c r="NJQ166" s="249"/>
      <c r="NJR166" s="249"/>
      <c r="NJS166" s="249"/>
      <c r="NJT166" s="249"/>
      <c r="NJU166" s="249"/>
      <c r="NJV166" s="249"/>
      <c r="NJW166" s="249"/>
      <c r="NJX166" s="249"/>
      <c r="NJY166" s="249"/>
      <c r="NJZ166" s="249"/>
      <c r="NKA166" s="249"/>
      <c r="NKB166" s="249"/>
      <c r="NKC166" s="249"/>
      <c r="NKD166" s="249"/>
      <c r="NKE166" s="249"/>
      <c r="NKF166" s="249"/>
      <c r="NKG166" s="249"/>
      <c r="NKH166" s="249"/>
      <c r="NKI166" s="249"/>
      <c r="NKJ166" s="249"/>
      <c r="NKK166" s="249"/>
      <c r="NKL166" s="249"/>
      <c r="NKM166" s="249"/>
      <c r="NKN166" s="249"/>
      <c r="NKO166" s="249"/>
      <c r="NKP166" s="249"/>
      <c r="NKQ166" s="249"/>
      <c r="NKR166" s="249"/>
      <c r="NKS166" s="249"/>
      <c r="NKT166" s="249"/>
      <c r="NKU166" s="249"/>
      <c r="NKV166" s="249"/>
      <c r="NKW166" s="249"/>
      <c r="NKX166" s="249"/>
      <c r="NKY166" s="249"/>
      <c r="NKZ166" s="249"/>
      <c r="NLA166" s="249"/>
      <c r="NLB166" s="249"/>
      <c r="NLC166" s="249"/>
      <c r="NLD166" s="249"/>
      <c r="NLE166" s="249"/>
      <c r="NLF166" s="249"/>
      <c r="NLG166" s="249"/>
      <c r="NLH166" s="249"/>
      <c r="NLI166" s="249"/>
      <c r="NLJ166" s="249"/>
      <c r="NLK166" s="249"/>
      <c r="NLL166" s="249"/>
      <c r="NLM166" s="249"/>
      <c r="NLN166" s="249"/>
      <c r="NLO166" s="249"/>
      <c r="NLP166" s="249"/>
      <c r="NLQ166" s="249"/>
      <c r="NLR166" s="249"/>
      <c r="NLS166" s="249"/>
      <c r="NLT166" s="249"/>
      <c r="NLU166" s="249"/>
      <c r="NLV166" s="249"/>
      <c r="NLW166" s="249"/>
      <c r="NLX166" s="249"/>
      <c r="NLY166" s="249"/>
      <c r="NLZ166" s="249"/>
      <c r="NMA166" s="249"/>
      <c r="NMB166" s="249"/>
      <c r="NMC166" s="249"/>
      <c r="NMD166" s="249"/>
      <c r="NME166" s="249"/>
      <c r="NMF166" s="249"/>
      <c r="NMG166" s="249"/>
      <c r="NMH166" s="249"/>
      <c r="NMI166" s="249"/>
      <c r="NMJ166" s="249"/>
      <c r="NMK166" s="249"/>
      <c r="NML166" s="249"/>
      <c r="NMM166" s="249"/>
      <c r="NMN166" s="249"/>
      <c r="NMO166" s="249"/>
      <c r="NMP166" s="249"/>
      <c r="NMQ166" s="249"/>
      <c r="NMR166" s="249"/>
      <c r="NMS166" s="249"/>
      <c r="NMT166" s="249"/>
      <c r="NMU166" s="249"/>
      <c r="NMV166" s="249"/>
      <c r="NMW166" s="249"/>
      <c r="NMX166" s="249"/>
      <c r="NMY166" s="249"/>
      <c r="NMZ166" s="249"/>
      <c r="NNA166" s="249"/>
      <c r="NNB166" s="249"/>
      <c r="NNC166" s="249"/>
      <c r="NND166" s="249"/>
      <c r="NNE166" s="249"/>
      <c r="NNF166" s="249"/>
      <c r="NNG166" s="249"/>
      <c r="NNH166" s="249"/>
      <c r="NNI166" s="249"/>
      <c r="NNJ166" s="249"/>
      <c r="NNK166" s="249"/>
      <c r="NNL166" s="249"/>
      <c r="NNM166" s="249"/>
      <c r="NNN166" s="249"/>
      <c r="NNO166" s="249"/>
      <c r="NNP166" s="249"/>
      <c r="NNQ166" s="249"/>
      <c r="NNR166" s="249"/>
      <c r="NNS166" s="249"/>
      <c r="NNT166" s="249"/>
      <c r="NNU166" s="249"/>
      <c r="NNV166" s="249"/>
      <c r="NNW166" s="249"/>
      <c r="NNX166" s="249"/>
      <c r="NNY166" s="249"/>
      <c r="NNZ166" s="249"/>
      <c r="NOA166" s="249"/>
      <c r="NOB166" s="249"/>
      <c r="NOC166" s="249"/>
      <c r="NOD166" s="249"/>
      <c r="NOE166" s="249"/>
      <c r="NOF166" s="249"/>
      <c r="NOG166" s="249"/>
      <c r="NOH166" s="249"/>
      <c r="NOI166" s="249"/>
      <c r="NOJ166" s="249"/>
      <c r="NOK166" s="249"/>
      <c r="NOL166" s="249"/>
      <c r="NOM166" s="249"/>
      <c r="NON166" s="249"/>
      <c r="NOO166" s="249"/>
      <c r="NOP166" s="249"/>
      <c r="NOQ166" s="249"/>
      <c r="NOR166" s="249"/>
      <c r="NOS166" s="249"/>
      <c r="NOT166" s="249"/>
      <c r="NOU166" s="249"/>
      <c r="NOV166" s="249"/>
      <c r="NOW166" s="249"/>
      <c r="NOX166" s="249"/>
      <c r="NOY166" s="249"/>
      <c r="NOZ166" s="249"/>
      <c r="NPA166" s="249"/>
      <c r="NPB166" s="249"/>
      <c r="NPC166" s="249"/>
      <c r="NPD166" s="249"/>
      <c r="NPE166" s="249"/>
      <c r="NPF166" s="249"/>
      <c r="NPG166" s="249"/>
      <c r="NPH166" s="249"/>
      <c r="NPI166" s="249"/>
      <c r="NPJ166" s="249"/>
      <c r="NPK166" s="249"/>
      <c r="NPL166" s="249"/>
      <c r="NPM166" s="249"/>
      <c r="NPN166" s="249"/>
      <c r="NPO166" s="249"/>
      <c r="NPP166" s="249"/>
      <c r="NPQ166" s="249"/>
      <c r="NPR166" s="249"/>
      <c r="NPS166" s="249"/>
      <c r="NPT166" s="249"/>
      <c r="NPU166" s="249"/>
      <c r="NPV166" s="249"/>
      <c r="NPW166" s="249"/>
      <c r="NPX166" s="249"/>
      <c r="NPY166" s="249"/>
      <c r="NPZ166" s="249"/>
      <c r="NQA166" s="249"/>
      <c r="NQB166" s="249"/>
      <c r="NQC166" s="249"/>
      <c r="NQD166" s="249"/>
      <c r="NQE166" s="249"/>
      <c r="NQF166" s="249"/>
      <c r="NQG166" s="249"/>
      <c r="NQH166" s="249"/>
      <c r="NQI166" s="249"/>
      <c r="NQJ166" s="249"/>
      <c r="NQK166" s="249"/>
      <c r="NQL166" s="249"/>
      <c r="NQM166" s="249"/>
      <c r="NQN166" s="249"/>
      <c r="NQO166" s="249"/>
      <c r="NQP166" s="249"/>
      <c r="NQQ166" s="249"/>
      <c r="NQR166" s="249"/>
      <c r="NQS166" s="249"/>
      <c r="NQT166" s="249"/>
      <c r="NQU166" s="249"/>
      <c r="NQV166" s="249"/>
      <c r="NQW166" s="249"/>
      <c r="NQX166" s="249"/>
      <c r="NQY166" s="249"/>
      <c r="NQZ166" s="249"/>
      <c r="NRA166" s="249"/>
      <c r="NRB166" s="249"/>
      <c r="NRC166" s="249"/>
      <c r="NRD166" s="249"/>
      <c r="NRE166" s="249"/>
      <c r="NRF166" s="249"/>
      <c r="NRG166" s="249"/>
      <c r="NRH166" s="249"/>
      <c r="NRI166" s="249"/>
      <c r="NRJ166" s="249"/>
      <c r="NRK166" s="249"/>
      <c r="NRL166" s="249"/>
      <c r="NRM166" s="249"/>
      <c r="NRN166" s="249"/>
      <c r="NRO166" s="249"/>
      <c r="NRP166" s="249"/>
      <c r="NRQ166" s="249"/>
      <c r="NRR166" s="249"/>
      <c r="NRS166" s="249"/>
      <c r="NRT166" s="249"/>
      <c r="NRU166" s="249"/>
      <c r="NRV166" s="249"/>
      <c r="NRW166" s="249"/>
      <c r="NRX166" s="249"/>
      <c r="NRY166" s="249"/>
      <c r="NRZ166" s="249"/>
      <c r="NSA166" s="249"/>
      <c r="NSB166" s="249"/>
      <c r="NSC166" s="249"/>
      <c r="NSD166" s="249"/>
      <c r="NSE166" s="249"/>
      <c r="NSF166" s="249"/>
      <c r="NSG166" s="249"/>
      <c r="NSH166" s="249"/>
      <c r="NSI166" s="249"/>
      <c r="NSJ166" s="249"/>
      <c r="NSK166" s="249"/>
      <c r="NSL166" s="249"/>
      <c r="NSM166" s="249"/>
      <c r="NSN166" s="249"/>
      <c r="NSO166" s="249"/>
      <c r="NSP166" s="249"/>
      <c r="NSQ166" s="249"/>
      <c r="NSR166" s="249"/>
      <c r="NSS166" s="249"/>
      <c r="NST166" s="249"/>
      <c r="NSU166" s="249"/>
      <c r="NSV166" s="249"/>
      <c r="NSW166" s="249"/>
      <c r="NSX166" s="249"/>
      <c r="NSY166" s="249"/>
      <c r="NSZ166" s="249"/>
      <c r="NTA166" s="249"/>
      <c r="NTB166" s="249"/>
      <c r="NTC166" s="249"/>
      <c r="NTD166" s="249"/>
      <c r="NTE166" s="249"/>
      <c r="NTF166" s="249"/>
      <c r="NTG166" s="249"/>
      <c r="NTH166" s="249"/>
      <c r="NTI166" s="249"/>
      <c r="NTJ166" s="249"/>
      <c r="NTK166" s="249"/>
      <c r="NTL166" s="249"/>
      <c r="NTM166" s="249"/>
      <c r="NTN166" s="249"/>
      <c r="NTO166" s="249"/>
      <c r="NTP166" s="249"/>
      <c r="NTQ166" s="249"/>
      <c r="NTR166" s="249"/>
      <c r="NTS166" s="249"/>
      <c r="NTT166" s="249"/>
      <c r="NTU166" s="249"/>
      <c r="NTV166" s="249"/>
      <c r="NTW166" s="249"/>
      <c r="NTX166" s="249"/>
      <c r="NTY166" s="249"/>
      <c r="NTZ166" s="249"/>
      <c r="NUA166" s="249"/>
      <c r="NUB166" s="249"/>
      <c r="NUC166" s="249"/>
      <c r="NUD166" s="249"/>
      <c r="NUE166" s="249"/>
      <c r="NUF166" s="249"/>
      <c r="NUG166" s="249"/>
      <c r="NUH166" s="249"/>
      <c r="NUI166" s="249"/>
      <c r="NUJ166" s="249"/>
      <c r="NUK166" s="249"/>
      <c r="NUL166" s="249"/>
      <c r="NUM166" s="249"/>
      <c r="NUN166" s="249"/>
      <c r="NUO166" s="249"/>
      <c r="NUP166" s="249"/>
      <c r="NUQ166" s="249"/>
      <c r="NUR166" s="249"/>
      <c r="NUS166" s="249"/>
      <c r="NUT166" s="249"/>
      <c r="NUU166" s="249"/>
      <c r="NUV166" s="249"/>
      <c r="NUW166" s="249"/>
      <c r="NUX166" s="249"/>
      <c r="NUY166" s="249"/>
      <c r="NUZ166" s="249"/>
      <c r="NVA166" s="249"/>
      <c r="NVB166" s="249"/>
      <c r="NVC166" s="249"/>
      <c r="NVD166" s="249"/>
      <c r="NVE166" s="249"/>
      <c r="NVF166" s="249"/>
      <c r="NVG166" s="249"/>
      <c r="NVH166" s="249"/>
      <c r="NVI166" s="249"/>
      <c r="NVJ166" s="249"/>
      <c r="NVK166" s="249"/>
      <c r="NVL166" s="249"/>
      <c r="NVM166" s="249"/>
      <c r="NVN166" s="249"/>
      <c r="NVO166" s="249"/>
      <c r="NVP166" s="249"/>
      <c r="NVQ166" s="249"/>
      <c r="NVR166" s="249"/>
      <c r="NVS166" s="249"/>
      <c r="NVT166" s="249"/>
      <c r="NVU166" s="249"/>
      <c r="NVV166" s="249"/>
      <c r="NVW166" s="249"/>
      <c r="NVX166" s="249"/>
      <c r="NVY166" s="249"/>
      <c r="NVZ166" s="249"/>
      <c r="NWA166" s="249"/>
      <c r="NWB166" s="249"/>
      <c r="NWC166" s="249"/>
      <c r="NWD166" s="249"/>
      <c r="NWE166" s="249"/>
      <c r="NWF166" s="249"/>
      <c r="NWG166" s="249"/>
      <c r="NWH166" s="249"/>
      <c r="NWI166" s="249"/>
      <c r="NWJ166" s="249"/>
      <c r="NWK166" s="249"/>
      <c r="NWL166" s="249"/>
      <c r="NWM166" s="249"/>
      <c r="NWN166" s="249"/>
      <c r="NWO166" s="249"/>
      <c r="NWP166" s="249"/>
      <c r="NWQ166" s="249"/>
      <c r="NWR166" s="249"/>
      <c r="NWS166" s="249"/>
      <c r="NWT166" s="249"/>
      <c r="NWU166" s="249"/>
      <c r="NWV166" s="249"/>
      <c r="NWW166" s="249"/>
      <c r="NWX166" s="249"/>
      <c r="NWY166" s="249"/>
      <c r="NWZ166" s="249"/>
      <c r="NXA166" s="249"/>
      <c r="NXB166" s="249"/>
      <c r="NXC166" s="249"/>
      <c r="NXD166" s="249"/>
      <c r="NXE166" s="249"/>
      <c r="NXF166" s="249"/>
      <c r="NXG166" s="249"/>
      <c r="NXH166" s="249"/>
      <c r="NXI166" s="249"/>
      <c r="NXJ166" s="249"/>
      <c r="NXK166" s="249"/>
      <c r="NXL166" s="249"/>
      <c r="NXM166" s="249"/>
      <c r="NXN166" s="249"/>
      <c r="NXO166" s="249"/>
      <c r="NXP166" s="249"/>
      <c r="NXQ166" s="249"/>
      <c r="NXR166" s="249"/>
      <c r="NXS166" s="249"/>
      <c r="NXT166" s="249"/>
      <c r="NXU166" s="249"/>
      <c r="NXV166" s="249"/>
      <c r="NXW166" s="249"/>
      <c r="NXX166" s="249"/>
      <c r="NXY166" s="249"/>
      <c r="NXZ166" s="249"/>
      <c r="NYA166" s="249"/>
      <c r="NYB166" s="249"/>
      <c r="NYC166" s="249"/>
      <c r="NYD166" s="249"/>
      <c r="NYE166" s="249"/>
      <c r="NYF166" s="249"/>
      <c r="NYG166" s="249"/>
      <c r="NYH166" s="249"/>
      <c r="NYI166" s="249"/>
      <c r="NYJ166" s="249"/>
      <c r="NYK166" s="249"/>
      <c r="NYL166" s="249"/>
      <c r="NYM166" s="249"/>
      <c r="NYN166" s="249"/>
      <c r="NYO166" s="249"/>
      <c r="NYP166" s="249"/>
      <c r="NYQ166" s="249"/>
      <c r="NYR166" s="249"/>
      <c r="NYS166" s="249"/>
      <c r="NYT166" s="249"/>
      <c r="NYU166" s="249"/>
      <c r="NYV166" s="249"/>
      <c r="NYW166" s="249"/>
      <c r="NYX166" s="249"/>
      <c r="NYY166" s="249"/>
      <c r="NYZ166" s="249"/>
      <c r="NZA166" s="249"/>
      <c r="NZB166" s="249"/>
      <c r="NZC166" s="249"/>
      <c r="NZD166" s="249"/>
      <c r="NZE166" s="249"/>
      <c r="NZF166" s="249"/>
      <c r="NZG166" s="249"/>
      <c r="NZH166" s="249"/>
      <c r="NZI166" s="249"/>
      <c r="NZJ166" s="249"/>
      <c r="NZK166" s="249"/>
      <c r="NZL166" s="249"/>
      <c r="NZM166" s="249"/>
      <c r="NZN166" s="249"/>
      <c r="NZO166" s="249"/>
      <c r="NZP166" s="249"/>
      <c r="NZQ166" s="249"/>
      <c r="NZR166" s="249"/>
      <c r="NZS166" s="249"/>
      <c r="NZT166" s="249"/>
      <c r="NZU166" s="249"/>
      <c r="NZV166" s="249"/>
      <c r="NZW166" s="249"/>
      <c r="NZX166" s="249"/>
      <c r="NZY166" s="249"/>
      <c r="NZZ166" s="249"/>
      <c r="OAA166" s="249"/>
      <c r="OAB166" s="249"/>
      <c r="OAC166" s="249"/>
      <c r="OAD166" s="249"/>
      <c r="OAE166" s="249"/>
      <c r="OAF166" s="249"/>
      <c r="OAG166" s="249"/>
      <c r="OAH166" s="249"/>
      <c r="OAI166" s="249"/>
      <c r="OAJ166" s="249"/>
      <c r="OAK166" s="249"/>
      <c r="OAL166" s="249"/>
      <c r="OAM166" s="249"/>
      <c r="OAN166" s="249"/>
      <c r="OAO166" s="249"/>
      <c r="OAP166" s="249"/>
      <c r="OAQ166" s="249"/>
      <c r="OAR166" s="249"/>
      <c r="OAS166" s="249"/>
      <c r="OAT166" s="249"/>
      <c r="OAU166" s="249"/>
      <c r="OAV166" s="249"/>
      <c r="OAW166" s="249"/>
      <c r="OAX166" s="249"/>
      <c r="OAY166" s="249"/>
      <c r="OAZ166" s="249"/>
      <c r="OBA166" s="249"/>
      <c r="OBB166" s="249"/>
      <c r="OBC166" s="249"/>
      <c r="OBD166" s="249"/>
      <c r="OBE166" s="249"/>
      <c r="OBF166" s="249"/>
      <c r="OBG166" s="249"/>
      <c r="OBH166" s="249"/>
      <c r="OBI166" s="249"/>
      <c r="OBJ166" s="249"/>
      <c r="OBK166" s="249"/>
      <c r="OBL166" s="249"/>
      <c r="OBM166" s="249"/>
      <c r="OBN166" s="249"/>
      <c r="OBO166" s="249"/>
      <c r="OBP166" s="249"/>
      <c r="OBQ166" s="249"/>
      <c r="OBR166" s="249"/>
      <c r="OBS166" s="249"/>
      <c r="OBT166" s="249"/>
      <c r="OBU166" s="249"/>
      <c r="OBV166" s="249"/>
      <c r="OBW166" s="249"/>
      <c r="OBX166" s="249"/>
      <c r="OBY166" s="249"/>
      <c r="OBZ166" s="249"/>
      <c r="OCA166" s="249"/>
      <c r="OCB166" s="249"/>
      <c r="OCC166" s="249"/>
      <c r="OCD166" s="249"/>
      <c r="OCE166" s="249"/>
      <c r="OCF166" s="249"/>
      <c r="OCG166" s="249"/>
      <c r="OCH166" s="249"/>
      <c r="OCI166" s="249"/>
      <c r="OCJ166" s="249"/>
      <c r="OCK166" s="249"/>
      <c r="OCL166" s="249"/>
      <c r="OCM166" s="249"/>
      <c r="OCN166" s="249"/>
      <c r="OCO166" s="249"/>
      <c r="OCP166" s="249"/>
      <c r="OCQ166" s="249"/>
      <c r="OCR166" s="249"/>
      <c r="OCS166" s="249"/>
      <c r="OCT166" s="249"/>
      <c r="OCU166" s="249"/>
      <c r="OCV166" s="249"/>
      <c r="OCW166" s="249"/>
      <c r="OCX166" s="249"/>
      <c r="OCY166" s="249"/>
      <c r="OCZ166" s="249"/>
      <c r="ODA166" s="249"/>
      <c r="ODB166" s="249"/>
      <c r="ODC166" s="249"/>
      <c r="ODD166" s="249"/>
      <c r="ODE166" s="249"/>
      <c r="ODF166" s="249"/>
      <c r="ODG166" s="249"/>
      <c r="ODH166" s="249"/>
      <c r="ODI166" s="249"/>
      <c r="ODJ166" s="249"/>
      <c r="ODK166" s="249"/>
      <c r="ODL166" s="249"/>
      <c r="ODM166" s="249"/>
      <c r="ODN166" s="249"/>
      <c r="ODO166" s="249"/>
      <c r="ODP166" s="249"/>
      <c r="ODQ166" s="249"/>
      <c r="ODR166" s="249"/>
      <c r="ODS166" s="249"/>
      <c r="ODT166" s="249"/>
      <c r="ODU166" s="249"/>
      <c r="ODV166" s="249"/>
      <c r="ODW166" s="249"/>
      <c r="ODX166" s="249"/>
      <c r="ODY166" s="249"/>
      <c r="ODZ166" s="249"/>
      <c r="OEA166" s="249"/>
      <c r="OEB166" s="249"/>
      <c r="OEC166" s="249"/>
      <c r="OED166" s="249"/>
      <c r="OEE166" s="249"/>
      <c r="OEF166" s="249"/>
      <c r="OEG166" s="249"/>
      <c r="OEH166" s="249"/>
      <c r="OEI166" s="249"/>
      <c r="OEJ166" s="249"/>
      <c r="OEK166" s="249"/>
      <c r="OEL166" s="249"/>
      <c r="OEM166" s="249"/>
      <c r="OEN166" s="249"/>
      <c r="OEO166" s="249"/>
      <c r="OEP166" s="249"/>
      <c r="OEQ166" s="249"/>
      <c r="OER166" s="249"/>
      <c r="OES166" s="249"/>
      <c r="OET166" s="249"/>
      <c r="OEU166" s="249"/>
      <c r="OEV166" s="249"/>
      <c r="OEW166" s="249"/>
      <c r="OEX166" s="249"/>
      <c r="OEY166" s="249"/>
      <c r="OEZ166" s="249"/>
      <c r="OFA166" s="249"/>
      <c r="OFB166" s="249"/>
      <c r="OFC166" s="249"/>
      <c r="OFD166" s="249"/>
      <c r="OFE166" s="249"/>
      <c r="OFF166" s="249"/>
      <c r="OFG166" s="249"/>
      <c r="OFH166" s="249"/>
      <c r="OFI166" s="249"/>
      <c r="OFJ166" s="249"/>
      <c r="OFK166" s="249"/>
      <c r="OFL166" s="249"/>
      <c r="OFM166" s="249"/>
      <c r="OFN166" s="249"/>
      <c r="OFO166" s="249"/>
      <c r="OFP166" s="249"/>
      <c r="OFQ166" s="249"/>
      <c r="OFR166" s="249"/>
      <c r="OFS166" s="249"/>
      <c r="OFT166" s="249"/>
      <c r="OFU166" s="249"/>
      <c r="OFV166" s="249"/>
      <c r="OFW166" s="249"/>
      <c r="OFX166" s="249"/>
      <c r="OFY166" s="249"/>
      <c r="OFZ166" s="249"/>
      <c r="OGA166" s="249"/>
      <c r="OGB166" s="249"/>
      <c r="OGC166" s="249"/>
      <c r="OGD166" s="249"/>
      <c r="OGE166" s="249"/>
      <c r="OGF166" s="249"/>
      <c r="OGG166" s="249"/>
      <c r="OGH166" s="249"/>
      <c r="OGI166" s="249"/>
      <c r="OGJ166" s="249"/>
      <c r="OGK166" s="249"/>
      <c r="OGL166" s="249"/>
      <c r="OGM166" s="249"/>
      <c r="OGN166" s="249"/>
      <c r="OGO166" s="249"/>
      <c r="OGP166" s="249"/>
      <c r="OGQ166" s="249"/>
      <c r="OGR166" s="249"/>
      <c r="OGS166" s="249"/>
      <c r="OGT166" s="249"/>
      <c r="OGU166" s="249"/>
      <c r="OGV166" s="249"/>
      <c r="OGW166" s="249"/>
      <c r="OGX166" s="249"/>
      <c r="OGY166" s="249"/>
      <c r="OGZ166" s="249"/>
      <c r="OHA166" s="249"/>
      <c r="OHB166" s="249"/>
      <c r="OHC166" s="249"/>
      <c r="OHD166" s="249"/>
      <c r="OHE166" s="249"/>
      <c r="OHF166" s="249"/>
      <c r="OHG166" s="249"/>
      <c r="OHH166" s="249"/>
      <c r="OHI166" s="249"/>
      <c r="OHJ166" s="249"/>
      <c r="OHK166" s="249"/>
      <c r="OHL166" s="249"/>
      <c r="OHM166" s="249"/>
      <c r="OHN166" s="249"/>
      <c r="OHO166" s="249"/>
      <c r="OHP166" s="249"/>
      <c r="OHQ166" s="249"/>
      <c r="OHR166" s="249"/>
      <c r="OHS166" s="249"/>
      <c r="OHT166" s="249"/>
      <c r="OHU166" s="249"/>
      <c r="OHV166" s="249"/>
      <c r="OHW166" s="249"/>
      <c r="OHX166" s="249"/>
      <c r="OHY166" s="249"/>
      <c r="OHZ166" s="249"/>
      <c r="OIA166" s="249"/>
      <c r="OIB166" s="249"/>
      <c r="OIC166" s="249"/>
      <c r="OID166" s="249"/>
      <c r="OIE166" s="249"/>
      <c r="OIF166" s="249"/>
      <c r="OIG166" s="249"/>
      <c r="OIH166" s="249"/>
      <c r="OII166" s="249"/>
      <c r="OIJ166" s="249"/>
      <c r="OIK166" s="249"/>
      <c r="OIL166" s="249"/>
      <c r="OIM166" s="249"/>
      <c r="OIN166" s="249"/>
      <c r="OIO166" s="249"/>
      <c r="OIP166" s="249"/>
      <c r="OIQ166" s="249"/>
      <c r="OIR166" s="249"/>
      <c r="OIS166" s="249"/>
      <c r="OIT166" s="249"/>
      <c r="OIU166" s="249"/>
      <c r="OIV166" s="249"/>
      <c r="OIW166" s="249"/>
      <c r="OIX166" s="249"/>
      <c r="OIY166" s="249"/>
      <c r="OIZ166" s="249"/>
      <c r="OJA166" s="249"/>
      <c r="OJB166" s="249"/>
      <c r="OJC166" s="249"/>
      <c r="OJD166" s="249"/>
      <c r="OJE166" s="249"/>
      <c r="OJF166" s="249"/>
      <c r="OJG166" s="249"/>
      <c r="OJH166" s="249"/>
      <c r="OJI166" s="249"/>
      <c r="OJJ166" s="249"/>
      <c r="OJK166" s="249"/>
      <c r="OJL166" s="249"/>
      <c r="OJM166" s="249"/>
      <c r="OJN166" s="249"/>
      <c r="OJO166" s="249"/>
      <c r="OJP166" s="249"/>
      <c r="OJQ166" s="249"/>
      <c r="OJR166" s="249"/>
      <c r="OJS166" s="249"/>
      <c r="OJT166" s="249"/>
      <c r="OJU166" s="249"/>
      <c r="OJV166" s="249"/>
      <c r="OJW166" s="249"/>
      <c r="OJX166" s="249"/>
      <c r="OJY166" s="249"/>
      <c r="OJZ166" s="249"/>
      <c r="OKA166" s="249"/>
      <c r="OKB166" s="249"/>
      <c r="OKC166" s="249"/>
      <c r="OKD166" s="249"/>
      <c r="OKE166" s="249"/>
      <c r="OKF166" s="249"/>
      <c r="OKG166" s="249"/>
      <c r="OKH166" s="249"/>
      <c r="OKI166" s="249"/>
      <c r="OKJ166" s="249"/>
      <c r="OKK166" s="249"/>
      <c r="OKL166" s="249"/>
      <c r="OKM166" s="249"/>
      <c r="OKN166" s="249"/>
      <c r="OKO166" s="249"/>
      <c r="OKP166" s="249"/>
      <c r="OKQ166" s="249"/>
      <c r="OKR166" s="249"/>
      <c r="OKS166" s="249"/>
      <c r="OKT166" s="249"/>
      <c r="OKU166" s="249"/>
      <c r="OKV166" s="249"/>
      <c r="OKW166" s="249"/>
      <c r="OKX166" s="249"/>
      <c r="OKY166" s="249"/>
      <c r="OKZ166" s="249"/>
      <c r="OLA166" s="249"/>
      <c r="OLB166" s="249"/>
      <c r="OLC166" s="249"/>
      <c r="OLD166" s="249"/>
      <c r="OLE166" s="249"/>
      <c r="OLF166" s="249"/>
      <c r="OLG166" s="249"/>
      <c r="OLH166" s="249"/>
      <c r="OLI166" s="249"/>
      <c r="OLJ166" s="249"/>
      <c r="OLK166" s="249"/>
      <c r="OLL166" s="249"/>
      <c r="OLM166" s="249"/>
      <c r="OLN166" s="249"/>
      <c r="OLO166" s="249"/>
      <c r="OLP166" s="249"/>
      <c r="OLQ166" s="249"/>
      <c r="OLR166" s="249"/>
      <c r="OLS166" s="249"/>
      <c r="OLT166" s="249"/>
      <c r="OLU166" s="249"/>
      <c r="OLV166" s="249"/>
      <c r="OLW166" s="249"/>
      <c r="OLX166" s="249"/>
      <c r="OLY166" s="249"/>
      <c r="OLZ166" s="249"/>
      <c r="OMA166" s="249"/>
      <c r="OMB166" s="249"/>
      <c r="OMC166" s="249"/>
      <c r="OMD166" s="249"/>
      <c r="OME166" s="249"/>
      <c r="OMF166" s="249"/>
      <c r="OMG166" s="249"/>
      <c r="OMH166" s="249"/>
      <c r="OMI166" s="249"/>
      <c r="OMJ166" s="249"/>
      <c r="OMK166" s="249"/>
      <c r="OML166" s="249"/>
      <c r="OMM166" s="249"/>
      <c r="OMN166" s="249"/>
      <c r="OMO166" s="249"/>
      <c r="OMP166" s="249"/>
      <c r="OMQ166" s="249"/>
      <c r="OMR166" s="249"/>
      <c r="OMS166" s="249"/>
      <c r="OMT166" s="249"/>
      <c r="OMU166" s="249"/>
      <c r="OMV166" s="249"/>
      <c r="OMW166" s="249"/>
      <c r="OMX166" s="249"/>
      <c r="OMY166" s="249"/>
      <c r="OMZ166" s="249"/>
      <c r="ONA166" s="249"/>
      <c r="ONB166" s="249"/>
      <c r="ONC166" s="249"/>
      <c r="OND166" s="249"/>
      <c r="ONE166" s="249"/>
      <c r="ONF166" s="249"/>
      <c r="ONG166" s="249"/>
      <c r="ONH166" s="249"/>
      <c r="ONI166" s="249"/>
      <c r="ONJ166" s="249"/>
      <c r="ONK166" s="249"/>
      <c r="ONL166" s="249"/>
      <c r="ONM166" s="249"/>
      <c r="ONN166" s="249"/>
      <c r="ONO166" s="249"/>
      <c r="ONP166" s="249"/>
      <c r="ONQ166" s="249"/>
      <c r="ONR166" s="249"/>
      <c r="ONS166" s="249"/>
      <c r="ONT166" s="249"/>
      <c r="ONU166" s="249"/>
      <c r="ONV166" s="249"/>
      <c r="ONW166" s="249"/>
      <c r="ONX166" s="249"/>
      <c r="ONY166" s="249"/>
      <c r="ONZ166" s="249"/>
      <c r="OOA166" s="249"/>
      <c r="OOB166" s="249"/>
      <c r="OOC166" s="249"/>
      <c r="OOD166" s="249"/>
      <c r="OOE166" s="249"/>
      <c r="OOF166" s="249"/>
      <c r="OOG166" s="249"/>
      <c r="OOH166" s="249"/>
      <c r="OOI166" s="249"/>
      <c r="OOJ166" s="249"/>
      <c r="OOK166" s="249"/>
      <c r="OOL166" s="249"/>
      <c r="OOM166" s="249"/>
      <c r="OON166" s="249"/>
      <c r="OOO166" s="249"/>
      <c r="OOP166" s="249"/>
      <c r="OOQ166" s="249"/>
      <c r="OOR166" s="249"/>
      <c r="OOS166" s="249"/>
      <c r="OOT166" s="249"/>
      <c r="OOU166" s="249"/>
      <c r="OOV166" s="249"/>
      <c r="OOW166" s="249"/>
      <c r="OOX166" s="249"/>
      <c r="OOY166" s="249"/>
      <c r="OOZ166" s="249"/>
      <c r="OPA166" s="249"/>
      <c r="OPB166" s="249"/>
      <c r="OPC166" s="249"/>
      <c r="OPD166" s="249"/>
      <c r="OPE166" s="249"/>
      <c r="OPF166" s="249"/>
      <c r="OPG166" s="249"/>
      <c r="OPH166" s="249"/>
      <c r="OPI166" s="249"/>
      <c r="OPJ166" s="249"/>
      <c r="OPK166" s="249"/>
      <c r="OPL166" s="249"/>
      <c r="OPM166" s="249"/>
      <c r="OPN166" s="249"/>
      <c r="OPO166" s="249"/>
      <c r="OPP166" s="249"/>
      <c r="OPQ166" s="249"/>
      <c r="OPR166" s="249"/>
      <c r="OPS166" s="249"/>
      <c r="OPT166" s="249"/>
      <c r="OPU166" s="249"/>
      <c r="OPV166" s="249"/>
      <c r="OPW166" s="249"/>
      <c r="OPX166" s="249"/>
      <c r="OPY166" s="249"/>
      <c r="OPZ166" s="249"/>
      <c r="OQA166" s="249"/>
      <c r="OQB166" s="249"/>
      <c r="OQC166" s="249"/>
      <c r="OQD166" s="249"/>
      <c r="OQE166" s="249"/>
      <c r="OQF166" s="249"/>
      <c r="OQG166" s="249"/>
      <c r="OQH166" s="249"/>
      <c r="OQI166" s="249"/>
      <c r="OQJ166" s="249"/>
      <c r="OQK166" s="249"/>
      <c r="OQL166" s="249"/>
      <c r="OQM166" s="249"/>
      <c r="OQN166" s="249"/>
      <c r="OQO166" s="249"/>
      <c r="OQP166" s="249"/>
      <c r="OQQ166" s="249"/>
      <c r="OQR166" s="249"/>
      <c r="OQS166" s="249"/>
      <c r="OQT166" s="249"/>
      <c r="OQU166" s="249"/>
      <c r="OQV166" s="249"/>
      <c r="OQW166" s="249"/>
      <c r="OQX166" s="249"/>
      <c r="OQY166" s="249"/>
      <c r="OQZ166" s="249"/>
      <c r="ORA166" s="249"/>
      <c r="ORB166" s="249"/>
      <c r="ORC166" s="249"/>
      <c r="ORD166" s="249"/>
      <c r="ORE166" s="249"/>
      <c r="ORF166" s="249"/>
      <c r="ORG166" s="249"/>
      <c r="ORH166" s="249"/>
      <c r="ORI166" s="249"/>
      <c r="ORJ166" s="249"/>
      <c r="ORK166" s="249"/>
      <c r="ORL166" s="249"/>
      <c r="ORM166" s="249"/>
      <c r="ORN166" s="249"/>
      <c r="ORO166" s="249"/>
      <c r="ORP166" s="249"/>
      <c r="ORQ166" s="249"/>
      <c r="ORR166" s="249"/>
      <c r="ORS166" s="249"/>
      <c r="ORT166" s="249"/>
      <c r="ORU166" s="249"/>
      <c r="ORV166" s="249"/>
      <c r="ORW166" s="249"/>
      <c r="ORX166" s="249"/>
      <c r="ORY166" s="249"/>
      <c r="ORZ166" s="249"/>
      <c r="OSA166" s="249"/>
      <c r="OSB166" s="249"/>
      <c r="OSC166" s="249"/>
      <c r="OSD166" s="249"/>
      <c r="OSE166" s="249"/>
      <c r="OSF166" s="249"/>
      <c r="OSG166" s="249"/>
      <c r="OSH166" s="249"/>
      <c r="OSI166" s="249"/>
      <c r="OSJ166" s="249"/>
      <c r="OSK166" s="249"/>
      <c r="OSL166" s="249"/>
      <c r="OSM166" s="249"/>
      <c r="OSN166" s="249"/>
      <c r="OSO166" s="249"/>
      <c r="OSP166" s="249"/>
      <c r="OSQ166" s="249"/>
      <c r="OSR166" s="249"/>
      <c r="OSS166" s="249"/>
      <c r="OST166" s="249"/>
      <c r="OSU166" s="249"/>
      <c r="OSV166" s="249"/>
      <c r="OSW166" s="249"/>
      <c r="OSX166" s="249"/>
      <c r="OSY166" s="249"/>
      <c r="OSZ166" s="249"/>
      <c r="OTA166" s="249"/>
      <c r="OTB166" s="249"/>
      <c r="OTC166" s="249"/>
      <c r="OTD166" s="249"/>
      <c r="OTE166" s="249"/>
      <c r="OTF166" s="249"/>
      <c r="OTG166" s="249"/>
      <c r="OTH166" s="249"/>
      <c r="OTI166" s="249"/>
      <c r="OTJ166" s="249"/>
      <c r="OTK166" s="249"/>
      <c r="OTL166" s="249"/>
      <c r="OTM166" s="249"/>
      <c r="OTN166" s="249"/>
      <c r="OTO166" s="249"/>
      <c r="OTP166" s="249"/>
      <c r="OTQ166" s="249"/>
      <c r="OTR166" s="249"/>
      <c r="OTS166" s="249"/>
      <c r="OTT166" s="249"/>
      <c r="OTU166" s="249"/>
      <c r="OTV166" s="249"/>
      <c r="OTW166" s="249"/>
      <c r="OTX166" s="249"/>
      <c r="OTY166" s="249"/>
      <c r="OTZ166" s="249"/>
      <c r="OUA166" s="249"/>
      <c r="OUB166" s="249"/>
      <c r="OUC166" s="249"/>
      <c r="OUD166" s="249"/>
      <c r="OUE166" s="249"/>
      <c r="OUF166" s="249"/>
      <c r="OUG166" s="249"/>
      <c r="OUH166" s="249"/>
      <c r="OUI166" s="249"/>
      <c r="OUJ166" s="249"/>
      <c r="OUK166" s="249"/>
      <c r="OUL166" s="249"/>
      <c r="OUM166" s="249"/>
      <c r="OUN166" s="249"/>
      <c r="OUO166" s="249"/>
      <c r="OUP166" s="249"/>
      <c r="OUQ166" s="249"/>
      <c r="OUR166" s="249"/>
      <c r="OUS166" s="249"/>
      <c r="OUT166" s="249"/>
      <c r="OUU166" s="249"/>
      <c r="OUV166" s="249"/>
      <c r="OUW166" s="249"/>
      <c r="OUX166" s="249"/>
      <c r="OUY166" s="249"/>
      <c r="OUZ166" s="249"/>
      <c r="OVA166" s="249"/>
      <c r="OVB166" s="249"/>
      <c r="OVC166" s="249"/>
      <c r="OVD166" s="249"/>
      <c r="OVE166" s="249"/>
      <c r="OVF166" s="249"/>
      <c r="OVG166" s="249"/>
      <c r="OVH166" s="249"/>
      <c r="OVI166" s="249"/>
      <c r="OVJ166" s="249"/>
      <c r="OVK166" s="249"/>
      <c r="OVL166" s="249"/>
      <c r="OVM166" s="249"/>
      <c r="OVN166" s="249"/>
      <c r="OVO166" s="249"/>
      <c r="OVP166" s="249"/>
      <c r="OVQ166" s="249"/>
      <c r="OVR166" s="249"/>
      <c r="OVS166" s="249"/>
      <c r="OVT166" s="249"/>
      <c r="OVU166" s="249"/>
      <c r="OVV166" s="249"/>
      <c r="OVW166" s="249"/>
      <c r="OVX166" s="249"/>
      <c r="OVY166" s="249"/>
      <c r="OVZ166" s="249"/>
      <c r="OWA166" s="249"/>
      <c r="OWB166" s="249"/>
      <c r="OWC166" s="249"/>
      <c r="OWD166" s="249"/>
      <c r="OWE166" s="249"/>
      <c r="OWF166" s="249"/>
      <c r="OWG166" s="249"/>
      <c r="OWH166" s="249"/>
      <c r="OWI166" s="249"/>
      <c r="OWJ166" s="249"/>
      <c r="OWK166" s="249"/>
      <c r="OWL166" s="249"/>
      <c r="OWM166" s="249"/>
      <c r="OWN166" s="249"/>
      <c r="OWO166" s="249"/>
      <c r="OWP166" s="249"/>
      <c r="OWQ166" s="249"/>
      <c r="OWR166" s="249"/>
      <c r="OWS166" s="249"/>
      <c r="OWT166" s="249"/>
      <c r="OWU166" s="249"/>
      <c r="OWV166" s="249"/>
      <c r="OWW166" s="249"/>
      <c r="OWX166" s="249"/>
      <c r="OWY166" s="249"/>
      <c r="OWZ166" s="249"/>
      <c r="OXA166" s="249"/>
      <c r="OXB166" s="249"/>
      <c r="OXC166" s="249"/>
      <c r="OXD166" s="249"/>
      <c r="OXE166" s="249"/>
      <c r="OXF166" s="249"/>
      <c r="OXG166" s="249"/>
      <c r="OXH166" s="249"/>
      <c r="OXI166" s="249"/>
      <c r="OXJ166" s="249"/>
      <c r="OXK166" s="249"/>
      <c r="OXL166" s="249"/>
      <c r="OXM166" s="249"/>
      <c r="OXN166" s="249"/>
      <c r="OXO166" s="249"/>
      <c r="OXP166" s="249"/>
      <c r="OXQ166" s="249"/>
      <c r="OXR166" s="249"/>
      <c r="OXS166" s="249"/>
      <c r="OXT166" s="249"/>
      <c r="OXU166" s="249"/>
      <c r="OXV166" s="249"/>
      <c r="OXW166" s="249"/>
      <c r="OXX166" s="249"/>
      <c r="OXY166" s="249"/>
      <c r="OXZ166" s="249"/>
      <c r="OYA166" s="249"/>
      <c r="OYB166" s="249"/>
      <c r="OYC166" s="249"/>
      <c r="OYD166" s="249"/>
      <c r="OYE166" s="249"/>
      <c r="OYF166" s="249"/>
      <c r="OYG166" s="249"/>
      <c r="OYH166" s="249"/>
      <c r="OYI166" s="249"/>
      <c r="OYJ166" s="249"/>
      <c r="OYK166" s="249"/>
      <c r="OYL166" s="249"/>
      <c r="OYM166" s="249"/>
      <c r="OYN166" s="249"/>
      <c r="OYO166" s="249"/>
      <c r="OYP166" s="249"/>
      <c r="OYQ166" s="249"/>
      <c r="OYR166" s="249"/>
      <c r="OYS166" s="249"/>
      <c r="OYT166" s="249"/>
      <c r="OYU166" s="249"/>
      <c r="OYV166" s="249"/>
      <c r="OYW166" s="249"/>
      <c r="OYX166" s="249"/>
      <c r="OYY166" s="249"/>
      <c r="OYZ166" s="249"/>
      <c r="OZA166" s="249"/>
      <c r="OZB166" s="249"/>
      <c r="OZC166" s="249"/>
      <c r="OZD166" s="249"/>
      <c r="OZE166" s="249"/>
      <c r="OZF166" s="249"/>
      <c r="OZG166" s="249"/>
      <c r="OZH166" s="249"/>
      <c r="OZI166" s="249"/>
      <c r="OZJ166" s="249"/>
      <c r="OZK166" s="249"/>
      <c r="OZL166" s="249"/>
      <c r="OZM166" s="249"/>
      <c r="OZN166" s="249"/>
      <c r="OZO166" s="249"/>
      <c r="OZP166" s="249"/>
      <c r="OZQ166" s="249"/>
      <c r="OZR166" s="249"/>
      <c r="OZS166" s="249"/>
      <c r="OZT166" s="249"/>
      <c r="OZU166" s="249"/>
      <c r="OZV166" s="249"/>
      <c r="OZW166" s="249"/>
      <c r="OZX166" s="249"/>
      <c r="OZY166" s="249"/>
      <c r="OZZ166" s="249"/>
      <c r="PAA166" s="249"/>
      <c r="PAB166" s="249"/>
      <c r="PAC166" s="249"/>
      <c r="PAD166" s="249"/>
      <c r="PAE166" s="249"/>
      <c r="PAF166" s="249"/>
      <c r="PAG166" s="249"/>
      <c r="PAH166" s="249"/>
      <c r="PAI166" s="249"/>
      <c r="PAJ166" s="249"/>
      <c r="PAK166" s="249"/>
      <c r="PAL166" s="249"/>
      <c r="PAM166" s="249"/>
      <c r="PAN166" s="249"/>
      <c r="PAO166" s="249"/>
      <c r="PAP166" s="249"/>
      <c r="PAQ166" s="249"/>
      <c r="PAR166" s="249"/>
      <c r="PAS166" s="249"/>
      <c r="PAT166" s="249"/>
      <c r="PAU166" s="249"/>
      <c r="PAV166" s="249"/>
      <c r="PAW166" s="249"/>
      <c r="PAX166" s="249"/>
      <c r="PAY166" s="249"/>
      <c r="PAZ166" s="249"/>
      <c r="PBA166" s="249"/>
      <c r="PBB166" s="249"/>
      <c r="PBC166" s="249"/>
      <c r="PBD166" s="249"/>
      <c r="PBE166" s="249"/>
      <c r="PBF166" s="249"/>
      <c r="PBG166" s="249"/>
      <c r="PBH166" s="249"/>
      <c r="PBI166" s="249"/>
      <c r="PBJ166" s="249"/>
      <c r="PBK166" s="249"/>
      <c r="PBL166" s="249"/>
      <c r="PBM166" s="249"/>
      <c r="PBN166" s="249"/>
      <c r="PBO166" s="249"/>
      <c r="PBP166" s="249"/>
      <c r="PBQ166" s="249"/>
      <c r="PBR166" s="249"/>
      <c r="PBS166" s="249"/>
      <c r="PBT166" s="249"/>
      <c r="PBU166" s="249"/>
      <c r="PBV166" s="249"/>
      <c r="PBW166" s="249"/>
      <c r="PBX166" s="249"/>
      <c r="PBY166" s="249"/>
      <c r="PBZ166" s="249"/>
      <c r="PCA166" s="249"/>
      <c r="PCB166" s="249"/>
      <c r="PCC166" s="249"/>
      <c r="PCD166" s="249"/>
      <c r="PCE166" s="249"/>
      <c r="PCF166" s="249"/>
      <c r="PCG166" s="249"/>
      <c r="PCH166" s="249"/>
      <c r="PCI166" s="249"/>
      <c r="PCJ166" s="249"/>
      <c r="PCK166" s="249"/>
      <c r="PCL166" s="249"/>
      <c r="PCM166" s="249"/>
      <c r="PCN166" s="249"/>
      <c r="PCO166" s="249"/>
      <c r="PCP166" s="249"/>
      <c r="PCQ166" s="249"/>
      <c r="PCR166" s="249"/>
      <c r="PCS166" s="249"/>
      <c r="PCT166" s="249"/>
      <c r="PCU166" s="249"/>
      <c r="PCV166" s="249"/>
      <c r="PCW166" s="249"/>
      <c r="PCX166" s="249"/>
      <c r="PCY166" s="249"/>
      <c r="PCZ166" s="249"/>
      <c r="PDA166" s="249"/>
      <c r="PDB166" s="249"/>
      <c r="PDC166" s="249"/>
      <c r="PDD166" s="249"/>
      <c r="PDE166" s="249"/>
      <c r="PDF166" s="249"/>
      <c r="PDG166" s="249"/>
      <c r="PDH166" s="249"/>
      <c r="PDI166" s="249"/>
      <c r="PDJ166" s="249"/>
      <c r="PDK166" s="249"/>
      <c r="PDL166" s="249"/>
      <c r="PDM166" s="249"/>
      <c r="PDN166" s="249"/>
      <c r="PDO166" s="249"/>
      <c r="PDP166" s="249"/>
      <c r="PDQ166" s="249"/>
      <c r="PDR166" s="249"/>
      <c r="PDS166" s="249"/>
      <c r="PDT166" s="249"/>
      <c r="PDU166" s="249"/>
      <c r="PDV166" s="249"/>
      <c r="PDW166" s="249"/>
      <c r="PDX166" s="249"/>
      <c r="PDY166" s="249"/>
      <c r="PDZ166" s="249"/>
      <c r="PEA166" s="249"/>
      <c r="PEB166" s="249"/>
      <c r="PEC166" s="249"/>
      <c r="PED166" s="249"/>
      <c r="PEE166" s="249"/>
      <c r="PEF166" s="249"/>
      <c r="PEG166" s="249"/>
      <c r="PEH166" s="249"/>
      <c r="PEI166" s="249"/>
      <c r="PEJ166" s="249"/>
      <c r="PEK166" s="249"/>
      <c r="PEL166" s="249"/>
      <c r="PEM166" s="249"/>
      <c r="PEN166" s="249"/>
      <c r="PEO166" s="249"/>
      <c r="PEP166" s="249"/>
      <c r="PEQ166" s="249"/>
      <c r="PER166" s="249"/>
      <c r="PES166" s="249"/>
      <c r="PET166" s="249"/>
      <c r="PEU166" s="249"/>
      <c r="PEV166" s="249"/>
      <c r="PEW166" s="249"/>
      <c r="PEX166" s="249"/>
      <c r="PEY166" s="249"/>
      <c r="PEZ166" s="249"/>
      <c r="PFA166" s="249"/>
      <c r="PFB166" s="249"/>
      <c r="PFC166" s="249"/>
      <c r="PFD166" s="249"/>
      <c r="PFE166" s="249"/>
      <c r="PFF166" s="249"/>
      <c r="PFG166" s="249"/>
      <c r="PFH166" s="249"/>
      <c r="PFI166" s="249"/>
      <c r="PFJ166" s="249"/>
      <c r="PFK166" s="249"/>
      <c r="PFL166" s="249"/>
      <c r="PFM166" s="249"/>
      <c r="PFN166" s="249"/>
      <c r="PFO166" s="249"/>
      <c r="PFP166" s="249"/>
      <c r="PFQ166" s="249"/>
      <c r="PFR166" s="249"/>
      <c r="PFS166" s="249"/>
      <c r="PFT166" s="249"/>
      <c r="PFU166" s="249"/>
      <c r="PFV166" s="249"/>
      <c r="PFW166" s="249"/>
      <c r="PFX166" s="249"/>
      <c r="PFY166" s="249"/>
      <c r="PFZ166" s="249"/>
      <c r="PGA166" s="249"/>
      <c r="PGB166" s="249"/>
      <c r="PGC166" s="249"/>
      <c r="PGD166" s="249"/>
      <c r="PGE166" s="249"/>
      <c r="PGF166" s="249"/>
      <c r="PGG166" s="249"/>
      <c r="PGH166" s="249"/>
      <c r="PGI166" s="249"/>
      <c r="PGJ166" s="249"/>
      <c r="PGK166" s="249"/>
      <c r="PGL166" s="249"/>
      <c r="PGM166" s="249"/>
      <c r="PGN166" s="249"/>
      <c r="PGO166" s="249"/>
      <c r="PGP166" s="249"/>
      <c r="PGQ166" s="249"/>
      <c r="PGR166" s="249"/>
      <c r="PGS166" s="249"/>
      <c r="PGT166" s="249"/>
      <c r="PGU166" s="249"/>
      <c r="PGV166" s="249"/>
      <c r="PGW166" s="249"/>
      <c r="PGX166" s="249"/>
      <c r="PGY166" s="249"/>
      <c r="PGZ166" s="249"/>
      <c r="PHA166" s="249"/>
      <c r="PHB166" s="249"/>
      <c r="PHC166" s="249"/>
      <c r="PHD166" s="249"/>
      <c r="PHE166" s="249"/>
      <c r="PHF166" s="249"/>
      <c r="PHG166" s="249"/>
      <c r="PHH166" s="249"/>
      <c r="PHI166" s="249"/>
      <c r="PHJ166" s="249"/>
      <c r="PHK166" s="249"/>
      <c r="PHL166" s="249"/>
      <c r="PHM166" s="249"/>
      <c r="PHN166" s="249"/>
      <c r="PHO166" s="249"/>
      <c r="PHP166" s="249"/>
      <c r="PHQ166" s="249"/>
      <c r="PHR166" s="249"/>
      <c r="PHS166" s="249"/>
      <c r="PHT166" s="249"/>
      <c r="PHU166" s="249"/>
      <c r="PHV166" s="249"/>
      <c r="PHW166" s="249"/>
      <c r="PHX166" s="249"/>
      <c r="PHY166" s="249"/>
      <c r="PHZ166" s="249"/>
      <c r="PIA166" s="249"/>
      <c r="PIB166" s="249"/>
      <c r="PIC166" s="249"/>
      <c r="PID166" s="249"/>
      <c r="PIE166" s="249"/>
      <c r="PIF166" s="249"/>
      <c r="PIG166" s="249"/>
      <c r="PIH166" s="249"/>
      <c r="PII166" s="249"/>
      <c r="PIJ166" s="249"/>
      <c r="PIK166" s="249"/>
      <c r="PIL166" s="249"/>
      <c r="PIM166" s="249"/>
      <c r="PIN166" s="249"/>
      <c r="PIO166" s="249"/>
      <c r="PIP166" s="249"/>
      <c r="PIQ166" s="249"/>
      <c r="PIR166" s="249"/>
      <c r="PIS166" s="249"/>
      <c r="PIT166" s="249"/>
      <c r="PIU166" s="249"/>
      <c r="PIV166" s="249"/>
      <c r="PIW166" s="249"/>
      <c r="PIX166" s="249"/>
      <c r="PIY166" s="249"/>
      <c r="PIZ166" s="249"/>
      <c r="PJA166" s="249"/>
      <c r="PJB166" s="249"/>
      <c r="PJC166" s="249"/>
      <c r="PJD166" s="249"/>
      <c r="PJE166" s="249"/>
      <c r="PJF166" s="249"/>
      <c r="PJG166" s="249"/>
      <c r="PJH166" s="249"/>
      <c r="PJI166" s="249"/>
      <c r="PJJ166" s="249"/>
      <c r="PJK166" s="249"/>
      <c r="PJL166" s="249"/>
      <c r="PJM166" s="249"/>
      <c r="PJN166" s="249"/>
      <c r="PJO166" s="249"/>
      <c r="PJP166" s="249"/>
      <c r="PJQ166" s="249"/>
      <c r="PJR166" s="249"/>
      <c r="PJS166" s="249"/>
      <c r="PJT166" s="249"/>
      <c r="PJU166" s="249"/>
      <c r="PJV166" s="249"/>
      <c r="PJW166" s="249"/>
      <c r="PJX166" s="249"/>
      <c r="PJY166" s="249"/>
      <c r="PJZ166" s="249"/>
      <c r="PKA166" s="249"/>
      <c r="PKB166" s="249"/>
      <c r="PKC166" s="249"/>
      <c r="PKD166" s="249"/>
      <c r="PKE166" s="249"/>
      <c r="PKF166" s="249"/>
      <c r="PKG166" s="249"/>
      <c r="PKH166" s="249"/>
      <c r="PKI166" s="249"/>
      <c r="PKJ166" s="249"/>
      <c r="PKK166" s="249"/>
      <c r="PKL166" s="249"/>
      <c r="PKM166" s="249"/>
      <c r="PKN166" s="249"/>
      <c r="PKO166" s="249"/>
      <c r="PKP166" s="249"/>
      <c r="PKQ166" s="249"/>
      <c r="PKR166" s="249"/>
      <c r="PKS166" s="249"/>
      <c r="PKT166" s="249"/>
      <c r="PKU166" s="249"/>
      <c r="PKV166" s="249"/>
      <c r="PKW166" s="249"/>
      <c r="PKX166" s="249"/>
      <c r="PKY166" s="249"/>
      <c r="PKZ166" s="249"/>
      <c r="PLA166" s="249"/>
      <c r="PLB166" s="249"/>
      <c r="PLC166" s="249"/>
      <c r="PLD166" s="249"/>
      <c r="PLE166" s="249"/>
      <c r="PLF166" s="249"/>
      <c r="PLG166" s="249"/>
      <c r="PLH166" s="249"/>
      <c r="PLI166" s="249"/>
      <c r="PLJ166" s="249"/>
      <c r="PLK166" s="249"/>
      <c r="PLL166" s="249"/>
      <c r="PLM166" s="249"/>
      <c r="PLN166" s="249"/>
      <c r="PLO166" s="249"/>
      <c r="PLP166" s="249"/>
      <c r="PLQ166" s="249"/>
      <c r="PLR166" s="249"/>
      <c r="PLS166" s="249"/>
      <c r="PLT166" s="249"/>
      <c r="PLU166" s="249"/>
      <c r="PLV166" s="249"/>
      <c r="PLW166" s="249"/>
      <c r="PLX166" s="249"/>
      <c r="PLY166" s="249"/>
      <c r="PLZ166" s="249"/>
      <c r="PMA166" s="249"/>
      <c r="PMB166" s="249"/>
      <c r="PMC166" s="249"/>
      <c r="PMD166" s="249"/>
      <c r="PME166" s="249"/>
      <c r="PMF166" s="249"/>
      <c r="PMG166" s="249"/>
      <c r="PMH166" s="249"/>
      <c r="PMI166" s="249"/>
      <c r="PMJ166" s="249"/>
      <c r="PMK166" s="249"/>
      <c r="PML166" s="249"/>
      <c r="PMM166" s="249"/>
      <c r="PMN166" s="249"/>
      <c r="PMO166" s="249"/>
      <c r="PMP166" s="249"/>
      <c r="PMQ166" s="249"/>
      <c r="PMR166" s="249"/>
      <c r="PMS166" s="249"/>
      <c r="PMT166" s="249"/>
      <c r="PMU166" s="249"/>
      <c r="PMV166" s="249"/>
      <c r="PMW166" s="249"/>
      <c r="PMX166" s="249"/>
      <c r="PMY166" s="249"/>
      <c r="PMZ166" s="249"/>
      <c r="PNA166" s="249"/>
      <c r="PNB166" s="249"/>
      <c r="PNC166" s="249"/>
      <c r="PND166" s="249"/>
      <c r="PNE166" s="249"/>
      <c r="PNF166" s="249"/>
      <c r="PNG166" s="249"/>
      <c r="PNH166" s="249"/>
      <c r="PNI166" s="249"/>
      <c r="PNJ166" s="249"/>
      <c r="PNK166" s="249"/>
      <c r="PNL166" s="249"/>
      <c r="PNM166" s="249"/>
      <c r="PNN166" s="249"/>
      <c r="PNO166" s="249"/>
      <c r="PNP166" s="249"/>
      <c r="PNQ166" s="249"/>
      <c r="PNR166" s="249"/>
      <c r="PNS166" s="249"/>
      <c r="PNT166" s="249"/>
      <c r="PNU166" s="249"/>
      <c r="PNV166" s="249"/>
      <c r="PNW166" s="249"/>
      <c r="PNX166" s="249"/>
      <c r="PNY166" s="249"/>
      <c r="PNZ166" s="249"/>
      <c r="POA166" s="249"/>
      <c r="POB166" s="249"/>
      <c r="POC166" s="249"/>
      <c r="POD166" s="249"/>
      <c r="POE166" s="249"/>
      <c r="POF166" s="249"/>
      <c r="POG166" s="249"/>
      <c r="POH166" s="249"/>
      <c r="POI166" s="249"/>
      <c r="POJ166" s="249"/>
      <c r="POK166" s="249"/>
      <c r="POL166" s="249"/>
      <c r="POM166" s="249"/>
      <c r="PON166" s="249"/>
      <c r="POO166" s="249"/>
      <c r="POP166" s="249"/>
      <c r="POQ166" s="249"/>
      <c r="POR166" s="249"/>
      <c r="POS166" s="249"/>
      <c r="POT166" s="249"/>
      <c r="POU166" s="249"/>
      <c r="POV166" s="249"/>
      <c r="POW166" s="249"/>
      <c r="POX166" s="249"/>
      <c r="POY166" s="249"/>
      <c r="POZ166" s="249"/>
      <c r="PPA166" s="249"/>
      <c r="PPB166" s="249"/>
      <c r="PPC166" s="249"/>
      <c r="PPD166" s="249"/>
      <c r="PPE166" s="249"/>
      <c r="PPF166" s="249"/>
      <c r="PPG166" s="249"/>
      <c r="PPH166" s="249"/>
      <c r="PPI166" s="249"/>
      <c r="PPJ166" s="249"/>
      <c r="PPK166" s="249"/>
      <c r="PPL166" s="249"/>
      <c r="PPM166" s="249"/>
      <c r="PPN166" s="249"/>
      <c r="PPO166" s="249"/>
      <c r="PPP166" s="249"/>
      <c r="PPQ166" s="249"/>
      <c r="PPR166" s="249"/>
      <c r="PPS166" s="249"/>
      <c r="PPT166" s="249"/>
      <c r="PPU166" s="249"/>
      <c r="PPV166" s="249"/>
      <c r="PPW166" s="249"/>
      <c r="PPX166" s="249"/>
      <c r="PPY166" s="249"/>
      <c r="PPZ166" s="249"/>
      <c r="PQA166" s="249"/>
      <c r="PQB166" s="249"/>
      <c r="PQC166" s="249"/>
      <c r="PQD166" s="249"/>
      <c r="PQE166" s="249"/>
      <c r="PQF166" s="249"/>
      <c r="PQG166" s="249"/>
      <c r="PQH166" s="249"/>
      <c r="PQI166" s="249"/>
      <c r="PQJ166" s="249"/>
      <c r="PQK166" s="249"/>
      <c r="PQL166" s="249"/>
      <c r="PQM166" s="249"/>
      <c r="PQN166" s="249"/>
      <c r="PQO166" s="249"/>
      <c r="PQP166" s="249"/>
      <c r="PQQ166" s="249"/>
      <c r="PQR166" s="249"/>
      <c r="PQS166" s="249"/>
      <c r="PQT166" s="249"/>
      <c r="PQU166" s="249"/>
      <c r="PQV166" s="249"/>
      <c r="PQW166" s="249"/>
      <c r="PQX166" s="249"/>
      <c r="PQY166" s="249"/>
      <c r="PQZ166" s="249"/>
      <c r="PRA166" s="249"/>
      <c r="PRB166" s="249"/>
      <c r="PRC166" s="249"/>
      <c r="PRD166" s="249"/>
      <c r="PRE166" s="249"/>
      <c r="PRF166" s="249"/>
      <c r="PRG166" s="249"/>
      <c r="PRH166" s="249"/>
      <c r="PRI166" s="249"/>
      <c r="PRJ166" s="249"/>
      <c r="PRK166" s="249"/>
      <c r="PRL166" s="249"/>
      <c r="PRM166" s="249"/>
      <c r="PRN166" s="249"/>
      <c r="PRO166" s="249"/>
      <c r="PRP166" s="249"/>
      <c r="PRQ166" s="249"/>
      <c r="PRR166" s="249"/>
      <c r="PRS166" s="249"/>
      <c r="PRT166" s="249"/>
      <c r="PRU166" s="249"/>
      <c r="PRV166" s="249"/>
      <c r="PRW166" s="249"/>
      <c r="PRX166" s="249"/>
      <c r="PRY166" s="249"/>
      <c r="PRZ166" s="249"/>
      <c r="PSA166" s="249"/>
      <c r="PSB166" s="249"/>
      <c r="PSC166" s="249"/>
      <c r="PSD166" s="249"/>
      <c r="PSE166" s="249"/>
      <c r="PSF166" s="249"/>
      <c r="PSG166" s="249"/>
      <c r="PSH166" s="249"/>
      <c r="PSI166" s="249"/>
      <c r="PSJ166" s="249"/>
      <c r="PSK166" s="249"/>
      <c r="PSL166" s="249"/>
      <c r="PSM166" s="249"/>
      <c r="PSN166" s="249"/>
      <c r="PSO166" s="249"/>
      <c r="PSP166" s="249"/>
      <c r="PSQ166" s="249"/>
      <c r="PSR166" s="249"/>
      <c r="PSS166" s="249"/>
      <c r="PST166" s="249"/>
      <c r="PSU166" s="249"/>
      <c r="PSV166" s="249"/>
      <c r="PSW166" s="249"/>
      <c r="PSX166" s="249"/>
      <c r="PSY166" s="249"/>
      <c r="PSZ166" s="249"/>
      <c r="PTA166" s="249"/>
      <c r="PTB166" s="249"/>
      <c r="PTC166" s="249"/>
      <c r="PTD166" s="249"/>
      <c r="PTE166" s="249"/>
      <c r="PTF166" s="249"/>
      <c r="PTG166" s="249"/>
      <c r="PTH166" s="249"/>
      <c r="PTI166" s="249"/>
      <c r="PTJ166" s="249"/>
      <c r="PTK166" s="249"/>
      <c r="PTL166" s="249"/>
      <c r="PTM166" s="249"/>
      <c r="PTN166" s="249"/>
      <c r="PTO166" s="249"/>
      <c r="PTP166" s="249"/>
      <c r="PTQ166" s="249"/>
      <c r="PTR166" s="249"/>
      <c r="PTS166" s="249"/>
      <c r="PTT166" s="249"/>
      <c r="PTU166" s="249"/>
      <c r="PTV166" s="249"/>
      <c r="PTW166" s="249"/>
      <c r="PTX166" s="249"/>
      <c r="PTY166" s="249"/>
      <c r="PTZ166" s="249"/>
      <c r="PUA166" s="249"/>
      <c r="PUB166" s="249"/>
      <c r="PUC166" s="249"/>
      <c r="PUD166" s="249"/>
      <c r="PUE166" s="249"/>
      <c r="PUF166" s="249"/>
      <c r="PUG166" s="249"/>
      <c r="PUH166" s="249"/>
      <c r="PUI166" s="249"/>
      <c r="PUJ166" s="249"/>
      <c r="PUK166" s="249"/>
      <c r="PUL166" s="249"/>
      <c r="PUM166" s="249"/>
      <c r="PUN166" s="249"/>
      <c r="PUO166" s="249"/>
      <c r="PUP166" s="249"/>
      <c r="PUQ166" s="249"/>
      <c r="PUR166" s="249"/>
      <c r="PUS166" s="249"/>
      <c r="PUT166" s="249"/>
      <c r="PUU166" s="249"/>
      <c r="PUV166" s="249"/>
      <c r="PUW166" s="249"/>
      <c r="PUX166" s="249"/>
      <c r="PUY166" s="249"/>
      <c r="PUZ166" s="249"/>
      <c r="PVA166" s="249"/>
      <c r="PVB166" s="249"/>
      <c r="PVC166" s="249"/>
      <c r="PVD166" s="249"/>
      <c r="PVE166" s="249"/>
      <c r="PVF166" s="249"/>
      <c r="PVG166" s="249"/>
      <c r="PVH166" s="249"/>
      <c r="PVI166" s="249"/>
      <c r="PVJ166" s="249"/>
      <c r="PVK166" s="249"/>
      <c r="PVL166" s="249"/>
      <c r="PVM166" s="249"/>
      <c r="PVN166" s="249"/>
      <c r="PVO166" s="249"/>
      <c r="PVP166" s="249"/>
      <c r="PVQ166" s="249"/>
      <c r="PVR166" s="249"/>
      <c r="PVS166" s="249"/>
      <c r="PVT166" s="249"/>
      <c r="PVU166" s="249"/>
      <c r="PVV166" s="249"/>
      <c r="PVW166" s="249"/>
      <c r="PVX166" s="249"/>
      <c r="PVY166" s="249"/>
      <c r="PVZ166" s="249"/>
      <c r="PWA166" s="249"/>
      <c r="PWB166" s="249"/>
      <c r="PWC166" s="249"/>
      <c r="PWD166" s="249"/>
      <c r="PWE166" s="249"/>
      <c r="PWF166" s="249"/>
      <c r="PWG166" s="249"/>
      <c r="PWH166" s="249"/>
      <c r="PWI166" s="249"/>
      <c r="PWJ166" s="249"/>
      <c r="PWK166" s="249"/>
      <c r="PWL166" s="249"/>
      <c r="PWM166" s="249"/>
      <c r="PWN166" s="249"/>
      <c r="PWO166" s="249"/>
      <c r="PWP166" s="249"/>
      <c r="PWQ166" s="249"/>
      <c r="PWR166" s="249"/>
      <c r="PWS166" s="249"/>
      <c r="PWT166" s="249"/>
      <c r="PWU166" s="249"/>
      <c r="PWV166" s="249"/>
      <c r="PWW166" s="249"/>
      <c r="PWX166" s="249"/>
      <c r="PWY166" s="249"/>
      <c r="PWZ166" s="249"/>
      <c r="PXA166" s="249"/>
      <c r="PXB166" s="249"/>
      <c r="PXC166" s="249"/>
      <c r="PXD166" s="249"/>
      <c r="PXE166" s="249"/>
      <c r="PXF166" s="249"/>
      <c r="PXG166" s="249"/>
      <c r="PXH166" s="249"/>
      <c r="PXI166" s="249"/>
      <c r="PXJ166" s="249"/>
      <c r="PXK166" s="249"/>
      <c r="PXL166" s="249"/>
      <c r="PXM166" s="249"/>
      <c r="PXN166" s="249"/>
      <c r="PXO166" s="249"/>
      <c r="PXP166" s="249"/>
      <c r="PXQ166" s="249"/>
      <c r="PXR166" s="249"/>
      <c r="PXS166" s="249"/>
      <c r="PXT166" s="249"/>
      <c r="PXU166" s="249"/>
      <c r="PXV166" s="249"/>
      <c r="PXW166" s="249"/>
      <c r="PXX166" s="249"/>
      <c r="PXY166" s="249"/>
      <c r="PXZ166" s="249"/>
      <c r="PYA166" s="249"/>
      <c r="PYB166" s="249"/>
      <c r="PYC166" s="249"/>
      <c r="PYD166" s="249"/>
      <c r="PYE166" s="249"/>
      <c r="PYF166" s="249"/>
      <c r="PYG166" s="249"/>
      <c r="PYH166" s="249"/>
      <c r="PYI166" s="249"/>
      <c r="PYJ166" s="249"/>
      <c r="PYK166" s="249"/>
      <c r="PYL166" s="249"/>
      <c r="PYM166" s="249"/>
      <c r="PYN166" s="249"/>
      <c r="PYO166" s="249"/>
      <c r="PYP166" s="249"/>
      <c r="PYQ166" s="249"/>
      <c r="PYR166" s="249"/>
      <c r="PYS166" s="249"/>
      <c r="PYT166" s="249"/>
      <c r="PYU166" s="249"/>
      <c r="PYV166" s="249"/>
      <c r="PYW166" s="249"/>
      <c r="PYX166" s="249"/>
      <c r="PYY166" s="249"/>
      <c r="PYZ166" s="249"/>
      <c r="PZA166" s="249"/>
      <c r="PZB166" s="249"/>
      <c r="PZC166" s="249"/>
      <c r="PZD166" s="249"/>
      <c r="PZE166" s="249"/>
      <c r="PZF166" s="249"/>
      <c r="PZG166" s="249"/>
      <c r="PZH166" s="249"/>
      <c r="PZI166" s="249"/>
      <c r="PZJ166" s="249"/>
      <c r="PZK166" s="249"/>
      <c r="PZL166" s="249"/>
      <c r="PZM166" s="249"/>
      <c r="PZN166" s="249"/>
      <c r="PZO166" s="249"/>
      <c r="PZP166" s="249"/>
      <c r="PZQ166" s="249"/>
      <c r="PZR166" s="249"/>
      <c r="PZS166" s="249"/>
      <c r="PZT166" s="249"/>
      <c r="PZU166" s="249"/>
      <c r="PZV166" s="249"/>
      <c r="PZW166" s="249"/>
      <c r="PZX166" s="249"/>
      <c r="PZY166" s="249"/>
      <c r="PZZ166" s="249"/>
      <c r="QAA166" s="249"/>
      <c r="QAB166" s="249"/>
      <c r="QAC166" s="249"/>
      <c r="QAD166" s="249"/>
      <c r="QAE166" s="249"/>
      <c r="QAF166" s="249"/>
      <c r="QAG166" s="249"/>
      <c r="QAH166" s="249"/>
      <c r="QAI166" s="249"/>
      <c r="QAJ166" s="249"/>
      <c r="QAK166" s="249"/>
      <c r="QAL166" s="249"/>
      <c r="QAM166" s="249"/>
      <c r="QAN166" s="249"/>
      <c r="QAO166" s="249"/>
      <c r="QAP166" s="249"/>
      <c r="QAQ166" s="249"/>
      <c r="QAR166" s="249"/>
      <c r="QAS166" s="249"/>
      <c r="QAT166" s="249"/>
      <c r="QAU166" s="249"/>
      <c r="QAV166" s="249"/>
      <c r="QAW166" s="249"/>
      <c r="QAX166" s="249"/>
      <c r="QAY166" s="249"/>
      <c r="QAZ166" s="249"/>
      <c r="QBA166" s="249"/>
      <c r="QBB166" s="249"/>
      <c r="QBC166" s="249"/>
      <c r="QBD166" s="249"/>
      <c r="QBE166" s="249"/>
      <c r="QBF166" s="249"/>
      <c r="QBG166" s="249"/>
      <c r="QBH166" s="249"/>
      <c r="QBI166" s="249"/>
      <c r="QBJ166" s="249"/>
      <c r="QBK166" s="249"/>
      <c r="QBL166" s="249"/>
      <c r="QBM166" s="249"/>
      <c r="QBN166" s="249"/>
      <c r="QBO166" s="249"/>
      <c r="QBP166" s="249"/>
      <c r="QBQ166" s="249"/>
      <c r="QBR166" s="249"/>
      <c r="QBS166" s="249"/>
      <c r="QBT166" s="249"/>
      <c r="QBU166" s="249"/>
      <c r="QBV166" s="249"/>
      <c r="QBW166" s="249"/>
      <c r="QBX166" s="249"/>
      <c r="QBY166" s="249"/>
      <c r="QBZ166" s="249"/>
      <c r="QCA166" s="249"/>
      <c r="QCB166" s="249"/>
      <c r="QCC166" s="249"/>
      <c r="QCD166" s="249"/>
      <c r="QCE166" s="249"/>
      <c r="QCF166" s="249"/>
      <c r="QCG166" s="249"/>
      <c r="QCH166" s="249"/>
      <c r="QCI166" s="249"/>
      <c r="QCJ166" s="249"/>
      <c r="QCK166" s="249"/>
      <c r="QCL166" s="249"/>
      <c r="QCM166" s="249"/>
      <c r="QCN166" s="249"/>
      <c r="QCO166" s="249"/>
      <c r="QCP166" s="249"/>
      <c r="QCQ166" s="249"/>
      <c r="QCR166" s="249"/>
      <c r="QCS166" s="249"/>
      <c r="QCT166" s="249"/>
      <c r="QCU166" s="249"/>
      <c r="QCV166" s="249"/>
      <c r="QCW166" s="249"/>
      <c r="QCX166" s="249"/>
      <c r="QCY166" s="249"/>
      <c r="QCZ166" s="249"/>
      <c r="QDA166" s="249"/>
      <c r="QDB166" s="249"/>
      <c r="QDC166" s="249"/>
      <c r="QDD166" s="249"/>
      <c r="QDE166" s="249"/>
      <c r="QDF166" s="249"/>
      <c r="QDG166" s="249"/>
      <c r="QDH166" s="249"/>
      <c r="QDI166" s="249"/>
      <c r="QDJ166" s="249"/>
      <c r="QDK166" s="249"/>
      <c r="QDL166" s="249"/>
      <c r="QDM166" s="249"/>
      <c r="QDN166" s="249"/>
      <c r="QDO166" s="249"/>
      <c r="QDP166" s="249"/>
      <c r="QDQ166" s="249"/>
      <c r="QDR166" s="249"/>
      <c r="QDS166" s="249"/>
      <c r="QDT166" s="249"/>
      <c r="QDU166" s="249"/>
      <c r="QDV166" s="249"/>
      <c r="QDW166" s="249"/>
      <c r="QDX166" s="249"/>
      <c r="QDY166" s="249"/>
      <c r="QDZ166" s="249"/>
      <c r="QEA166" s="249"/>
      <c r="QEB166" s="249"/>
      <c r="QEC166" s="249"/>
      <c r="QED166" s="249"/>
      <c r="QEE166" s="249"/>
      <c r="QEF166" s="249"/>
      <c r="QEG166" s="249"/>
      <c r="QEH166" s="249"/>
      <c r="QEI166" s="249"/>
      <c r="QEJ166" s="249"/>
      <c r="QEK166" s="249"/>
      <c r="QEL166" s="249"/>
      <c r="QEM166" s="249"/>
      <c r="QEN166" s="249"/>
      <c r="QEO166" s="249"/>
      <c r="QEP166" s="249"/>
      <c r="QEQ166" s="249"/>
      <c r="QER166" s="249"/>
      <c r="QES166" s="249"/>
      <c r="QET166" s="249"/>
      <c r="QEU166" s="249"/>
      <c r="QEV166" s="249"/>
      <c r="QEW166" s="249"/>
      <c r="QEX166" s="249"/>
      <c r="QEY166" s="249"/>
      <c r="QEZ166" s="249"/>
      <c r="QFA166" s="249"/>
      <c r="QFB166" s="249"/>
      <c r="QFC166" s="249"/>
      <c r="QFD166" s="249"/>
      <c r="QFE166" s="249"/>
      <c r="QFF166" s="249"/>
      <c r="QFG166" s="249"/>
      <c r="QFH166" s="249"/>
      <c r="QFI166" s="249"/>
      <c r="QFJ166" s="249"/>
      <c r="QFK166" s="249"/>
      <c r="QFL166" s="249"/>
      <c r="QFM166" s="249"/>
      <c r="QFN166" s="249"/>
      <c r="QFO166" s="249"/>
      <c r="QFP166" s="249"/>
      <c r="QFQ166" s="249"/>
      <c r="QFR166" s="249"/>
      <c r="QFS166" s="249"/>
      <c r="QFT166" s="249"/>
      <c r="QFU166" s="249"/>
      <c r="QFV166" s="249"/>
      <c r="QFW166" s="249"/>
      <c r="QFX166" s="249"/>
      <c r="QFY166" s="249"/>
      <c r="QFZ166" s="249"/>
      <c r="QGA166" s="249"/>
      <c r="QGB166" s="249"/>
      <c r="QGC166" s="249"/>
      <c r="QGD166" s="249"/>
      <c r="QGE166" s="249"/>
      <c r="QGF166" s="249"/>
      <c r="QGG166" s="249"/>
      <c r="QGH166" s="249"/>
      <c r="QGI166" s="249"/>
      <c r="QGJ166" s="249"/>
      <c r="QGK166" s="249"/>
      <c r="QGL166" s="249"/>
      <c r="QGM166" s="249"/>
      <c r="QGN166" s="249"/>
      <c r="QGO166" s="249"/>
      <c r="QGP166" s="249"/>
      <c r="QGQ166" s="249"/>
      <c r="QGR166" s="249"/>
      <c r="QGS166" s="249"/>
      <c r="QGT166" s="249"/>
      <c r="QGU166" s="249"/>
      <c r="QGV166" s="249"/>
      <c r="QGW166" s="249"/>
      <c r="QGX166" s="249"/>
      <c r="QGY166" s="249"/>
      <c r="QGZ166" s="249"/>
      <c r="QHA166" s="249"/>
      <c r="QHB166" s="249"/>
      <c r="QHC166" s="249"/>
      <c r="QHD166" s="249"/>
      <c r="QHE166" s="249"/>
      <c r="QHF166" s="249"/>
      <c r="QHG166" s="249"/>
      <c r="QHH166" s="249"/>
      <c r="QHI166" s="249"/>
      <c r="QHJ166" s="249"/>
      <c r="QHK166" s="249"/>
      <c r="QHL166" s="249"/>
      <c r="QHM166" s="249"/>
      <c r="QHN166" s="249"/>
      <c r="QHO166" s="249"/>
      <c r="QHP166" s="249"/>
      <c r="QHQ166" s="249"/>
      <c r="QHR166" s="249"/>
      <c r="QHS166" s="249"/>
      <c r="QHT166" s="249"/>
      <c r="QHU166" s="249"/>
      <c r="QHV166" s="249"/>
      <c r="QHW166" s="249"/>
      <c r="QHX166" s="249"/>
      <c r="QHY166" s="249"/>
      <c r="QHZ166" s="249"/>
      <c r="QIA166" s="249"/>
      <c r="QIB166" s="249"/>
      <c r="QIC166" s="249"/>
      <c r="QID166" s="249"/>
      <c r="QIE166" s="249"/>
      <c r="QIF166" s="249"/>
      <c r="QIG166" s="249"/>
      <c r="QIH166" s="249"/>
      <c r="QII166" s="249"/>
      <c r="QIJ166" s="249"/>
      <c r="QIK166" s="249"/>
      <c r="QIL166" s="249"/>
      <c r="QIM166" s="249"/>
      <c r="QIN166" s="249"/>
      <c r="QIO166" s="249"/>
      <c r="QIP166" s="249"/>
      <c r="QIQ166" s="249"/>
      <c r="QIR166" s="249"/>
      <c r="QIS166" s="249"/>
      <c r="QIT166" s="249"/>
      <c r="QIU166" s="249"/>
      <c r="QIV166" s="249"/>
      <c r="QIW166" s="249"/>
      <c r="QIX166" s="249"/>
      <c r="QIY166" s="249"/>
      <c r="QIZ166" s="249"/>
      <c r="QJA166" s="249"/>
      <c r="QJB166" s="249"/>
      <c r="QJC166" s="249"/>
      <c r="QJD166" s="249"/>
      <c r="QJE166" s="249"/>
      <c r="QJF166" s="249"/>
      <c r="QJG166" s="249"/>
      <c r="QJH166" s="249"/>
      <c r="QJI166" s="249"/>
      <c r="QJJ166" s="249"/>
      <c r="QJK166" s="249"/>
      <c r="QJL166" s="249"/>
      <c r="QJM166" s="249"/>
      <c r="QJN166" s="249"/>
      <c r="QJO166" s="249"/>
      <c r="QJP166" s="249"/>
      <c r="QJQ166" s="249"/>
      <c r="QJR166" s="249"/>
      <c r="QJS166" s="249"/>
      <c r="QJT166" s="249"/>
      <c r="QJU166" s="249"/>
      <c r="QJV166" s="249"/>
      <c r="QJW166" s="249"/>
      <c r="QJX166" s="249"/>
      <c r="QJY166" s="249"/>
      <c r="QJZ166" s="249"/>
      <c r="QKA166" s="249"/>
      <c r="QKB166" s="249"/>
      <c r="QKC166" s="249"/>
      <c r="QKD166" s="249"/>
      <c r="QKE166" s="249"/>
      <c r="QKF166" s="249"/>
      <c r="QKG166" s="249"/>
      <c r="QKH166" s="249"/>
      <c r="QKI166" s="249"/>
      <c r="QKJ166" s="249"/>
      <c r="QKK166" s="249"/>
      <c r="QKL166" s="249"/>
      <c r="QKM166" s="249"/>
      <c r="QKN166" s="249"/>
      <c r="QKO166" s="249"/>
      <c r="QKP166" s="249"/>
      <c r="QKQ166" s="249"/>
      <c r="QKR166" s="249"/>
      <c r="QKS166" s="249"/>
      <c r="QKT166" s="249"/>
      <c r="QKU166" s="249"/>
      <c r="QKV166" s="249"/>
      <c r="QKW166" s="249"/>
      <c r="QKX166" s="249"/>
      <c r="QKY166" s="249"/>
      <c r="QKZ166" s="249"/>
      <c r="QLA166" s="249"/>
      <c r="QLB166" s="249"/>
      <c r="QLC166" s="249"/>
      <c r="QLD166" s="249"/>
      <c r="QLE166" s="249"/>
      <c r="QLF166" s="249"/>
      <c r="QLG166" s="249"/>
      <c r="QLH166" s="249"/>
      <c r="QLI166" s="249"/>
      <c r="QLJ166" s="249"/>
      <c r="QLK166" s="249"/>
      <c r="QLL166" s="249"/>
      <c r="QLM166" s="249"/>
      <c r="QLN166" s="249"/>
      <c r="QLO166" s="249"/>
      <c r="QLP166" s="249"/>
      <c r="QLQ166" s="249"/>
      <c r="QLR166" s="249"/>
      <c r="QLS166" s="249"/>
      <c r="QLT166" s="249"/>
      <c r="QLU166" s="249"/>
      <c r="QLV166" s="249"/>
      <c r="QLW166" s="249"/>
      <c r="QLX166" s="249"/>
      <c r="QLY166" s="249"/>
      <c r="QLZ166" s="249"/>
      <c r="QMA166" s="249"/>
      <c r="QMB166" s="249"/>
      <c r="QMC166" s="249"/>
      <c r="QMD166" s="249"/>
      <c r="QME166" s="249"/>
      <c r="QMF166" s="249"/>
      <c r="QMG166" s="249"/>
      <c r="QMH166" s="249"/>
      <c r="QMI166" s="249"/>
      <c r="QMJ166" s="249"/>
      <c r="QMK166" s="249"/>
      <c r="QML166" s="249"/>
      <c r="QMM166" s="249"/>
      <c r="QMN166" s="249"/>
      <c r="QMO166" s="249"/>
      <c r="QMP166" s="249"/>
      <c r="QMQ166" s="249"/>
      <c r="QMR166" s="249"/>
      <c r="QMS166" s="249"/>
      <c r="QMT166" s="249"/>
      <c r="QMU166" s="249"/>
      <c r="QMV166" s="249"/>
      <c r="QMW166" s="249"/>
      <c r="QMX166" s="249"/>
      <c r="QMY166" s="249"/>
      <c r="QMZ166" s="249"/>
      <c r="QNA166" s="249"/>
      <c r="QNB166" s="249"/>
      <c r="QNC166" s="249"/>
      <c r="QND166" s="249"/>
      <c r="QNE166" s="249"/>
      <c r="QNF166" s="249"/>
      <c r="QNG166" s="249"/>
      <c r="QNH166" s="249"/>
      <c r="QNI166" s="249"/>
      <c r="QNJ166" s="249"/>
      <c r="QNK166" s="249"/>
      <c r="QNL166" s="249"/>
      <c r="QNM166" s="249"/>
      <c r="QNN166" s="249"/>
      <c r="QNO166" s="249"/>
      <c r="QNP166" s="249"/>
      <c r="QNQ166" s="249"/>
      <c r="QNR166" s="249"/>
      <c r="QNS166" s="249"/>
      <c r="QNT166" s="249"/>
      <c r="QNU166" s="249"/>
      <c r="QNV166" s="249"/>
      <c r="QNW166" s="249"/>
      <c r="QNX166" s="249"/>
      <c r="QNY166" s="249"/>
      <c r="QNZ166" s="249"/>
      <c r="QOA166" s="249"/>
      <c r="QOB166" s="249"/>
      <c r="QOC166" s="249"/>
      <c r="QOD166" s="249"/>
      <c r="QOE166" s="249"/>
      <c r="QOF166" s="249"/>
      <c r="QOG166" s="249"/>
      <c r="QOH166" s="249"/>
      <c r="QOI166" s="249"/>
      <c r="QOJ166" s="249"/>
      <c r="QOK166" s="249"/>
      <c r="QOL166" s="249"/>
      <c r="QOM166" s="249"/>
      <c r="QON166" s="249"/>
      <c r="QOO166" s="249"/>
      <c r="QOP166" s="249"/>
      <c r="QOQ166" s="249"/>
      <c r="QOR166" s="249"/>
      <c r="QOS166" s="249"/>
      <c r="QOT166" s="249"/>
      <c r="QOU166" s="249"/>
      <c r="QOV166" s="249"/>
      <c r="QOW166" s="249"/>
      <c r="QOX166" s="249"/>
      <c r="QOY166" s="249"/>
      <c r="QOZ166" s="249"/>
      <c r="QPA166" s="249"/>
      <c r="QPB166" s="249"/>
      <c r="QPC166" s="249"/>
      <c r="QPD166" s="249"/>
      <c r="QPE166" s="249"/>
      <c r="QPF166" s="249"/>
      <c r="QPG166" s="249"/>
      <c r="QPH166" s="249"/>
      <c r="QPI166" s="249"/>
      <c r="QPJ166" s="249"/>
      <c r="QPK166" s="249"/>
      <c r="QPL166" s="249"/>
      <c r="QPM166" s="249"/>
      <c r="QPN166" s="249"/>
      <c r="QPO166" s="249"/>
      <c r="QPP166" s="249"/>
      <c r="QPQ166" s="249"/>
      <c r="QPR166" s="249"/>
      <c r="QPS166" s="249"/>
      <c r="QPT166" s="249"/>
      <c r="QPU166" s="249"/>
      <c r="QPV166" s="249"/>
      <c r="QPW166" s="249"/>
      <c r="QPX166" s="249"/>
      <c r="QPY166" s="249"/>
      <c r="QPZ166" s="249"/>
      <c r="QQA166" s="249"/>
      <c r="QQB166" s="249"/>
      <c r="QQC166" s="249"/>
      <c r="QQD166" s="249"/>
      <c r="QQE166" s="249"/>
      <c r="QQF166" s="249"/>
      <c r="QQG166" s="249"/>
      <c r="QQH166" s="249"/>
      <c r="QQI166" s="249"/>
      <c r="QQJ166" s="249"/>
      <c r="QQK166" s="249"/>
      <c r="QQL166" s="249"/>
      <c r="QQM166" s="249"/>
      <c r="QQN166" s="249"/>
      <c r="QQO166" s="249"/>
      <c r="QQP166" s="249"/>
      <c r="QQQ166" s="249"/>
      <c r="QQR166" s="249"/>
      <c r="QQS166" s="249"/>
      <c r="QQT166" s="249"/>
      <c r="QQU166" s="249"/>
      <c r="QQV166" s="249"/>
      <c r="QQW166" s="249"/>
      <c r="QQX166" s="249"/>
      <c r="QQY166" s="249"/>
      <c r="QQZ166" s="249"/>
      <c r="QRA166" s="249"/>
      <c r="QRB166" s="249"/>
      <c r="QRC166" s="249"/>
      <c r="QRD166" s="249"/>
      <c r="QRE166" s="249"/>
      <c r="QRF166" s="249"/>
      <c r="QRG166" s="249"/>
      <c r="QRH166" s="249"/>
      <c r="QRI166" s="249"/>
      <c r="QRJ166" s="249"/>
      <c r="QRK166" s="249"/>
      <c r="QRL166" s="249"/>
      <c r="QRM166" s="249"/>
      <c r="QRN166" s="249"/>
      <c r="QRO166" s="249"/>
      <c r="QRP166" s="249"/>
      <c r="QRQ166" s="249"/>
      <c r="QRR166" s="249"/>
      <c r="QRS166" s="249"/>
      <c r="QRT166" s="249"/>
      <c r="QRU166" s="249"/>
      <c r="QRV166" s="249"/>
      <c r="QRW166" s="249"/>
      <c r="QRX166" s="249"/>
      <c r="QRY166" s="249"/>
      <c r="QRZ166" s="249"/>
      <c r="QSA166" s="249"/>
      <c r="QSB166" s="249"/>
      <c r="QSC166" s="249"/>
      <c r="QSD166" s="249"/>
      <c r="QSE166" s="249"/>
      <c r="QSF166" s="249"/>
      <c r="QSG166" s="249"/>
      <c r="QSH166" s="249"/>
      <c r="QSI166" s="249"/>
      <c r="QSJ166" s="249"/>
      <c r="QSK166" s="249"/>
      <c r="QSL166" s="249"/>
      <c r="QSM166" s="249"/>
      <c r="QSN166" s="249"/>
      <c r="QSO166" s="249"/>
      <c r="QSP166" s="249"/>
      <c r="QSQ166" s="249"/>
      <c r="QSR166" s="249"/>
      <c r="QSS166" s="249"/>
      <c r="QST166" s="249"/>
      <c r="QSU166" s="249"/>
      <c r="QSV166" s="249"/>
      <c r="QSW166" s="249"/>
      <c r="QSX166" s="249"/>
      <c r="QSY166" s="249"/>
      <c r="QSZ166" s="249"/>
      <c r="QTA166" s="249"/>
      <c r="QTB166" s="249"/>
      <c r="QTC166" s="249"/>
      <c r="QTD166" s="249"/>
      <c r="QTE166" s="249"/>
      <c r="QTF166" s="249"/>
      <c r="QTG166" s="249"/>
      <c r="QTH166" s="249"/>
      <c r="QTI166" s="249"/>
      <c r="QTJ166" s="249"/>
      <c r="QTK166" s="249"/>
      <c r="QTL166" s="249"/>
      <c r="QTM166" s="249"/>
      <c r="QTN166" s="249"/>
      <c r="QTO166" s="249"/>
      <c r="QTP166" s="249"/>
      <c r="QTQ166" s="249"/>
      <c r="QTR166" s="249"/>
      <c r="QTS166" s="249"/>
      <c r="QTT166" s="249"/>
      <c r="QTU166" s="249"/>
      <c r="QTV166" s="249"/>
      <c r="QTW166" s="249"/>
      <c r="QTX166" s="249"/>
      <c r="QTY166" s="249"/>
      <c r="QTZ166" s="249"/>
      <c r="QUA166" s="249"/>
      <c r="QUB166" s="249"/>
      <c r="QUC166" s="249"/>
      <c r="QUD166" s="249"/>
      <c r="QUE166" s="249"/>
      <c r="QUF166" s="249"/>
      <c r="QUG166" s="249"/>
      <c r="QUH166" s="249"/>
      <c r="QUI166" s="249"/>
      <c r="QUJ166" s="249"/>
      <c r="QUK166" s="249"/>
      <c r="QUL166" s="249"/>
      <c r="QUM166" s="249"/>
      <c r="QUN166" s="249"/>
      <c r="QUO166" s="249"/>
      <c r="QUP166" s="249"/>
      <c r="QUQ166" s="249"/>
      <c r="QUR166" s="249"/>
      <c r="QUS166" s="249"/>
      <c r="QUT166" s="249"/>
      <c r="QUU166" s="249"/>
      <c r="QUV166" s="249"/>
      <c r="QUW166" s="249"/>
      <c r="QUX166" s="249"/>
      <c r="QUY166" s="249"/>
      <c r="QUZ166" s="249"/>
      <c r="QVA166" s="249"/>
      <c r="QVB166" s="249"/>
      <c r="QVC166" s="249"/>
      <c r="QVD166" s="249"/>
      <c r="QVE166" s="249"/>
      <c r="QVF166" s="249"/>
      <c r="QVG166" s="249"/>
      <c r="QVH166" s="249"/>
      <c r="QVI166" s="249"/>
      <c r="QVJ166" s="249"/>
      <c r="QVK166" s="249"/>
      <c r="QVL166" s="249"/>
      <c r="QVM166" s="249"/>
      <c r="QVN166" s="249"/>
      <c r="QVO166" s="249"/>
      <c r="QVP166" s="249"/>
      <c r="QVQ166" s="249"/>
      <c r="QVR166" s="249"/>
      <c r="QVS166" s="249"/>
      <c r="QVT166" s="249"/>
      <c r="QVU166" s="249"/>
      <c r="QVV166" s="249"/>
      <c r="QVW166" s="249"/>
      <c r="QVX166" s="249"/>
      <c r="QVY166" s="249"/>
      <c r="QVZ166" s="249"/>
      <c r="QWA166" s="249"/>
      <c r="QWB166" s="249"/>
      <c r="QWC166" s="249"/>
      <c r="QWD166" s="249"/>
      <c r="QWE166" s="249"/>
      <c r="QWF166" s="249"/>
      <c r="QWG166" s="249"/>
      <c r="QWH166" s="249"/>
      <c r="QWI166" s="249"/>
      <c r="QWJ166" s="249"/>
      <c r="QWK166" s="249"/>
      <c r="QWL166" s="249"/>
      <c r="QWM166" s="249"/>
      <c r="QWN166" s="249"/>
      <c r="QWO166" s="249"/>
      <c r="QWP166" s="249"/>
      <c r="QWQ166" s="249"/>
      <c r="QWR166" s="249"/>
      <c r="QWS166" s="249"/>
      <c r="QWT166" s="249"/>
      <c r="QWU166" s="249"/>
      <c r="QWV166" s="249"/>
      <c r="QWW166" s="249"/>
      <c r="QWX166" s="249"/>
      <c r="QWY166" s="249"/>
      <c r="QWZ166" s="249"/>
      <c r="QXA166" s="249"/>
      <c r="QXB166" s="249"/>
      <c r="QXC166" s="249"/>
      <c r="QXD166" s="249"/>
      <c r="QXE166" s="249"/>
      <c r="QXF166" s="249"/>
      <c r="QXG166" s="249"/>
      <c r="QXH166" s="249"/>
      <c r="QXI166" s="249"/>
      <c r="QXJ166" s="249"/>
      <c r="QXK166" s="249"/>
      <c r="QXL166" s="249"/>
      <c r="QXM166" s="249"/>
      <c r="QXN166" s="249"/>
      <c r="QXO166" s="249"/>
      <c r="QXP166" s="249"/>
      <c r="QXQ166" s="249"/>
      <c r="QXR166" s="249"/>
      <c r="QXS166" s="249"/>
      <c r="QXT166" s="249"/>
      <c r="QXU166" s="249"/>
      <c r="QXV166" s="249"/>
      <c r="QXW166" s="249"/>
      <c r="QXX166" s="249"/>
      <c r="QXY166" s="249"/>
      <c r="QXZ166" s="249"/>
      <c r="QYA166" s="249"/>
      <c r="QYB166" s="249"/>
      <c r="QYC166" s="249"/>
      <c r="QYD166" s="249"/>
      <c r="QYE166" s="249"/>
      <c r="QYF166" s="249"/>
      <c r="QYG166" s="249"/>
      <c r="QYH166" s="249"/>
      <c r="QYI166" s="249"/>
      <c r="QYJ166" s="249"/>
      <c r="QYK166" s="249"/>
      <c r="QYL166" s="249"/>
      <c r="QYM166" s="249"/>
      <c r="QYN166" s="249"/>
      <c r="QYO166" s="249"/>
      <c r="QYP166" s="249"/>
      <c r="QYQ166" s="249"/>
      <c r="QYR166" s="249"/>
      <c r="QYS166" s="249"/>
      <c r="QYT166" s="249"/>
      <c r="QYU166" s="249"/>
      <c r="QYV166" s="249"/>
      <c r="QYW166" s="249"/>
      <c r="QYX166" s="249"/>
      <c r="QYY166" s="249"/>
      <c r="QYZ166" s="249"/>
      <c r="QZA166" s="249"/>
      <c r="QZB166" s="249"/>
      <c r="QZC166" s="249"/>
      <c r="QZD166" s="249"/>
      <c r="QZE166" s="249"/>
      <c r="QZF166" s="249"/>
      <c r="QZG166" s="249"/>
      <c r="QZH166" s="249"/>
      <c r="QZI166" s="249"/>
      <c r="QZJ166" s="249"/>
      <c r="QZK166" s="249"/>
      <c r="QZL166" s="249"/>
      <c r="QZM166" s="249"/>
      <c r="QZN166" s="249"/>
      <c r="QZO166" s="249"/>
      <c r="QZP166" s="249"/>
      <c r="QZQ166" s="249"/>
      <c r="QZR166" s="249"/>
      <c r="QZS166" s="249"/>
      <c r="QZT166" s="249"/>
      <c r="QZU166" s="249"/>
      <c r="QZV166" s="249"/>
      <c r="QZW166" s="249"/>
      <c r="QZX166" s="249"/>
      <c r="QZY166" s="249"/>
      <c r="QZZ166" s="249"/>
      <c r="RAA166" s="249"/>
      <c r="RAB166" s="249"/>
      <c r="RAC166" s="249"/>
      <c r="RAD166" s="249"/>
      <c r="RAE166" s="249"/>
      <c r="RAF166" s="249"/>
      <c r="RAG166" s="249"/>
      <c r="RAH166" s="249"/>
      <c r="RAI166" s="249"/>
      <c r="RAJ166" s="249"/>
      <c r="RAK166" s="249"/>
      <c r="RAL166" s="249"/>
      <c r="RAM166" s="249"/>
      <c r="RAN166" s="249"/>
      <c r="RAO166" s="249"/>
      <c r="RAP166" s="249"/>
      <c r="RAQ166" s="249"/>
      <c r="RAR166" s="249"/>
      <c r="RAS166" s="249"/>
      <c r="RAT166" s="249"/>
      <c r="RAU166" s="249"/>
      <c r="RAV166" s="249"/>
      <c r="RAW166" s="249"/>
      <c r="RAX166" s="249"/>
      <c r="RAY166" s="249"/>
      <c r="RAZ166" s="249"/>
      <c r="RBA166" s="249"/>
      <c r="RBB166" s="249"/>
      <c r="RBC166" s="249"/>
      <c r="RBD166" s="249"/>
      <c r="RBE166" s="249"/>
      <c r="RBF166" s="249"/>
      <c r="RBG166" s="249"/>
      <c r="RBH166" s="249"/>
      <c r="RBI166" s="249"/>
      <c r="RBJ166" s="249"/>
      <c r="RBK166" s="249"/>
      <c r="RBL166" s="249"/>
      <c r="RBM166" s="249"/>
      <c r="RBN166" s="249"/>
      <c r="RBO166" s="249"/>
      <c r="RBP166" s="249"/>
      <c r="RBQ166" s="249"/>
      <c r="RBR166" s="249"/>
      <c r="RBS166" s="249"/>
      <c r="RBT166" s="249"/>
      <c r="RBU166" s="249"/>
      <c r="RBV166" s="249"/>
      <c r="RBW166" s="249"/>
      <c r="RBX166" s="249"/>
      <c r="RBY166" s="249"/>
      <c r="RBZ166" s="249"/>
      <c r="RCA166" s="249"/>
      <c r="RCB166" s="249"/>
      <c r="RCC166" s="249"/>
      <c r="RCD166" s="249"/>
      <c r="RCE166" s="249"/>
      <c r="RCF166" s="249"/>
      <c r="RCG166" s="249"/>
      <c r="RCH166" s="249"/>
      <c r="RCI166" s="249"/>
      <c r="RCJ166" s="249"/>
      <c r="RCK166" s="249"/>
      <c r="RCL166" s="249"/>
      <c r="RCM166" s="249"/>
      <c r="RCN166" s="249"/>
      <c r="RCO166" s="249"/>
      <c r="RCP166" s="249"/>
      <c r="RCQ166" s="249"/>
      <c r="RCR166" s="249"/>
      <c r="RCS166" s="249"/>
      <c r="RCT166" s="249"/>
      <c r="RCU166" s="249"/>
      <c r="RCV166" s="249"/>
      <c r="RCW166" s="249"/>
      <c r="RCX166" s="249"/>
      <c r="RCY166" s="249"/>
      <c r="RCZ166" s="249"/>
      <c r="RDA166" s="249"/>
      <c r="RDB166" s="249"/>
      <c r="RDC166" s="249"/>
      <c r="RDD166" s="249"/>
      <c r="RDE166" s="249"/>
      <c r="RDF166" s="249"/>
      <c r="RDG166" s="249"/>
      <c r="RDH166" s="249"/>
      <c r="RDI166" s="249"/>
      <c r="RDJ166" s="249"/>
      <c r="RDK166" s="249"/>
      <c r="RDL166" s="249"/>
      <c r="RDM166" s="249"/>
      <c r="RDN166" s="249"/>
      <c r="RDO166" s="249"/>
      <c r="RDP166" s="249"/>
      <c r="RDQ166" s="249"/>
      <c r="RDR166" s="249"/>
      <c r="RDS166" s="249"/>
      <c r="RDT166" s="249"/>
      <c r="RDU166" s="249"/>
      <c r="RDV166" s="249"/>
      <c r="RDW166" s="249"/>
      <c r="RDX166" s="249"/>
      <c r="RDY166" s="249"/>
      <c r="RDZ166" s="249"/>
      <c r="REA166" s="249"/>
      <c r="REB166" s="249"/>
      <c r="REC166" s="249"/>
      <c r="RED166" s="249"/>
      <c r="REE166" s="249"/>
      <c r="REF166" s="249"/>
      <c r="REG166" s="249"/>
      <c r="REH166" s="249"/>
      <c r="REI166" s="249"/>
      <c r="REJ166" s="249"/>
      <c r="REK166" s="249"/>
      <c r="REL166" s="249"/>
      <c r="REM166" s="249"/>
      <c r="REN166" s="249"/>
      <c r="REO166" s="249"/>
      <c r="REP166" s="249"/>
      <c r="REQ166" s="249"/>
      <c r="RER166" s="249"/>
      <c r="RES166" s="249"/>
      <c r="RET166" s="249"/>
      <c r="REU166" s="249"/>
      <c r="REV166" s="249"/>
      <c r="REW166" s="249"/>
      <c r="REX166" s="249"/>
      <c r="REY166" s="249"/>
      <c r="REZ166" s="249"/>
      <c r="RFA166" s="249"/>
      <c r="RFB166" s="249"/>
      <c r="RFC166" s="249"/>
      <c r="RFD166" s="249"/>
      <c r="RFE166" s="249"/>
      <c r="RFF166" s="249"/>
      <c r="RFG166" s="249"/>
      <c r="RFH166" s="249"/>
      <c r="RFI166" s="249"/>
      <c r="RFJ166" s="249"/>
      <c r="RFK166" s="249"/>
      <c r="RFL166" s="249"/>
      <c r="RFM166" s="249"/>
      <c r="RFN166" s="249"/>
      <c r="RFO166" s="249"/>
      <c r="RFP166" s="249"/>
      <c r="RFQ166" s="249"/>
      <c r="RFR166" s="249"/>
      <c r="RFS166" s="249"/>
      <c r="RFT166" s="249"/>
      <c r="RFU166" s="249"/>
      <c r="RFV166" s="249"/>
      <c r="RFW166" s="249"/>
      <c r="RFX166" s="249"/>
      <c r="RFY166" s="249"/>
      <c r="RFZ166" s="249"/>
      <c r="RGA166" s="249"/>
      <c r="RGB166" s="249"/>
      <c r="RGC166" s="249"/>
      <c r="RGD166" s="249"/>
      <c r="RGE166" s="249"/>
      <c r="RGF166" s="249"/>
      <c r="RGG166" s="249"/>
      <c r="RGH166" s="249"/>
      <c r="RGI166" s="249"/>
      <c r="RGJ166" s="249"/>
      <c r="RGK166" s="249"/>
      <c r="RGL166" s="249"/>
      <c r="RGM166" s="249"/>
      <c r="RGN166" s="249"/>
      <c r="RGO166" s="249"/>
      <c r="RGP166" s="249"/>
      <c r="RGQ166" s="249"/>
      <c r="RGR166" s="249"/>
      <c r="RGS166" s="249"/>
      <c r="RGT166" s="249"/>
      <c r="RGU166" s="249"/>
      <c r="RGV166" s="249"/>
      <c r="RGW166" s="249"/>
      <c r="RGX166" s="249"/>
      <c r="RGY166" s="249"/>
      <c r="RGZ166" s="249"/>
      <c r="RHA166" s="249"/>
      <c r="RHB166" s="249"/>
      <c r="RHC166" s="249"/>
      <c r="RHD166" s="249"/>
      <c r="RHE166" s="249"/>
      <c r="RHF166" s="249"/>
      <c r="RHG166" s="249"/>
      <c r="RHH166" s="249"/>
      <c r="RHI166" s="249"/>
      <c r="RHJ166" s="249"/>
      <c r="RHK166" s="249"/>
      <c r="RHL166" s="249"/>
      <c r="RHM166" s="249"/>
      <c r="RHN166" s="249"/>
      <c r="RHO166" s="249"/>
      <c r="RHP166" s="249"/>
      <c r="RHQ166" s="249"/>
      <c r="RHR166" s="249"/>
      <c r="RHS166" s="249"/>
      <c r="RHT166" s="249"/>
      <c r="RHU166" s="249"/>
      <c r="RHV166" s="249"/>
      <c r="RHW166" s="249"/>
      <c r="RHX166" s="249"/>
      <c r="RHY166" s="249"/>
      <c r="RHZ166" s="249"/>
      <c r="RIA166" s="249"/>
      <c r="RIB166" s="249"/>
      <c r="RIC166" s="249"/>
      <c r="RID166" s="249"/>
      <c r="RIE166" s="249"/>
      <c r="RIF166" s="249"/>
      <c r="RIG166" s="249"/>
      <c r="RIH166" s="249"/>
      <c r="RII166" s="249"/>
      <c r="RIJ166" s="249"/>
      <c r="RIK166" s="249"/>
      <c r="RIL166" s="249"/>
      <c r="RIM166" s="249"/>
      <c r="RIN166" s="249"/>
      <c r="RIO166" s="249"/>
      <c r="RIP166" s="249"/>
      <c r="RIQ166" s="249"/>
      <c r="RIR166" s="249"/>
      <c r="RIS166" s="249"/>
      <c r="RIT166" s="249"/>
      <c r="RIU166" s="249"/>
      <c r="RIV166" s="249"/>
      <c r="RIW166" s="249"/>
      <c r="RIX166" s="249"/>
      <c r="RIY166" s="249"/>
      <c r="RIZ166" s="249"/>
      <c r="RJA166" s="249"/>
      <c r="RJB166" s="249"/>
      <c r="RJC166" s="249"/>
      <c r="RJD166" s="249"/>
      <c r="RJE166" s="249"/>
      <c r="RJF166" s="249"/>
      <c r="RJG166" s="249"/>
      <c r="RJH166" s="249"/>
      <c r="RJI166" s="249"/>
      <c r="RJJ166" s="249"/>
      <c r="RJK166" s="249"/>
      <c r="RJL166" s="249"/>
      <c r="RJM166" s="249"/>
      <c r="RJN166" s="249"/>
      <c r="RJO166" s="249"/>
      <c r="RJP166" s="249"/>
      <c r="RJQ166" s="249"/>
      <c r="RJR166" s="249"/>
      <c r="RJS166" s="249"/>
      <c r="RJT166" s="249"/>
      <c r="RJU166" s="249"/>
      <c r="RJV166" s="249"/>
      <c r="RJW166" s="249"/>
      <c r="RJX166" s="249"/>
      <c r="RJY166" s="249"/>
      <c r="RJZ166" s="249"/>
      <c r="RKA166" s="249"/>
      <c r="RKB166" s="249"/>
      <c r="RKC166" s="249"/>
      <c r="RKD166" s="249"/>
      <c r="RKE166" s="249"/>
      <c r="RKF166" s="249"/>
      <c r="RKG166" s="249"/>
      <c r="RKH166" s="249"/>
      <c r="RKI166" s="249"/>
      <c r="RKJ166" s="249"/>
      <c r="RKK166" s="249"/>
      <c r="RKL166" s="249"/>
      <c r="RKM166" s="249"/>
      <c r="RKN166" s="249"/>
      <c r="RKO166" s="249"/>
      <c r="RKP166" s="249"/>
      <c r="RKQ166" s="249"/>
      <c r="RKR166" s="249"/>
      <c r="RKS166" s="249"/>
      <c r="RKT166" s="249"/>
      <c r="RKU166" s="249"/>
      <c r="RKV166" s="249"/>
      <c r="RKW166" s="249"/>
      <c r="RKX166" s="249"/>
      <c r="RKY166" s="249"/>
      <c r="RKZ166" s="249"/>
      <c r="RLA166" s="249"/>
      <c r="RLB166" s="249"/>
      <c r="RLC166" s="249"/>
      <c r="RLD166" s="249"/>
      <c r="RLE166" s="249"/>
      <c r="RLF166" s="249"/>
      <c r="RLG166" s="249"/>
      <c r="RLH166" s="249"/>
      <c r="RLI166" s="249"/>
      <c r="RLJ166" s="249"/>
      <c r="RLK166" s="249"/>
      <c r="RLL166" s="249"/>
      <c r="RLM166" s="249"/>
      <c r="RLN166" s="249"/>
      <c r="RLO166" s="249"/>
      <c r="RLP166" s="249"/>
      <c r="RLQ166" s="249"/>
      <c r="RLR166" s="249"/>
      <c r="RLS166" s="249"/>
      <c r="RLT166" s="249"/>
      <c r="RLU166" s="249"/>
      <c r="RLV166" s="249"/>
      <c r="RLW166" s="249"/>
      <c r="RLX166" s="249"/>
      <c r="RLY166" s="249"/>
      <c r="RLZ166" s="249"/>
      <c r="RMA166" s="249"/>
      <c r="RMB166" s="249"/>
      <c r="RMC166" s="249"/>
      <c r="RMD166" s="249"/>
      <c r="RME166" s="249"/>
      <c r="RMF166" s="249"/>
      <c r="RMG166" s="249"/>
      <c r="RMH166" s="249"/>
      <c r="RMI166" s="249"/>
      <c r="RMJ166" s="249"/>
      <c r="RMK166" s="249"/>
      <c r="RML166" s="249"/>
      <c r="RMM166" s="249"/>
      <c r="RMN166" s="249"/>
      <c r="RMO166" s="249"/>
      <c r="RMP166" s="249"/>
      <c r="RMQ166" s="249"/>
      <c r="RMR166" s="249"/>
      <c r="RMS166" s="249"/>
      <c r="RMT166" s="249"/>
      <c r="RMU166" s="249"/>
      <c r="RMV166" s="249"/>
      <c r="RMW166" s="249"/>
      <c r="RMX166" s="249"/>
      <c r="RMY166" s="249"/>
      <c r="RMZ166" s="249"/>
      <c r="RNA166" s="249"/>
      <c r="RNB166" s="249"/>
      <c r="RNC166" s="249"/>
      <c r="RND166" s="249"/>
      <c r="RNE166" s="249"/>
      <c r="RNF166" s="249"/>
      <c r="RNG166" s="249"/>
      <c r="RNH166" s="249"/>
      <c r="RNI166" s="249"/>
      <c r="RNJ166" s="249"/>
      <c r="RNK166" s="249"/>
      <c r="RNL166" s="249"/>
      <c r="RNM166" s="249"/>
      <c r="RNN166" s="249"/>
      <c r="RNO166" s="249"/>
      <c r="RNP166" s="249"/>
      <c r="RNQ166" s="249"/>
      <c r="RNR166" s="249"/>
      <c r="RNS166" s="249"/>
      <c r="RNT166" s="249"/>
      <c r="RNU166" s="249"/>
      <c r="RNV166" s="249"/>
      <c r="RNW166" s="249"/>
      <c r="RNX166" s="249"/>
      <c r="RNY166" s="249"/>
      <c r="RNZ166" s="249"/>
      <c r="ROA166" s="249"/>
      <c r="ROB166" s="249"/>
      <c r="ROC166" s="249"/>
      <c r="ROD166" s="249"/>
      <c r="ROE166" s="249"/>
      <c r="ROF166" s="249"/>
      <c r="ROG166" s="249"/>
      <c r="ROH166" s="249"/>
      <c r="ROI166" s="249"/>
      <c r="ROJ166" s="249"/>
      <c r="ROK166" s="249"/>
      <c r="ROL166" s="249"/>
      <c r="ROM166" s="249"/>
      <c r="RON166" s="249"/>
      <c r="ROO166" s="249"/>
      <c r="ROP166" s="249"/>
      <c r="ROQ166" s="249"/>
      <c r="ROR166" s="249"/>
      <c r="ROS166" s="249"/>
      <c r="ROT166" s="249"/>
      <c r="ROU166" s="249"/>
      <c r="ROV166" s="249"/>
      <c r="ROW166" s="249"/>
      <c r="ROX166" s="249"/>
      <c r="ROY166" s="249"/>
      <c r="ROZ166" s="249"/>
      <c r="RPA166" s="249"/>
      <c r="RPB166" s="249"/>
      <c r="RPC166" s="249"/>
      <c r="RPD166" s="249"/>
      <c r="RPE166" s="249"/>
      <c r="RPF166" s="249"/>
      <c r="RPG166" s="249"/>
      <c r="RPH166" s="249"/>
      <c r="RPI166" s="249"/>
      <c r="RPJ166" s="249"/>
      <c r="RPK166" s="249"/>
      <c r="RPL166" s="249"/>
      <c r="RPM166" s="249"/>
      <c r="RPN166" s="249"/>
      <c r="RPO166" s="249"/>
      <c r="RPP166" s="249"/>
      <c r="RPQ166" s="249"/>
      <c r="RPR166" s="249"/>
      <c r="RPS166" s="249"/>
      <c r="RPT166" s="249"/>
      <c r="RPU166" s="249"/>
      <c r="RPV166" s="249"/>
      <c r="RPW166" s="249"/>
      <c r="RPX166" s="249"/>
      <c r="RPY166" s="249"/>
      <c r="RPZ166" s="249"/>
      <c r="RQA166" s="249"/>
      <c r="RQB166" s="249"/>
      <c r="RQC166" s="249"/>
      <c r="RQD166" s="249"/>
      <c r="RQE166" s="249"/>
      <c r="RQF166" s="249"/>
      <c r="RQG166" s="249"/>
      <c r="RQH166" s="249"/>
      <c r="RQI166" s="249"/>
      <c r="RQJ166" s="249"/>
      <c r="RQK166" s="249"/>
      <c r="RQL166" s="249"/>
      <c r="RQM166" s="249"/>
      <c r="RQN166" s="249"/>
      <c r="RQO166" s="249"/>
      <c r="RQP166" s="249"/>
      <c r="RQQ166" s="249"/>
      <c r="RQR166" s="249"/>
      <c r="RQS166" s="249"/>
      <c r="RQT166" s="249"/>
      <c r="RQU166" s="249"/>
      <c r="RQV166" s="249"/>
      <c r="RQW166" s="249"/>
      <c r="RQX166" s="249"/>
      <c r="RQY166" s="249"/>
      <c r="RQZ166" s="249"/>
      <c r="RRA166" s="249"/>
      <c r="RRB166" s="249"/>
      <c r="RRC166" s="249"/>
      <c r="RRD166" s="249"/>
      <c r="RRE166" s="249"/>
      <c r="RRF166" s="249"/>
      <c r="RRG166" s="249"/>
      <c r="RRH166" s="249"/>
      <c r="RRI166" s="249"/>
      <c r="RRJ166" s="249"/>
      <c r="RRK166" s="249"/>
      <c r="RRL166" s="249"/>
      <c r="RRM166" s="249"/>
      <c r="RRN166" s="249"/>
      <c r="RRO166" s="249"/>
      <c r="RRP166" s="249"/>
      <c r="RRQ166" s="249"/>
      <c r="RRR166" s="249"/>
      <c r="RRS166" s="249"/>
      <c r="RRT166" s="249"/>
      <c r="RRU166" s="249"/>
      <c r="RRV166" s="249"/>
      <c r="RRW166" s="249"/>
      <c r="RRX166" s="249"/>
      <c r="RRY166" s="249"/>
      <c r="RRZ166" s="249"/>
      <c r="RSA166" s="249"/>
      <c r="RSB166" s="249"/>
      <c r="RSC166" s="249"/>
      <c r="RSD166" s="249"/>
      <c r="RSE166" s="249"/>
      <c r="RSF166" s="249"/>
      <c r="RSG166" s="249"/>
      <c r="RSH166" s="249"/>
      <c r="RSI166" s="249"/>
      <c r="RSJ166" s="249"/>
      <c r="RSK166" s="249"/>
      <c r="RSL166" s="249"/>
      <c r="RSM166" s="249"/>
      <c r="RSN166" s="249"/>
      <c r="RSO166" s="249"/>
      <c r="RSP166" s="249"/>
      <c r="RSQ166" s="249"/>
      <c r="RSR166" s="249"/>
      <c r="RSS166" s="249"/>
      <c r="RST166" s="249"/>
      <c r="RSU166" s="249"/>
      <c r="RSV166" s="249"/>
      <c r="RSW166" s="249"/>
      <c r="RSX166" s="249"/>
      <c r="RSY166" s="249"/>
      <c r="RSZ166" s="249"/>
      <c r="RTA166" s="249"/>
      <c r="RTB166" s="249"/>
      <c r="RTC166" s="249"/>
      <c r="RTD166" s="249"/>
      <c r="RTE166" s="249"/>
      <c r="RTF166" s="249"/>
      <c r="RTG166" s="249"/>
      <c r="RTH166" s="249"/>
      <c r="RTI166" s="249"/>
      <c r="RTJ166" s="249"/>
      <c r="RTK166" s="249"/>
      <c r="RTL166" s="249"/>
      <c r="RTM166" s="249"/>
      <c r="RTN166" s="249"/>
      <c r="RTO166" s="249"/>
      <c r="RTP166" s="249"/>
      <c r="RTQ166" s="249"/>
      <c r="RTR166" s="249"/>
      <c r="RTS166" s="249"/>
      <c r="RTT166" s="249"/>
      <c r="RTU166" s="249"/>
      <c r="RTV166" s="249"/>
      <c r="RTW166" s="249"/>
      <c r="RTX166" s="249"/>
      <c r="RTY166" s="249"/>
      <c r="RTZ166" s="249"/>
      <c r="RUA166" s="249"/>
      <c r="RUB166" s="249"/>
      <c r="RUC166" s="249"/>
      <c r="RUD166" s="249"/>
      <c r="RUE166" s="249"/>
      <c r="RUF166" s="249"/>
      <c r="RUG166" s="249"/>
      <c r="RUH166" s="249"/>
      <c r="RUI166" s="249"/>
      <c r="RUJ166" s="249"/>
      <c r="RUK166" s="249"/>
      <c r="RUL166" s="249"/>
      <c r="RUM166" s="249"/>
      <c r="RUN166" s="249"/>
      <c r="RUO166" s="249"/>
      <c r="RUP166" s="249"/>
      <c r="RUQ166" s="249"/>
      <c r="RUR166" s="249"/>
      <c r="RUS166" s="249"/>
      <c r="RUT166" s="249"/>
      <c r="RUU166" s="249"/>
      <c r="RUV166" s="249"/>
      <c r="RUW166" s="249"/>
      <c r="RUX166" s="249"/>
      <c r="RUY166" s="249"/>
      <c r="RUZ166" s="249"/>
      <c r="RVA166" s="249"/>
      <c r="RVB166" s="249"/>
      <c r="RVC166" s="249"/>
      <c r="RVD166" s="249"/>
      <c r="RVE166" s="249"/>
      <c r="RVF166" s="249"/>
      <c r="RVG166" s="249"/>
      <c r="RVH166" s="249"/>
      <c r="RVI166" s="249"/>
      <c r="RVJ166" s="249"/>
      <c r="RVK166" s="249"/>
      <c r="RVL166" s="249"/>
      <c r="RVM166" s="249"/>
      <c r="RVN166" s="249"/>
      <c r="RVO166" s="249"/>
      <c r="RVP166" s="249"/>
      <c r="RVQ166" s="249"/>
      <c r="RVR166" s="249"/>
      <c r="RVS166" s="249"/>
      <c r="RVT166" s="249"/>
      <c r="RVU166" s="249"/>
      <c r="RVV166" s="249"/>
      <c r="RVW166" s="249"/>
      <c r="RVX166" s="249"/>
      <c r="RVY166" s="249"/>
      <c r="RVZ166" s="249"/>
      <c r="RWA166" s="249"/>
      <c r="RWB166" s="249"/>
      <c r="RWC166" s="249"/>
      <c r="RWD166" s="249"/>
      <c r="RWE166" s="249"/>
      <c r="RWF166" s="249"/>
      <c r="RWG166" s="249"/>
      <c r="RWH166" s="249"/>
      <c r="RWI166" s="249"/>
      <c r="RWJ166" s="249"/>
      <c r="RWK166" s="249"/>
      <c r="RWL166" s="249"/>
      <c r="RWM166" s="249"/>
      <c r="RWN166" s="249"/>
      <c r="RWO166" s="249"/>
      <c r="RWP166" s="249"/>
      <c r="RWQ166" s="249"/>
      <c r="RWR166" s="249"/>
      <c r="RWS166" s="249"/>
      <c r="RWT166" s="249"/>
      <c r="RWU166" s="249"/>
      <c r="RWV166" s="249"/>
      <c r="RWW166" s="249"/>
      <c r="RWX166" s="249"/>
      <c r="RWY166" s="249"/>
      <c r="RWZ166" s="249"/>
      <c r="RXA166" s="249"/>
      <c r="RXB166" s="249"/>
      <c r="RXC166" s="249"/>
      <c r="RXD166" s="249"/>
      <c r="RXE166" s="249"/>
      <c r="RXF166" s="249"/>
      <c r="RXG166" s="249"/>
      <c r="RXH166" s="249"/>
      <c r="RXI166" s="249"/>
      <c r="RXJ166" s="249"/>
      <c r="RXK166" s="249"/>
      <c r="RXL166" s="249"/>
      <c r="RXM166" s="249"/>
      <c r="RXN166" s="249"/>
      <c r="RXO166" s="249"/>
      <c r="RXP166" s="249"/>
      <c r="RXQ166" s="249"/>
      <c r="RXR166" s="249"/>
      <c r="RXS166" s="249"/>
      <c r="RXT166" s="249"/>
      <c r="RXU166" s="249"/>
      <c r="RXV166" s="249"/>
      <c r="RXW166" s="249"/>
      <c r="RXX166" s="249"/>
      <c r="RXY166" s="249"/>
      <c r="RXZ166" s="249"/>
      <c r="RYA166" s="249"/>
      <c r="RYB166" s="249"/>
      <c r="RYC166" s="249"/>
      <c r="RYD166" s="249"/>
      <c r="RYE166" s="249"/>
      <c r="RYF166" s="249"/>
      <c r="RYG166" s="249"/>
      <c r="RYH166" s="249"/>
      <c r="RYI166" s="249"/>
      <c r="RYJ166" s="249"/>
      <c r="RYK166" s="249"/>
      <c r="RYL166" s="249"/>
      <c r="RYM166" s="249"/>
      <c r="RYN166" s="249"/>
      <c r="RYO166" s="249"/>
      <c r="RYP166" s="249"/>
      <c r="RYQ166" s="249"/>
      <c r="RYR166" s="249"/>
      <c r="RYS166" s="249"/>
      <c r="RYT166" s="249"/>
      <c r="RYU166" s="249"/>
      <c r="RYV166" s="249"/>
      <c r="RYW166" s="249"/>
      <c r="RYX166" s="249"/>
      <c r="RYY166" s="249"/>
      <c r="RYZ166" s="249"/>
      <c r="RZA166" s="249"/>
      <c r="RZB166" s="249"/>
      <c r="RZC166" s="249"/>
      <c r="RZD166" s="249"/>
      <c r="RZE166" s="249"/>
      <c r="RZF166" s="249"/>
      <c r="RZG166" s="249"/>
      <c r="RZH166" s="249"/>
      <c r="RZI166" s="249"/>
      <c r="RZJ166" s="249"/>
      <c r="RZK166" s="249"/>
      <c r="RZL166" s="249"/>
      <c r="RZM166" s="249"/>
      <c r="RZN166" s="249"/>
      <c r="RZO166" s="249"/>
      <c r="RZP166" s="249"/>
      <c r="RZQ166" s="249"/>
      <c r="RZR166" s="249"/>
      <c r="RZS166" s="249"/>
      <c r="RZT166" s="249"/>
      <c r="RZU166" s="249"/>
      <c r="RZV166" s="249"/>
      <c r="RZW166" s="249"/>
      <c r="RZX166" s="249"/>
      <c r="RZY166" s="249"/>
      <c r="RZZ166" s="249"/>
      <c r="SAA166" s="249"/>
      <c r="SAB166" s="249"/>
      <c r="SAC166" s="249"/>
      <c r="SAD166" s="249"/>
      <c r="SAE166" s="249"/>
      <c r="SAF166" s="249"/>
      <c r="SAG166" s="249"/>
      <c r="SAH166" s="249"/>
      <c r="SAI166" s="249"/>
      <c r="SAJ166" s="249"/>
      <c r="SAK166" s="249"/>
      <c r="SAL166" s="249"/>
      <c r="SAM166" s="249"/>
      <c r="SAN166" s="249"/>
      <c r="SAO166" s="249"/>
      <c r="SAP166" s="249"/>
      <c r="SAQ166" s="249"/>
      <c r="SAR166" s="249"/>
      <c r="SAS166" s="249"/>
      <c r="SAT166" s="249"/>
      <c r="SAU166" s="249"/>
      <c r="SAV166" s="249"/>
      <c r="SAW166" s="249"/>
      <c r="SAX166" s="249"/>
      <c r="SAY166" s="249"/>
      <c r="SAZ166" s="249"/>
      <c r="SBA166" s="249"/>
      <c r="SBB166" s="249"/>
      <c r="SBC166" s="249"/>
      <c r="SBD166" s="249"/>
      <c r="SBE166" s="249"/>
      <c r="SBF166" s="249"/>
      <c r="SBG166" s="249"/>
      <c r="SBH166" s="249"/>
      <c r="SBI166" s="249"/>
      <c r="SBJ166" s="249"/>
      <c r="SBK166" s="249"/>
      <c r="SBL166" s="249"/>
      <c r="SBM166" s="249"/>
      <c r="SBN166" s="249"/>
      <c r="SBO166" s="249"/>
      <c r="SBP166" s="249"/>
      <c r="SBQ166" s="249"/>
      <c r="SBR166" s="249"/>
      <c r="SBS166" s="249"/>
      <c r="SBT166" s="249"/>
      <c r="SBU166" s="249"/>
      <c r="SBV166" s="249"/>
      <c r="SBW166" s="249"/>
      <c r="SBX166" s="249"/>
      <c r="SBY166" s="249"/>
      <c r="SBZ166" s="249"/>
      <c r="SCA166" s="249"/>
      <c r="SCB166" s="249"/>
      <c r="SCC166" s="249"/>
      <c r="SCD166" s="249"/>
      <c r="SCE166" s="249"/>
      <c r="SCF166" s="249"/>
      <c r="SCG166" s="249"/>
      <c r="SCH166" s="249"/>
      <c r="SCI166" s="249"/>
      <c r="SCJ166" s="249"/>
      <c r="SCK166" s="249"/>
      <c r="SCL166" s="249"/>
      <c r="SCM166" s="249"/>
      <c r="SCN166" s="249"/>
      <c r="SCO166" s="249"/>
      <c r="SCP166" s="249"/>
      <c r="SCQ166" s="249"/>
      <c r="SCR166" s="249"/>
      <c r="SCS166" s="249"/>
      <c r="SCT166" s="249"/>
      <c r="SCU166" s="249"/>
      <c r="SCV166" s="249"/>
      <c r="SCW166" s="249"/>
      <c r="SCX166" s="249"/>
      <c r="SCY166" s="249"/>
      <c r="SCZ166" s="249"/>
      <c r="SDA166" s="249"/>
      <c r="SDB166" s="249"/>
      <c r="SDC166" s="249"/>
      <c r="SDD166" s="249"/>
      <c r="SDE166" s="249"/>
      <c r="SDF166" s="249"/>
      <c r="SDG166" s="249"/>
      <c r="SDH166" s="249"/>
      <c r="SDI166" s="249"/>
      <c r="SDJ166" s="249"/>
      <c r="SDK166" s="249"/>
      <c r="SDL166" s="249"/>
      <c r="SDM166" s="249"/>
      <c r="SDN166" s="249"/>
      <c r="SDO166" s="249"/>
      <c r="SDP166" s="249"/>
      <c r="SDQ166" s="249"/>
      <c r="SDR166" s="249"/>
      <c r="SDS166" s="249"/>
      <c r="SDT166" s="249"/>
      <c r="SDU166" s="249"/>
      <c r="SDV166" s="249"/>
      <c r="SDW166" s="249"/>
      <c r="SDX166" s="249"/>
      <c r="SDY166" s="249"/>
      <c r="SDZ166" s="249"/>
      <c r="SEA166" s="249"/>
      <c r="SEB166" s="249"/>
      <c r="SEC166" s="249"/>
      <c r="SED166" s="249"/>
      <c r="SEE166" s="249"/>
      <c r="SEF166" s="249"/>
      <c r="SEG166" s="249"/>
      <c r="SEH166" s="249"/>
      <c r="SEI166" s="249"/>
      <c r="SEJ166" s="249"/>
      <c r="SEK166" s="249"/>
      <c r="SEL166" s="249"/>
      <c r="SEM166" s="249"/>
      <c r="SEN166" s="249"/>
      <c r="SEO166" s="249"/>
      <c r="SEP166" s="249"/>
      <c r="SEQ166" s="249"/>
      <c r="SER166" s="249"/>
      <c r="SES166" s="249"/>
      <c r="SET166" s="249"/>
      <c r="SEU166" s="249"/>
      <c r="SEV166" s="249"/>
      <c r="SEW166" s="249"/>
      <c r="SEX166" s="249"/>
      <c r="SEY166" s="249"/>
      <c r="SEZ166" s="249"/>
      <c r="SFA166" s="249"/>
      <c r="SFB166" s="249"/>
      <c r="SFC166" s="249"/>
      <c r="SFD166" s="249"/>
      <c r="SFE166" s="249"/>
      <c r="SFF166" s="249"/>
      <c r="SFG166" s="249"/>
      <c r="SFH166" s="249"/>
      <c r="SFI166" s="249"/>
      <c r="SFJ166" s="249"/>
      <c r="SFK166" s="249"/>
      <c r="SFL166" s="249"/>
      <c r="SFM166" s="249"/>
      <c r="SFN166" s="249"/>
      <c r="SFO166" s="249"/>
      <c r="SFP166" s="249"/>
      <c r="SFQ166" s="249"/>
      <c r="SFR166" s="249"/>
      <c r="SFS166" s="249"/>
      <c r="SFT166" s="249"/>
      <c r="SFU166" s="249"/>
      <c r="SFV166" s="249"/>
      <c r="SFW166" s="249"/>
      <c r="SFX166" s="249"/>
      <c r="SFY166" s="249"/>
      <c r="SFZ166" s="249"/>
      <c r="SGA166" s="249"/>
      <c r="SGB166" s="249"/>
      <c r="SGC166" s="249"/>
      <c r="SGD166" s="249"/>
      <c r="SGE166" s="249"/>
      <c r="SGF166" s="249"/>
      <c r="SGG166" s="249"/>
      <c r="SGH166" s="249"/>
      <c r="SGI166" s="249"/>
      <c r="SGJ166" s="249"/>
      <c r="SGK166" s="249"/>
      <c r="SGL166" s="249"/>
      <c r="SGM166" s="249"/>
      <c r="SGN166" s="249"/>
      <c r="SGO166" s="249"/>
      <c r="SGP166" s="249"/>
      <c r="SGQ166" s="249"/>
      <c r="SGR166" s="249"/>
      <c r="SGS166" s="249"/>
      <c r="SGT166" s="249"/>
      <c r="SGU166" s="249"/>
      <c r="SGV166" s="249"/>
      <c r="SGW166" s="249"/>
      <c r="SGX166" s="249"/>
      <c r="SGY166" s="249"/>
      <c r="SGZ166" s="249"/>
      <c r="SHA166" s="249"/>
      <c r="SHB166" s="249"/>
      <c r="SHC166" s="249"/>
      <c r="SHD166" s="249"/>
      <c r="SHE166" s="249"/>
      <c r="SHF166" s="249"/>
      <c r="SHG166" s="249"/>
      <c r="SHH166" s="249"/>
      <c r="SHI166" s="249"/>
      <c r="SHJ166" s="249"/>
      <c r="SHK166" s="249"/>
      <c r="SHL166" s="249"/>
      <c r="SHM166" s="249"/>
      <c r="SHN166" s="249"/>
      <c r="SHO166" s="249"/>
      <c r="SHP166" s="249"/>
      <c r="SHQ166" s="249"/>
      <c r="SHR166" s="249"/>
      <c r="SHS166" s="249"/>
      <c r="SHT166" s="249"/>
      <c r="SHU166" s="249"/>
      <c r="SHV166" s="249"/>
      <c r="SHW166" s="249"/>
      <c r="SHX166" s="249"/>
      <c r="SHY166" s="249"/>
      <c r="SHZ166" s="249"/>
      <c r="SIA166" s="249"/>
      <c r="SIB166" s="249"/>
      <c r="SIC166" s="249"/>
      <c r="SID166" s="249"/>
      <c r="SIE166" s="249"/>
      <c r="SIF166" s="249"/>
      <c r="SIG166" s="249"/>
      <c r="SIH166" s="249"/>
      <c r="SII166" s="249"/>
      <c r="SIJ166" s="249"/>
      <c r="SIK166" s="249"/>
      <c r="SIL166" s="249"/>
      <c r="SIM166" s="249"/>
      <c r="SIN166" s="249"/>
      <c r="SIO166" s="249"/>
      <c r="SIP166" s="249"/>
      <c r="SIQ166" s="249"/>
      <c r="SIR166" s="249"/>
      <c r="SIS166" s="249"/>
      <c r="SIT166" s="249"/>
      <c r="SIU166" s="249"/>
      <c r="SIV166" s="249"/>
      <c r="SIW166" s="249"/>
      <c r="SIX166" s="249"/>
      <c r="SIY166" s="249"/>
      <c r="SIZ166" s="249"/>
      <c r="SJA166" s="249"/>
      <c r="SJB166" s="249"/>
      <c r="SJC166" s="249"/>
      <c r="SJD166" s="249"/>
      <c r="SJE166" s="249"/>
      <c r="SJF166" s="249"/>
      <c r="SJG166" s="249"/>
      <c r="SJH166" s="249"/>
      <c r="SJI166" s="249"/>
      <c r="SJJ166" s="249"/>
      <c r="SJK166" s="249"/>
      <c r="SJL166" s="249"/>
      <c r="SJM166" s="249"/>
      <c r="SJN166" s="249"/>
      <c r="SJO166" s="249"/>
      <c r="SJP166" s="249"/>
      <c r="SJQ166" s="249"/>
      <c r="SJR166" s="249"/>
      <c r="SJS166" s="249"/>
      <c r="SJT166" s="249"/>
      <c r="SJU166" s="249"/>
      <c r="SJV166" s="249"/>
      <c r="SJW166" s="249"/>
      <c r="SJX166" s="249"/>
      <c r="SJY166" s="249"/>
      <c r="SJZ166" s="249"/>
      <c r="SKA166" s="249"/>
      <c r="SKB166" s="249"/>
      <c r="SKC166" s="249"/>
      <c r="SKD166" s="249"/>
      <c r="SKE166" s="249"/>
      <c r="SKF166" s="249"/>
      <c r="SKG166" s="249"/>
      <c r="SKH166" s="249"/>
      <c r="SKI166" s="249"/>
      <c r="SKJ166" s="249"/>
      <c r="SKK166" s="249"/>
      <c r="SKL166" s="249"/>
      <c r="SKM166" s="249"/>
      <c r="SKN166" s="249"/>
      <c r="SKO166" s="249"/>
      <c r="SKP166" s="249"/>
      <c r="SKQ166" s="249"/>
      <c r="SKR166" s="249"/>
      <c r="SKS166" s="249"/>
      <c r="SKT166" s="249"/>
      <c r="SKU166" s="249"/>
      <c r="SKV166" s="249"/>
      <c r="SKW166" s="249"/>
      <c r="SKX166" s="249"/>
      <c r="SKY166" s="249"/>
      <c r="SKZ166" s="249"/>
      <c r="SLA166" s="249"/>
      <c r="SLB166" s="249"/>
      <c r="SLC166" s="249"/>
      <c r="SLD166" s="249"/>
      <c r="SLE166" s="249"/>
      <c r="SLF166" s="249"/>
      <c r="SLG166" s="249"/>
      <c r="SLH166" s="249"/>
      <c r="SLI166" s="249"/>
      <c r="SLJ166" s="249"/>
      <c r="SLK166" s="249"/>
      <c r="SLL166" s="249"/>
      <c r="SLM166" s="249"/>
      <c r="SLN166" s="249"/>
      <c r="SLO166" s="249"/>
      <c r="SLP166" s="249"/>
      <c r="SLQ166" s="249"/>
      <c r="SLR166" s="249"/>
      <c r="SLS166" s="249"/>
      <c r="SLT166" s="249"/>
      <c r="SLU166" s="249"/>
      <c r="SLV166" s="249"/>
      <c r="SLW166" s="249"/>
      <c r="SLX166" s="249"/>
      <c r="SLY166" s="249"/>
      <c r="SLZ166" s="249"/>
      <c r="SMA166" s="249"/>
      <c r="SMB166" s="249"/>
      <c r="SMC166" s="249"/>
      <c r="SMD166" s="249"/>
      <c r="SME166" s="249"/>
      <c r="SMF166" s="249"/>
      <c r="SMG166" s="249"/>
      <c r="SMH166" s="249"/>
      <c r="SMI166" s="249"/>
      <c r="SMJ166" s="249"/>
      <c r="SMK166" s="249"/>
      <c r="SML166" s="249"/>
      <c r="SMM166" s="249"/>
      <c r="SMN166" s="249"/>
      <c r="SMO166" s="249"/>
      <c r="SMP166" s="249"/>
      <c r="SMQ166" s="249"/>
      <c r="SMR166" s="249"/>
      <c r="SMS166" s="249"/>
      <c r="SMT166" s="249"/>
      <c r="SMU166" s="249"/>
      <c r="SMV166" s="249"/>
      <c r="SMW166" s="249"/>
      <c r="SMX166" s="249"/>
      <c r="SMY166" s="249"/>
      <c r="SMZ166" s="249"/>
      <c r="SNA166" s="249"/>
      <c r="SNB166" s="249"/>
      <c r="SNC166" s="249"/>
      <c r="SND166" s="249"/>
      <c r="SNE166" s="249"/>
      <c r="SNF166" s="249"/>
      <c r="SNG166" s="249"/>
      <c r="SNH166" s="249"/>
      <c r="SNI166" s="249"/>
      <c r="SNJ166" s="249"/>
      <c r="SNK166" s="249"/>
      <c r="SNL166" s="249"/>
      <c r="SNM166" s="249"/>
      <c r="SNN166" s="249"/>
      <c r="SNO166" s="249"/>
      <c r="SNP166" s="249"/>
      <c r="SNQ166" s="249"/>
      <c r="SNR166" s="249"/>
      <c r="SNS166" s="249"/>
      <c r="SNT166" s="249"/>
      <c r="SNU166" s="249"/>
      <c r="SNV166" s="249"/>
      <c r="SNW166" s="249"/>
      <c r="SNX166" s="249"/>
      <c r="SNY166" s="249"/>
      <c r="SNZ166" s="249"/>
      <c r="SOA166" s="249"/>
      <c r="SOB166" s="249"/>
      <c r="SOC166" s="249"/>
      <c r="SOD166" s="249"/>
      <c r="SOE166" s="249"/>
      <c r="SOF166" s="249"/>
      <c r="SOG166" s="249"/>
      <c r="SOH166" s="249"/>
      <c r="SOI166" s="249"/>
      <c r="SOJ166" s="249"/>
      <c r="SOK166" s="249"/>
      <c r="SOL166" s="249"/>
      <c r="SOM166" s="249"/>
      <c r="SON166" s="249"/>
      <c r="SOO166" s="249"/>
      <c r="SOP166" s="249"/>
      <c r="SOQ166" s="249"/>
      <c r="SOR166" s="249"/>
      <c r="SOS166" s="249"/>
      <c r="SOT166" s="249"/>
      <c r="SOU166" s="249"/>
      <c r="SOV166" s="249"/>
      <c r="SOW166" s="249"/>
      <c r="SOX166" s="249"/>
      <c r="SOY166" s="249"/>
      <c r="SOZ166" s="249"/>
      <c r="SPA166" s="249"/>
      <c r="SPB166" s="249"/>
      <c r="SPC166" s="249"/>
      <c r="SPD166" s="249"/>
      <c r="SPE166" s="249"/>
      <c r="SPF166" s="249"/>
      <c r="SPG166" s="249"/>
      <c r="SPH166" s="249"/>
      <c r="SPI166" s="249"/>
      <c r="SPJ166" s="249"/>
      <c r="SPK166" s="249"/>
      <c r="SPL166" s="249"/>
      <c r="SPM166" s="249"/>
      <c r="SPN166" s="249"/>
      <c r="SPO166" s="249"/>
      <c r="SPP166" s="249"/>
      <c r="SPQ166" s="249"/>
      <c r="SPR166" s="249"/>
      <c r="SPS166" s="249"/>
      <c r="SPT166" s="249"/>
      <c r="SPU166" s="249"/>
      <c r="SPV166" s="249"/>
      <c r="SPW166" s="249"/>
      <c r="SPX166" s="249"/>
      <c r="SPY166" s="249"/>
      <c r="SPZ166" s="249"/>
      <c r="SQA166" s="249"/>
      <c r="SQB166" s="249"/>
      <c r="SQC166" s="249"/>
      <c r="SQD166" s="249"/>
      <c r="SQE166" s="249"/>
      <c r="SQF166" s="249"/>
      <c r="SQG166" s="249"/>
      <c r="SQH166" s="249"/>
      <c r="SQI166" s="249"/>
      <c r="SQJ166" s="249"/>
      <c r="SQK166" s="249"/>
      <c r="SQL166" s="249"/>
      <c r="SQM166" s="249"/>
      <c r="SQN166" s="249"/>
      <c r="SQO166" s="249"/>
      <c r="SQP166" s="249"/>
      <c r="SQQ166" s="249"/>
      <c r="SQR166" s="249"/>
      <c r="SQS166" s="249"/>
      <c r="SQT166" s="249"/>
      <c r="SQU166" s="249"/>
      <c r="SQV166" s="249"/>
      <c r="SQW166" s="249"/>
      <c r="SQX166" s="249"/>
      <c r="SQY166" s="249"/>
      <c r="SQZ166" s="249"/>
      <c r="SRA166" s="249"/>
      <c r="SRB166" s="249"/>
      <c r="SRC166" s="249"/>
      <c r="SRD166" s="249"/>
      <c r="SRE166" s="249"/>
      <c r="SRF166" s="249"/>
      <c r="SRG166" s="249"/>
      <c r="SRH166" s="249"/>
      <c r="SRI166" s="249"/>
      <c r="SRJ166" s="249"/>
      <c r="SRK166" s="249"/>
      <c r="SRL166" s="249"/>
      <c r="SRM166" s="249"/>
      <c r="SRN166" s="249"/>
      <c r="SRO166" s="249"/>
      <c r="SRP166" s="249"/>
      <c r="SRQ166" s="249"/>
      <c r="SRR166" s="249"/>
      <c r="SRS166" s="249"/>
      <c r="SRT166" s="249"/>
      <c r="SRU166" s="249"/>
      <c r="SRV166" s="249"/>
      <c r="SRW166" s="249"/>
      <c r="SRX166" s="249"/>
      <c r="SRY166" s="249"/>
      <c r="SRZ166" s="249"/>
      <c r="SSA166" s="249"/>
      <c r="SSB166" s="249"/>
      <c r="SSC166" s="249"/>
      <c r="SSD166" s="249"/>
      <c r="SSE166" s="249"/>
      <c r="SSF166" s="249"/>
      <c r="SSG166" s="249"/>
      <c r="SSH166" s="249"/>
      <c r="SSI166" s="249"/>
      <c r="SSJ166" s="249"/>
      <c r="SSK166" s="249"/>
      <c r="SSL166" s="249"/>
      <c r="SSM166" s="249"/>
      <c r="SSN166" s="249"/>
      <c r="SSO166" s="249"/>
      <c r="SSP166" s="249"/>
      <c r="SSQ166" s="249"/>
      <c r="SSR166" s="249"/>
      <c r="SSS166" s="249"/>
      <c r="SST166" s="249"/>
      <c r="SSU166" s="249"/>
      <c r="SSV166" s="249"/>
      <c r="SSW166" s="249"/>
      <c r="SSX166" s="249"/>
      <c r="SSY166" s="249"/>
      <c r="SSZ166" s="249"/>
      <c r="STA166" s="249"/>
      <c r="STB166" s="249"/>
      <c r="STC166" s="249"/>
      <c r="STD166" s="249"/>
      <c r="STE166" s="249"/>
      <c r="STF166" s="249"/>
      <c r="STG166" s="249"/>
      <c r="STH166" s="249"/>
      <c r="STI166" s="249"/>
      <c r="STJ166" s="249"/>
      <c r="STK166" s="249"/>
      <c r="STL166" s="249"/>
      <c r="STM166" s="249"/>
      <c r="STN166" s="249"/>
      <c r="STO166" s="249"/>
      <c r="STP166" s="249"/>
      <c r="STQ166" s="249"/>
      <c r="STR166" s="249"/>
      <c r="STS166" s="249"/>
      <c r="STT166" s="249"/>
      <c r="STU166" s="249"/>
      <c r="STV166" s="249"/>
      <c r="STW166" s="249"/>
      <c r="STX166" s="249"/>
      <c r="STY166" s="249"/>
      <c r="STZ166" s="249"/>
      <c r="SUA166" s="249"/>
      <c r="SUB166" s="249"/>
      <c r="SUC166" s="249"/>
      <c r="SUD166" s="249"/>
      <c r="SUE166" s="249"/>
      <c r="SUF166" s="249"/>
      <c r="SUG166" s="249"/>
      <c r="SUH166" s="249"/>
      <c r="SUI166" s="249"/>
      <c r="SUJ166" s="249"/>
      <c r="SUK166" s="249"/>
      <c r="SUL166" s="249"/>
      <c r="SUM166" s="249"/>
      <c r="SUN166" s="249"/>
      <c r="SUO166" s="249"/>
      <c r="SUP166" s="249"/>
      <c r="SUQ166" s="249"/>
      <c r="SUR166" s="249"/>
      <c r="SUS166" s="249"/>
      <c r="SUT166" s="249"/>
      <c r="SUU166" s="249"/>
      <c r="SUV166" s="249"/>
      <c r="SUW166" s="249"/>
      <c r="SUX166" s="249"/>
      <c r="SUY166" s="249"/>
      <c r="SUZ166" s="249"/>
      <c r="SVA166" s="249"/>
      <c r="SVB166" s="249"/>
      <c r="SVC166" s="249"/>
      <c r="SVD166" s="249"/>
      <c r="SVE166" s="249"/>
      <c r="SVF166" s="249"/>
      <c r="SVG166" s="249"/>
      <c r="SVH166" s="249"/>
      <c r="SVI166" s="249"/>
      <c r="SVJ166" s="249"/>
      <c r="SVK166" s="249"/>
      <c r="SVL166" s="249"/>
      <c r="SVM166" s="249"/>
      <c r="SVN166" s="249"/>
      <c r="SVO166" s="249"/>
      <c r="SVP166" s="249"/>
      <c r="SVQ166" s="249"/>
      <c r="SVR166" s="249"/>
      <c r="SVS166" s="249"/>
      <c r="SVT166" s="249"/>
      <c r="SVU166" s="249"/>
      <c r="SVV166" s="249"/>
      <c r="SVW166" s="249"/>
      <c r="SVX166" s="249"/>
      <c r="SVY166" s="249"/>
      <c r="SVZ166" s="249"/>
      <c r="SWA166" s="249"/>
      <c r="SWB166" s="249"/>
      <c r="SWC166" s="249"/>
      <c r="SWD166" s="249"/>
      <c r="SWE166" s="249"/>
      <c r="SWF166" s="249"/>
      <c r="SWG166" s="249"/>
      <c r="SWH166" s="249"/>
      <c r="SWI166" s="249"/>
      <c r="SWJ166" s="249"/>
      <c r="SWK166" s="249"/>
      <c r="SWL166" s="249"/>
      <c r="SWM166" s="249"/>
      <c r="SWN166" s="249"/>
      <c r="SWO166" s="249"/>
      <c r="SWP166" s="249"/>
      <c r="SWQ166" s="249"/>
      <c r="SWR166" s="249"/>
      <c r="SWS166" s="249"/>
      <c r="SWT166" s="249"/>
      <c r="SWU166" s="249"/>
      <c r="SWV166" s="249"/>
      <c r="SWW166" s="249"/>
      <c r="SWX166" s="249"/>
      <c r="SWY166" s="249"/>
      <c r="SWZ166" s="249"/>
      <c r="SXA166" s="249"/>
      <c r="SXB166" s="249"/>
      <c r="SXC166" s="249"/>
      <c r="SXD166" s="249"/>
      <c r="SXE166" s="249"/>
      <c r="SXF166" s="249"/>
      <c r="SXG166" s="249"/>
      <c r="SXH166" s="249"/>
      <c r="SXI166" s="249"/>
      <c r="SXJ166" s="249"/>
      <c r="SXK166" s="249"/>
      <c r="SXL166" s="249"/>
      <c r="SXM166" s="249"/>
      <c r="SXN166" s="249"/>
      <c r="SXO166" s="249"/>
      <c r="SXP166" s="249"/>
      <c r="SXQ166" s="249"/>
      <c r="SXR166" s="249"/>
      <c r="SXS166" s="249"/>
      <c r="SXT166" s="249"/>
      <c r="SXU166" s="249"/>
      <c r="SXV166" s="249"/>
      <c r="SXW166" s="249"/>
      <c r="SXX166" s="249"/>
      <c r="SXY166" s="249"/>
      <c r="SXZ166" s="249"/>
      <c r="SYA166" s="249"/>
      <c r="SYB166" s="249"/>
      <c r="SYC166" s="249"/>
      <c r="SYD166" s="249"/>
      <c r="SYE166" s="249"/>
      <c r="SYF166" s="249"/>
      <c r="SYG166" s="249"/>
      <c r="SYH166" s="249"/>
      <c r="SYI166" s="249"/>
      <c r="SYJ166" s="249"/>
      <c r="SYK166" s="249"/>
      <c r="SYL166" s="249"/>
      <c r="SYM166" s="249"/>
      <c r="SYN166" s="249"/>
      <c r="SYO166" s="249"/>
      <c r="SYP166" s="249"/>
      <c r="SYQ166" s="249"/>
      <c r="SYR166" s="249"/>
      <c r="SYS166" s="249"/>
      <c r="SYT166" s="249"/>
      <c r="SYU166" s="249"/>
      <c r="SYV166" s="249"/>
      <c r="SYW166" s="249"/>
      <c r="SYX166" s="249"/>
      <c r="SYY166" s="249"/>
      <c r="SYZ166" s="249"/>
      <c r="SZA166" s="249"/>
      <c r="SZB166" s="249"/>
      <c r="SZC166" s="249"/>
      <c r="SZD166" s="249"/>
      <c r="SZE166" s="249"/>
      <c r="SZF166" s="249"/>
      <c r="SZG166" s="249"/>
      <c r="SZH166" s="249"/>
      <c r="SZI166" s="249"/>
      <c r="SZJ166" s="249"/>
      <c r="SZK166" s="249"/>
      <c r="SZL166" s="249"/>
      <c r="SZM166" s="249"/>
      <c r="SZN166" s="249"/>
      <c r="SZO166" s="249"/>
      <c r="SZP166" s="249"/>
      <c r="SZQ166" s="249"/>
      <c r="SZR166" s="249"/>
      <c r="SZS166" s="249"/>
      <c r="SZT166" s="249"/>
      <c r="SZU166" s="249"/>
      <c r="SZV166" s="249"/>
      <c r="SZW166" s="249"/>
      <c r="SZX166" s="249"/>
      <c r="SZY166" s="249"/>
      <c r="SZZ166" s="249"/>
      <c r="TAA166" s="249"/>
      <c r="TAB166" s="249"/>
      <c r="TAC166" s="249"/>
      <c r="TAD166" s="249"/>
      <c r="TAE166" s="249"/>
      <c r="TAF166" s="249"/>
      <c r="TAG166" s="249"/>
      <c r="TAH166" s="249"/>
      <c r="TAI166" s="249"/>
      <c r="TAJ166" s="249"/>
      <c r="TAK166" s="249"/>
      <c r="TAL166" s="249"/>
      <c r="TAM166" s="249"/>
      <c r="TAN166" s="249"/>
      <c r="TAO166" s="249"/>
      <c r="TAP166" s="249"/>
      <c r="TAQ166" s="249"/>
      <c r="TAR166" s="249"/>
      <c r="TAS166" s="249"/>
      <c r="TAT166" s="249"/>
      <c r="TAU166" s="249"/>
      <c r="TAV166" s="249"/>
      <c r="TAW166" s="249"/>
      <c r="TAX166" s="249"/>
      <c r="TAY166" s="249"/>
      <c r="TAZ166" s="249"/>
      <c r="TBA166" s="249"/>
      <c r="TBB166" s="249"/>
      <c r="TBC166" s="249"/>
      <c r="TBD166" s="249"/>
      <c r="TBE166" s="249"/>
      <c r="TBF166" s="249"/>
      <c r="TBG166" s="249"/>
      <c r="TBH166" s="249"/>
      <c r="TBI166" s="249"/>
      <c r="TBJ166" s="249"/>
      <c r="TBK166" s="249"/>
      <c r="TBL166" s="249"/>
      <c r="TBM166" s="249"/>
      <c r="TBN166" s="249"/>
      <c r="TBO166" s="249"/>
      <c r="TBP166" s="249"/>
      <c r="TBQ166" s="249"/>
      <c r="TBR166" s="249"/>
      <c r="TBS166" s="249"/>
      <c r="TBT166" s="249"/>
      <c r="TBU166" s="249"/>
      <c r="TBV166" s="249"/>
      <c r="TBW166" s="249"/>
      <c r="TBX166" s="249"/>
      <c r="TBY166" s="249"/>
      <c r="TBZ166" s="249"/>
      <c r="TCA166" s="249"/>
      <c r="TCB166" s="249"/>
      <c r="TCC166" s="249"/>
      <c r="TCD166" s="249"/>
      <c r="TCE166" s="249"/>
      <c r="TCF166" s="249"/>
      <c r="TCG166" s="249"/>
      <c r="TCH166" s="249"/>
      <c r="TCI166" s="249"/>
      <c r="TCJ166" s="249"/>
      <c r="TCK166" s="249"/>
      <c r="TCL166" s="249"/>
      <c r="TCM166" s="249"/>
      <c r="TCN166" s="249"/>
      <c r="TCO166" s="249"/>
      <c r="TCP166" s="249"/>
      <c r="TCQ166" s="249"/>
      <c r="TCR166" s="249"/>
      <c r="TCS166" s="249"/>
      <c r="TCT166" s="249"/>
      <c r="TCU166" s="249"/>
      <c r="TCV166" s="249"/>
      <c r="TCW166" s="249"/>
      <c r="TCX166" s="249"/>
      <c r="TCY166" s="249"/>
      <c r="TCZ166" s="249"/>
      <c r="TDA166" s="249"/>
      <c r="TDB166" s="249"/>
      <c r="TDC166" s="249"/>
      <c r="TDD166" s="249"/>
      <c r="TDE166" s="249"/>
      <c r="TDF166" s="249"/>
      <c r="TDG166" s="249"/>
      <c r="TDH166" s="249"/>
      <c r="TDI166" s="249"/>
      <c r="TDJ166" s="249"/>
      <c r="TDK166" s="249"/>
      <c r="TDL166" s="249"/>
      <c r="TDM166" s="249"/>
      <c r="TDN166" s="249"/>
      <c r="TDO166" s="249"/>
      <c r="TDP166" s="249"/>
      <c r="TDQ166" s="249"/>
      <c r="TDR166" s="249"/>
      <c r="TDS166" s="249"/>
      <c r="TDT166" s="249"/>
      <c r="TDU166" s="249"/>
      <c r="TDV166" s="249"/>
      <c r="TDW166" s="249"/>
      <c r="TDX166" s="249"/>
      <c r="TDY166" s="249"/>
      <c r="TDZ166" s="249"/>
      <c r="TEA166" s="249"/>
      <c r="TEB166" s="249"/>
      <c r="TEC166" s="249"/>
      <c r="TED166" s="249"/>
      <c r="TEE166" s="249"/>
      <c r="TEF166" s="249"/>
      <c r="TEG166" s="249"/>
      <c r="TEH166" s="249"/>
      <c r="TEI166" s="249"/>
      <c r="TEJ166" s="249"/>
      <c r="TEK166" s="249"/>
      <c r="TEL166" s="249"/>
      <c r="TEM166" s="249"/>
      <c r="TEN166" s="249"/>
      <c r="TEO166" s="249"/>
      <c r="TEP166" s="249"/>
      <c r="TEQ166" s="249"/>
      <c r="TER166" s="249"/>
      <c r="TES166" s="249"/>
      <c r="TET166" s="249"/>
      <c r="TEU166" s="249"/>
      <c r="TEV166" s="249"/>
      <c r="TEW166" s="249"/>
      <c r="TEX166" s="249"/>
      <c r="TEY166" s="249"/>
      <c r="TEZ166" s="249"/>
      <c r="TFA166" s="249"/>
      <c r="TFB166" s="249"/>
      <c r="TFC166" s="249"/>
      <c r="TFD166" s="249"/>
      <c r="TFE166" s="249"/>
      <c r="TFF166" s="249"/>
      <c r="TFG166" s="249"/>
      <c r="TFH166" s="249"/>
      <c r="TFI166" s="249"/>
      <c r="TFJ166" s="249"/>
      <c r="TFK166" s="249"/>
      <c r="TFL166" s="249"/>
      <c r="TFM166" s="249"/>
      <c r="TFN166" s="249"/>
      <c r="TFO166" s="249"/>
      <c r="TFP166" s="249"/>
      <c r="TFQ166" s="249"/>
      <c r="TFR166" s="249"/>
      <c r="TFS166" s="249"/>
      <c r="TFT166" s="249"/>
      <c r="TFU166" s="249"/>
      <c r="TFV166" s="249"/>
      <c r="TFW166" s="249"/>
      <c r="TFX166" s="249"/>
      <c r="TFY166" s="249"/>
      <c r="TFZ166" s="249"/>
      <c r="TGA166" s="249"/>
      <c r="TGB166" s="249"/>
      <c r="TGC166" s="249"/>
      <c r="TGD166" s="249"/>
      <c r="TGE166" s="249"/>
      <c r="TGF166" s="249"/>
      <c r="TGG166" s="249"/>
      <c r="TGH166" s="249"/>
      <c r="TGI166" s="249"/>
      <c r="TGJ166" s="249"/>
      <c r="TGK166" s="249"/>
      <c r="TGL166" s="249"/>
      <c r="TGM166" s="249"/>
      <c r="TGN166" s="249"/>
      <c r="TGO166" s="249"/>
      <c r="TGP166" s="249"/>
      <c r="TGQ166" s="249"/>
      <c r="TGR166" s="249"/>
      <c r="TGS166" s="249"/>
      <c r="TGT166" s="249"/>
      <c r="TGU166" s="249"/>
      <c r="TGV166" s="249"/>
      <c r="TGW166" s="249"/>
      <c r="TGX166" s="249"/>
      <c r="TGY166" s="249"/>
      <c r="TGZ166" s="249"/>
      <c r="THA166" s="249"/>
      <c r="THB166" s="249"/>
      <c r="THC166" s="249"/>
      <c r="THD166" s="249"/>
      <c r="THE166" s="249"/>
      <c r="THF166" s="249"/>
      <c r="THG166" s="249"/>
      <c r="THH166" s="249"/>
      <c r="THI166" s="249"/>
      <c r="THJ166" s="249"/>
      <c r="THK166" s="249"/>
      <c r="THL166" s="249"/>
      <c r="THM166" s="249"/>
      <c r="THN166" s="249"/>
      <c r="THO166" s="249"/>
      <c r="THP166" s="249"/>
      <c r="THQ166" s="249"/>
      <c r="THR166" s="249"/>
      <c r="THS166" s="249"/>
      <c r="THT166" s="249"/>
      <c r="THU166" s="249"/>
      <c r="THV166" s="249"/>
      <c r="THW166" s="249"/>
      <c r="THX166" s="249"/>
      <c r="THY166" s="249"/>
      <c r="THZ166" s="249"/>
      <c r="TIA166" s="249"/>
      <c r="TIB166" s="249"/>
      <c r="TIC166" s="249"/>
      <c r="TID166" s="249"/>
      <c r="TIE166" s="249"/>
      <c r="TIF166" s="249"/>
      <c r="TIG166" s="249"/>
      <c r="TIH166" s="249"/>
      <c r="TII166" s="249"/>
      <c r="TIJ166" s="249"/>
      <c r="TIK166" s="249"/>
      <c r="TIL166" s="249"/>
      <c r="TIM166" s="249"/>
      <c r="TIN166" s="249"/>
      <c r="TIO166" s="249"/>
      <c r="TIP166" s="249"/>
      <c r="TIQ166" s="249"/>
      <c r="TIR166" s="249"/>
      <c r="TIS166" s="249"/>
      <c r="TIT166" s="249"/>
      <c r="TIU166" s="249"/>
      <c r="TIV166" s="249"/>
      <c r="TIW166" s="249"/>
      <c r="TIX166" s="249"/>
      <c r="TIY166" s="249"/>
      <c r="TIZ166" s="249"/>
      <c r="TJA166" s="249"/>
      <c r="TJB166" s="249"/>
      <c r="TJC166" s="249"/>
      <c r="TJD166" s="249"/>
      <c r="TJE166" s="249"/>
      <c r="TJF166" s="249"/>
      <c r="TJG166" s="249"/>
      <c r="TJH166" s="249"/>
      <c r="TJI166" s="249"/>
      <c r="TJJ166" s="249"/>
      <c r="TJK166" s="249"/>
      <c r="TJL166" s="249"/>
      <c r="TJM166" s="249"/>
      <c r="TJN166" s="249"/>
      <c r="TJO166" s="249"/>
      <c r="TJP166" s="249"/>
      <c r="TJQ166" s="249"/>
      <c r="TJR166" s="249"/>
      <c r="TJS166" s="249"/>
      <c r="TJT166" s="249"/>
      <c r="TJU166" s="249"/>
      <c r="TJV166" s="249"/>
      <c r="TJW166" s="249"/>
      <c r="TJX166" s="249"/>
      <c r="TJY166" s="249"/>
      <c r="TJZ166" s="249"/>
      <c r="TKA166" s="249"/>
      <c r="TKB166" s="249"/>
      <c r="TKC166" s="249"/>
      <c r="TKD166" s="249"/>
      <c r="TKE166" s="249"/>
      <c r="TKF166" s="249"/>
      <c r="TKG166" s="249"/>
      <c r="TKH166" s="249"/>
      <c r="TKI166" s="249"/>
      <c r="TKJ166" s="249"/>
      <c r="TKK166" s="249"/>
      <c r="TKL166" s="249"/>
      <c r="TKM166" s="249"/>
      <c r="TKN166" s="249"/>
      <c r="TKO166" s="249"/>
      <c r="TKP166" s="249"/>
      <c r="TKQ166" s="249"/>
      <c r="TKR166" s="249"/>
      <c r="TKS166" s="249"/>
      <c r="TKT166" s="249"/>
      <c r="TKU166" s="249"/>
      <c r="TKV166" s="249"/>
      <c r="TKW166" s="249"/>
      <c r="TKX166" s="249"/>
      <c r="TKY166" s="249"/>
      <c r="TKZ166" s="249"/>
      <c r="TLA166" s="249"/>
      <c r="TLB166" s="249"/>
      <c r="TLC166" s="249"/>
      <c r="TLD166" s="249"/>
      <c r="TLE166" s="249"/>
      <c r="TLF166" s="249"/>
      <c r="TLG166" s="249"/>
      <c r="TLH166" s="249"/>
      <c r="TLI166" s="249"/>
      <c r="TLJ166" s="249"/>
      <c r="TLK166" s="249"/>
      <c r="TLL166" s="249"/>
      <c r="TLM166" s="249"/>
      <c r="TLN166" s="249"/>
      <c r="TLO166" s="249"/>
      <c r="TLP166" s="249"/>
      <c r="TLQ166" s="249"/>
      <c r="TLR166" s="249"/>
      <c r="TLS166" s="249"/>
      <c r="TLT166" s="249"/>
      <c r="TLU166" s="249"/>
      <c r="TLV166" s="249"/>
      <c r="TLW166" s="249"/>
      <c r="TLX166" s="249"/>
      <c r="TLY166" s="249"/>
      <c r="TLZ166" s="249"/>
      <c r="TMA166" s="249"/>
      <c r="TMB166" s="249"/>
      <c r="TMC166" s="249"/>
      <c r="TMD166" s="249"/>
      <c r="TME166" s="249"/>
      <c r="TMF166" s="249"/>
      <c r="TMG166" s="249"/>
      <c r="TMH166" s="249"/>
      <c r="TMI166" s="249"/>
      <c r="TMJ166" s="249"/>
      <c r="TMK166" s="249"/>
      <c r="TML166" s="249"/>
      <c r="TMM166" s="249"/>
      <c r="TMN166" s="249"/>
      <c r="TMO166" s="249"/>
      <c r="TMP166" s="249"/>
      <c r="TMQ166" s="249"/>
      <c r="TMR166" s="249"/>
      <c r="TMS166" s="249"/>
      <c r="TMT166" s="249"/>
      <c r="TMU166" s="249"/>
      <c r="TMV166" s="249"/>
      <c r="TMW166" s="249"/>
      <c r="TMX166" s="249"/>
      <c r="TMY166" s="249"/>
      <c r="TMZ166" s="249"/>
      <c r="TNA166" s="249"/>
      <c r="TNB166" s="249"/>
      <c r="TNC166" s="249"/>
      <c r="TND166" s="249"/>
      <c r="TNE166" s="249"/>
      <c r="TNF166" s="249"/>
      <c r="TNG166" s="249"/>
      <c r="TNH166" s="249"/>
      <c r="TNI166" s="249"/>
      <c r="TNJ166" s="249"/>
      <c r="TNK166" s="249"/>
      <c r="TNL166" s="249"/>
      <c r="TNM166" s="249"/>
      <c r="TNN166" s="249"/>
      <c r="TNO166" s="249"/>
      <c r="TNP166" s="249"/>
      <c r="TNQ166" s="249"/>
      <c r="TNR166" s="249"/>
      <c r="TNS166" s="249"/>
      <c r="TNT166" s="249"/>
      <c r="TNU166" s="249"/>
      <c r="TNV166" s="249"/>
      <c r="TNW166" s="249"/>
      <c r="TNX166" s="249"/>
      <c r="TNY166" s="249"/>
      <c r="TNZ166" s="249"/>
      <c r="TOA166" s="249"/>
      <c r="TOB166" s="249"/>
      <c r="TOC166" s="249"/>
      <c r="TOD166" s="249"/>
      <c r="TOE166" s="249"/>
      <c r="TOF166" s="249"/>
      <c r="TOG166" s="249"/>
      <c r="TOH166" s="249"/>
      <c r="TOI166" s="249"/>
      <c r="TOJ166" s="249"/>
      <c r="TOK166" s="249"/>
      <c r="TOL166" s="249"/>
      <c r="TOM166" s="249"/>
      <c r="TON166" s="249"/>
      <c r="TOO166" s="249"/>
      <c r="TOP166" s="249"/>
      <c r="TOQ166" s="249"/>
      <c r="TOR166" s="249"/>
      <c r="TOS166" s="249"/>
      <c r="TOT166" s="249"/>
      <c r="TOU166" s="249"/>
      <c r="TOV166" s="249"/>
      <c r="TOW166" s="249"/>
      <c r="TOX166" s="249"/>
      <c r="TOY166" s="249"/>
      <c r="TOZ166" s="249"/>
      <c r="TPA166" s="249"/>
      <c r="TPB166" s="249"/>
      <c r="TPC166" s="249"/>
      <c r="TPD166" s="249"/>
      <c r="TPE166" s="249"/>
      <c r="TPF166" s="249"/>
      <c r="TPG166" s="249"/>
      <c r="TPH166" s="249"/>
      <c r="TPI166" s="249"/>
      <c r="TPJ166" s="249"/>
      <c r="TPK166" s="249"/>
      <c r="TPL166" s="249"/>
      <c r="TPM166" s="249"/>
      <c r="TPN166" s="249"/>
      <c r="TPO166" s="249"/>
      <c r="TPP166" s="249"/>
      <c r="TPQ166" s="249"/>
      <c r="TPR166" s="249"/>
      <c r="TPS166" s="249"/>
      <c r="TPT166" s="249"/>
      <c r="TPU166" s="249"/>
      <c r="TPV166" s="249"/>
      <c r="TPW166" s="249"/>
      <c r="TPX166" s="249"/>
      <c r="TPY166" s="249"/>
      <c r="TPZ166" s="249"/>
      <c r="TQA166" s="249"/>
      <c r="TQB166" s="249"/>
      <c r="TQC166" s="249"/>
      <c r="TQD166" s="249"/>
      <c r="TQE166" s="249"/>
      <c r="TQF166" s="249"/>
      <c r="TQG166" s="249"/>
      <c r="TQH166" s="249"/>
      <c r="TQI166" s="249"/>
      <c r="TQJ166" s="249"/>
      <c r="TQK166" s="249"/>
      <c r="TQL166" s="249"/>
      <c r="TQM166" s="249"/>
      <c r="TQN166" s="249"/>
      <c r="TQO166" s="249"/>
      <c r="TQP166" s="249"/>
      <c r="TQQ166" s="249"/>
      <c r="TQR166" s="249"/>
      <c r="TQS166" s="249"/>
      <c r="TQT166" s="249"/>
      <c r="TQU166" s="249"/>
      <c r="TQV166" s="249"/>
      <c r="TQW166" s="249"/>
      <c r="TQX166" s="249"/>
      <c r="TQY166" s="249"/>
      <c r="TQZ166" s="249"/>
      <c r="TRA166" s="249"/>
      <c r="TRB166" s="249"/>
      <c r="TRC166" s="249"/>
      <c r="TRD166" s="249"/>
      <c r="TRE166" s="249"/>
      <c r="TRF166" s="249"/>
      <c r="TRG166" s="249"/>
      <c r="TRH166" s="249"/>
      <c r="TRI166" s="249"/>
      <c r="TRJ166" s="249"/>
      <c r="TRK166" s="249"/>
      <c r="TRL166" s="249"/>
      <c r="TRM166" s="249"/>
      <c r="TRN166" s="249"/>
      <c r="TRO166" s="249"/>
      <c r="TRP166" s="249"/>
      <c r="TRQ166" s="249"/>
      <c r="TRR166" s="249"/>
      <c r="TRS166" s="249"/>
      <c r="TRT166" s="249"/>
      <c r="TRU166" s="249"/>
      <c r="TRV166" s="249"/>
      <c r="TRW166" s="249"/>
      <c r="TRX166" s="249"/>
      <c r="TRY166" s="249"/>
      <c r="TRZ166" s="249"/>
      <c r="TSA166" s="249"/>
      <c r="TSB166" s="249"/>
      <c r="TSC166" s="249"/>
      <c r="TSD166" s="249"/>
      <c r="TSE166" s="249"/>
      <c r="TSF166" s="249"/>
      <c r="TSG166" s="249"/>
      <c r="TSH166" s="249"/>
      <c r="TSI166" s="249"/>
      <c r="TSJ166" s="249"/>
      <c r="TSK166" s="249"/>
      <c r="TSL166" s="249"/>
      <c r="TSM166" s="249"/>
      <c r="TSN166" s="249"/>
      <c r="TSO166" s="249"/>
      <c r="TSP166" s="249"/>
      <c r="TSQ166" s="249"/>
      <c r="TSR166" s="249"/>
      <c r="TSS166" s="249"/>
      <c r="TST166" s="249"/>
      <c r="TSU166" s="249"/>
      <c r="TSV166" s="249"/>
      <c r="TSW166" s="249"/>
      <c r="TSX166" s="249"/>
      <c r="TSY166" s="249"/>
      <c r="TSZ166" s="249"/>
      <c r="TTA166" s="249"/>
      <c r="TTB166" s="249"/>
      <c r="TTC166" s="249"/>
      <c r="TTD166" s="249"/>
      <c r="TTE166" s="249"/>
      <c r="TTF166" s="249"/>
      <c r="TTG166" s="249"/>
      <c r="TTH166" s="249"/>
      <c r="TTI166" s="249"/>
      <c r="TTJ166" s="249"/>
      <c r="TTK166" s="249"/>
      <c r="TTL166" s="249"/>
      <c r="TTM166" s="249"/>
      <c r="TTN166" s="249"/>
      <c r="TTO166" s="249"/>
      <c r="TTP166" s="249"/>
      <c r="TTQ166" s="249"/>
      <c r="TTR166" s="249"/>
      <c r="TTS166" s="249"/>
      <c r="TTT166" s="249"/>
      <c r="TTU166" s="249"/>
      <c r="TTV166" s="249"/>
      <c r="TTW166" s="249"/>
      <c r="TTX166" s="249"/>
      <c r="TTY166" s="249"/>
      <c r="TTZ166" s="249"/>
      <c r="TUA166" s="249"/>
      <c r="TUB166" s="249"/>
      <c r="TUC166" s="249"/>
      <c r="TUD166" s="249"/>
      <c r="TUE166" s="249"/>
      <c r="TUF166" s="249"/>
      <c r="TUG166" s="249"/>
      <c r="TUH166" s="249"/>
      <c r="TUI166" s="249"/>
      <c r="TUJ166" s="249"/>
      <c r="TUK166" s="249"/>
      <c r="TUL166" s="249"/>
      <c r="TUM166" s="249"/>
      <c r="TUN166" s="249"/>
      <c r="TUO166" s="249"/>
      <c r="TUP166" s="249"/>
      <c r="TUQ166" s="249"/>
      <c r="TUR166" s="249"/>
      <c r="TUS166" s="249"/>
      <c r="TUT166" s="249"/>
      <c r="TUU166" s="249"/>
      <c r="TUV166" s="249"/>
      <c r="TUW166" s="249"/>
      <c r="TUX166" s="249"/>
      <c r="TUY166" s="249"/>
      <c r="TUZ166" s="249"/>
      <c r="TVA166" s="249"/>
      <c r="TVB166" s="249"/>
      <c r="TVC166" s="249"/>
      <c r="TVD166" s="249"/>
      <c r="TVE166" s="249"/>
      <c r="TVF166" s="249"/>
      <c r="TVG166" s="249"/>
      <c r="TVH166" s="249"/>
      <c r="TVI166" s="249"/>
      <c r="TVJ166" s="249"/>
      <c r="TVK166" s="249"/>
      <c r="TVL166" s="249"/>
      <c r="TVM166" s="249"/>
      <c r="TVN166" s="249"/>
      <c r="TVO166" s="249"/>
      <c r="TVP166" s="249"/>
      <c r="TVQ166" s="249"/>
      <c r="TVR166" s="249"/>
      <c r="TVS166" s="249"/>
      <c r="TVT166" s="249"/>
      <c r="TVU166" s="249"/>
      <c r="TVV166" s="249"/>
      <c r="TVW166" s="249"/>
      <c r="TVX166" s="249"/>
      <c r="TVY166" s="249"/>
      <c r="TVZ166" s="249"/>
      <c r="TWA166" s="249"/>
      <c r="TWB166" s="249"/>
      <c r="TWC166" s="249"/>
      <c r="TWD166" s="249"/>
      <c r="TWE166" s="249"/>
      <c r="TWF166" s="249"/>
      <c r="TWG166" s="249"/>
      <c r="TWH166" s="249"/>
      <c r="TWI166" s="249"/>
      <c r="TWJ166" s="249"/>
      <c r="TWK166" s="249"/>
      <c r="TWL166" s="249"/>
      <c r="TWM166" s="249"/>
      <c r="TWN166" s="249"/>
      <c r="TWO166" s="249"/>
      <c r="TWP166" s="249"/>
      <c r="TWQ166" s="249"/>
      <c r="TWR166" s="249"/>
      <c r="TWS166" s="249"/>
      <c r="TWT166" s="249"/>
      <c r="TWU166" s="249"/>
      <c r="TWV166" s="249"/>
      <c r="TWW166" s="249"/>
      <c r="TWX166" s="249"/>
      <c r="TWY166" s="249"/>
      <c r="TWZ166" s="249"/>
      <c r="TXA166" s="249"/>
      <c r="TXB166" s="249"/>
      <c r="TXC166" s="249"/>
      <c r="TXD166" s="249"/>
      <c r="TXE166" s="249"/>
      <c r="TXF166" s="249"/>
      <c r="TXG166" s="249"/>
      <c r="TXH166" s="249"/>
      <c r="TXI166" s="249"/>
      <c r="TXJ166" s="249"/>
      <c r="TXK166" s="249"/>
      <c r="TXL166" s="249"/>
      <c r="TXM166" s="249"/>
      <c r="TXN166" s="249"/>
      <c r="TXO166" s="249"/>
      <c r="TXP166" s="249"/>
      <c r="TXQ166" s="249"/>
      <c r="TXR166" s="249"/>
      <c r="TXS166" s="249"/>
      <c r="TXT166" s="249"/>
      <c r="TXU166" s="249"/>
      <c r="TXV166" s="249"/>
      <c r="TXW166" s="249"/>
      <c r="TXX166" s="249"/>
      <c r="TXY166" s="249"/>
      <c r="TXZ166" s="249"/>
      <c r="TYA166" s="249"/>
      <c r="TYB166" s="249"/>
      <c r="TYC166" s="249"/>
      <c r="TYD166" s="249"/>
      <c r="TYE166" s="249"/>
      <c r="TYF166" s="249"/>
      <c r="TYG166" s="249"/>
      <c r="TYH166" s="249"/>
      <c r="TYI166" s="249"/>
      <c r="TYJ166" s="249"/>
      <c r="TYK166" s="249"/>
      <c r="TYL166" s="249"/>
      <c r="TYM166" s="249"/>
      <c r="TYN166" s="249"/>
      <c r="TYO166" s="249"/>
      <c r="TYP166" s="249"/>
      <c r="TYQ166" s="249"/>
      <c r="TYR166" s="249"/>
      <c r="TYS166" s="249"/>
      <c r="TYT166" s="249"/>
      <c r="TYU166" s="249"/>
      <c r="TYV166" s="249"/>
      <c r="TYW166" s="249"/>
      <c r="TYX166" s="249"/>
      <c r="TYY166" s="249"/>
      <c r="TYZ166" s="249"/>
      <c r="TZA166" s="249"/>
      <c r="TZB166" s="249"/>
      <c r="TZC166" s="249"/>
      <c r="TZD166" s="249"/>
      <c r="TZE166" s="249"/>
      <c r="TZF166" s="249"/>
      <c r="TZG166" s="249"/>
      <c r="TZH166" s="249"/>
      <c r="TZI166" s="249"/>
      <c r="TZJ166" s="249"/>
      <c r="TZK166" s="249"/>
      <c r="TZL166" s="249"/>
      <c r="TZM166" s="249"/>
      <c r="TZN166" s="249"/>
      <c r="TZO166" s="249"/>
      <c r="TZP166" s="249"/>
      <c r="TZQ166" s="249"/>
      <c r="TZR166" s="249"/>
      <c r="TZS166" s="249"/>
      <c r="TZT166" s="249"/>
      <c r="TZU166" s="249"/>
      <c r="TZV166" s="249"/>
      <c r="TZW166" s="249"/>
      <c r="TZX166" s="249"/>
      <c r="TZY166" s="249"/>
      <c r="TZZ166" s="249"/>
      <c r="UAA166" s="249"/>
      <c r="UAB166" s="249"/>
      <c r="UAC166" s="249"/>
      <c r="UAD166" s="249"/>
      <c r="UAE166" s="249"/>
      <c r="UAF166" s="249"/>
      <c r="UAG166" s="249"/>
      <c r="UAH166" s="249"/>
      <c r="UAI166" s="249"/>
      <c r="UAJ166" s="249"/>
      <c r="UAK166" s="249"/>
      <c r="UAL166" s="249"/>
      <c r="UAM166" s="249"/>
      <c r="UAN166" s="249"/>
      <c r="UAO166" s="249"/>
      <c r="UAP166" s="249"/>
      <c r="UAQ166" s="249"/>
      <c r="UAR166" s="249"/>
      <c r="UAS166" s="249"/>
      <c r="UAT166" s="249"/>
      <c r="UAU166" s="249"/>
      <c r="UAV166" s="249"/>
      <c r="UAW166" s="249"/>
      <c r="UAX166" s="249"/>
      <c r="UAY166" s="249"/>
      <c r="UAZ166" s="249"/>
      <c r="UBA166" s="249"/>
      <c r="UBB166" s="249"/>
      <c r="UBC166" s="249"/>
      <c r="UBD166" s="249"/>
      <c r="UBE166" s="249"/>
      <c r="UBF166" s="249"/>
      <c r="UBG166" s="249"/>
      <c r="UBH166" s="249"/>
      <c r="UBI166" s="249"/>
      <c r="UBJ166" s="249"/>
      <c r="UBK166" s="249"/>
      <c r="UBL166" s="249"/>
      <c r="UBM166" s="249"/>
      <c r="UBN166" s="249"/>
      <c r="UBO166" s="249"/>
      <c r="UBP166" s="249"/>
      <c r="UBQ166" s="249"/>
      <c r="UBR166" s="249"/>
      <c r="UBS166" s="249"/>
      <c r="UBT166" s="249"/>
      <c r="UBU166" s="249"/>
      <c r="UBV166" s="249"/>
      <c r="UBW166" s="249"/>
      <c r="UBX166" s="249"/>
      <c r="UBY166" s="249"/>
      <c r="UBZ166" s="249"/>
      <c r="UCA166" s="249"/>
      <c r="UCB166" s="249"/>
      <c r="UCC166" s="249"/>
      <c r="UCD166" s="249"/>
      <c r="UCE166" s="249"/>
      <c r="UCF166" s="249"/>
      <c r="UCG166" s="249"/>
      <c r="UCH166" s="249"/>
      <c r="UCI166" s="249"/>
      <c r="UCJ166" s="249"/>
      <c r="UCK166" s="249"/>
      <c r="UCL166" s="249"/>
      <c r="UCM166" s="249"/>
      <c r="UCN166" s="249"/>
      <c r="UCO166" s="249"/>
      <c r="UCP166" s="249"/>
      <c r="UCQ166" s="249"/>
      <c r="UCR166" s="249"/>
      <c r="UCS166" s="249"/>
      <c r="UCT166" s="249"/>
      <c r="UCU166" s="249"/>
      <c r="UCV166" s="249"/>
      <c r="UCW166" s="249"/>
      <c r="UCX166" s="249"/>
      <c r="UCY166" s="249"/>
      <c r="UCZ166" s="249"/>
      <c r="UDA166" s="249"/>
      <c r="UDB166" s="249"/>
      <c r="UDC166" s="249"/>
      <c r="UDD166" s="249"/>
      <c r="UDE166" s="249"/>
      <c r="UDF166" s="249"/>
      <c r="UDG166" s="249"/>
      <c r="UDH166" s="249"/>
      <c r="UDI166" s="249"/>
      <c r="UDJ166" s="249"/>
      <c r="UDK166" s="249"/>
      <c r="UDL166" s="249"/>
      <c r="UDM166" s="249"/>
      <c r="UDN166" s="249"/>
      <c r="UDO166" s="249"/>
      <c r="UDP166" s="249"/>
      <c r="UDQ166" s="249"/>
      <c r="UDR166" s="249"/>
      <c r="UDS166" s="249"/>
      <c r="UDT166" s="249"/>
      <c r="UDU166" s="249"/>
      <c r="UDV166" s="249"/>
      <c r="UDW166" s="249"/>
      <c r="UDX166" s="249"/>
      <c r="UDY166" s="249"/>
      <c r="UDZ166" s="249"/>
      <c r="UEA166" s="249"/>
      <c r="UEB166" s="249"/>
      <c r="UEC166" s="249"/>
      <c r="UED166" s="249"/>
      <c r="UEE166" s="249"/>
      <c r="UEF166" s="249"/>
      <c r="UEG166" s="249"/>
      <c r="UEH166" s="249"/>
      <c r="UEI166" s="249"/>
      <c r="UEJ166" s="249"/>
      <c r="UEK166" s="249"/>
      <c r="UEL166" s="249"/>
      <c r="UEM166" s="249"/>
      <c r="UEN166" s="249"/>
      <c r="UEO166" s="249"/>
      <c r="UEP166" s="249"/>
      <c r="UEQ166" s="249"/>
      <c r="UER166" s="249"/>
      <c r="UES166" s="249"/>
      <c r="UET166" s="249"/>
      <c r="UEU166" s="249"/>
      <c r="UEV166" s="249"/>
      <c r="UEW166" s="249"/>
      <c r="UEX166" s="249"/>
      <c r="UEY166" s="249"/>
      <c r="UEZ166" s="249"/>
      <c r="UFA166" s="249"/>
      <c r="UFB166" s="249"/>
      <c r="UFC166" s="249"/>
      <c r="UFD166" s="249"/>
      <c r="UFE166" s="249"/>
      <c r="UFF166" s="249"/>
      <c r="UFG166" s="249"/>
      <c r="UFH166" s="249"/>
      <c r="UFI166" s="249"/>
      <c r="UFJ166" s="249"/>
      <c r="UFK166" s="249"/>
      <c r="UFL166" s="249"/>
      <c r="UFM166" s="249"/>
      <c r="UFN166" s="249"/>
      <c r="UFO166" s="249"/>
      <c r="UFP166" s="249"/>
      <c r="UFQ166" s="249"/>
      <c r="UFR166" s="249"/>
      <c r="UFS166" s="249"/>
      <c r="UFT166" s="249"/>
      <c r="UFU166" s="249"/>
      <c r="UFV166" s="249"/>
      <c r="UFW166" s="249"/>
      <c r="UFX166" s="249"/>
      <c r="UFY166" s="249"/>
      <c r="UFZ166" s="249"/>
      <c r="UGA166" s="249"/>
      <c r="UGB166" s="249"/>
      <c r="UGC166" s="249"/>
      <c r="UGD166" s="249"/>
      <c r="UGE166" s="249"/>
      <c r="UGF166" s="249"/>
      <c r="UGG166" s="249"/>
      <c r="UGH166" s="249"/>
      <c r="UGI166" s="249"/>
      <c r="UGJ166" s="249"/>
      <c r="UGK166" s="249"/>
      <c r="UGL166" s="249"/>
      <c r="UGM166" s="249"/>
      <c r="UGN166" s="249"/>
      <c r="UGO166" s="249"/>
      <c r="UGP166" s="249"/>
      <c r="UGQ166" s="249"/>
      <c r="UGR166" s="249"/>
      <c r="UGS166" s="249"/>
      <c r="UGT166" s="249"/>
      <c r="UGU166" s="249"/>
      <c r="UGV166" s="249"/>
      <c r="UGW166" s="249"/>
      <c r="UGX166" s="249"/>
      <c r="UGY166" s="249"/>
      <c r="UGZ166" s="249"/>
      <c r="UHA166" s="249"/>
      <c r="UHB166" s="249"/>
      <c r="UHC166" s="249"/>
      <c r="UHD166" s="249"/>
      <c r="UHE166" s="249"/>
      <c r="UHF166" s="249"/>
      <c r="UHG166" s="249"/>
      <c r="UHH166" s="249"/>
      <c r="UHI166" s="249"/>
      <c r="UHJ166" s="249"/>
      <c r="UHK166" s="249"/>
      <c r="UHL166" s="249"/>
      <c r="UHM166" s="249"/>
      <c r="UHN166" s="249"/>
      <c r="UHO166" s="249"/>
      <c r="UHP166" s="249"/>
      <c r="UHQ166" s="249"/>
      <c r="UHR166" s="249"/>
      <c r="UHS166" s="249"/>
      <c r="UHT166" s="249"/>
      <c r="UHU166" s="249"/>
      <c r="UHV166" s="249"/>
      <c r="UHW166" s="249"/>
      <c r="UHX166" s="249"/>
      <c r="UHY166" s="249"/>
      <c r="UHZ166" s="249"/>
      <c r="UIA166" s="249"/>
      <c r="UIB166" s="249"/>
      <c r="UIC166" s="249"/>
      <c r="UID166" s="249"/>
      <c r="UIE166" s="249"/>
      <c r="UIF166" s="249"/>
      <c r="UIG166" s="249"/>
      <c r="UIH166" s="249"/>
      <c r="UII166" s="249"/>
      <c r="UIJ166" s="249"/>
      <c r="UIK166" s="249"/>
      <c r="UIL166" s="249"/>
      <c r="UIM166" s="249"/>
      <c r="UIN166" s="249"/>
      <c r="UIO166" s="249"/>
      <c r="UIP166" s="249"/>
      <c r="UIQ166" s="249"/>
      <c r="UIR166" s="249"/>
      <c r="UIS166" s="249"/>
      <c r="UIT166" s="249"/>
      <c r="UIU166" s="249"/>
      <c r="UIV166" s="249"/>
      <c r="UIW166" s="249"/>
      <c r="UIX166" s="249"/>
      <c r="UIY166" s="249"/>
      <c r="UIZ166" s="249"/>
      <c r="UJA166" s="249"/>
      <c r="UJB166" s="249"/>
      <c r="UJC166" s="249"/>
      <c r="UJD166" s="249"/>
      <c r="UJE166" s="249"/>
      <c r="UJF166" s="249"/>
      <c r="UJG166" s="249"/>
      <c r="UJH166" s="249"/>
      <c r="UJI166" s="249"/>
      <c r="UJJ166" s="249"/>
      <c r="UJK166" s="249"/>
      <c r="UJL166" s="249"/>
      <c r="UJM166" s="249"/>
      <c r="UJN166" s="249"/>
      <c r="UJO166" s="249"/>
      <c r="UJP166" s="249"/>
      <c r="UJQ166" s="249"/>
      <c r="UJR166" s="249"/>
      <c r="UJS166" s="249"/>
      <c r="UJT166" s="249"/>
      <c r="UJU166" s="249"/>
      <c r="UJV166" s="249"/>
      <c r="UJW166" s="249"/>
      <c r="UJX166" s="249"/>
      <c r="UJY166" s="249"/>
      <c r="UJZ166" s="249"/>
      <c r="UKA166" s="249"/>
      <c r="UKB166" s="249"/>
      <c r="UKC166" s="249"/>
      <c r="UKD166" s="249"/>
      <c r="UKE166" s="249"/>
      <c r="UKF166" s="249"/>
      <c r="UKG166" s="249"/>
      <c r="UKH166" s="249"/>
      <c r="UKI166" s="249"/>
      <c r="UKJ166" s="249"/>
      <c r="UKK166" s="249"/>
      <c r="UKL166" s="249"/>
      <c r="UKM166" s="249"/>
      <c r="UKN166" s="249"/>
      <c r="UKO166" s="249"/>
      <c r="UKP166" s="249"/>
      <c r="UKQ166" s="249"/>
      <c r="UKR166" s="249"/>
      <c r="UKS166" s="249"/>
      <c r="UKT166" s="249"/>
      <c r="UKU166" s="249"/>
      <c r="UKV166" s="249"/>
      <c r="UKW166" s="249"/>
      <c r="UKX166" s="249"/>
      <c r="UKY166" s="249"/>
      <c r="UKZ166" s="249"/>
      <c r="ULA166" s="249"/>
      <c r="ULB166" s="249"/>
      <c r="ULC166" s="249"/>
      <c r="ULD166" s="249"/>
      <c r="ULE166" s="249"/>
      <c r="ULF166" s="249"/>
      <c r="ULG166" s="249"/>
      <c r="ULH166" s="249"/>
      <c r="ULI166" s="249"/>
      <c r="ULJ166" s="249"/>
      <c r="ULK166" s="249"/>
      <c r="ULL166" s="249"/>
      <c r="ULM166" s="249"/>
      <c r="ULN166" s="249"/>
      <c r="ULO166" s="249"/>
      <c r="ULP166" s="249"/>
      <c r="ULQ166" s="249"/>
      <c r="ULR166" s="249"/>
      <c r="ULS166" s="249"/>
      <c r="ULT166" s="249"/>
      <c r="ULU166" s="249"/>
      <c r="ULV166" s="249"/>
      <c r="ULW166" s="249"/>
      <c r="ULX166" s="249"/>
      <c r="ULY166" s="249"/>
      <c r="ULZ166" s="249"/>
      <c r="UMA166" s="249"/>
      <c r="UMB166" s="249"/>
      <c r="UMC166" s="249"/>
      <c r="UMD166" s="249"/>
      <c r="UME166" s="249"/>
      <c r="UMF166" s="249"/>
      <c r="UMG166" s="249"/>
      <c r="UMH166" s="249"/>
      <c r="UMI166" s="249"/>
      <c r="UMJ166" s="249"/>
      <c r="UMK166" s="249"/>
      <c r="UML166" s="249"/>
      <c r="UMM166" s="249"/>
      <c r="UMN166" s="249"/>
      <c r="UMO166" s="249"/>
      <c r="UMP166" s="249"/>
      <c r="UMQ166" s="249"/>
      <c r="UMR166" s="249"/>
      <c r="UMS166" s="249"/>
      <c r="UMT166" s="249"/>
      <c r="UMU166" s="249"/>
      <c r="UMV166" s="249"/>
      <c r="UMW166" s="249"/>
      <c r="UMX166" s="249"/>
      <c r="UMY166" s="249"/>
      <c r="UMZ166" s="249"/>
      <c r="UNA166" s="249"/>
      <c r="UNB166" s="249"/>
      <c r="UNC166" s="249"/>
      <c r="UND166" s="249"/>
      <c r="UNE166" s="249"/>
      <c r="UNF166" s="249"/>
      <c r="UNG166" s="249"/>
      <c r="UNH166" s="249"/>
      <c r="UNI166" s="249"/>
      <c r="UNJ166" s="249"/>
      <c r="UNK166" s="249"/>
      <c r="UNL166" s="249"/>
      <c r="UNM166" s="249"/>
      <c r="UNN166" s="249"/>
      <c r="UNO166" s="249"/>
      <c r="UNP166" s="249"/>
      <c r="UNQ166" s="249"/>
      <c r="UNR166" s="249"/>
      <c r="UNS166" s="249"/>
      <c r="UNT166" s="249"/>
      <c r="UNU166" s="249"/>
      <c r="UNV166" s="249"/>
      <c r="UNW166" s="249"/>
      <c r="UNX166" s="249"/>
      <c r="UNY166" s="249"/>
      <c r="UNZ166" s="249"/>
      <c r="UOA166" s="249"/>
      <c r="UOB166" s="249"/>
      <c r="UOC166" s="249"/>
      <c r="UOD166" s="249"/>
      <c r="UOE166" s="249"/>
      <c r="UOF166" s="249"/>
      <c r="UOG166" s="249"/>
      <c r="UOH166" s="249"/>
      <c r="UOI166" s="249"/>
      <c r="UOJ166" s="249"/>
      <c r="UOK166" s="249"/>
      <c r="UOL166" s="249"/>
      <c r="UOM166" s="249"/>
      <c r="UON166" s="249"/>
      <c r="UOO166" s="249"/>
      <c r="UOP166" s="249"/>
      <c r="UOQ166" s="249"/>
      <c r="UOR166" s="249"/>
      <c r="UOS166" s="249"/>
      <c r="UOT166" s="249"/>
      <c r="UOU166" s="249"/>
      <c r="UOV166" s="249"/>
      <c r="UOW166" s="249"/>
      <c r="UOX166" s="249"/>
      <c r="UOY166" s="249"/>
      <c r="UOZ166" s="249"/>
      <c r="UPA166" s="249"/>
      <c r="UPB166" s="249"/>
      <c r="UPC166" s="249"/>
      <c r="UPD166" s="249"/>
      <c r="UPE166" s="249"/>
      <c r="UPF166" s="249"/>
      <c r="UPG166" s="249"/>
      <c r="UPH166" s="249"/>
      <c r="UPI166" s="249"/>
      <c r="UPJ166" s="249"/>
      <c r="UPK166" s="249"/>
      <c r="UPL166" s="249"/>
      <c r="UPM166" s="249"/>
      <c r="UPN166" s="249"/>
      <c r="UPO166" s="249"/>
      <c r="UPP166" s="249"/>
      <c r="UPQ166" s="249"/>
      <c r="UPR166" s="249"/>
      <c r="UPS166" s="249"/>
      <c r="UPT166" s="249"/>
      <c r="UPU166" s="249"/>
      <c r="UPV166" s="249"/>
      <c r="UPW166" s="249"/>
      <c r="UPX166" s="249"/>
      <c r="UPY166" s="249"/>
      <c r="UPZ166" s="249"/>
      <c r="UQA166" s="249"/>
      <c r="UQB166" s="249"/>
      <c r="UQC166" s="249"/>
      <c r="UQD166" s="249"/>
      <c r="UQE166" s="249"/>
      <c r="UQF166" s="249"/>
      <c r="UQG166" s="249"/>
      <c r="UQH166" s="249"/>
      <c r="UQI166" s="249"/>
      <c r="UQJ166" s="249"/>
      <c r="UQK166" s="249"/>
      <c r="UQL166" s="249"/>
      <c r="UQM166" s="249"/>
      <c r="UQN166" s="249"/>
      <c r="UQO166" s="249"/>
      <c r="UQP166" s="249"/>
      <c r="UQQ166" s="249"/>
      <c r="UQR166" s="249"/>
      <c r="UQS166" s="249"/>
      <c r="UQT166" s="249"/>
      <c r="UQU166" s="249"/>
      <c r="UQV166" s="249"/>
      <c r="UQW166" s="249"/>
      <c r="UQX166" s="249"/>
      <c r="UQY166" s="249"/>
      <c r="UQZ166" s="249"/>
      <c r="URA166" s="249"/>
      <c r="URB166" s="249"/>
      <c r="URC166" s="249"/>
      <c r="URD166" s="249"/>
      <c r="URE166" s="249"/>
      <c r="URF166" s="249"/>
      <c r="URG166" s="249"/>
      <c r="URH166" s="249"/>
      <c r="URI166" s="249"/>
      <c r="URJ166" s="249"/>
      <c r="URK166" s="249"/>
      <c r="URL166" s="249"/>
      <c r="URM166" s="249"/>
      <c r="URN166" s="249"/>
      <c r="URO166" s="249"/>
      <c r="URP166" s="249"/>
      <c r="URQ166" s="249"/>
      <c r="URR166" s="249"/>
      <c r="URS166" s="249"/>
      <c r="URT166" s="249"/>
      <c r="URU166" s="249"/>
      <c r="URV166" s="249"/>
      <c r="URW166" s="249"/>
      <c r="URX166" s="249"/>
      <c r="URY166" s="249"/>
      <c r="URZ166" s="249"/>
      <c r="USA166" s="249"/>
      <c r="USB166" s="249"/>
      <c r="USC166" s="249"/>
      <c r="USD166" s="249"/>
      <c r="USE166" s="249"/>
      <c r="USF166" s="249"/>
      <c r="USG166" s="249"/>
      <c r="USH166" s="249"/>
      <c r="USI166" s="249"/>
      <c r="USJ166" s="249"/>
      <c r="USK166" s="249"/>
      <c r="USL166" s="249"/>
      <c r="USM166" s="249"/>
      <c r="USN166" s="249"/>
      <c r="USO166" s="249"/>
      <c r="USP166" s="249"/>
      <c r="USQ166" s="249"/>
      <c r="USR166" s="249"/>
      <c r="USS166" s="249"/>
      <c r="UST166" s="249"/>
      <c r="USU166" s="249"/>
      <c r="USV166" s="249"/>
      <c r="USW166" s="249"/>
      <c r="USX166" s="249"/>
      <c r="USY166" s="249"/>
      <c r="USZ166" s="249"/>
      <c r="UTA166" s="249"/>
      <c r="UTB166" s="249"/>
      <c r="UTC166" s="249"/>
      <c r="UTD166" s="249"/>
      <c r="UTE166" s="249"/>
      <c r="UTF166" s="249"/>
      <c r="UTG166" s="249"/>
      <c r="UTH166" s="249"/>
      <c r="UTI166" s="249"/>
      <c r="UTJ166" s="249"/>
      <c r="UTK166" s="249"/>
      <c r="UTL166" s="249"/>
      <c r="UTM166" s="249"/>
      <c r="UTN166" s="249"/>
      <c r="UTO166" s="249"/>
      <c r="UTP166" s="249"/>
      <c r="UTQ166" s="249"/>
      <c r="UTR166" s="249"/>
      <c r="UTS166" s="249"/>
      <c r="UTT166" s="249"/>
      <c r="UTU166" s="249"/>
      <c r="UTV166" s="249"/>
      <c r="UTW166" s="249"/>
      <c r="UTX166" s="249"/>
      <c r="UTY166" s="249"/>
      <c r="UTZ166" s="249"/>
      <c r="UUA166" s="249"/>
      <c r="UUB166" s="249"/>
      <c r="UUC166" s="249"/>
      <c r="UUD166" s="249"/>
      <c r="UUE166" s="249"/>
      <c r="UUF166" s="249"/>
      <c r="UUG166" s="249"/>
      <c r="UUH166" s="249"/>
      <c r="UUI166" s="249"/>
      <c r="UUJ166" s="249"/>
      <c r="UUK166" s="249"/>
      <c r="UUL166" s="249"/>
      <c r="UUM166" s="249"/>
      <c r="UUN166" s="249"/>
      <c r="UUO166" s="249"/>
      <c r="UUP166" s="249"/>
      <c r="UUQ166" s="249"/>
      <c r="UUR166" s="249"/>
      <c r="UUS166" s="249"/>
      <c r="UUT166" s="249"/>
      <c r="UUU166" s="249"/>
      <c r="UUV166" s="249"/>
      <c r="UUW166" s="249"/>
      <c r="UUX166" s="249"/>
      <c r="UUY166" s="249"/>
      <c r="UUZ166" s="249"/>
      <c r="UVA166" s="249"/>
      <c r="UVB166" s="249"/>
      <c r="UVC166" s="249"/>
      <c r="UVD166" s="249"/>
      <c r="UVE166" s="249"/>
      <c r="UVF166" s="249"/>
      <c r="UVG166" s="249"/>
      <c r="UVH166" s="249"/>
      <c r="UVI166" s="249"/>
      <c r="UVJ166" s="249"/>
      <c r="UVK166" s="249"/>
      <c r="UVL166" s="249"/>
      <c r="UVM166" s="249"/>
      <c r="UVN166" s="249"/>
      <c r="UVO166" s="249"/>
      <c r="UVP166" s="249"/>
      <c r="UVQ166" s="249"/>
      <c r="UVR166" s="249"/>
      <c r="UVS166" s="249"/>
      <c r="UVT166" s="249"/>
      <c r="UVU166" s="249"/>
      <c r="UVV166" s="249"/>
      <c r="UVW166" s="249"/>
      <c r="UVX166" s="249"/>
      <c r="UVY166" s="249"/>
      <c r="UVZ166" s="249"/>
      <c r="UWA166" s="249"/>
      <c r="UWB166" s="249"/>
      <c r="UWC166" s="249"/>
      <c r="UWD166" s="249"/>
      <c r="UWE166" s="249"/>
      <c r="UWF166" s="249"/>
      <c r="UWG166" s="249"/>
      <c r="UWH166" s="249"/>
      <c r="UWI166" s="249"/>
      <c r="UWJ166" s="249"/>
      <c r="UWK166" s="249"/>
      <c r="UWL166" s="249"/>
      <c r="UWM166" s="249"/>
      <c r="UWN166" s="249"/>
      <c r="UWO166" s="249"/>
      <c r="UWP166" s="249"/>
      <c r="UWQ166" s="249"/>
      <c r="UWR166" s="249"/>
      <c r="UWS166" s="249"/>
      <c r="UWT166" s="249"/>
      <c r="UWU166" s="249"/>
      <c r="UWV166" s="249"/>
      <c r="UWW166" s="249"/>
      <c r="UWX166" s="249"/>
      <c r="UWY166" s="249"/>
      <c r="UWZ166" s="249"/>
      <c r="UXA166" s="249"/>
      <c r="UXB166" s="249"/>
      <c r="UXC166" s="249"/>
      <c r="UXD166" s="249"/>
      <c r="UXE166" s="249"/>
      <c r="UXF166" s="249"/>
      <c r="UXG166" s="249"/>
      <c r="UXH166" s="249"/>
      <c r="UXI166" s="249"/>
      <c r="UXJ166" s="249"/>
      <c r="UXK166" s="249"/>
      <c r="UXL166" s="249"/>
      <c r="UXM166" s="249"/>
      <c r="UXN166" s="249"/>
      <c r="UXO166" s="249"/>
      <c r="UXP166" s="249"/>
      <c r="UXQ166" s="249"/>
      <c r="UXR166" s="249"/>
      <c r="UXS166" s="249"/>
      <c r="UXT166" s="249"/>
      <c r="UXU166" s="249"/>
      <c r="UXV166" s="249"/>
      <c r="UXW166" s="249"/>
      <c r="UXX166" s="249"/>
      <c r="UXY166" s="249"/>
      <c r="UXZ166" s="249"/>
      <c r="UYA166" s="249"/>
      <c r="UYB166" s="249"/>
      <c r="UYC166" s="249"/>
      <c r="UYD166" s="249"/>
      <c r="UYE166" s="249"/>
      <c r="UYF166" s="249"/>
      <c r="UYG166" s="249"/>
      <c r="UYH166" s="249"/>
      <c r="UYI166" s="249"/>
      <c r="UYJ166" s="249"/>
      <c r="UYK166" s="249"/>
      <c r="UYL166" s="249"/>
      <c r="UYM166" s="249"/>
      <c r="UYN166" s="249"/>
      <c r="UYO166" s="249"/>
      <c r="UYP166" s="249"/>
      <c r="UYQ166" s="249"/>
      <c r="UYR166" s="249"/>
      <c r="UYS166" s="249"/>
      <c r="UYT166" s="249"/>
      <c r="UYU166" s="249"/>
      <c r="UYV166" s="249"/>
      <c r="UYW166" s="249"/>
      <c r="UYX166" s="249"/>
      <c r="UYY166" s="249"/>
      <c r="UYZ166" s="249"/>
      <c r="UZA166" s="249"/>
      <c r="UZB166" s="249"/>
      <c r="UZC166" s="249"/>
      <c r="UZD166" s="249"/>
      <c r="UZE166" s="249"/>
      <c r="UZF166" s="249"/>
      <c r="UZG166" s="249"/>
      <c r="UZH166" s="249"/>
      <c r="UZI166" s="249"/>
      <c r="UZJ166" s="249"/>
      <c r="UZK166" s="249"/>
      <c r="UZL166" s="249"/>
      <c r="UZM166" s="249"/>
      <c r="UZN166" s="249"/>
      <c r="UZO166" s="249"/>
      <c r="UZP166" s="249"/>
      <c r="UZQ166" s="249"/>
      <c r="UZR166" s="249"/>
      <c r="UZS166" s="249"/>
      <c r="UZT166" s="249"/>
      <c r="UZU166" s="249"/>
      <c r="UZV166" s="249"/>
      <c r="UZW166" s="249"/>
      <c r="UZX166" s="249"/>
      <c r="UZY166" s="249"/>
      <c r="UZZ166" s="249"/>
      <c r="VAA166" s="249"/>
      <c r="VAB166" s="249"/>
      <c r="VAC166" s="249"/>
      <c r="VAD166" s="249"/>
      <c r="VAE166" s="249"/>
      <c r="VAF166" s="249"/>
      <c r="VAG166" s="249"/>
      <c r="VAH166" s="249"/>
      <c r="VAI166" s="249"/>
      <c r="VAJ166" s="249"/>
      <c r="VAK166" s="249"/>
      <c r="VAL166" s="249"/>
      <c r="VAM166" s="249"/>
      <c r="VAN166" s="249"/>
      <c r="VAO166" s="249"/>
      <c r="VAP166" s="249"/>
      <c r="VAQ166" s="249"/>
      <c r="VAR166" s="249"/>
      <c r="VAS166" s="249"/>
      <c r="VAT166" s="249"/>
      <c r="VAU166" s="249"/>
      <c r="VAV166" s="249"/>
      <c r="VAW166" s="249"/>
      <c r="VAX166" s="249"/>
      <c r="VAY166" s="249"/>
      <c r="VAZ166" s="249"/>
      <c r="VBA166" s="249"/>
      <c r="VBB166" s="249"/>
      <c r="VBC166" s="249"/>
      <c r="VBD166" s="249"/>
      <c r="VBE166" s="249"/>
      <c r="VBF166" s="249"/>
      <c r="VBG166" s="249"/>
      <c r="VBH166" s="249"/>
      <c r="VBI166" s="249"/>
      <c r="VBJ166" s="249"/>
      <c r="VBK166" s="249"/>
      <c r="VBL166" s="249"/>
      <c r="VBM166" s="249"/>
      <c r="VBN166" s="249"/>
      <c r="VBO166" s="249"/>
      <c r="VBP166" s="249"/>
      <c r="VBQ166" s="249"/>
      <c r="VBR166" s="249"/>
      <c r="VBS166" s="249"/>
      <c r="VBT166" s="249"/>
      <c r="VBU166" s="249"/>
      <c r="VBV166" s="249"/>
      <c r="VBW166" s="249"/>
      <c r="VBX166" s="249"/>
      <c r="VBY166" s="249"/>
      <c r="VBZ166" s="249"/>
      <c r="VCA166" s="249"/>
      <c r="VCB166" s="249"/>
      <c r="VCC166" s="249"/>
      <c r="VCD166" s="249"/>
      <c r="VCE166" s="249"/>
      <c r="VCF166" s="249"/>
      <c r="VCG166" s="249"/>
      <c r="VCH166" s="249"/>
      <c r="VCI166" s="249"/>
      <c r="VCJ166" s="249"/>
      <c r="VCK166" s="249"/>
      <c r="VCL166" s="249"/>
      <c r="VCM166" s="249"/>
      <c r="VCN166" s="249"/>
      <c r="VCO166" s="249"/>
      <c r="VCP166" s="249"/>
      <c r="VCQ166" s="249"/>
      <c r="VCR166" s="249"/>
      <c r="VCS166" s="249"/>
      <c r="VCT166" s="249"/>
      <c r="VCU166" s="249"/>
      <c r="VCV166" s="249"/>
      <c r="VCW166" s="249"/>
      <c r="VCX166" s="249"/>
      <c r="VCY166" s="249"/>
      <c r="VCZ166" s="249"/>
      <c r="VDA166" s="249"/>
      <c r="VDB166" s="249"/>
      <c r="VDC166" s="249"/>
      <c r="VDD166" s="249"/>
      <c r="VDE166" s="249"/>
      <c r="VDF166" s="249"/>
      <c r="VDG166" s="249"/>
      <c r="VDH166" s="249"/>
      <c r="VDI166" s="249"/>
      <c r="VDJ166" s="249"/>
      <c r="VDK166" s="249"/>
      <c r="VDL166" s="249"/>
      <c r="VDM166" s="249"/>
      <c r="VDN166" s="249"/>
      <c r="VDO166" s="249"/>
      <c r="VDP166" s="249"/>
      <c r="VDQ166" s="249"/>
      <c r="VDR166" s="249"/>
      <c r="VDS166" s="249"/>
      <c r="VDT166" s="249"/>
      <c r="VDU166" s="249"/>
      <c r="VDV166" s="249"/>
      <c r="VDW166" s="249"/>
      <c r="VDX166" s="249"/>
      <c r="VDY166" s="249"/>
      <c r="VDZ166" s="249"/>
      <c r="VEA166" s="249"/>
      <c r="VEB166" s="249"/>
      <c r="VEC166" s="249"/>
      <c r="VED166" s="249"/>
      <c r="VEE166" s="249"/>
      <c r="VEF166" s="249"/>
      <c r="VEG166" s="249"/>
      <c r="VEH166" s="249"/>
      <c r="VEI166" s="249"/>
      <c r="VEJ166" s="249"/>
      <c r="VEK166" s="249"/>
      <c r="VEL166" s="249"/>
      <c r="VEM166" s="249"/>
      <c r="VEN166" s="249"/>
      <c r="VEO166" s="249"/>
      <c r="VEP166" s="249"/>
      <c r="VEQ166" s="249"/>
      <c r="VER166" s="249"/>
      <c r="VES166" s="249"/>
      <c r="VET166" s="249"/>
      <c r="VEU166" s="249"/>
      <c r="VEV166" s="249"/>
      <c r="VEW166" s="249"/>
      <c r="VEX166" s="249"/>
      <c r="VEY166" s="249"/>
      <c r="VEZ166" s="249"/>
      <c r="VFA166" s="249"/>
      <c r="VFB166" s="249"/>
      <c r="VFC166" s="249"/>
      <c r="VFD166" s="249"/>
      <c r="VFE166" s="249"/>
      <c r="VFF166" s="249"/>
      <c r="VFG166" s="249"/>
      <c r="VFH166" s="249"/>
      <c r="VFI166" s="249"/>
      <c r="VFJ166" s="249"/>
      <c r="VFK166" s="249"/>
      <c r="VFL166" s="249"/>
      <c r="VFM166" s="249"/>
      <c r="VFN166" s="249"/>
      <c r="VFO166" s="249"/>
      <c r="VFP166" s="249"/>
      <c r="VFQ166" s="249"/>
      <c r="VFR166" s="249"/>
      <c r="VFS166" s="249"/>
      <c r="VFT166" s="249"/>
      <c r="VFU166" s="249"/>
      <c r="VFV166" s="249"/>
      <c r="VFW166" s="249"/>
      <c r="VFX166" s="249"/>
      <c r="VFY166" s="249"/>
      <c r="VFZ166" s="249"/>
      <c r="VGA166" s="249"/>
      <c r="VGB166" s="249"/>
      <c r="VGC166" s="249"/>
      <c r="VGD166" s="249"/>
      <c r="VGE166" s="249"/>
      <c r="VGF166" s="249"/>
      <c r="VGG166" s="249"/>
      <c r="VGH166" s="249"/>
      <c r="VGI166" s="249"/>
      <c r="VGJ166" s="249"/>
      <c r="VGK166" s="249"/>
      <c r="VGL166" s="249"/>
      <c r="VGM166" s="249"/>
      <c r="VGN166" s="249"/>
      <c r="VGO166" s="249"/>
      <c r="VGP166" s="249"/>
      <c r="VGQ166" s="249"/>
      <c r="VGR166" s="249"/>
      <c r="VGS166" s="249"/>
      <c r="VGT166" s="249"/>
      <c r="VGU166" s="249"/>
      <c r="VGV166" s="249"/>
      <c r="VGW166" s="249"/>
      <c r="VGX166" s="249"/>
      <c r="VGY166" s="249"/>
      <c r="VGZ166" s="249"/>
      <c r="VHA166" s="249"/>
      <c r="VHB166" s="249"/>
      <c r="VHC166" s="249"/>
      <c r="VHD166" s="249"/>
      <c r="VHE166" s="249"/>
      <c r="VHF166" s="249"/>
      <c r="VHG166" s="249"/>
      <c r="VHH166" s="249"/>
      <c r="VHI166" s="249"/>
      <c r="VHJ166" s="249"/>
      <c r="VHK166" s="249"/>
      <c r="VHL166" s="249"/>
      <c r="VHM166" s="249"/>
      <c r="VHN166" s="249"/>
      <c r="VHO166" s="249"/>
      <c r="VHP166" s="249"/>
      <c r="VHQ166" s="249"/>
      <c r="VHR166" s="249"/>
      <c r="VHS166" s="249"/>
      <c r="VHT166" s="249"/>
      <c r="VHU166" s="249"/>
      <c r="VHV166" s="249"/>
      <c r="VHW166" s="249"/>
      <c r="VHX166" s="249"/>
      <c r="VHY166" s="249"/>
      <c r="VHZ166" s="249"/>
      <c r="VIA166" s="249"/>
      <c r="VIB166" s="249"/>
      <c r="VIC166" s="249"/>
      <c r="VID166" s="249"/>
      <c r="VIE166" s="249"/>
      <c r="VIF166" s="249"/>
      <c r="VIG166" s="249"/>
      <c r="VIH166" s="249"/>
      <c r="VII166" s="249"/>
      <c r="VIJ166" s="249"/>
      <c r="VIK166" s="249"/>
      <c r="VIL166" s="249"/>
      <c r="VIM166" s="249"/>
      <c r="VIN166" s="249"/>
      <c r="VIO166" s="249"/>
      <c r="VIP166" s="249"/>
      <c r="VIQ166" s="249"/>
      <c r="VIR166" s="249"/>
      <c r="VIS166" s="249"/>
      <c r="VIT166" s="249"/>
      <c r="VIU166" s="249"/>
      <c r="VIV166" s="249"/>
      <c r="VIW166" s="249"/>
      <c r="VIX166" s="249"/>
      <c r="VIY166" s="249"/>
      <c r="VIZ166" s="249"/>
      <c r="VJA166" s="249"/>
      <c r="VJB166" s="249"/>
      <c r="VJC166" s="249"/>
      <c r="VJD166" s="249"/>
      <c r="VJE166" s="249"/>
      <c r="VJF166" s="249"/>
      <c r="VJG166" s="249"/>
      <c r="VJH166" s="249"/>
      <c r="VJI166" s="249"/>
      <c r="VJJ166" s="249"/>
      <c r="VJK166" s="249"/>
      <c r="VJL166" s="249"/>
      <c r="VJM166" s="249"/>
      <c r="VJN166" s="249"/>
      <c r="VJO166" s="249"/>
      <c r="VJP166" s="249"/>
      <c r="VJQ166" s="249"/>
      <c r="VJR166" s="249"/>
      <c r="VJS166" s="249"/>
      <c r="VJT166" s="249"/>
      <c r="VJU166" s="249"/>
      <c r="VJV166" s="249"/>
      <c r="VJW166" s="249"/>
      <c r="VJX166" s="249"/>
      <c r="VJY166" s="249"/>
      <c r="VJZ166" s="249"/>
      <c r="VKA166" s="249"/>
      <c r="VKB166" s="249"/>
      <c r="VKC166" s="249"/>
      <c r="VKD166" s="249"/>
      <c r="VKE166" s="249"/>
      <c r="VKF166" s="249"/>
      <c r="VKG166" s="249"/>
      <c r="VKH166" s="249"/>
      <c r="VKI166" s="249"/>
      <c r="VKJ166" s="249"/>
      <c r="VKK166" s="249"/>
      <c r="VKL166" s="249"/>
      <c r="VKM166" s="249"/>
      <c r="VKN166" s="249"/>
      <c r="VKO166" s="249"/>
      <c r="VKP166" s="249"/>
      <c r="VKQ166" s="249"/>
      <c r="VKR166" s="249"/>
      <c r="VKS166" s="249"/>
      <c r="VKT166" s="249"/>
      <c r="VKU166" s="249"/>
      <c r="VKV166" s="249"/>
      <c r="VKW166" s="249"/>
      <c r="VKX166" s="249"/>
      <c r="VKY166" s="249"/>
      <c r="VKZ166" s="249"/>
      <c r="VLA166" s="249"/>
      <c r="VLB166" s="249"/>
      <c r="VLC166" s="249"/>
      <c r="VLD166" s="249"/>
      <c r="VLE166" s="249"/>
      <c r="VLF166" s="249"/>
      <c r="VLG166" s="249"/>
      <c r="VLH166" s="249"/>
      <c r="VLI166" s="249"/>
      <c r="VLJ166" s="249"/>
      <c r="VLK166" s="249"/>
      <c r="VLL166" s="249"/>
      <c r="VLM166" s="249"/>
      <c r="VLN166" s="249"/>
      <c r="VLO166" s="249"/>
      <c r="VLP166" s="249"/>
      <c r="VLQ166" s="249"/>
      <c r="VLR166" s="249"/>
      <c r="VLS166" s="249"/>
      <c r="VLT166" s="249"/>
      <c r="VLU166" s="249"/>
      <c r="VLV166" s="249"/>
      <c r="VLW166" s="249"/>
      <c r="VLX166" s="249"/>
      <c r="VLY166" s="249"/>
      <c r="VLZ166" s="249"/>
      <c r="VMA166" s="249"/>
      <c r="VMB166" s="249"/>
      <c r="VMC166" s="249"/>
      <c r="VMD166" s="249"/>
      <c r="VME166" s="249"/>
      <c r="VMF166" s="249"/>
      <c r="VMG166" s="249"/>
      <c r="VMH166" s="249"/>
      <c r="VMI166" s="249"/>
      <c r="VMJ166" s="249"/>
      <c r="VMK166" s="249"/>
      <c r="VML166" s="249"/>
      <c r="VMM166" s="249"/>
      <c r="VMN166" s="249"/>
      <c r="VMO166" s="249"/>
      <c r="VMP166" s="249"/>
      <c r="VMQ166" s="249"/>
      <c r="VMR166" s="249"/>
      <c r="VMS166" s="249"/>
      <c r="VMT166" s="249"/>
      <c r="VMU166" s="249"/>
      <c r="VMV166" s="249"/>
      <c r="VMW166" s="249"/>
      <c r="VMX166" s="249"/>
      <c r="VMY166" s="249"/>
      <c r="VMZ166" s="249"/>
      <c r="VNA166" s="249"/>
      <c r="VNB166" s="249"/>
      <c r="VNC166" s="249"/>
      <c r="VND166" s="249"/>
      <c r="VNE166" s="249"/>
      <c r="VNF166" s="249"/>
      <c r="VNG166" s="249"/>
      <c r="VNH166" s="249"/>
      <c r="VNI166" s="249"/>
      <c r="VNJ166" s="249"/>
      <c r="VNK166" s="249"/>
      <c r="VNL166" s="249"/>
      <c r="VNM166" s="249"/>
      <c r="VNN166" s="249"/>
      <c r="VNO166" s="249"/>
      <c r="VNP166" s="249"/>
      <c r="VNQ166" s="249"/>
      <c r="VNR166" s="249"/>
      <c r="VNS166" s="249"/>
      <c r="VNT166" s="249"/>
      <c r="VNU166" s="249"/>
      <c r="VNV166" s="249"/>
      <c r="VNW166" s="249"/>
      <c r="VNX166" s="249"/>
      <c r="VNY166" s="249"/>
      <c r="VNZ166" s="249"/>
      <c r="VOA166" s="249"/>
      <c r="VOB166" s="249"/>
      <c r="VOC166" s="249"/>
      <c r="VOD166" s="249"/>
      <c r="VOE166" s="249"/>
      <c r="VOF166" s="249"/>
      <c r="VOG166" s="249"/>
      <c r="VOH166" s="249"/>
      <c r="VOI166" s="249"/>
      <c r="VOJ166" s="249"/>
      <c r="VOK166" s="249"/>
      <c r="VOL166" s="249"/>
      <c r="VOM166" s="249"/>
      <c r="VON166" s="249"/>
      <c r="VOO166" s="249"/>
      <c r="VOP166" s="249"/>
      <c r="VOQ166" s="249"/>
      <c r="VOR166" s="249"/>
      <c r="VOS166" s="249"/>
      <c r="VOT166" s="249"/>
      <c r="VOU166" s="249"/>
      <c r="VOV166" s="249"/>
      <c r="VOW166" s="249"/>
      <c r="VOX166" s="249"/>
      <c r="VOY166" s="249"/>
      <c r="VOZ166" s="249"/>
      <c r="VPA166" s="249"/>
      <c r="VPB166" s="249"/>
      <c r="VPC166" s="249"/>
      <c r="VPD166" s="249"/>
      <c r="VPE166" s="249"/>
      <c r="VPF166" s="249"/>
      <c r="VPG166" s="249"/>
      <c r="VPH166" s="249"/>
      <c r="VPI166" s="249"/>
      <c r="VPJ166" s="249"/>
      <c r="VPK166" s="249"/>
      <c r="VPL166" s="249"/>
      <c r="VPM166" s="249"/>
      <c r="VPN166" s="249"/>
      <c r="VPO166" s="249"/>
      <c r="VPP166" s="249"/>
      <c r="VPQ166" s="249"/>
      <c r="VPR166" s="249"/>
      <c r="VPS166" s="249"/>
      <c r="VPT166" s="249"/>
      <c r="VPU166" s="249"/>
      <c r="VPV166" s="249"/>
      <c r="VPW166" s="249"/>
      <c r="VPX166" s="249"/>
      <c r="VPY166" s="249"/>
      <c r="VPZ166" s="249"/>
      <c r="VQA166" s="249"/>
      <c r="VQB166" s="249"/>
      <c r="VQC166" s="249"/>
      <c r="VQD166" s="249"/>
      <c r="VQE166" s="249"/>
      <c r="VQF166" s="249"/>
      <c r="VQG166" s="249"/>
      <c r="VQH166" s="249"/>
      <c r="VQI166" s="249"/>
      <c r="VQJ166" s="249"/>
      <c r="VQK166" s="249"/>
      <c r="VQL166" s="249"/>
      <c r="VQM166" s="249"/>
      <c r="VQN166" s="249"/>
      <c r="VQO166" s="249"/>
      <c r="VQP166" s="249"/>
      <c r="VQQ166" s="249"/>
      <c r="VQR166" s="249"/>
      <c r="VQS166" s="249"/>
      <c r="VQT166" s="249"/>
      <c r="VQU166" s="249"/>
      <c r="VQV166" s="249"/>
      <c r="VQW166" s="249"/>
      <c r="VQX166" s="249"/>
      <c r="VQY166" s="249"/>
      <c r="VQZ166" s="249"/>
      <c r="VRA166" s="249"/>
      <c r="VRB166" s="249"/>
      <c r="VRC166" s="249"/>
      <c r="VRD166" s="249"/>
      <c r="VRE166" s="249"/>
      <c r="VRF166" s="249"/>
      <c r="VRG166" s="249"/>
      <c r="VRH166" s="249"/>
      <c r="VRI166" s="249"/>
      <c r="VRJ166" s="249"/>
      <c r="VRK166" s="249"/>
      <c r="VRL166" s="249"/>
      <c r="VRM166" s="249"/>
      <c r="VRN166" s="249"/>
      <c r="VRO166" s="249"/>
      <c r="VRP166" s="249"/>
      <c r="VRQ166" s="249"/>
      <c r="VRR166" s="249"/>
      <c r="VRS166" s="249"/>
      <c r="VRT166" s="249"/>
      <c r="VRU166" s="249"/>
      <c r="VRV166" s="249"/>
      <c r="VRW166" s="249"/>
      <c r="VRX166" s="249"/>
      <c r="VRY166" s="249"/>
      <c r="VRZ166" s="249"/>
      <c r="VSA166" s="249"/>
      <c r="VSB166" s="249"/>
      <c r="VSC166" s="249"/>
      <c r="VSD166" s="249"/>
      <c r="VSE166" s="249"/>
      <c r="VSF166" s="249"/>
      <c r="VSG166" s="249"/>
      <c r="VSH166" s="249"/>
      <c r="VSI166" s="249"/>
      <c r="VSJ166" s="249"/>
      <c r="VSK166" s="249"/>
      <c r="VSL166" s="249"/>
      <c r="VSM166" s="249"/>
      <c r="VSN166" s="249"/>
      <c r="VSO166" s="249"/>
      <c r="VSP166" s="249"/>
      <c r="VSQ166" s="249"/>
      <c r="VSR166" s="249"/>
      <c r="VSS166" s="249"/>
      <c r="VST166" s="249"/>
      <c r="VSU166" s="249"/>
      <c r="VSV166" s="249"/>
      <c r="VSW166" s="249"/>
      <c r="VSX166" s="249"/>
      <c r="VSY166" s="249"/>
      <c r="VSZ166" s="249"/>
      <c r="VTA166" s="249"/>
      <c r="VTB166" s="249"/>
      <c r="VTC166" s="249"/>
      <c r="VTD166" s="249"/>
      <c r="VTE166" s="249"/>
      <c r="VTF166" s="249"/>
      <c r="VTG166" s="249"/>
      <c r="VTH166" s="249"/>
      <c r="VTI166" s="249"/>
      <c r="VTJ166" s="249"/>
      <c r="VTK166" s="249"/>
      <c r="VTL166" s="249"/>
      <c r="VTM166" s="249"/>
      <c r="VTN166" s="249"/>
      <c r="VTO166" s="249"/>
      <c r="VTP166" s="249"/>
      <c r="VTQ166" s="249"/>
      <c r="VTR166" s="249"/>
      <c r="VTS166" s="249"/>
      <c r="VTT166" s="249"/>
      <c r="VTU166" s="249"/>
      <c r="VTV166" s="249"/>
      <c r="VTW166" s="249"/>
      <c r="VTX166" s="249"/>
      <c r="VTY166" s="249"/>
      <c r="VTZ166" s="249"/>
      <c r="VUA166" s="249"/>
      <c r="VUB166" s="249"/>
      <c r="VUC166" s="249"/>
      <c r="VUD166" s="249"/>
      <c r="VUE166" s="249"/>
      <c r="VUF166" s="249"/>
      <c r="VUG166" s="249"/>
      <c r="VUH166" s="249"/>
      <c r="VUI166" s="249"/>
      <c r="VUJ166" s="249"/>
      <c r="VUK166" s="249"/>
      <c r="VUL166" s="249"/>
      <c r="VUM166" s="249"/>
      <c r="VUN166" s="249"/>
      <c r="VUO166" s="249"/>
      <c r="VUP166" s="249"/>
      <c r="VUQ166" s="249"/>
      <c r="VUR166" s="249"/>
      <c r="VUS166" s="249"/>
      <c r="VUT166" s="249"/>
      <c r="VUU166" s="249"/>
      <c r="VUV166" s="249"/>
      <c r="VUW166" s="249"/>
      <c r="VUX166" s="249"/>
      <c r="VUY166" s="249"/>
      <c r="VUZ166" s="249"/>
      <c r="VVA166" s="249"/>
      <c r="VVB166" s="249"/>
      <c r="VVC166" s="249"/>
      <c r="VVD166" s="249"/>
      <c r="VVE166" s="249"/>
      <c r="VVF166" s="249"/>
      <c r="VVG166" s="249"/>
      <c r="VVH166" s="249"/>
      <c r="VVI166" s="249"/>
      <c r="VVJ166" s="249"/>
      <c r="VVK166" s="249"/>
      <c r="VVL166" s="249"/>
      <c r="VVM166" s="249"/>
      <c r="VVN166" s="249"/>
      <c r="VVO166" s="249"/>
      <c r="VVP166" s="249"/>
      <c r="VVQ166" s="249"/>
      <c r="VVR166" s="249"/>
      <c r="VVS166" s="249"/>
      <c r="VVT166" s="249"/>
      <c r="VVU166" s="249"/>
      <c r="VVV166" s="249"/>
      <c r="VVW166" s="249"/>
      <c r="VVX166" s="249"/>
      <c r="VVY166" s="249"/>
      <c r="VVZ166" s="249"/>
      <c r="VWA166" s="249"/>
      <c r="VWB166" s="249"/>
      <c r="VWC166" s="249"/>
      <c r="VWD166" s="249"/>
      <c r="VWE166" s="249"/>
      <c r="VWF166" s="249"/>
      <c r="VWG166" s="249"/>
      <c r="VWH166" s="249"/>
      <c r="VWI166" s="249"/>
      <c r="VWJ166" s="249"/>
      <c r="VWK166" s="249"/>
      <c r="VWL166" s="249"/>
      <c r="VWM166" s="249"/>
      <c r="VWN166" s="249"/>
      <c r="VWO166" s="249"/>
      <c r="VWP166" s="249"/>
      <c r="VWQ166" s="249"/>
      <c r="VWR166" s="249"/>
      <c r="VWS166" s="249"/>
      <c r="VWT166" s="249"/>
      <c r="VWU166" s="249"/>
      <c r="VWV166" s="249"/>
      <c r="VWW166" s="249"/>
      <c r="VWX166" s="249"/>
      <c r="VWY166" s="249"/>
      <c r="VWZ166" s="249"/>
      <c r="VXA166" s="249"/>
      <c r="VXB166" s="249"/>
      <c r="VXC166" s="249"/>
      <c r="VXD166" s="249"/>
      <c r="VXE166" s="249"/>
      <c r="VXF166" s="249"/>
      <c r="VXG166" s="249"/>
      <c r="VXH166" s="249"/>
      <c r="VXI166" s="249"/>
      <c r="VXJ166" s="249"/>
      <c r="VXK166" s="249"/>
      <c r="VXL166" s="249"/>
      <c r="VXM166" s="249"/>
      <c r="VXN166" s="249"/>
      <c r="VXO166" s="249"/>
      <c r="VXP166" s="249"/>
      <c r="VXQ166" s="249"/>
      <c r="VXR166" s="249"/>
      <c r="VXS166" s="249"/>
      <c r="VXT166" s="249"/>
      <c r="VXU166" s="249"/>
      <c r="VXV166" s="249"/>
      <c r="VXW166" s="249"/>
      <c r="VXX166" s="249"/>
      <c r="VXY166" s="249"/>
      <c r="VXZ166" s="249"/>
      <c r="VYA166" s="249"/>
      <c r="VYB166" s="249"/>
      <c r="VYC166" s="249"/>
      <c r="VYD166" s="249"/>
      <c r="VYE166" s="249"/>
      <c r="VYF166" s="249"/>
      <c r="VYG166" s="249"/>
      <c r="VYH166" s="249"/>
      <c r="VYI166" s="249"/>
      <c r="VYJ166" s="249"/>
      <c r="VYK166" s="249"/>
      <c r="VYL166" s="249"/>
      <c r="VYM166" s="249"/>
      <c r="VYN166" s="249"/>
      <c r="VYO166" s="249"/>
      <c r="VYP166" s="249"/>
      <c r="VYQ166" s="249"/>
      <c r="VYR166" s="249"/>
      <c r="VYS166" s="249"/>
      <c r="VYT166" s="249"/>
      <c r="VYU166" s="249"/>
      <c r="VYV166" s="249"/>
      <c r="VYW166" s="249"/>
      <c r="VYX166" s="249"/>
      <c r="VYY166" s="249"/>
      <c r="VYZ166" s="249"/>
      <c r="VZA166" s="249"/>
      <c r="VZB166" s="249"/>
      <c r="VZC166" s="249"/>
      <c r="VZD166" s="249"/>
      <c r="VZE166" s="249"/>
      <c r="VZF166" s="249"/>
      <c r="VZG166" s="249"/>
      <c r="VZH166" s="249"/>
      <c r="VZI166" s="249"/>
      <c r="VZJ166" s="249"/>
      <c r="VZK166" s="249"/>
      <c r="VZL166" s="249"/>
      <c r="VZM166" s="249"/>
      <c r="VZN166" s="249"/>
      <c r="VZO166" s="249"/>
      <c r="VZP166" s="249"/>
      <c r="VZQ166" s="249"/>
      <c r="VZR166" s="249"/>
      <c r="VZS166" s="249"/>
      <c r="VZT166" s="249"/>
      <c r="VZU166" s="249"/>
      <c r="VZV166" s="249"/>
      <c r="VZW166" s="249"/>
      <c r="VZX166" s="249"/>
      <c r="VZY166" s="249"/>
      <c r="VZZ166" s="249"/>
      <c r="WAA166" s="249"/>
      <c r="WAB166" s="249"/>
      <c r="WAC166" s="249"/>
      <c r="WAD166" s="249"/>
      <c r="WAE166" s="249"/>
      <c r="WAF166" s="249"/>
      <c r="WAG166" s="249"/>
      <c r="WAH166" s="249"/>
      <c r="WAI166" s="249"/>
      <c r="WAJ166" s="249"/>
      <c r="WAK166" s="249"/>
      <c r="WAL166" s="249"/>
      <c r="WAM166" s="249"/>
      <c r="WAN166" s="249"/>
      <c r="WAO166" s="249"/>
      <c r="WAP166" s="249"/>
      <c r="WAQ166" s="249"/>
      <c r="WAR166" s="249"/>
      <c r="WAS166" s="249"/>
      <c r="WAT166" s="249"/>
      <c r="WAU166" s="249"/>
      <c r="WAV166" s="249"/>
      <c r="WAW166" s="249"/>
      <c r="WAX166" s="249"/>
      <c r="WAY166" s="249"/>
      <c r="WAZ166" s="249"/>
      <c r="WBA166" s="249"/>
      <c r="WBB166" s="249"/>
      <c r="WBC166" s="249"/>
      <c r="WBD166" s="249"/>
      <c r="WBE166" s="249"/>
      <c r="WBF166" s="249"/>
      <c r="WBG166" s="249"/>
      <c r="WBH166" s="249"/>
      <c r="WBI166" s="249"/>
      <c r="WBJ166" s="249"/>
      <c r="WBK166" s="249"/>
      <c r="WBL166" s="249"/>
      <c r="WBM166" s="249"/>
      <c r="WBN166" s="249"/>
      <c r="WBO166" s="249"/>
      <c r="WBP166" s="249"/>
      <c r="WBQ166" s="249"/>
      <c r="WBR166" s="249"/>
      <c r="WBS166" s="249"/>
      <c r="WBT166" s="249"/>
      <c r="WBU166" s="249"/>
      <c r="WBV166" s="249"/>
      <c r="WBW166" s="249"/>
      <c r="WBX166" s="249"/>
      <c r="WBY166" s="249"/>
      <c r="WBZ166" s="249"/>
      <c r="WCA166" s="249"/>
      <c r="WCB166" s="249"/>
      <c r="WCC166" s="249"/>
      <c r="WCD166" s="249"/>
      <c r="WCE166" s="249"/>
      <c r="WCF166" s="249"/>
      <c r="WCG166" s="249"/>
      <c r="WCH166" s="249"/>
      <c r="WCI166" s="249"/>
      <c r="WCJ166" s="249"/>
      <c r="WCK166" s="249"/>
      <c r="WCL166" s="249"/>
      <c r="WCM166" s="249"/>
      <c r="WCN166" s="249"/>
      <c r="WCO166" s="249"/>
      <c r="WCP166" s="249"/>
      <c r="WCQ166" s="249"/>
      <c r="WCR166" s="249"/>
      <c r="WCS166" s="249"/>
      <c r="WCT166" s="249"/>
      <c r="WCU166" s="249"/>
      <c r="WCV166" s="249"/>
      <c r="WCW166" s="249"/>
      <c r="WCX166" s="249"/>
      <c r="WCY166" s="249"/>
      <c r="WCZ166" s="249"/>
      <c r="WDA166" s="249"/>
      <c r="WDB166" s="249"/>
      <c r="WDC166" s="249"/>
      <c r="WDD166" s="249"/>
      <c r="WDE166" s="249"/>
      <c r="WDF166" s="249"/>
      <c r="WDG166" s="249"/>
      <c r="WDH166" s="249"/>
      <c r="WDI166" s="249"/>
      <c r="WDJ166" s="249"/>
      <c r="WDK166" s="249"/>
      <c r="WDL166" s="249"/>
      <c r="WDM166" s="249"/>
      <c r="WDN166" s="249"/>
      <c r="WDO166" s="249"/>
      <c r="WDP166" s="249"/>
      <c r="WDQ166" s="249"/>
      <c r="WDR166" s="249"/>
      <c r="WDS166" s="249"/>
      <c r="WDT166" s="249"/>
      <c r="WDU166" s="249"/>
      <c r="WDV166" s="249"/>
      <c r="WDW166" s="249"/>
      <c r="WDX166" s="249"/>
      <c r="WDY166" s="249"/>
      <c r="WDZ166" s="249"/>
      <c r="WEA166" s="249"/>
      <c r="WEB166" s="249"/>
      <c r="WEC166" s="249"/>
      <c r="WED166" s="249"/>
      <c r="WEE166" s="249"/>
      <c r="WEF166" s="249"/>
      <c r="WEG166" s="249"/>
      <c r="WEH166" s="249"/>
      <c r="WEI166" s="249"/>
      <c r="WEJ166" s="249"/>
      <c r="WEK166" s="249"/>
      <c r="WEL166" s="249"/>
      <c r="WEM166" s="249"/>
      <c r="WEN166" s="249"/>
      <c r="WEO166" s="249"/>
      <c r="WEP166" s="249"/>
      <c r="WEQ166" s="249"/>
      <c r="WER166" s="249"/>
      <c r="WES166" s="249"/>
      <c r="WET166" s="249"/>
      <c r="WEU166" s="249"/>
      <c r="WEV166" s="249"/>
      <c r="WEW166" s="249"/>
      <c r="WEX166" s="249"/>
      <c r="WEY166" s="249"/>
      <c r="WEZ166" s="249"/>
      <c r="WFA166" s="249"/>
      <c r="WFB166" s="249"/>
      <c r="WFC166" s="249"/>
      <c r="WFD166" s="249"/>
      <c r="WFE166" s="249"/>
      <c r="WFF166" s="249"/>
      <c r="WFG166" s="249"/>
      <c r="WFH166" s="249"/>
      <c r="WFI166" s="249"/>
      <c r="WFJ166" s="249"/>
      <c r="WFK166" s="249"/>
      <c r="WFL166" s="249"/>
      <c r="WFM166" s="249"/>
      <c r="WFN166" s="249"/>
      <c r="WFO166" s="249"/>
      <c r="WFP166" s="249"/>
      <c r="WFQ166" s="249"/>
      <c r="WFR166" s="249"/>
      <c r="WFS166" s="249"/>
      <c r="WFT166" s="249"/>
      <c r="WFU166" s="249"/>
      <c r="WFV166" s="249"/>
      <c r="WFW166" s="249"/>
      <c r="WFX166" s="249"/>
      <c r="WFY166" s="249"/>
      <c r="WFZ166" s="249"/>
      <c r="WGA166" s="249"/>
      <c r="WGB166" s="249"/>
      <c r="WGC166" s="249"/>
      <c r="WGD166" s="249"/>
      <c r="WGE166" s="249"/>
      <c r="WGF166" s="249"/>
      <c r="WGG166" s="249"/>
      <c r="WGH166" s="249"/>
      <c r="WGI166" s="249"/>
      <c r="WGJ166" s="249"/>
      <c r="WGK166" s="249"/>
      <c r="WGL166" s="249"/>
      <c r="WGM166" s="249"/>
      <c r="WGN166" s="249"/>
      <c r="WGO166" s="249"/>
      <c r="WGP166" s="249"/>
      <c r="WGQ166" s="249"/>
      <c r="WGR166" s="249"/>
      <c r="WGS166" s="249"/>
      <c r="WGT166" s="249"/>
      <c r="WGU166" s="249"/>
      <c r="WGV166" s="249"/>
      <c r="WGW166" s="249"/>
      <c r="WGX166" s="249"/>
      <c r="WGY166" s="249"/>
      <c r="WGZ166" s="249"/>
      <c r="WHA166" s="249"/>
      <c r="WHB166" s="249"/>
      <c r="WHC166" s="249"/>
      <c r="WHD166" s="249"/>
      <c r="WHE166" s="249"/>
      <c r="WHF166" s="249"/>
      <c r="WHG166" s="249"/>
      <c r="WHH166" s="249"/>
      <c r="WHI166" s="249"/>
      <c r="WHJ166" s="249"/>
      <c r="WHK166" s="249"/>
      <c r="WHL166" s="249"/>
      <c r="WHM166" s="249"/>
      <c r="WHN166" s="249"/>
      <c r="WHO166" s="249"/>
      <c r="WHP166" s="249"/>
      <c r="WHQ166" s="249"/>
      <c r="WHR166" s="249"/>
      <c r="WHS166" s="249"/>
      <c r="WHT166" s="249"/>
      <c r="WHU166" s="249"/>
      <c r="WHV166" s="249"/>
      <c r="WHW166" s="249"/>
      <c r="WHX166" s="249"/>
      <c r="WHY166" s="249"/>
      <c r="WHZ166" s="249"/>
      <c r="WIA166" s="249"/>
      <c r="WIB166" s="249"/>
      <c r="WIC166" s="249"/>
      <c r="WID166" s="249"/>
      <c r="WIE166" s="249"/>
      <c r="WIF166" s="249"/>
      <c r="WIG166" s="249"/>
      <c r="WIH166" s="249"/>
      <c r="WII166" s="249"/>
      <c r="WIJ166" s="249"/>
      <c r="WIK166" s="249"/>
      <c r="WIL166" s="249"/>
      <c r="WIM166" s="249"/>
      <c r="WIN166" s="249"/>
      <c r="WIO166" s="249"/>
      <c r="WIP166" s="249"/>
      <c r="WIQ166" s="249"/>
      <c r="WIR166" s="249"/>
      <c r="WIS166" s="249"/>
      <c r="WIT166" s="249"/>
      <c r="WIU166" s="249"/>
      <c r="WIV166" s="249"/>
      <c r="WIW166" s="249"/>
      <c r="WIX166" s="249"/>
      <c r="WIY166" s="249"/>
      <c r="WIZ166" s="249"/>
      <c r="WJA166" s="249"/>
      <c r="WJB166" s="249"/>
      <c r="WJC166" s="249"/>
      <c r="WJD166" s="249"/>
      <c r="WJE166" s="249"/>
      <c r="WJF166" s="249"/>
      <c r="WJG166" s="249"/>
      <c r="WJH166" s="249"/>
      <c r="WJI166" s="249"/>
      <c r="WJJ166" s="249"/>
      <c r="WJK166" s="249"/>
      <c r="WJL166" s="249"/>
      <c r="WJM166" s="249"/>
      <c r="WJN166" s="249"/>
      <c r="WJO166" s="249"/>
      <c r="WJP166" s="249"/>
      <c r="WJQ166" s="249"/>
      <c r="WJR166" s="249"/>
      <c r="WJS166" s="249"/>
      <c r="WJT166" s="249"/>
      <c r="WJU166" s="249"/>
      <c r="WJV166" s="249"/>
      <c r="WJW166" s="249"/>
      <c r="WJX166" s="249"/>
      <c r="WJY166" s="249"/>
      <c r="WJZ166" s="249"/>
      <c r="WKA166" s="249"/>
      <c r="WKB166" s="249"/>
      <c r="WKC166" s="249"/>
      <c r="WKD166" s="249"/>
      <c r="WKE166" s="249"/>
      <c r="WKF166" s="249"/>
      <c r="WKG166" s="249"/>
      <c r="WKH166" s="249"/>
      <c r="WKI166" s="249"/>
      <c r="WKJ166" s="249"/>
      <c r="WKK166" s="249"/>
      <c r="WKL166" s="249"/>
      <c r="WKM166" s="249"/>
      <c r="WKN166" s="249"/>
      <c r="WKO166" s="249"/>
      <c r="WKP166" s="249"/>
      <c r="WKQ166" s="249"/>
      <c r="WKR166" s="249"/>
      <c r="WKS166" s="249"/>
      <c r="WKT166" s="249"/>
      <c r="WKU166" s="249"/>
      <c r="WKV166" s="249"/>
      <c r="WKW166" s="249"/>
      <c r="WKX166" s="249"/>
      <c r="WKY166" s="249"/>
      <c r="WKZ166" s="249"/>
      <c r="WLA166" s="249"/>
      <c r="WLB166" s="249"/>
      <c r="WLC166" s="249"/>
      <c r="WLD166" s="249"/>
      <c r="WLE166" s="249"/>
      <c r="WLF166" s="249"/>
      <c r="WLG166" s="249"/>
      <c r="WLH166" s="249"/>
      <c r="WLI166" s="249"/>
      <c r="WLJ166" s="249"/>
      <c r="WLK166" s="249"/>
      <c r="WLL166" s="249"/>
      <c r="WLM166" s="249"/>
      <c r="WLN166" s="249"/>
      <c r="WLO166" s="249"/>
      <c r="WLP166" s="249"/>
      <c r="WLQ166" s="249"/>
      <c r="WLR166" s="249"/>
      <c r="WLS166" s="249"/>
      <c r="WLT166" s="249"/>
      <c r="WLU166" s="249"/>
      <c r="WLV166" s="249"/>
      <c r="WLW166" s="249"/>
      <c r="WLX166" s="249"/>
      <c r="WLY166" s="249"/>
      <c r="WLZ166" s="249"/>
      <c r="WMA166" s="249"/>
      <c r="WMB166" s="249"/>
      <c r="WMC166" s="249"/>
      <c r="WMD166" s="249"/>
      <c r="WME166" s="249"/>
      <c r="WMF166" s="249"/>
      <c r="WMG166" s="249"/>
      <c r="WMH166" s="249"/>
      <c r="WMI166" s="249"/>
      <c r="WMJ166" s="249"/>
      <c r="WMK166" s="249"/>
      <c r="WML166" s="249"/>
      <c r="WMM166" s="249"/>
      <c r="WMN166" s="249"/>
      <c r="WMO166" s="249"/>
      <c r="WMP166" s="249"/>
      <c r="WMQ166" s="249"/>
      <c r="WMR166" s="249"/>
      <c r="WMS166" s="249"/>
      <c r="WMT166" s="249"/>
      <c r="WMU166" s="249"/>
      <c r="WMV166" s="249"/>
      <c r="WMW166" s="249"/>
      <c r="WMX166" s="249"/>
      <c r="WMY166" s="249"/>
      <c r="WMZ166" s="249"/>
      <c r="WNA166" s="249"/>
      <c r="WNB166" s="249"/>
      <c r="WNC166" s="249"/>
      <c r="WND166" s="249"/>
      <c r="WNE166" s="249"/>
      <c r="WNF166" s="249"/>
      <c r="WNG166" s="249"/>
      <c r="WNH166" s="249"/>
      <c r="WNI166" s="249"/>
      <c r="WNJ166" s="249"/>
      <c r="WNK166" s="249"/>
      <c r="WNL166" s="249"/>
      <c r="WNM166" s="249"/>
      <c r="WNN166" s="249"/>
      <c r="WNO166" s="249"/>
      <c r="WNP166" s="249"/>
      <c r="WNQ166" s="249"/>
      <c r="WNR166" s="249"/>
      <c r="WNS166" s="249"/>
      <c r="WNT166" s="249"/>
      <c r="WNU166" s="249"/>
      <c r="WNV166" s="249"/>
      <c r="WNW166" s="249"/>
      <c r="WNX166" s="249"/>
      <c r="WNY166" s="249"/>
      <c r="WNZ166" s="249"/>
      <c r="WOA166" s="249"/>
      <c r="WOB166" s="249"/>
      <c r="WOC166" s="249"/>
      <c r="WOD166" s="249"/>
      <c r="WOE166" s="249"/>
      <c r="WOF166" s="249"/>
      <c r="WOG166" s="249"/>
      <c r="WOH166" s="249"/>
      <c r="WOI166" s="249"/>
      <c r="WOJ166" s="249"/>
      <c r="WOK166" s="249"/>
      <c r="WOL166" s="249"/>
      <c r="WOM166" s="249"/>
      <c r="WON166" s="249"/>
      <c r="WOO166" s="249"/>
      <c r="WOP166" s="249"/>
      <c r="WOQ166" s="249"/>
      <c r="WOR166" s="249"/>
      <c r="WOS166" s="249"/>
      <c r="WOT166" s="249"/>
      <c r="WOU166" s="249"/>
      <c r="WOV166" s="249"/>
      <c r="WOW166" s="249"/>
      <c r="WOX166" s="249"/>
      <c r="WOY166" s="249"/>
      <c r="WOZ166" s="249"/>
      <c r="WPA166" s="249"/>
      <c r="WPB166" s="249"/>
      <c r="WPC166" s="249"/>
      <c r="WPD166" s="249"/>
      <c r="WPE166" s="249"/>
      <c r="WPF166" s="249"/>
      <c r="WPG166" s="249"/>
      <c r="WPH166" s="249"/>
      <c r="WPI166" s="249"/>
      <c r="WPJ166" s="249"/>
      <c r="WPK166" s="249"/>
      <c r="WPL166" s="249"/>
      <c r="WPM166" s="249"/>
      <c r="WPN166" s="249"/>
      <c r="WPO166" s="249"/>
      <c r="WPP166" s="249"/>
      <c r="WPQ166" s="249"/>
      <c r="WPR166" s="249"/>
      <c r="WPS166" s="249"/>
      <c r="WPT166" s="249"/>
      <c r="WPU166" s="249"/>
      <c r="WPV166" s="249"/>
      <c r="WPW166" s="249"/>
      <c r="WPX166" s="249"/>
      <c r="WPY166" s="249"/>
      <c r="WPZ166" s="249"/>
      <c r="WQA166" s="249"/>
      <c r="WQB166" s="249"/>
      <c r="WQC166" s="249"/>
      <c r="WQD166" s="249"/>
      <c r="WQE166" s="249"/>
      <c r="WQF166" s="249"/>
      <c r="WQG166" s="249"/>
      <c r="WQH166" s="249"/>
      <c r="WQI166" s="249"/>
      <c r="WQJ166" s="249"/>
      <c r="WQK166" s="249"/>
      <c r="WQL166" s="249"/>
      <c r="WQM166" s="249"/>
      <c r="WQN166" s="249"/>
      <c r="WQO166" s="249"/>
      <c r="WQP166" s="249"/>
      <c r="WQQ166" s="249"/>
      <c r="WQR166" s="249"/>
      <c r="WQS166" s="249"/>
      <c r="WQT166" s="249"/>
      <c r="WQU166" s="249"/>
      <c r="WQV166" s="249"/>
      <c r="WQW166" s="249"/>
      <c r="WQX166" s="249"/>
      <c r="WQY166" s="249"/>
      <c r="WQZ166" s="249"/>
      <c r="WRA166" s="249"/>
      <c r="WRB166" s="249"/>
      <c r="WRC166" s="249"/>
      <c r="WRD166" s="249"/>
      <c r="WRE166" s="249"/>
      <c r="WRF166" s="249"/>
      <c r="WRG166" s="249"/>
      <c r="WRH166" s="249"/>
      <c r="WRI166" s="249"/>
      <c r="WRJ166" s="249"/>
      <c r="WRK166" s="249"/>
      <c r="WRL166" s="249"/>
      <c r="WRM166" s="249"/>
      <c r="WRN166" s="249"/>
      <c r="WRO166" s="249"/>
      <c r="WRP166" s="249"/>
      <c r="WRQ166" s="249"/>
      <c r="WRR166" s="249"/>
      <c r="WRS166" s="249"/>
      <c r="WRT166" s="249"/>
      <c r="WRU166" s="249"/>
      <c r="WRV166" s="249"/>
      <c r="WRW166" s="249"/>
      <c r="WRX166" s="249"/>
      <c r="WRY166" s="249"/>
      <c r="WRZ166" s="249"/>
      <c r="WSA166" s="249"/>
      <c r="WSB166" s="249"/>
      <c r="WSC166" s="249"/>
      <c r="WSD166" s="249"/>
      <c r="WSE166" s="249"/>
      <c r="WSF166" s="249"/>
      <c r="WSG166" s="249"/>
      <c r="WSH166" s="249"/>
      <c r="WSI166" s="249"/>
      <c r="WSJ166" s="249"/>
      <c r="WSK166" s="249"/>
      <c r="WSL166" s="249"/>
      <c r="WSM166" s="249"/>
      <c r="WSN166" s="249"/>
      <c r="WSO166" s="249"/>
      <c r="WSP166" s="249"/>
      <c r="WSQ166" s="249"/>
      <c r="WSR166" s="249"/>
      <c r="WSS166" s="249"/>
      <c r="WST166" s="249"/>
      <c r="WSU166" s="249"/>
      <c r="WSV166" s="249"/>
      <c r="WSW166" s="249"/>
      <c r="WSX166" s="249"/>
      <c r="WSY166" s="249"/>
      <c r="WSZ166" s="249"/>
      <c r="WTA166" s="249"/>
      <c r="WTB166" s="249"/>
      <c r="WTC166" s="249"/>
      <c r="WTD166" s="249"/>
      <c r="WTE166" s="249"/>
      <c r="WTF166" s="249"/>
      <c r="WTG166" s="249"/>
      <c r="WTH166" s="249"/>
      <c r="WTI166" s="249"/>
      <c r="WTJ166" s="249"/>
      <c r="WTK166" s="249"/>
      <c r="WTL166" s="249"/>
      <c r="WTM166" s="249"/>
      <c r="WTN166" s="249"/>
      <c r="WTO166" s="249"/>
      <c r="WTP166" s="249"/>
      <c r="WTQ166" s="249"/>
      <c r="WTR166" s="249"/>
      <c r="WTS166" s="249"/>
      <c r="WTT166" s="249"/>
      <c r="WTU166" s="249"/>
      <c r="WTV166" s="249"/>
      <c r="WTW166" s="249"/>
      <c r="WTX166" s="249"/>
      <c r="WTY166" s="249"/>
      <c r="WTZ166" s="249"/>
      <c r="WUA166" s="249"/>
      <c r="WUB166" s="249"/>
      <c r="WUC166" s="249"/>
      <c r="WUD166" s="249"/>
      <c r="WUE166" s="249"/>
      <c r="WUF166" s="249"/>
      <c r="WUG166" s="249"/>
      <c r="WUH166" s="249"/>
      <c r="WUI166" s="249"/>
      <c r="WUJ166" s="249"/>
      <c r="WUK166" s="249"/>
      <c r="WUL166" s="249"/>
      <c r="WUM166" s="249"/>
      <c r="WUN166" s="249"/>
      <c r="WUO166" s="249"/>
      <c r="WUP166" s="249"/>
      <c r="WUQ166" s="249"/>
      <c r="WUR166" s="249"/>
      <c r="WUS166" s="249"/>
      <c r="WUT166" s="249"/>
      <c r="WUU166" s="249"/>
      <c r="WUV166" s="249"/>
      <c r="WUW166" s="249"/>
      <c r="WUX166" s="249"/>
      <c r="WUY166" s="249"/>
      <c r="WUZ166" s="249"/>
      <c r="WVA166" s="249"/>
      <c r="WVB166" s="249"/>
      <c r="WVC166" s="249"/>
      <c r="WVD166" s="249"/>
      <c r="WVE166" s="249"/>
      <c r="WVF166" s="249"/>
      <c r="WVG166" s="249"/>
      <c r="WVH166" s="249"/>
      <c r="WVI166" s="249"/>
      <c r="WVJ166" s="249"/>
      <c r="WVK166" s="249"/>
      <c r="WVL166" s="249"/>
      <c r="WVM166" s="249"/>
      <c r="WVN166" s="249"/>
      <c r="WVO166" s="249"/>
      <c r="WVP166" s="249"/>
      <c r="WVQ166" s="249"/>
      <c r="WVR166" s="249"/>
      <c r="WVS166" s="249"/>
      <c r="WVT166" s="249"/>
      <c r="WVU166" s="249"/>
      <c r="WVV166" s="249"/>
      <c r="WVW166" s="249"/>
      <c r="WVX166" s="249"/>
      <c r="WVY166" s="249"/>
      <c r="WVZ166" s="249"/>
      <c r="WWA166" s="249"/>
      <c r="WWB166" s="249"/>
      <c r="WWC166" s="249"/>
      <c r="WWD166" s="249"/>
      <c r="WWE166" s="249"/>
      <c r="WWF166" s="249"/>
      <c r="WWG166" s="249"/>
      <c r="WWH166" s="249"/>
      <c r="WWI166" s="249"/>
      <c r="WWJ166" s="249"/>
      <c r="WWK166" s="249"/>
      <c r="WWL166" s="249"/>
      <c r="WWM166" s="249"/>
      <c r="WWN166" s="249"/>
      <c r="WWO166" s="249"/>
      <c r="WWP166" s="249"/>
      <c r="WWQ166" s="249"/>
      <c r="WWR166" s="249"/>
      <c r="WWS166" s="249"/>
      <c r="WWT166" s="249"/>
      <c r="WWU166" s="249"/>
      <c r="WWV166" s="249"/>
      <c r="WWW166" s="249"/>
      <c r="WWX166" s="249"/>
      <c r="WWY166" s="249"/>
      <c r="WWZ166" s="249"/>
      <c r="WXA166" s="249"/>
      <c r="WXB166" s="249"/>
      <c r="WXC166" s="249"/>
      <c r="WXD166" s="249"/>
      <c r="WXE166" s="249"/>
      <c r="WXF166" s="249"/>
      <c r="WXG166" s="249"/>
      <c r="WXH166" s="249"/>
      <c r="WXI166" s="249"/>
      <c r="WXJ166" s="249"/>
      <c r="WXK166" s="249"/>
      <c r="WXL166" s="249"/>
      <c r="WXM166" s="249"/>
      <c r="WXN166" s="249"/>
      <c r="WXO166" s="249"/>
      <c r="WXP166" s="249"/>
      <c r="WXQ166" s="249"/>
      <c r="WXR166" s="249"/>
      <c r="WXS166" s="249"/>
      <c r="WXT166" s="249"/>
      <c r="WXU166" s="249"/>
      <c r="WXV166" s="249"/>
      <c r="WXW166" s="249"/>
      <c r="WXX166" s="249"/>
      <c r="WXY166" s="249"/>
      <c r="WXZ166" s="249"/>
      <c r="WYA166" s="249"/>
      <c r="WYB166" s="249"/>
      <c r="WYC166" s="249"/>
      <c r="WYD166" s="249"/>
      <c r="WYE166" s="249"/>
      <c r="WYF166" s="249"/>
      <c r="WYG166" s="249"/>
      <c r="WYH166" s="249"/>
      <c r="WYI166" s="249"/>
      <c r="WYJ166" s="249"/>
      <c r="WYK166" s="249"/>
      <c r="WYL166" s="249"/>
      <c r="WYM166" s="249"/>
      <c r="WYN166" s="249"/>
      <c r="WYO166" s="249"/>
      <c r="WYP166" s="249"/>
      <c r="WYQ166" s="249"/>
      <c r="WYR166" s="249"/>
      <c r="WYS166" s="249"/>
      <c r="WYT166" s="249"/>
      <c r="WYU166" s="249"/>
      <c r="WYV166" s="249"/>
      <c r="WYW166" s="249"/>
      <c r="WYX166" s="249"/>
      <c r="WYY166" s="249"/>
      <c r="WYZ166" s="249"/>
      <c r="WZA166" s="249"/>
      <c r="WZB166" s="249"/>
      <c r="WZC166" s="249"/>
      <c r="WZD166" s="249"/>
      <c r="WZE166" s="249"/>
      <c r="WZF166" s="249"/>
      <c r="WZG166" s="249"/>
      <c r="WZH166" s="249"/>
      <c r="WZI166" s="249"/>
      <c r="WZJ166" s="249"/>
      <c r="WZK166" s="249"/>
      <c r="WZL166" s="249"/>
      <c r="WZM166" s="249"/>
      <c r="WZN166" s="249"/>
      <c r="WZO166" s="249"/>
      <c r="WZP166" s="249"/>
      <c r="WZQ166" s="249"/>
      <c r="WZR166" s="249"/>
      <c r="WZS166" s="249"/>
      <c r="WZT166" s="249"/>
      <c r="WZU166" s="249"/>
      <c r="WZV166" s="249"/>
      <c r="WZW166" s="249"/>
      <c r="WZX166" s="249"/>
      <c r="WZY166" s="249"/>
      <c r="WZZ166" s="249"/>
      <c r="XAA166" s="249"/>
      <c r="XAB166" s="249"/>
      <c r="XAC166" s="249"/>
      <c r="XAD166" s="249"/>
      <c r="XAE166" s="249"/>
      <c r="XAF166" s="249"/>
      <c r="XAG166" s="249"/>
      <c r="XAH166" s="249"/>
      <c r="XAI166" s="249"/>
      <c r="XAJ166" s="249"/>
      <c r="XAK166" s="249"/>
      <c r="XAL166" s="249"/>
      <c r="XAM166" s="249"/>
      <c r="XAN166" s="249"/>
      <c r="XAO166" s="249"/>
      <c r="XAP166" s="249"/>
      <c r="XAQ166" s="249"/>
      <c r="XAR166" s="249"/>
      <c r="XAS166" s="249"/>
      <c r="XAT166" s="249"/>
      <c r="XAU166" s="249"/>
      <c r="XAV166" s="249"/>
      <c r="XAW166" s="249"/>
      <c r="XAX166" s="249"/>
      <c r="XAY166" s="249"/>
      <c r="XAZ166" s="249"/>
      <c r="XBA166" s="249"/>
      <c r="XBB166" s="249"/>
      <c r="XBC166" s="249"/>
      <c r="XBD166" s="249"/>
      <c r="XBE166" s="249"/>
      <c r="XBF166" s="249"/>
      <c r="XBG166" s="249"/>
      <c r="XBH166" s="249"/>
      <c r="XBI166" s="249"/>
      <c r="XBJ166" s="249"/>
      <c r="XBK166" s="249"/>
      <c r="XBL166" s="249"/>
      <c r="XBM166" s="249"/>
      <c r="XBN166" s="249"/>
      <c r="XBO166" s="249"/>
      <c r="XBP166" s="249"/>
      <c r="XBQ166" s="249"/>
      <c r="XBR166" s="249"/>
      <c r="XBS166" s="249"/>
      <c r="XBT166" s="249"/>
      <c r="XBU166" s="249"/>
      <c r="XBV166" s="249"/>
      <c r="XBW166" s="249"/>
      <c r="XBX166" s="249"/>
      <c r="XBY166" s="249"/>
      <c r="XBZ166" s="249"/>
      <c r="XCA166" s="249"/>
      <c r="XCB166" s="249"/>
      <c r="XCC166" s="249"/>
      <c r="XCD166" s="249"/>
      <c r="XCE166" s="249"/>
      <c r="XCF166" s="249"/>
      <c r="XCG166" s="249"/>
      <c r="XCH166" s="249"/>
      <c r="XCI166" s="249"/>
      <c r="XCJ166" s="249"/>
      <c r="XCK166" s="249"/>
      <c r="XCL166" s="249"/>
      <c r="XCM166" s="249"/>
      <c r="XCN166" s="249"/>
      <c r="XCO166" s="249"/>
      <c r="XCP166" s="249"/>
      <c r="XCQ166" s="249"/>
      <c r="XCR166" s="249"/>
      <c r="XCS166" s="249"/>
      <c r="XCT166" s="249"/>
      <c r="XCU166" s="249"/>
      <c r="XCV166" s="249"/>
      <c r="XCW166" s="249"/>
      <c r="XCX166" s="249"/>
      <c r="XCY166" s="249"/>
      <c r="XCZ166" s="249"/>
      <c r="XDA166" s="249"/>
      <c r="XDB166" s="249"/>
      <c r="XDC166" s="249"/>
      <c r="XDD166" s="249"/>
      <c r="XDE166" s="249"/>
      <c r="XDF166" s="249"/>
    </row>
    <row r="167" spans="1:16334" hidden="1" outlineLevel="1">
      <c r="A167" s="249"/>
      <c r="D167" s="249"/>
      <c r="E167" s="212"/>
      <c r="F167" s="249"/>
      <c r="G167" s="249"/>
      <c r="H167" s="249"/>
      <c r="I167" s="249"/>
      <c r="J167" s="249"/>
      <c r="K167" s="249"/>
      <c r="L167" s="230">
        <f t="shared" si="106"/>
        <v>0</v>
      </c>
      <c r="M167" s="249"/>
      <c r="N167" s="249"/>
      <c r="O167" s="249"/>
      <c r="P167" s="212">
        <f t="shared" si="108"/>
        <v>0</v>
      </c>
      <c r="Q167" s="212">
        <v>1</v>
      </c>
      <c r="R167" s="212">
        <v>1</v>
      </c>
      <c r="S167" s="278">
        <v>1</v>
      </c>
      <c r="T167" s="212"/>
      <c r="U167" s="249"/>
      <c r="V167" s="316">
        <v>2</v>
      </c>
      <c r="W167" s="316">
        <v>2</v>
      </c>
      <c r="X167" s="316">
        <v>2</v>
      </c>
      <c r="Y167" s="278"/>
      <c r="Z167" s="249"/>
      <c r="AA167" s="249"/>
      <c r="AB167" s="249"/>
      <c r="AC167" s="249"/>
      <c r="AD167" s="249"/>
      <c r="AE167" s="249"/>
      <c r="AF167" s="249"/>
      <c r="AG167" s="249"/>
      <c r="AH167" s="249"/>
      <c r="AI167" s="249"/>
      <c r="AJ167" s="249"/>
      <c r="AK167" s="249"/>
      <c r="AL167" s="249"/>
      <c r="AM167" s="249"/>
      <c r="AN167" s="249"/>
      <c r="AO167" s="249"/>
      <c r="AP167" s="249"/>
      <c r="AQ167" s="249"/>
      <c r="AR167" s="249"/>
      <c r="AS167" s="249"/>
      <c r="AT167" s="249"/>
      <c r="AU167" s="249"/>
      <c r="AV167" s="249"/>
      <c r="AW167" s="249"/>
      <c r="AX167" s="249"/>
      <c r="AY167" s="249"/>
      <c r="AZ167" s="249"/>
      <c r="BA167" s="249"/>
      <c r="BB167" s="249"/>
      <c r="BC167" s="249"/>
      <c r="BD167" s="249"/>
      <c r="BE167" s="249"/>
      <c r="BF167" s="249"/>
      <c r="BG167" s="249"/>
      <c r="BH167" s="249"/>
      <c r="BI167" s="249"/>
      <c r="BJ167" s="249"/>
      <c r="BK167" s="249"/>
      <c r="BL167" s="249"/>
      <c r="BM167" s="249"/>
      <c r="BN167" s="249"/>
      <c r="BO167" s="249"/>
      <c r="BP167" s="249"/>
      <c r="BQ167" s="249"/>
      <c r="BR167" s="249"/>
      <c r="BS167" s="249"/>
      <c r="BT167" s="249"/>
      <c r="BU167" s="249"/>
      <c r="BV167" s="249"/>
      <c r="BW167" s="249"/>
      <c r="BX167" s="249"/>
      <c r="BY167" s="249"/>
      <c r="BZ167" s="249"/>
      <c r="CA167" s="249"/>
      <c r="CB167" s="249"/>
      <c r="CC167" s="249"/>
      <c r="CD167" s="249"/>
      <c r="CE167" s="249"/>
      <c r="CF167" s="249"/>
      <c r="CG167" s="249"/>
      <c r="CH167" s="249"/>
      <c r="CI167" s="249"/>
      <c r="CJ167" s="249"/>
      <c r="CK167" s="249"/>
      <c r="CL167" s="249"/>
      <c r="CM167" s="249"/>
      <c r="CN167" s="249"/>
      <c r="CO167" s="249"/>
      <c r="CP167" s="249"/>
      <c r="CQ167" s="249"/>
      <c r="CR167" s="249"/>
      <c r="CS167" s="249"/>
      <c r="CT167" s="249"/>
      <c r="CU167" s="249"/>
      <c r="CV167" s="249"/>
      <c r="CW167" s="249"/>
      <c r="CX167" s="249"/>
      <c r="CY167" s="249"/>
      <c r="CZ167" s="249"/>
      <c r="DA167" s="249"/>
      <c r="DB167" s="249"/>
      <c r="DC167" s="249"/>
      <c r="DD167" s="249"/>
      <c r="DE167" s="249"/>
      <c r="DF167" s="249"/>
      <c r="DG167" s="249"/>
      <c r="DH167" s="249"/>
      <c r="DI167" s="249"/>
      <c r="DJ167" s="249"/>
      <c r="DK167" s="249"/>
      <c r="DL167" s="249"/>
      <c r="DM167" s="249"/>
      <c r="DN167" s="249"/>
      <c r="DO167" s="249"/>
      <c r="DP167" s="249"/>
      <c r="DQ167" s="249"/>
      <c r="DR167" s="249"/>
      <c r="DS167" s="249"/>
      <c r="DT167" s="249"/>
      <c r="DU167" s="249"/>
      <c r="DV167" s="249"/>
      <c r="DW167" s="249"/>
      <c r="DX167" s="249"/>
      <c r="DY167" s="249"/>
      <c r="DZ167" s="249"/>
      <c r="EA167" s="249"/>
      <c r="EB167" s="249"/>
      <c r="EC167" s="249"/>
      <c r="ED167" s="249"/>
      <c r="EE167" s="249"/>
      <c r="EF167" s="249"/>
      <c r="EG167" s="249"/>
      <c r="EH167" s="249"/>
      <c r="EI167" s="249"/>
      <c r="EJ167" s="249"/>
      <c r="EK167" s="249"/>
      <c r="EL167" s="249"/>
      <c r="EM167" s="249"/>
      <c r="EN167" s="249"/>
      <c r="EO167" s="249"/>
      <c r="EP167" s="249"/>
      <c r="EQ167" s="249"/>
      <c r="ER167" s="249"/>
      <c r="ES167" s="249"/>
      <c r="ET167" s="249"/>
      <c r="EU167" s="249"/>
      <c r="EV167" s="249"/>
      <c r="EW167" s="249"/>
      <c r="EX167" s="249"/>
      <c r="EY167" s="249"/>
      <c r="EZ167" s="249"/>
      <c r="FA167" s="249"/>
      <c r="FB167" s="249"/>
      <c r="FC167" s="249"/>
      <c r="FD167" s="249"/>
      <c r="FE167" s="249"/>
      <c r="FF167" s="249"/>
      <c r="FG167" s="249"/>
      <c r="FH167" s="249"/>
      <c r="FI167" s="249"/>
      <c r="FJ167" s="249"/>
      <c r="FK167" s="249"/>
      <c r="FL167" s="249"/>
      <c r="FM167" s="249"/>
      <c r="FN167" s="249"/>
      <c r="FO167" s="249"/>
      <c r="FP167" s="249"/>
      <c r="FQ167" s="249"/>
      <c r="FR167" s="249"/>
      <c r="FS167" s="249"/>
      <c r="FT167" s="249"/>
      <c r="FU167" s="249"/>
      <c r="FV167" s="249"/>
      <c r="FW167" s="249"/>
      <c r="FX167" s="249"/>
      <c r="FY167" s="249"/>
      <c r="FZ167" s="249"/>
      <c r="GA167" s="249"/>
      <c r="GB167" s="249"/>
      <c r="GC167" s="249"/>
      <c r="GD167" s="249"/>
      <c r="GE167" s="249"/>
      <c r="GF167" s="249"/>
      <c r="GG167" s="249"/>
      <c r="GH167" s="249"/>
      <c r="GI167" s="249"/>
      <c r="GJ167" s="249"/>
      <c r="GK167" s="249"/>
      <c r="GL167" s="249"/>
      <c r="GM167" s="249"/>
      <c r="GN167" s="249"/>
      <c r="GO167" s="249"/>
      <c r="GP167" s="249"/>
      <c r="GQ167" s="249"/>
      <c r="GR167" s="249"/>
      <c r="GS167" s="249"/>
      <c r="GT167" s="249"/>
      <c r="GU167" s="249"/>
      <c r="GV167" s="249"/>
      <c r="GW167" s="249"/>
      <c r="GX167" s="249"/>
      <c r="GY167" s="249"/>
      <c r="GZ167" s="249"/>
      <c r="HA167" s="249"/>
      <c r="HB167" s="249"/>
      <c r="HC167" s="249"/>
      <c r="HD167" s="249"/>
      <c r="HE167" s="249"/>
      <c r="HF167" s="249"/>
      <c r="HG167" s="249"/>
      <c r="HH167" s="249"/>
      <c r="HI167" s="249"/>
      <c r="HJ167" s="249"/>
      <c r="HK167" s="249"/>
      <c r="HL167" s="249"/>
      <c r="HM167" s="249"/>
      <c r="HN167" s="249"/>
      <c r="HO167" s="249"/>
      <c r="HP167" s="249"/>
      <c r="HQ167" s="249"/>
      <c r="HR167" s="249"/>
      <c r="HS167" s="249"/>
      <c r="HT167" s="249"/>
      <c r="HU167" s="249"/>
      <c r="HV167" s="249"/>
      <c r="HW167" s="249"/>
      <c r="HX167" s="249"/>
      <c r="HY167" s="249"/>
      <c r="HZ167" s="249"/>
      <c r="IA167" s="249"/>
      <c r="IB167" s="249"/>
      <c r="IC167" s="249"/>
      <c r="ID167" s="249"/>
      <c r="IE167" s="249"/>
      <c r="IF167" s="249"/>
      <c r="IG167" s="249"/>
      <c r="IH167" s="249"/>
      <c r="II167" s="249"/>
      <c r="IJ167" s="249"/>
      <c r="IK167" s="249"/>
      <c r="IL167" s="249"/>
      <c r="IM167" s="249"/>
      <c r="IN167" s="249"/>
      <c r="IO167" s="249"/>
      <c r="IP167" s="249"/>
      <c r="IQ167" s="249"/>
      <c r="IR167" s="249"/>
      <c r="IS167" s="249"/>
      <c r="IT167" s="249"/>
      <c r="IU167" s="249"/>
      <c r="IV167" s="249"/>
      <c r="IW167" s="249"/>
      <c r="IX167" s="249"/>
      <c r="IY167" s="249"/>
      <c r="IZ167" s="249"/>
      <c r="JA167" s="249"/>
      <c r="JB167" s="249"/>
      <c r="JC167" s="249"/>
      <c r="JD167" s="249"/>
      <c r="JE167" s="249"/>
      <c r="JF167" s="249"/>
      <c r="JG167" s="249"/>
      <c r="JH167" s="249"/>
      <c r="JI167" s="249"/>
      <c r="JJ167" s="249"/>
      <c r="JK167" s="249"/>
      <c r="JL167" s="249"/>
      <c r="JM167" s="249"/>
      <c r="JN167" s="249"/>
      <c r="JO167" s="249"/>
      <c r="JP167" s="249"/>
      <c r="JQ167" s="249"/>
      <c r="JR167" s="249"/>
      <c r="JS167" s="249"/>
      <c r="JT167" s="249"/>
      <c r="JU167" s="249"/>
      <c r="JV167" s="249"/>
      <c r="JW167" s="249"/>
      <c r="JX167" s="249"/>
      <c r="JY167" s="249"/>
      <c r="JZ167" s="249"/>
      <c r="KA167" s="249"/>
      <c r="KB167" s="249"/>
      <c r="KC167" s="249"/>
      <c r="KD167" s="249"/>
      <c r="KE167" s="249"/>
      <c r="KF167" s="249"/>
      <c r="KG167" s="249"/>
      <c r="KH167" s="249"/>
      <c r="KI167" s="249"/>
      <c r="KJ167" s="249"/>
      <c r="KK167" s="249"/>
      <c r="KL167" s="249"/>
      <c r="KM167" s="249"/>
      <c r="KN167" s="249"/>
      <c r="KO167" s="249"/>
      <c r="KP167" s="249"/>
      <c r="KQ167" s="249"/>
      <c r="KR167" s="249"/>
      <c r="KS167" s="249"/>
      <c r="KT167" s="249"/>
      <c r="KU167" s="249"/>
      <c r="KV167" s="249"/>
      <c r="KW167" s="249"/>
      <c r="KX167" s="249"/>
      <c r="KY167" s="249"/>
      <c r="KZ167" s="249"/>
      <c r="LA167" s="249"/>
      <c r="LB167" s="249"/>
      <c r="LC167" s="249"/>
      <c r="LD167" s="249"/>
      <c r="LE167" s="249"/>
      <c r="LF167" s="249"/>
      <c r="LG167" s="249"/>
      <c r="LH167" s="249"/>
      <c r="LI167" s="249"/>
      <c r="LJ167" s="249"/>
      <c r="LK167" s="249"/>
      <c r="LL167" s="249"/>
      <c r="LM167" s="249"/>
      <c r="LN167" s="249"/>
      <c r="LO167" s="249"/>
      <c r="LP167" s="249"/>
      <c r="LQ167" s="249"/>
      <c r="LR167" s="249"/>
      <c r="LS167" s="249"/>
      <c r="LT167" s="249"/>
      <c r="LU167" s="249"/>
      <c r="LV167" s="249"/>
      <c r="LW167" s="249"/>
      <c r="LX167" s="249"/>
      <c r="LY167" s="249"/>
      <c r="LZ167" s="249"/>
      <c r="MA167" s="249"/>
      <c r="MB167" s="249"/>
      <c r="MC167" s="249"/>
      <c r="MD167" s="249"/>
      <c r="ME167" s="249"/>
      <c r="MF167" s="249"/>
      <c r="MG167" s="249"/>
      <c r="MH167" s="249"/>
      <c r="MI167" s="249"/>
      <c r="MJ167" s="249"/>
      <c r="MK167" s="249"/>
      <c r="ML167" s="249"/>
      <c r="MM167" s="249"/>
      <c r="MN167" s="249"/>
      <c r="MO167" s="249"/>
      <c r="MP167" s="249"/>
      <c r="MQ167" s="249"/>
      <c r="MR167" s="249"/>
      <c r="MS167" s="249"/>
      <c r="MT167" s="249"/>
      <c r="MU167" s="249"/>
      <c r="MV167" s="249"/>
      <c r="MW167" s="249"/>
      <c r="MX167" s="249"/>
      <c r="MY167" s="249"/>
      <c r="MZ167" s="249"/>
      <c r="NA167" s="249"/>
      <c r="NB167" s="249"/>
      <c r="NC167" s="249"/>
      <c r="ND167" s="249"/>
      <c r="NE167" s="249"/>
      <c r="NF167" s="249"/>
      <c r="NG167" s="249"/>
      <c r="NH167" s="249"/>
      <c r="NI167" s="249"/>
      <c r="NJ167" s="249"/>
      <c r="NK167" s="249"/>
      <c r="NL167" s="249"/>
      <c r="NM167" s="249"/>
      <c r="NN167" s="249"/>
      <c r="NO167" s="249"/>
      <c r="NP167" s="249"/>
      <c r="NQ167" s="249"/>
      <c r="NR167" s="249"/>
      <c r="NS167" s="249"/>
      <c r="NT167" s="249"/>
      <c r="NU167" s="249"/>
      <c r="NV167" s="249"/>
      <c r="NW167" s="249"/>
      <c r="NX167" s="249"/>
      <c r="NY167" s="249"/>
      <c r="NZ167" s="249"/>
      <c r="OA167" s="249"/>
      <c r="OB167" s="249"/>
      <c r="OC167" s="249"/>
      <c r="OD167" s="249"/>
      <c r="OE167" s="249"/>
      <c r="OF167" s="249"/>
      <c r="OG167" s="249"/>
      <c r="OH167" s="249"/>
      <c r="OI167" s="249"/>
      <c r="OJ167" s="249"/>
      <c r="OK167" s="249"/>
      <c r="OL167" s="249"/>
      <c r="OM167" s="249"/>
      <c r="ON167" s="249"/>
      <c r="OO167" s="249"/>
      <c r="OP167" s="249"/>
      <c r="OQ167" s="249"/>
      <c r="OR167" s="249"/>
      <c r="OS167" s="249"/>
      <c r="OT167" s="249"/>
      <c r="OU167" s="249"/>
      <c r="OV167" s="249"/>
      <c r="OW167" s="249"/>
      <c r="OX167" s="249"/>
      <c r="OY167" s="249"/>
      <c r="OZ167" s="249"/>
      <c r="PA167" s="249"/>
      <c r="PB167" s="249"/>
      <c r="PC167" s="249"/>
      <c r="PD167" s="249"/>
      <c r="PE167" s="249"/>
      <c r="PF167" s="249"/>
      <c r="PG167" s="249"/>
      <c r="PH167" s="249"/>
      <c r="PI167" s="249"/>
      <c r="PJ167" s="249"/>
      <c r="PK167" s="249"/>
      <c r="PL167" s="249"/>
      <c r="PM167" s="249"/>
      <c r="PN167" s="249"/>
      <c r="PO167" s="249"/>
      <c r="PP167" s="249"/>
      <c r="PQ167" s="249"/>
      <c r="PR167" s="249"/>
      <c r="PS167" s="249"/>
      <c r="PT167" s="249"/>
      <c r="PU167" s="249"/>
      <c r="PV167" s="249"/>
      <c r="PW167" s="249"/>
      <c r="PX167" s="249"/>
      <c r="PY167" s="249"/>
      <c r="PZ167" s="249"/>
      <c r="QA167" s="249"/>
      <c r="QB167" s="249"/>
      <c r="QC167" s="249"/>
      <c r="QD167" s="249"/>
      <c r="QE167" s="249"/>
      <c r="QF167" s="249"/>
      <c r="QG167" s="249"/>
      <c r="QH167" s="249"/>
      <c r="QI167" s="249"/>
      <c r="QJ167" s="249"/>
      <c r="QK167" s="249"/>
      <c r="QL167" s="249"/>
      <c r="QM167" s="249"/>
      <c r="QN167" s="249"/>
      <c r="QO167" s="249"/>
      <c r="QP167" s="249"/>
      <c r="QQ167" s="249"/>
      <c r="QR167" s="249"/>
      <c r="QS167" s="249"/>
      <c r="QT167" s="249"/>
      <c r="QU167" s="249"/>
      <c r="QV167" s="249"/>
      <c r="QW167" s="249"/>
      <c r="QX167" s="249"/>
      <c r="QY167" s="249"/>
      <c r="QZ167" s="249"/>
      <c r="RA167" s="249"/>
      <c r="RB167" s="249"/>
      <c r="RC167" s="249"/>
      <c r="RD167" s="249"/>
      <c r="RE167" s="249"/>
      <c r="RF167" s="249"/>
      <c r="RG167" s="249"/>
      <c r="RH167" s="249"/>
      <c r="RI167" s="249"/>
      <c r="RJ167" s="249"/>
      <c r="RK167" s="249"/>
      <c r="RL167" s="249"/>
      <c r="RM167" s="249"/>
      <c r="RN167" s="249"/>
      <c r="RO167" s="249"/>
      <c r="RP167" s="249"/>
      <c r="RQ167" s="249"/>
      <c r="RR167" s="249"/>
      <c r="RS167" s="249"/>
      <c r="RT167" s="249"/>
      <c r="RU167" s="249"/>
      <c r="RV167" s="249"/>
      <c r="RW167" s="249"/>
      <c r="RX167" s="249"/>
      <c r="RY167" s="249"/>
      <c r="RZ167" s="249"/>
      <c r="SA167" s="249"/>
      <c r="SB167" s="249"/>
      <c r="SC167" s="249"/>
      <c r="SD167" s="249"/>
      <c r="SE167" s="249"/>
      <c r="SF167" s="249"/>
      <c r="SG167" s="249"/>
      <c r="SH167" s="249"/>
      <c r="SI167" s="249"/>
      <c r="SJ167" s="249"/>
      <c r="SK167" s="249"/>
      <c r="SL167" s="249"/>
      <c r="SM167" s="249"/>
      <c r="SN167" s="249"/>
      <c r="SO167" s="249"/>
      <c r="SP167" s="249"/>
      <c r="SQ167" s="249"/>
      <c r="SR167" s="249"/>
      <c r="SS167" s="249"/>
      <c r="ST167" s="249"/>
      <c r="SU167" s="249"/>
      <c r="SV167" s="249"/>
      <c r="SW167" s="249"/>
      <c r="SX167" s="249"/>
      <c r="SY167" s="249"/>
      <c r="SZ167" s="249"/>
      <c r="TA167" s="249"/>
      <c r="TB167" s="249"/>
      <c r="TC167" s="249"/>
      <c r="TD167" s="249"/>
      <c r="TE167" s="249"/>
      <c r="TF167" s="249"/>
      <c r="TG167" s="249"/>
      <c r="TH167" s="249"/>
      <c r="TI167" s="249"/>
      <c r="TJ167" s="249"/>
      <c r="TK167" s="249"/>
      <c r="TL167" s="249"/>
      <c r="TM167" s="249"/>
      <c r="TN167" s="249"/>
      <c r="TO167" s="249"/>
      <c r="TP167" s="249"/>
      <c r="TQ167" s="249"/>
      <c r="TR167" s="249"/>
      <c r="TS167" s="249"/>
      <c r="TT167" s="249"/>
      <c r="TU167" s="249"/>
      <c r="TV167" s="249"/>
      <c r="TW167" s="249"/>
      <c r="TX167" s="249"/>
      <c r="TY167" s="249"/>
      <c r="TZ167" s="249"/>
      <c r="UA167" s="249"/>
      <c r="UB167" s="249"/>
      <c r="UC167" s="249"/>
      <c r="UD167" s="249"/>
      <c r="UE167" s="249"/>
      <c r="UF167" s="249"/>
      <c r="UG167" s="249"/>
      <c r="UH167" s="249"/>
      <c r="UI167" s="249"/>
      <c r="UJ167" s="249"/>
      <c r="UK167" s="249"/>
      <c r="UL167" s="249"/>
      <c r="UM167" s="249"/>
      <c r="UN167" s="249"/>
      <c r="UO167" s="249"/>
      <c r="UP167" s="249"/>
      <c r="UQ167" s="249"/>
      <c r="UR167" s="249"/>
      <c r="US167" s="249"/>
      <c r="UT167" s="249"/>
      <c r="UU167" s="249"/>
      <c r="UV167" s="249"/>
      <c r="UW167" s="249"/>
      <c r="UX167" s="249"/>
      <c r="UY167" s="249"/>
      <c r="UZ167" s="249"/>
      <c r="VA167" s="249"/>
      <c r="VB167" s="249"/>
      <c r="VC167" s="249"/>
      <c r="VD167" s="249"/>
      <c r="VE167" s="249"/>
      <c r="VF167" s="249"/>
      <c r="VG167" s="249"/>
      <c r="VH167" s="249"/>
      <c r="VI167" s="249"/>
      <c r="VJ167" s="249"/>
      <c r="VK167" s="249"/>
      <c r="VL167" s="249"/>
      <c r="VM167" s="249"/>
      <c r="VN167" s="249"/>
      <c r="VO167" s="249"/>
      <c r="VP167" s="249"/>
      <c r="VQ167" s="249"/>
      <c r="VR167" s="249"/>
      <c r="VS167" s="249"/>
      <c r="VT167" s="249"/>
      <c r="VU167" s="249"/>
      <c r="VV167" s="249"/>
      <c r="VW167" s="249"/>
      <c r="VX167" s="249"/>
      <c r="VY167" s="249"/>
      <c r="VZ167" s="249"/>
      <c r="WA167" s="249"/>
      <c r="WB167" s="249"/>
      <c r="WC167" s="249"/>
      <c r="WD167" s="249"/>
      <c r="WE167" s="249"/>
      <c r="WF167" s="249"/>
      <c r="WG167" s="249"/>
      <c r="WH167" s="249"/>
      <c r="WI167" s="249"/>
      <c r="WJ167" s="249"/>
      <c r="WK167" s="249"/>
      <c r="WL167" s="249"/>
      <c r="WM167" s="249"/>
      <c r="WN167" s="249"/>
      <c r="WO167" s="249"/>
      <c r="WP167" s="249"/>
      <c r="WQ167" s="249"/>
      <c r="WR167" s="249"/>
      <c r="WS167" s="249"/>
      <c r="WT167" s="249"/>
      <c r="WU167" s="249"/>
      <c r="WV167" s="249"/>
      <c r="WW167" s="249"/>
      <c r="WX167" s="249"/>
      <c r="WY167" s="249"/>
      <c r="WZ167" s="249"/>
      <c r="XA167" s="249"/>
      <c r="XB167" s="249"/>
      <c r="XC167" s="249"/>
      <c r="XD167" s="249"/>
      <c r="XE167" s="249"/>
      <c r="XF167" s="249"/>
      <c r="XG167" s="249"/>
      <c r="XH167" s="249"/>
      <c r="XI167" s="249"/>
      <c r="XJ167" s="249"/>
      <c r="XK167" s="249"/>
      <c r="XL167" s="249"/>
      <c r="XM167" s="249"/>
      <c r="XN167" s="249"/>
      <c r="XO167" s="249"/>
      <c r="XP167" s="249"/>
      <c r="XQ167" s="249"/>
      <c r="XR167" s="249"/>
      <c r="XS167" s="249"/>
      <c r="XT167" s="249"/>
      <c r="XU167" s="249"/>
      <c r="XV167" s="249"/>
      <c r="XW167" s="249"/>
      <c r="XX167" s="249"/>
      <c r="XY167" s="249"/>
      <c r="XZ167" s="249"/>
      <c r="YA167" s="249"/>
      <c r="YB167" s="249"/>
      <c r="YC167" s="249"/>
      <c r="YD167" s="249"/>
      <c r="YE167" s="249"/>
      <c r="YF167" s="249"/>
      <c r="YG167" s="249"/>
      <c r="YH167" s="249"/>
      <c r="YI167" s="249"/>
      <c r="YJ167" s="249"/>
      <c r="YK167" s="249"/>
      <c r="YL167" s="249"/>
      <c r="YM167" s="249"/>
      <c r="YN167" s="249"/>
      <c r="YO167" s="249"/>
      <c r="YP167" s="249"/>
      <c r="YQ167" s="249"/>
      <c r="YR167" s="249"/>
      <c r="YS167" s="249"/>
      <c r="YT167" s="249"/>
      <c r="YU167" s="249"/>
      <c r="YV167" s="249"/>
      <c r="YW167" s="249"/>
      <c r="YX167" s="249"/>
      <c r="YY167" s="249"/>
      <c r="YZ167" s="249"/>
      <c r="ZA167" s="249"/>
      <c r="ZB167" s="249"/>
      <c r="ZC167" s="249"/>
      <c r="ZD167" s="249"/>
      <c r="ZE167" s="249"/>
      <c r="ZF167" s="249"/>
      <c r="ZG167" s="249"/>
      <c r="ZH167" s="249"/>
      <c r="ZI167" s="249"/>
      <c r="ZJ167" s="249"/>
      <c r="ZK167" s="249"/>
      <c r="ZL167" s="249"/>
      <c r="ZM167" s="249"/>
      <c r="ZN167" s="249"/>
      <c r="ZO167" s="249"/>
      <c r="ZP167" s="249"/>
      <c r="ZQ167" s="249"/>
      <c r="ZR167" s="249"/>
      <c r="ZS167" s="249"/>
      <c r="ZT167" s="249"/>
      <c r="ZU167" s="249"/>
      <c r="ZV167" s="249"/>
      <c r="ZW167" s="249"/>
      <c r="ZX167" s="249"/>
      <c r="ZY167" s="249"/>
      <c r="ZZ167" s="249"/>
      <c r="AAA167" s="249"/>
      <c r="AAB167" s="249"/>
      <c r="AAC167" s="249"/>
      <c r="AAD167" s="249"/>
      <c r="AAE167" s="249"/>
      <c r="AAF167" s="249"/>
      <c r="AAG167" s="249"/>
      <c r="AAH167" s="249"/>
      <c r="AAI167" s="249"/>
      <c r="AAJ167" s="249"/>
      <c r="AAK167" s="249"/>
      <c r="AAL167" s="249"/>
      <c r="AAM167" s="249"/>
      <c r="AAN167" s="249"/>
      <c r="AAO167" s="249"/>
      <c r="AAP167" s="249"/>
      <c r="AAQ167" s="249"/>
      <c r="AAR167" s="249"/>
      <c r="AAS167" s="249"/>
      <c r="AAT167" s="249"/>
      <c r="AAU167" s="249"/>
      <c r="AAV167" s="249"/>
      <c r="AAW167" s="249"/>
      <c r="AAX167" s="249"/>
      <c r="AAY167" s="249"/>
      <c r="AAZ167" s="249"/>
      <c r="ABA167" s="249"/>
      <c r="ABB167" s="249"/>
      <c r="ABC167" s="249"/>
      <c r="ABD167" s="249"/>
      <c r="ABE167" s="249"/>
      <c r="ABF167" s="249"/>
      <c r="ABG167" s="249"/>
      <c r="ABH167" s="249"/>
      <c r="ABI167" s="249"/>
      <c r="ABJ167" s="249"/>
      <c r="ABK167" s="249"/>
      <c r="ABL167" s="249"/>
      <c r="ABM167" s="249"/>
      <c r="ABN167" s="249"/>
      <c r="ABO167" s="249"/>
      <c r="ABP167" s="249"/>
      <c r="ABQ167" s="249"/>
      <c r="ABR167" s="249"/>
      <c r="ABS167" s="249"/>
      <c r="ABT167" s="249"/>
      <c r="ABU167" s="249"/>
      <c r="ABV167" s="249"/>
      <c r="ABW167" s="249"/>
      <c r="ABX167" s="249"/>
      <c r="ABY167" s="249"/>
      <c r="ABZ167" s="249"/>
      <c r="ACA167" s="249"/>
      <c r="ACB167" s="249"/>
      <c r="ACC167" s="249"/>
      <c r="ACD167" s="249"/>
      <c r="ACE167" s="249"/>
      <c r="ACF167" s="249"/>
      <c r="ACG167" s="249"/>
      <c r="ACH167" s="249"/>
      <c r="ACI167" s="249"/>
      <c r="ACJ167" s="249"/>
      <c r="ACK167" s="249"/>
      <c r="ACL167" s="249"/>
      <c r="ACM167" s="249"/>
      <c r="ACN167" s="249"/>
      <c r="ACO167" s="249"/>
      <c r="ACP167" s="249"/>
      <c r="ACQ167" s="249"/>
      <c r="ACR167" s="249"/>
      <c r="ACS167" s="249"/>
      <c r="ACT167" s="249"/>
      <c r="ACU167" s="249"/>
      <c r="ACV167" s="249"/>
      <c r="ACW167" s="249"/>
      <c r="ACX167" s="249"/>
      <c r="ACY167" s="249"/>
      <c r="ACZ167" s="249"/>
      <c r="ADA167" s="249"/>
      <c r="ADB167" s="249"/>
      <c r="ADC167" s="249"/>
      <c r="ADD167" s="249"/>
      <c r="ADE167" s="249"/>
      <c r="ADF167" s="249"/>
      <c r="ADG167" s="249"/>
      <c r="ADH167" s="249"/>
      <c r="ADI167" s="249"/>
      <c r="ADJ167" s="249"/>
      <c r="ADK167" s="249"/>
      <c r="ADL167" s="249"/>
      <c r="ADM167" s="249"/>
      <c r="ADN167" s="249"/>
      <c r="ADO167" s="249"/>
      <c r="ADP167" s="249"/>
      <c r="ADQ167" s="249"/>
      <c r="ADR167" s="249"/>
      <c r="ADS167" s="249"/>
      <c r="ADT167" s="249"/>
      <c r="ADU167" s="249"/>
      <c r="ADV167" s="249"/>
      <c r="ADW167" s="249"/>
      <c r="ADX167" s="249"/>
      <c r="ADY167" s="249"/>
      <c r="ADZ167" s="249"/>
      <c r="AEA167" s="249"/>
      <c r="AEB167" s="249"/>
      <c r="AEC167" s="249"/>
      <c r="AED167" s="249"/>
      <c r="AEE167" s="249"/>
      <c r="AEF167" s="249"/>
      <c r="AEG167" s="249"/>
      <c r="AEH167" s="249"/>
      <c r="AEI167" s="249"/>
      <c r="AEJ167" s="249"/>
      <c r="AEK167" s="249"/>
      <c r="AEL167" s="249"/>
      <c r="AEM167" s="249"/>
      <c r="AEN167" s="249"/>
      <c r="AEO167" s="249"/>
      <c r="AEP167" s="249"/>
      <c r="AEQ167" s="249"/>
      <c r="AER167" s="249"/>
      <c r="AES167" s="249"/>
      <c r="AET167" s="249"/>
      <c r="AEU167" s="249"/>
      <c r="AEV167" s="249"/>
      <c r="AEW167" s="249"/>
      <c r="AEX167" s="249"/>
      <c r="AEY167" s="249"/>
      <c r="AEZ167" s="249"/>
      <c r="AFA167" s="249"/>
      <c r="AFB167" s="249"/>
      <c r="AFC167" s="249"/>
      <c r="AFD167" s="249"/>
      <c r="AFE167" s="249"/>
      <c r="AFF167" s="249"/>
      <c r="AFG167" s="249"/>
      <c r="AFH167" s="249"/>
      <c r="AFI167" s="249"/>
      <c r="AFJ167" s="249"/>
      <c r="AFK167" s="249"/>
      <c r="AFL167" s="249"/>
      <c r="AFM167" s="249"/>
      <c r="AFN167" s="249"/>
      <c r="AFO167" s="249"/>
      <c r="AFP167" s="249"/>
      <c r="AFQ167" s="249"/>
      <c r="AFR167" s="249"/>
      <c r="AFS167" s="249"/>
      <c r="AFT167" s="249"/>
      <c r="AFU167" s="249"/>
      <c r="AFV167" s="249"/>
      <c r="AFW167" s="249"/>
      <c r="AFX167" s="249"/>
      <c r="AFY167" s="249"/>
      <c r="AFZ167" s="249"/>
      <c r="AGA167" s="249"/>
      <c r="AGB167" s="249"/>
      <c r="AGC167" s="249"/>
      <c r="AGD167" s="249"/>
      <c r="AGE167" s="249"/>
      <c r="AGF167" s="249"/>
      <c r="AGG167" s="249"/>
      <c r="AGH167" s="249"/>
      <c r="AGI167" s="249"/>
      <c r="AGJ167" s="249"/>
      <c r="AGK167" s="249"/>
      <c r="AGL167" s="249"/>
      <c r="AGM167" s="249"/>
      <c r="AGN167" s="249"/>
      <c r="AGO167" s="249"/>
      <c r="AGP167" s="249"/>
      <c r="AGQ167" s="249"/>
      <c r="AGR167" s="249"/>
      <c r="AGS167" s="249"/>
      <c r="AGT167" s="249"/>
      <c r="AGU167" s="249"/>
      <c r="AGV167" s="249"/>
      <c r="AGW167" s="249"/>
      <c r="AGX167" s="249"/>
      <c r="AGY167" s="249"/>
      <c r="AGZ167" s="249"/>
      <c r="AHA167" s="249"/>
      <c r="AHB167" s="249"/>
      <c r="AHC167" s="249"/>
      <c r="AHD167" s="249"/>
      <c r="AHE167" s="249"/>
      <c r="AHF167" s="249"/>
      <c r="AHG167" s="249"/>
      <c r="AHH167" s="249"/>
      <c r="AHI167" s="249"/>
      <c r="AHJ167" s="249"/>
      <c r="AHK167" s="249"/>
      <c r="AHL167" s="249"/>
      <c r="AHM167" s="249"/>
      <c r="AHN167" s="249"/>
      <c r="AHO167" s="249"/>
      <c r="AHP167" s="249"/>
      <c r="AHQ167" s="249"/>
      <c r="AHR167" s="249"/>
      <c r="AHS167" s="249"/>
      <c r="AHT167" s="249"/>
      <c r="AHU167" s="249"/>
      <c r="AHV167" s="249"/>
      <c r="AHW167" s="249"/>
      <c r="AHX167" s="249"/>
      <c r="AHY167" s="249"/>
      <c r="AHZ167" s="249"/>
      <c r="AIA167" s="249"/>
      <c r="AIB167" s="249"/>
      <c r="AIC167" s="249"/>
      <c r="AID167" s="249"/>
      <c r="AIE167" s="249"/>
      <c r="AIF167" s="249"/>
      <c r="AIG167" s="249"/>
      <c r="AIH167" s="249"/>
      <c r="AII167" s="249"/>
      <c r="AIJ167" s="249"/>
      <c r="AIK167" s="249"/>
      <c r="AIL167" s="249"/>
      <c r="AIM167" s="249"/>
      <c r="AIN167" s="249"/>
      <c r="AIO167" s="249"/>
      <c r="AIP167" s="249"/>
      <c r="AIQ167" s="249"/>
      <c r="AIR167" s="249"/>
      <c r="AIS167" s="249"/>
      <c r="AIT167" s="249"/>
      <c r="AIU167" s="249"/>
      <c r="AIV167" s="249"/>
      <c r="AIW167" s="249"/>
      <c r="AIX167" s="249"/>
      <c r="AIY167" s="249"/>
      <c r="AIZ167" s="249"/>
      <c r="AJA167" s="249"/>
      <c r="AJB167" s="249"/>
      <c r="AJC167" s="249"/>
      <c r="AJD167" s="249"/>
      <c r="AJE167" s="249"/>
      <c r="AJF167" s="249"/>
      <c r="AJG167" s="249"/>
      <c r="AJH167" s="249"/>
      <c r="AJI167" s="249"/>
      <c r="AJJ167" s="249"/>
      <c r="AJK167" s="249"/>
      <c r="AJL167" s="249"/>
      <c r="AJM167" s="249"/>
      <c r="AJN167" s="249"/>
      <c r="AJO167" s="249"/>
      <c r="AJP167" s="249"/>
      <c r="AJQ167" s="249"/>
      <c r="AJR167" s="249"/>
      <c r="AJS167" s="249"/>
      <c r="AJT167" s="249"/>
      <c r="AJU167" s="249"/>
      <c r="AJV167" s="249"/>
      <c r="AJW167" s="249"/>
      <c r="AJX167" s="249"/>
      <c r="AJY167" s="249"/>
      <c r="AJZ167" s="249"/>
      <c r="AKA167" s="249"/>
      <c r="AKB167" s="249"/>
      <c r="AKC167" s="249"/>
      <c r="AKD167" s="249"/>
      <c r="AKE167" s="249"/>
      <c r="AKF167" s="249"/>
      <c r="AKG167" s="249"/>
      <c r="AKH167" s="249"/>
      <c r="AKI167" s="249"/>
      <c r="AKJ167" s="249"/>
      <c r="AKK167" s="249"/>
      <c r="AKL167" s="249"/>
      <c r="AKM167" s="249"/>
      <c r="AKN167" s="249"/>
      <c r="AKO167" s="249"/>
      <c r="AKP167" s="249"/>
      <c r="AKQ167" s="249"/>
      <c r="AKR167" s="249"/>
      <c r="AKS167" s="249"/>
      <c r="AKT167" s="249"/>
      <c r="AKU167" s="249"/>
      <c r="AKV167" s="249"/>
      <c r="AKW167" s="249"/>
      <c r="AKX167" s="249"/>
      <c r="AKY167" s="249"/>
      <c r="AKZ167" s="249"/>
      <c r="ALA167" s="249"/>
      <c r="ALB167" s="249"/>
      <c r="ALC167" s="249"/>
      <c r="ALD167" s="249"/>
      <c r="ALE167" s="249"/>
      <c r="ALF167" s="249"/>
      <c r="ALG167" s="249"/>
      <c r="ALH167" s="249"/>
      <c r="ALI167" s="249"/>
      <c r="ALJ167" s="249"/>
      <c r="ALK167" s="249"/>
      <c r="ALL167" s="249"/>
      <c r="ALM167" s="249"/>
      <c r="ALN167" s="249"/>
      <c r="ALO167" s="249"/>
      <c r="ALP167" s="249"/>
      <c r="ALQ167" s="249"/>
      <c r="ALR167" s="249"/>
      <c r="ALS167" s="249"/>
      <c r="ALT167" s="249"/>
      <c r="ALU167" s="249"/>
      <c r="ALV167" s="249"/>
      <c r="ALW167" s="249"/>
      <c r="ALX167" s="249"/>
      <c r="ALY167" s="249"/>
      <c r="ALZ167" s="249"/>
      <c r="AMA167" s="249"/>
      <c r="AMB167" s="249"/>
      <c r="AMC167" s="249"/>
      <c r="AMD167" s="249"/>
      <c r="AME167" s="249"/>
      <c r="AMF167" s="249"/>
      <c r="AMG167" s="249"/>
      <c r="AMH167" s="249"/>
      <c r="AMI167" s="249"/>
      <c r="AMJ167" s="249"/>
      <c r="AMK167" s="249"/>
      <c r="AML167" s="249"/>
      <c r="AMM167" s="249"/>
      <c r="AMN167" s="249"/>
      <c r="AMO167" s="249"/>
      <c r="AMP167" s="249"/>
      <c r="AMQ167" s="249"/>
      <c r="AMR167" s="249"/>
      <c r="AMS167" s="249"/>
      <c r="AMT167" s="249"/>
      <c r="AMU167" s="249"/>
      <c r="AMV167" s="249"/>
      <c r="AMW167" s="249"/>
      <c r="AMX167" s="249"/>
      <c r="AMY167" s="249"/>
      <c r="AMZ167" s="249"/>
      <c r="ANA167" s="249"/>
      <c r="ANB167" s="249"/>
      <c r="ANC167" s="249"/>
      <c r="AND167" s="249"/>
      <c r="ANE167" s="249"/>
      <c r="ANF167" s="249"/>
      <c r="ANG167" s="249"/>
      <c r="ANH167" s="249"/>
      <c r="ANI167" s="249"/>
      <c r="ANJ167" s="249"/>
      <c r="ANK167" s="249"/>
      <c r="ANL167" s="249"/>
      <c r="ANM167" s="249"/>
      <c r="ANN167" s="249"/>
      <c r="ANO167" s="249"/>
      <c r="ANP167" s="249"/>
      <c r="ANQ167" s="249"/>
      <c r="ANR167" s="249"/>
      <c r="ANS167" s="249"/>
      <c r="ANT167" s="249"/>
      <c r="ANU167" s="249"/>
      <c r="ANV167" s="249"/>
      <c r="ANW167" s="249"/>
      <c r="ANX167" s="249"/>
      <c r="ANY167" s="249"/>
      <c r="ANZ167" s="249"/>
      <c r="AOA167" s="249"/>
      <c r="AOB167" s="249"/>
      <c r="AOC167" s="249"/>
      <c r="AOD167" s="249"/>
      <c r="AOE167" s="249"/>
      <c r="AOF167" s="249"/>
      <c r="AOG167" s="249"/>
      <c r="AOH167" s="249"/>
      <c r="AOI167" s="249"/>
      <c r="AOJ167" s="249"/>
      <c r="AOK167" s="249"/>
      <c r="AOL167" s="249"/>
      <c r="AOM167" s="249"/>
      <c r="AON167" s="249"/>
      <c r="AOO167" s="249"/>
      <c r="AOP167" s="249"/>
      <c r="AOQ167" s="249"/>
      <c r="AOR167" s="249"/>
      <c r="AOS167" s="249"/>
      <c r="AOT167" s="249"/>
      <c r="AOU167" s="249"/>
      <c r="AOV167" s="249"/>
      <c r="AOW167" s="249"/>
      <c r="AOX167" s="249"/>
      <c r="AOY167" s="249"/>
      <c r="AOZ167" s="249"/>
      <c r="APA167" s="249"/>
      <c r="APB167" s="249"/>
      <c r="APC167" s="249"/>
      <c r="APD167" s="249"/>
      <c r="APE167" s="249"/>
      <c r="APF167" s="249"/>
      <c r="APG167" s="249"/>
      <c r="APH167" s="249"/>
      <c r="API167" s="249"/>
      <c r="APJ167" s="249"/>
      <c r="APK167" s="249"/>
      <c r="APL167" s="249"/>
      <c r="APM167" s="249"/>
      <c r="APN167" s="249"/>
      <c r="APO167" s="249"/>
      <c r="APP167" s="249"/>
      <c r="APQ167" s="249"/>
      <c r="APR167" s="249"/>
      <c r="APS167" s="249"/>
      <c r="APT167" s="249"/>
      <c r="APU167" s="249"/>
      <c r="APV167" s="249"/>
      <c r="APW167" s="249"/>
      <c r="APX167" s="249"/>
      <c r="APY167" s="249"/>
      <c r="APZ167" s="249"/>
      <c r="AQA167" s="249"/>
      <c r="AQB167" s="249"/>
      <c r="AQC167" s="249"/>
      <c r="AQD167" s="249"/>
      <c r="AQE167" s="249"/>
      <c r="AQF167" s="249"/>
      <c r="AQG167" s="249"/>
      <c r="AQH167" s="249"/>
      <c r="AQI167" s="249"/>
      <c r="AQJ167" s="249"/>
      <c r="AQK167" s="249"/>
      <c r="AQL167" s="249"/>
      <c r="AQM167" s="249"/>
      <c r="AQN167" s="249"/>
      <c r="AQO167" s="249"/>
      <c r="AQP167" s="249"/>
      <c r="AQQ167" s="249"/>
      <c r="AQR167" s="249"/>
      <c r="AQS167" s="249"/>
      <c r="AQT167" s="249"/>
      <c r="AQU167" s="249"/>
      <c r="AQV167" s="249"/>
      <c r="AQW167" s="249"/>
      <c r="AQX167" s="249"/>
      <c r="AQY167" s="249"/>
      <c r="AQZ167" s="249"/>
      <c r="ARA167" s="249"/>
      <c r="ARB167" s="249"/>
      <c r="ARC167" s="249"/>
      <c r="ARD167" s="249"/>
      <c r="ARE167" s="249"/>
      <c r="ARF167" s="249"/>
      <c r="ARG167" s="249"/>
      <c r="ARH167" s="249"/>
      <c r="ARI167" s="249"/>
      <c r="ARJ167" s="249"/>
      <c r="ARK167" s="249"/>
      <c r="ARL167" s="249"/>
      <c r="ARM167" s="249"/>
      <c r="ARN167" s="249"/>
      <c r="ARO167" s="249"/>
      <c r="ARP167" s="249"/>
      <c r="ARQ167" s="249"/>
      <c r="ARR167" s="249"/>
      <c r="ARS167" s="249"/>
      <c r="ART167" s="249"/>
      <c r="ARU167" s="249"/>
      <c r="ARV167" s="249"/>
      <c r="ARW167" s="249"/>
      <c r="ARX167" s="249"/>
      <c r="ARY167" s="249"/>
      <c r="ARZ167" s="249"/>
      <c r="ASA167" s="249"/>
      <c r="ASB167" s="249"/>
      <c r="ASC167" s="249"/>
      <c r="ASD167" s="249"/>
      <c r="ASE167" s="249"/>
      <c r="ASF167" s="249"/>
      <c r="ASG167" s="249"/>
      <c r="ASH167" s="249"/>
      <c r="ASI167" s="249"/>
      <c r="ASJ167" s="249"/>
      <c r="ASK167" s="249"/>
      <c r="ASL167" s="249"/>
      <c r="ASM167" s="249"/>
      <c r="ASN167" s="249"/>
      <c r="ASO167" s="249"/>
      <c r="ASP167" s="249"/>
      <c r="ASQ167" s="249"/>
      <c r="ASR167" s="249"/>
      <c r="ASS167" s="249"/>
      <c r="AST167" s="249"/>
      <c r="ASU167" s="249"/>
      <c r="ASV167" s="249"/>
      <c r="ASW167" s="249"/>
      <c r="ASX167" s="249"/>
      <c r="ASY167" s="249"/>
      <c r="ASZ167" s="249"/>
      <c r="ATA167" s="249"/>
      <c r="ATB167" s="249"/>
      <c r="ATC167" s="249"/>
      <c r="ATD167" s="249"/>
      <c r="ATE167" s="249"/>
      <c r="ATF167" s="249"/>
      <c r="ATG167" s="249"/>
      <c r="ATH167" s="249"/>
      <c r="ATI167" s="249"/>
      <c r="ATJ167" s="249"/>
      <c r="ATK167" s="249"/>
      <c r="ATL167" s="249"/>
      <c r="ATM167" s="249"/>
      <c r="ATN167" s="249"/>
      <c r="ATO167" s="249"/>
      <c r="ATP167" s="249"/>
      <c r="ATQ167" s="249"/>
      <c r="ATR167" s="249"/>
      <c r="ATS167" s="249"/>
      <c r="ATT167" s="249"/>
      <c r="ATU167" s="249"/>
      <c r="ATV167" s="249"/>
      <c r="ATW167" s="249"/>
      <c r="ATX167" s="249"/>
      <c r="ATY167" s="249"/>
      <c r="ATZ167" s="249"/>
      <c r="AUA167" s="249"/>
      <c r="AUB167" s="249"/>
      <c r="AUC167" s="249"/>
      <c r="AUD167" s="249"/>
      <c r="AUE167" s="249"/>
      <c r="AUF167" s="249"/>
      <c r="AUG167" s="249"/>
      <c r="AUH167" s="249"/>
      <c r="AUI167" s="249"/>
      <c r="AUJ167" s="249"/>
      <c r="AUK167" s="249"/>
      <c r="AUL167" s="249"/>
      <c r="AUM167" s="249"/>
      <c r="AUN167" s="249"/>
      <c r="AUO167" s="249"/>
      <c r="AUP167" s="249"/>
      <c r="AUQ167" s="249"/>
      <c r="AUR167" s="249"/>
      <c r="AUS167" s="249"/>
      <c r="AUT167" s="249"/>
      <c r="AUU167" s="249"/>
      <c r="AUV167" s="249"/>
      <c r="AUW167" s="249"/>
      <c r="AUX167" s="249"/>
      <c r="AUY167" s="249"/>
      <c r="AUZ167" s="249"/>
      <c r="AVA167" s="249"/>
      <c r="AVB167" s="249"/>
      <c r="AVC167" s="249"/>
      <c r="AVD167" s="249"/>
      <c r="AVE167" s="249"/>
      <c r="AVF167" s="249"/>
      <c r="AVG167" s="249"/>
      <c r="AVH167" s="249"/>
      <c r="AVI167" s="249"/>
      <c r="AVJ167" s="249"/>
      <c r="AVK167" s="249"/>
      <c r="AVL167" s="249"/>
      <c r="AVM167" s="249"/>
      <c r="AVN167" s="249"/>
      <c r="AVO167" s="249"/>
      <c r="AVP167" s="249"/>
      <c r="AVQ167" s="249"/>
      <c r="AVR167" s="249"/>
      <c r="AVS167" s="249"/>
      <c r="AVT167" s="249"/>
      <c r="AVU167" s="249"/>
      <c r="AVV167" s="249"/>
      <c r="AVW167" s="249"/>
      <c r="AVX167" s="249"/>
      <c r="AVY167" s="249"/>
      <c r="AVZ167" s="249"/>
      <c r="AWA167" s="249"/>
      <c r="AWB167" s="249"/>
      <c r="AWC167" s="249"/>
      <c r="AWD167" s="249"/>
      <c r="AWE167" s="249"/>
      <c r="AWF167" s="249"/>
      <c r="AWG167" s="249"/>
      <c r="AWH167" s="249"/>
      <c r="AWI167" s="249"/>
      <c r="AWJ167" s="249"/>
      <c r="AWK167" s="249"/>
      <c r="AWL167" s="249"/>
      <c r="AWM167" s="249"/>
      <c r="AWN167" s="249"/>
      <c r="AWO167" s="249"/>
      <c r="AWP167" s="249"/>
      <c r="AWQ167" s="249"/>
      <c r="AWR167" s="249"/>
      <c r="AWS167" s="249"/>
      <c r="AWT167" s="249"/>
      <c r="AWU167" s="249"/>
      <c r="AWV167" s="249"/>
      <c r="AWW167" s="249"/>
      <c r="AWX167" s="249"/>
      <c r="AWY167" s="249"/>
      <c r="AWZ167" s="249"/>
      <c r="AXA167" s="249"/>
      <c r="AXB167" s="249"/>
      <c r="AXC167" s="249"/>
      <c r="AXD167" s="249"/>
      <c r="AXE167" s="249"/>
      <c r="AXF167" s="249"/>
      <c r="AXG167" s="249"/>
      <c r="AXH167" s="249"/>
      <c r="AXI167" s="249"/>
      <c r="AXJ167" s="249"/>
      <c r="AXK167" s="249"/>
      <c r="AXL167" s="249"/>
      <c r="AXM167" s="249"/>
      <c r="AXN167" s="249"/>
      <c r="AXO167" s="249"/>
      <c r="AXP167" s="249"/>
      <c r="AXQ167" s="249"/>
      <c r="AXR167" s="249"/>
      <c r="AXS167" s="249"/>
      <c r="AXT167" s="249"/>
      <c r="AXU167" s="249"/>
      <c r="AXV167" s="249"/>
      <c r="AXW167" s="249"/>
      <c r="AXX167" s="249"/>
      <c r="AXY167" s="249"/>
      <c r="AXZ167" s="249"/>
      <c r="AYA167" s="249"/>
      <c r="AYB167" s="249"/>
      <c r="AYC167" s="249"/>
      <c r="AYD167" s="249"/>
      <c r="AYE167" s="249"/>
      <c r="AYF167" s="249"/>
      <c r="AYG167" s="249"/>
      <c r="AYH167" s="249"/>
      <c r="AYI167" s="249"/>
      <c r="AYJ167" s="249"/>
      <c r="AYK167" s="249"/>
      <c r="AYL167" s="249"/>
      <c r="AYM167" s="249"/>
      <c r="AYN167" s="249"/>
      <c r="AYO167" s="249"/>
      <c r="AYP167" s="249"/>
      <c r="AYQ167" s="249"/>
      <c r="AYR167" s="249"/>
      <c r="AYS167" s="249"/>
      <c r="AYT167" s="249"/>
      <c r="AYU167" s="249"/>
      <c r="AYV167" s="249"/>
      <c r="AYW167" s="249"/>
      <c r="AYX167" s="249"/>
      <c r="AYY167" s="249"/>
      <c r="AYZ167" s="249"/>
      <c r="AZA167" s="249"/>
      <c r="AZB167" s="249"/>
      <c r="AZC167" s="249"/>
      <c r="AZD167" s="249"/>
      <c r="AZE167" s="249"/>
      <c r="AZF167" s="249"/>
      <c r="AZG167" s="249"/>
      <c r="AZH167" s="249"/>
      <c r="AZI167" s="249"/>
      <c r="AZJ167" s="249"/>
      <c r="AZK167" s="249"/>
      <c r="AZL167" s="249"/>
      <c r="AZM167" s="249"/>
      <c r="AZN167" s="249"/>
      <c r="AZO167" s="249"/>
      <c r="AZP167" s="249"/>
      <c r="AZQ167" s="249"/>
      <c r="AZR167" s="249"/>
      <c r="AZS167" s="249"/>
      <c r="AZT167" s="249"/>
      <c r="AZU167" s="249"/>
      <c r="AZV167" s="249"/>
      <c r="AZW167" s="249"/>
      <c r="AZX167" s="249"/>
      <c r="AZY167" s="249"/>
      <c r="AZZ167" s="249"/>
      <c r="BAA167" s="249"/>
      <c r="BAB167" s="249"/>
      <c r="BAC167" s="249"/>
      <c r="BAD167" s="249"/>
      <c r="BAE167" s="249"/>
      <c r="BAF167" s="249"/>
      <c r="BAG167" s="249"/>
      <c r="BAH167" s="249"/>
      <c r="BAI167" s="249"/>
      <c r="BAJ167" s="249"/>
      <c r="BAK167" s="249"/>
      <c r="BAL167" s="249"/>
      <c r="BAM167" s="249"/>
      <c r="BAN167" s="249"/>
      <c r="BAO167" s="249"/>
      <c r="BAP167" s="249"/>
      <c r="BAQ167" s="249"/>
      <c r="BAR167" s="249"/>
      <c r="BAS167" s="249"/>
      <c r="BAT167" s="249"/>
      <c r="BAU167" s="249"/>
      <c r="BAV167" s="249"/>
      <c r="BAW167" s="249"/>
      <c r="BAX167" s="249"/>
      <c r="BAY167" s="249"/>
      <c r="BAZ167" s="249"/>
      <c r="BBA167" s="249"/>
      <c r="BBB167" s="249"/>
      <c r="BBC167" s="249"/>
      <c r="BBD167" s="249"/>
      <c r="BBE167" s="249"/>
      <c r="BBF167" s="249"/>
      <c r="BBG167" s="249"/>
      <c r="BBH167" s="249"/>
      <c r="BBI167" s="249"/>
      <c r="BBJ167" s="249"/>
      <c r="BBK167" s="249"/>
      <c r="BBL167" s="249"/>
      <c r="BBM167" s="249"/>
      <c r="BBN167" s="249"/>
      <c r="BBO167" s="249"/>
      <c r="BBP167" s="249"/>
      <c r="BBQ167" s="249"/>
      <c r="BBR167" s="249"/>
      <c r="BBS167" s="249"/>
      <c r="BBT167" s="249"/>
      <c r="BBU167" s="249"/>
      <c r="BBV167" s="249"/>
      <c r="BBW167" s="249"/>
      <c r="BBX167" s="249"/>
      <c r="BBY167" s="249"/>
      <c r="BBZ167" s="249"/>
      <c r="BCA167" s="249"/>
      <c r="BCB167" s="249"/>
      <c r="BCC167" s="249"/>
      <c r="BCD167" s="249"/>
      <c r="BCE167" s="249"/>
      <c r="BCF167" s="249"/>
      <c r="BCG167" s="249"/>
      <c r="BCH167" s="249"/>
      <c r="BCI167" s="249"/>
      <c r="BCJ167" s="249"/>
      <c r="BCK167" s="249"/>
      <c r="BCL167" s="249"/>
      <c r="BCM167" s="249"/>
      <c r="BCN167" s="249"/>
      <c r="BCO167" s="249"/>
      <c r="BCP167" s="249"/>
      <c r="BCQ167" s="249"/>
      <c r="BCR167" s="249"/>
      <c r="BCS167" s="249"/>
      <c r="BCT167" s="249"/>
      <c r="BCU167" s="249"/>
      <c r="BCV167" s="249"/>
      <c r="BCW167" s="249"/>
      <c r="BCX167" s="249"/>
      <c r="BCY167" s="249"/>
      <c r="BCZ167" s="249"/>
      <c r="BDA167" s="249"/>
      <c r="BDB167" s="249"/>
      <c r="BDC167" s="249"/>
      <c r="BDD167" s="249"/>
      <c r="BDE167" s="249"/>
      <c r="BDF167" s="249"/>
      <c r="BDG167" s="249"/>
      <c r="BDH167" s="249"/>
      <c r="BDI167" s="249"/>
      <c r="BDJ167" s="249"/>
      <c r="BDK167" s="249"/>
      <c r="BDL167" s="249"/>
      <c r="BDM167" s="249"/>
      <c r="BDN167" s="249"/>
      <c r="BDO167" s="249"/>
      <c r="BDP167" s="249"/>
      <c r="BDQ167" s="249"/>
      <c r="BDR167" s="249"/>
      <c r="BDS167" s="249"/>
      <c r="BDT167" s="249"/>
      <c r="BDU167" s="249"/>
      <c r="BDV167" s="249"/>
      <c r="BDW167" s="249"/>
      <c r="BDX167" s="249"/>
      <c r="BDY167" s="249"/>
      <c r="BDZ167" s="249"/>
      <c r="BEA167" s="249"/>
      <c r="BEB167" s="249"/>
      <c r="BEC167" s="249"/>
      <c r="BED167" s="249"/>
      <c r="BEE167" s="249"/>
      <c r="BEF167" s="249"/>
      <c r="BEG167" s="249"/>
      <c r="BEH167" s="249"/>
      <c r="BEI167" s="249"/>
      <c r="BEJ167" s="249"/>
      <c r="BEK167" s="249"/>
      <c r="BEL167" s="249"/>
      <c r="BEM167" s="249"/>
      <c r="BEN167" s="249"/>
      <c r="BEO167" s="249"/>
      <c r="BEP167" s="249"/>
      <c r="BEQ167" s="249"/>
      <c r="BER167" s="249"/>
      <c r="BES167" s="249"/>
      <c r="BET167" s="249"/>
      <c r="BEU167" s="249"/>
      <c r="BEV167" s="249"/>
      <c r="BEW167" s="249"/>
      <c r="BEX167" s="249"/>
      <c r="BEY167" s="249"/>
      <c r="BEZ167" s="249"/>
      <c r="BFA167" s="249"/>
      <c r="BFB167" s="249"/>
      <c r="BFC167" s="249"/>
      <c r="BFD167" s="249"/>
      <c r="BFE167" s="249"/>
      <c r="BFF167" s="249"/>
      <c r="BFG167" s="249"/>
      <c r="BFH167" s="249"/>
      <c r="BFI167" s="249"/>
      <c r="BFJ167" s="249"/>
      <c r="BFK167" s="249"/>
      <c r="BFL167" s="249"/>
      <c r="BFM167" s="249"/>
      <c r="BFN167" s="249"/>
      <c r="BFO167" s="249"/>
      <c r="BFP167" s="249"/>
      <c r="BFQ167" s="249"/>
      <c r="BFR167" s="249"/>
      <c r="BFS167" s="249"/>
      <c r="BFT167" s="249"/>
      <c r="BFU167" s="249"/>
      <c r="BFV167" s="249"/>
      <c r="BFW167" s="249"/>
      <c r="BFX167" s="249"/>
      <c r="BFY167" s="249"/>
      <c r="BFZ167" s="249"/>
      <c r="BGA167" s="249"/>
      <c r="BGB167" s="249"/>
      <c r="BGC167" s="249"/>
      <c r="BGD167" s="249"/>
      <c r="BGE167" s="249"/>
      <c r="BGF167" s="249"/>
      <c r="BGG167" s="249"/>
      <c r="BGH167" s="249"/>
      <c r="BGI167" s="249"/>
      <c r="BGJ167" s="249"/>
      <c r="BGK167" s="249"/>
      <c r="BGL167" s="249"/>
      <c r="BGM167" s="249"/>
      <c r="BGN167" s="249"/>
      <c r="BGO167" s="249"/>
      <c r="BGP167" s="249"/>
      <c r="BGQ167" s="249"/>
      <c r="BGR167" s="249"/>
      <c r="BGS167" s="249"/>
      <c r="BGT167" s="249"/>
      <c r="BGU167" s="249"/>
      <c r="BGV167" s="249"/>
      <c r="BGW167" s="249"/>
      <c r="BGX167" s="249"/>
      <c r="BGY167" s="249"/>
      <c r="BGZ167" s="249"/>
      <c r="BHA167" s="249"/>
      <c r="BHB167" s="249"/>
      <c r="BHC167" s="249"/>
      <c r="BHD167" s="249"/>
      <c r="BHE167" s="249"/>
      <c r="BHF167" s="249"/>
      <c r="BHG167" s="249"/>
      <c r="BHH167" s="249"/>
      <c r="BHI167" s="249"/>
      <c r="BHJ167" s="249"/>
      <c r="BHK167" s="249"/>
      <c r="BHL167" s="249"/>
      <c r="BHM167" s="249"/>
      <c r="BHN167" s="249"/>
      <c r="BHO167" s="249"/>
      <c r="BHP167" s="249"/>
      <c r="BHQ167" s="249"/>
      <c r="BHR167" s="249"/>
      <c r="BHS167" s="249"/>
      <c r="BHT167" s="249"/>
      <c r="BHU167" s="249"/>
      <c r="BHV167" s="249"/>
      <c r="BHW167" s="249"/>
      <c r="BHX167" s="249"/>
      <c r="BHY167" s="249"/>
      <c r="BHZ167" s="249"/>
      <c r="BIA167" s="249"/>
      <c r="BIB167" s="249"/>
      <c r="BIC167" s="249"/>
      <c r="BID167" s="249"/>
      <c r="BIE167" s="249"/>
      <c r="BIF167" s="249"/>
      <c r="BIG167" s="249"/>
      <c r="BIH167" s="249"/>
      <c r="BII167" s="249"/>
      <c r="BIJ167" s="249"/>
      <c r="BIK167" s="249"/>
      <c r="BIL167" s="249"/>
      <c r="BIM167" s="249"/>
      <c r="BIN167" s="249"/>
      <c r="BIO167" s="249"/>
      <c r="BIP167" s="249"/>
      <c r="BIQ167" s="249"/>
      <c r="BIR167" s="249"/>
      <c r="BIS167" s="249"/>
      <c r="BIT167" s="249"/>
      <c r="BIU167" s="249"/>
      <c r="BIV167" s="249"/>
      <c r="BIW167" s="249"/>
      <c r="BIX167" s="249"/>
      <c r="BIY167" s="249"/>
      <c r="BIZ167" s="249"/>
      <c r="BJA167" s="249"/>
      <c r="BJB167" s="249"/>
      <c r="BJC167" s="249"/>
      <c r="BJD167" s="249"/>
      <c r="BJE167" s="249"/>
      <c r="BJF167" s="249"/>
      <c r="BJG167" s="249"/>
      <c r="BJH167" s="249"/>
      <c r="BJI167" s="249"/>
      <c r="BJJ167" s="249"/>
      <c r="BJK167" s="249"/>
      <c r="BJL167" s="249"/>
      <c r="BJM167" s="249"/>
      <c r="BJN167" s="249"/>
      <c r="BJO167" s="249"/>
      <c r="BJP167" s="249"/>
      <c r="BJQ167" s="249"/>
      <c r="BJR167" s="249"/>
      <c r="BJS167" s="249"/>
      <c r="BJT167" s="249"/>
      <c r="BJU167" s="249"/>
      <c r="BJV167" s="249"/>
      <c r="BJW167" s="249"/>
      <c r="BJX167" s="249"/>
      <c r="BJY167" s="249"/>
      <c r="BJZ167" s="249"/>
      <c r="BKA167" s="249"/>
      <c r="BKB167" s="249"/>
      <c r="BKC167" s="249"/>
      <c r="BKD167" s="249"/>
      <c r="BKE167" s="249"/>
      <c r="BKF167" s="249"/>
      <c r="BKG167" s="249"/>
      <c r="BKH167" s="249"/>
      <c r="BKI167" s="249"/>
      <c r="BKJ167" s="249"/>
      <c r="BKK167" s="249"/>
      <c r="BKL167" s="249"/>
      <c r="BKM167" s="249"/>
      <c r="BKN167" s="249"/>
      <c r="BKO167" s="249"/>
      <c r="BKP167" s="249"/>
      <c r="BKQ167" s="249"/>
      <c r="BKR167" s="249"/>
      <c r="BKS167" s="249"/>
      <c r="BKT167" s="249"/>
      <c r="BKU167" s="249"/>
      <c r="BKV167" s="249"/>
      <c r="BKW167" s="249"/>
      <c r="BKX167" s="249"/>
      <c r="BKY167" s="249"/>
      <c r="BKZ167" s="249"/>
      <c r="BLA167" s="249"/>
      <c r="BLB167" s="249"/>
      <c r="BLC167" s="249"/>
      <c r="BLD167" s="249"/>
      <c r="BLE167" s="249"/>
      <c r="BLF167" s="249"/>
      <c r="BLG167" s="249"/>
      <c r="BLH167" s="249"/>
      <c r="BLI167" s="249"/>
      <c r="BLJ167" s="249"/>
      <c r="BLK167" s="249"/>
      <c r="BLL167" s="249"/>
      <c r="BLM167" s="249"/>
      <c r="BLN167" s="249"/>
      <c r="BLO167" s="249"/>
      <c r="BLP167" s="249"/>
      <c r="BLQ167" s="249"/>
      <c r="BLR167" s="249"/>
      <c r="BLS167" s="249"/>
      <c r="BLT167" s="249"/>
      <c r="BLU167" s="249"/>
      <c r="BLV167" s="249"/>
      <c r="BLW167" s="249"/>
      <c r="BLX167" s="249"/>
      <c r="BLY167" s="249"/>
      <c r="BLZ167" s="249"/>
      <c r="BMA167" s="249"/>
      <c r="BMB167" s="249"/>
      <c r="BMC167" s="249"/>
      <c r="BMD167" s="249"/>
      <c r="BME167" s="249"/>
      <c r="BMF167" s="249"/>
      <c r="BMG167" s="249"/>
      <c r="BMH167" s="249"/>
      <c r="BMI167" s="249"/>
      <c r="BMJ167" s="249"/>
      <c r="BMK167" s="249"/>
      <c r="BML167" s="249"/>
      <c r="BMM167" s="249"/>
      <c r="BMN167" s="249"/>
      <c r="BMO167" s="249"/>
      <c r="BMP167" s="249"/>
      <c r="BMQ167" s="249"/>
      <c r="BMR167" s="249"/>
      <c r="BMS167" s="249"/>
      <c r="BMT167" s="249"/>
      <c r="BMU167" s="249"/>
      <c r="BMV167" s="249"/>
      <c r="BMW167" s="249"/>
      <c r="BMX167" s="249"/>
      <c r="BMY167" s="249"/>
      <c r="BMZ167" s="249"/>
      <c r="BNA167" s="249"/>
      <c r="BNB167" s="249"/>
      <c r="BNC167" s="249"/>
      <c r="BND167" s="249"/>
      <c r="BNE167" s="249"/>
      <c r="BNF167" s="249"/>
      <c r="BNG167" s="249"/>
      <c r="BNH167" s="249"/>
      <c r="BNI167" s="249"/>
      <c r="BNJ167" s="249"/>
      <c r="BNK167" s="249"/>
      <c r="BNL167" s="249"/>
      <c r="BNM167" s="249"/>
      <c r="BNN167" s="249"/>
      <c r="BNO167" s="249"/>
      <c r="BNP167" s="249"/>
      <c r="BNQ167" s="249"/>
      <c r="BNR167" s="249"/>
      <c r="BNS167" s="249"/>
      <c r="BNT167" s="249"/>
      <c r="BNU167" s="249"/>
      <c r="BNV167" s="249"/>
      <c r="BNW167" s="249"/>
      <c r="BNX167" s="249"/>
      <c r="BNY167" s="249"/>
      <c r="BNZ167" s="249"/>
      <c r="BOA167" s="249"/>
      <c r="BOB167" s="249"/>
      <c r="BOC167" s="249"/>
      <c r="BOD167" s="249"/>
      <c r="BOE167" s="249"/>
      <c r="BOF167" s="249"/>
      <c r="BOG167" s="249"/>
      <c r="BOH167" s="249"/>
      <c r="BOI167" s="249"/>
      <c r="BOJ167" s="249"/>
      <c r="BOK167" s="249"/>
      <c r="BOL167" s="249"/>
      <c r="BOM167" s="249"/>
      <c r="BON167" s="249"/>
      <c r="BOO167" s="249"/>
      <c r="BOP167" s="249"/>
      <c r="BOQ167" s="249"/>
      <c r="BOR167" s="249"/>
      <c r="BOS167" s="249"/>
      <c r="BOT167" s="249"/>
      <c r="BOU167" s="249"/>
      <c r="BOV167" s="249"/>
      <c r="BOW167" s="249"/>
      <c r="BOX167" s="249"/>
      <c r="BOY167" s="249"/>
      <c r="BOZ167" s="249"/>
      <c r="BPA167" s="249"/>
      <c r="BPB167" s="249"/>
      <c r="BPC167" s="249"/>
      <c r="BPD167" s="249"/>
      <c r="BPE167" s="249"/>
      <c r="BPF167" s="249"/>
      <c r="BPG167" s="249"/>
      <c r="BPH167" s="249"/>
      <c r="BPI167" s="249"/>
      <c r="BPJ167" s="249"/>
      <c r="BPK167" s="249"/>
      <c r="BPL167" s="249"/>
      <c r="BPM167" s="249"/>
      <c r="BPN167" s="249"/>
      <c r="BPO167" s="249"/>
      <c r="BPP167" s="249"/>
      <c r="BPQ167" s="249"/>
      <c r="BPR167" s="249"/>
      <c r="BPS167" s="249"/>
      <c r="BPT167" s="249"/>
      <c r="BPU167" s="249"/>
      <c r="BPV167" s="249"/>
      <c r="BPW167" s="249"/>
      <c r="BPX167" s="249"/>
      <c r="BPY167" s="249"/>
      <c r="BPZ167" s="249"/>
      <c r="BQA167" s="249"/>
      <c r="BQB167" s="249"/>
      <c r="BQC167" s="249"/>
      <c r="BQD167" s="249"/>
      <c r="BQE167" s="249"/>
      <c r="BQF167" s="249"/>
      <c r="BQG167" s="249"/>
      <c r="BQH167" s="249"/>
      <c r="BQI167" s="249"/>
      <c r="BQJ167" s="249"/>
      <c r="BQK167" s="249"/>
      <c r="BQL167" s="249"/>
      <c r="BQM167" s="249"/>
      <c r="BQN167" s="249"/>
      <c r="BQO167" s="249"/>
      <c r="BQP167" s="249"/>
      <c r="BQQ167" s="249"/>
      <c r="BQR167" s="249"/>
      <c r="BQS167" s="249"/>
      <c r="BQT167" s="249"/>
      <c r="BQU167" s="249"/>
      <c r="BQV167" s="249"/>
      <c r="BQW167" s="249"/>
      <c r="BQX167" s="249"/>
      <c r="BQY167" s="249"/>
      <c r="BQZ167" s="249"/>
      <c r="BRA167" s="249"/>
      <c r="BRB167" s="249"/>
      <c r="BRC167" s="249"/>
      <c r="BRD167" s="249"/>
      <c r="BRE167" s="249"/>
      <c r="BRF167" s="249"/>
      <c r="BRG167" s="249"/>
      <c r="BRH167" s="249"/>
      <c r="BRI167" s="249"/>
      <c r="BRJ167" s="249"/>
      <c r="BRK167" s="249"/>
      <c r="BRL167" s="249"/>
      <c r="BRM167" s="249"/>
      <c r="BRN167" s="249"/>
      <c r="BRO167" s="249"/>
      <c r="BRP167" s="249"/>
      <c r="BRQ167" s="249"/>
      <c r="BRR167" s="249"/>
      <c r="BRS167" s="249"/>
      <c r="BRT167" s="249"/>
      <c r="BRU167" s="249"/>
      <c r="BRV167" s="249"/>
      <c r="BRW167" s="249"/>
      <c r="BRX167" s="249"/>
      <c r="BRY167" s="249"/>
      <c r="BRZ167" s="249"/>
      <c r="BSA167" s="249"/>
      <c r="BSB167" s="249"/>
      <c r="BSC167" s="249"/>
      <c r="BSD167" s="249"/>
      <c r="BSE167" s="249"/>
      <c r="BSF167" s="249"/>
      <c r="BSG167" s="249"/>
      <c r="BSH167" s="249"/>
      <c r="BSI167" s="249"/>
      <c r="BSJ167" s="249"/>
      <c r="BSK167" s="249"/>
      <c r="BSL167" s="249"/>
      <c r="BSM167" s="249"/>
      <c r="BSN167" s="249"/>
      <c r="BSO167" s="249"/>
      <c r="BSP167" s="249"/>
      <c r="BSQ167" s="249"/>
      <c r="BSR167" s="249"/>
      <c r="BSS167" s="249"/>
      <c r="BST167" s="249"/>
      <c r="BSU167" s="249"/>
      <c r="BSV167" s="249"/>
      <c r="BSW167" s="249"/>
      <c r="BSX167" s="249"/>
      <c r="BSY167" s="249"/>
      <c r="BSZ167" s="249"/>
      <c r="BTA167" s="249"/>
      <c r="BTB167" s="249"/>
      <c r="BTC167" s="249"/>
      <c r="BTD167" s="249"/>
      <c r="BTE167" s="249"/>
      <c r="BTF167" s="249"/>
      <c r="BTG167" s="249"/>
      <c r="BTH167" s="249"/>
      <c r="BTI167" s="249"/>
      <c r="BTJ167" s="249"/>
      <c r="BTK167" s="249"/>
      <c r="BTL167" s="249"/>
      <c r="BTM167" s="249"/>
      <c r="BTN167" s="249"/>
      <c r="BTO167" s="249"/>
      <c r="BTP167" s="249"/>
      <c r="BTQ167" s="249"/>
      <c r="BTR167" s="249"/>
      <c r="BTS167" s="249"/>
      <c r="BTT167" s="249"/>
      <c r="BTU167" s="249"/>
      <c r="BTV167" s="249"/>
      <c r="BTW167" s="249"/>
      <c r="BTX167" s="249"/>
      <c r="BTY167" s="249"/>
      <c r="BTZ167" s="249"/>
      <c r="BUA167" s="249"/>
      <c r="BUB167" s="249"/>
      <c r="BUC167" s="249"/>
      <c r="BUD167" s="249"/>
      <c r="BUE167" s="249"/>
      <c r="BUF167" s="249"/>
      <c r="BUG167" s="249"/>
      <c r="BUH167" s="249"/>
      <c r="BUI167" s="249"/>
      <c r="BUJ167" s="249"/>
      <c r="BUK167" s="249"/>
      <c r="BUL167" s="249"/>
      <c r="BUM167" s="249"/>
      <c r="BUN167" s="249"/>
      <c r="BUO167" s="249"/>
      <c r="BUP167" s="249"/>
      <c r="BUQ167" s="249"/>
      <c r="BUR167" s="249"/>
      <c r="BUS167" s="249"/>
      <c r="BUT167" s="249"/>
      <c r="BUU167" s="249"/>
      <c r="BUV167" s="249"/>
      <c r="BUW167" s="249"/>
      <c r="BUX167" s="249"/>
      <c r="BUY167" s="249"/>
      <c r="BUZ167" s="249"/>
      <c r="BVA167" s="249"/>
      <c r="BVB167" s="249"/>
      <c r="BVC167" s="249"/>
      <c r="BVD167" s="249"/>
      <c r="BVE167" s="249"/>
      <c r="BVF167" s="249"/>
      <c r="BVG167" s="249"/>
      <c r="BVH167" s="249"/>
      <c r="BVI167" s="249"/>
      <c r="BVJ167" s="249"/>
      <c r="BVK167" s="249"/>
      <c r="BVL167" s="249"/>
      <c r="BVM167" s="249"/>
      <c r="BVN167" s="249"/>
      <c r="BVO167" s="249"/>
      <c r="BVP167" s="249"/>
      <c r="BVQ167" s="249"/>
      <c r="BVR167" s="249"/>
      <c r="BVS167" s="249"/>
      <c r="BVT167" s="249"/>
      <c r="BVU167" s="249"/>
      <c r="BVV167" s="249"/>
      <c r="BVW167" s="249"/>
      <c r="BVX167" s="249"/>
      <c r="BVY167" s="249"/>
      <c r="BVZ167" s="249"/>
      <c r="BWA167" s="249"/>
      <c r="BWB167" s="249"/>
      <c r="BWC167" s="249"/>
      <c r="BWD167" s="249"/>
      <c r="BWE167" s="249"/>
      <c r="BWF167" s="249"/>
      <c r="BWG167" s="249"/>
      <c r="BWH167" s="249"/>
      <c r="BWI167" s="249"/>
      <c r="BWJ167" s="249"/>
      <c r="BWK167" s="249"/>
      <c r="BWL167" s="249"/>
      <c r="BWM167" s="249"/>
      <c r="BWN167" s="249"/>
      <c r="BWO167" s="249"/>
      <c r="BWP167" s="249"/>
      <c r="BWQ167" s="249"/>
      <c r="BWR167" s="249"/>
      <c r="BWS167" s="249"/>
      <c r="BWT167" s="249"/>
      <c r="BWU167" s="249"/>
      <c r="BWV167" s="249"/>
      <c r="BWW167" s="249"/>
      <c r="BWX167" s="249"/>
      <c r="BWY167" s="249"/>
      <c r="BWZ167" s="249"/>
      <c r="BXA167" s="249"/>
      <c r="BXB167" s="249"/>
      <c r="BXC167" s="249"/>
      <c r="BXD167" s="249"/>
      <c r="BXE167" s="249"/>
      <c r="BXF167" s="249"/>
      <c r="BXG167" s="249"/>
      <c r="BXH167" s="249"/>
      <c r="BXI167" s="249"/>
      <c r="BXJ167" s="249"/>
      <c r="BXK167" s="249"/>
      <c r="BXL167" s="249"/>
      <c r="BXM167" s="249"/>
      <c r="BXN167" s="249"/>
      <c r="BXO167" s="249"/>
      <c r="BXP167" s="249"/>
      <c r="BXQ167" s="249"/>
      <c r="BXR167" s="249"/>
      <c r="BXS167" s="249"/>
      <c r="BXT167" s="249"/>
      <c r="BXU167" s="249"/>
      <c r="BXV167" s="249"/>
      <c r="BXW167" s="249"/>
      <c r="BXX167" s="249"/>
      <c r="BXY167" s="249"/>
      <c r="BXZ167" s="249"/>
      <c r="BYA167" s="249"/>
      <c r="BYB167" s="249"/>
      <c r="BYC167" s="249"/>
      <c r="BYD167" s="249"/>
      <c r="BYE167" s="249"/>
      <c r="BYF167" s="249"/>
      <c r="BYG167" s="249"/>
      <c r="BYH167" s="249"/>
      <c r="BYI167" s="249"/>
      <c r="BYJ167" s="249"/>
      <c r="BYK167" s="249"/>
      <c r="BYL167" s="249"/>
      <c r="BYM167" s="249"/>
      <c r="BYN167" s="249"/>
      <c r="BYO167" s="249"/>
      <c r="BYP167" s="249"/>
      <c r="BYQ167" s="249"/>
      <c r="BYR167" s="249"/>
      <c r="BYS167" s="249"/>
      <c r="BYT167" s="249"/>
      <c r="BYU167" s="249"/>
      <c r="BYV167" s="249"/>
      <c r="BYW167" s="249"/>
      <c r="BYX167" s="249"/>
      <c r="BYY167" s="249"/>
      <c r="BYZ167" s="249"/>
      <c r="BZA167" s="249"/>
      <c r="BZB167" s="249"/>
      <c r="BZC167" s="249"/>
      <c r="BZD167" s="249"/>
      <c r="BZE167" s="249"/>
      <c r="BZF167" s="249"/>
      <c r="BZG167" s="249"/>
      <c r="BZH167" s="249"/>
      <c r="BZI167" s="249"/>
      <c r="BZJ167" s="249"/>
      <c r="BZK167" s="249"/>
      <c r="BZL167" s="249"/>
      <c r="BZM167" s="249"/>
      <c r="BZN167" s="249"/>
      <c r="BZO167" s="249"/>
      <c r="BZP167" s="249"/>
      <c r="BZQ167" s="249"/>
      <c r="BZR167" s="249"/>
      <c r="BZS167" s="249"/>
      <c r="BZT167" s="249"/>
      <c r="BZU167" s="249"/>
      <c r="BZV167" s="249"/>
      <c r="BZW167" s="249"/>
      <c r="BZX167" s="249"/>
      <c r="BZY167" s="249"/>
      <c r="BZZ167" s="249"/>
      <c r="CAA167" s="249"/>
      <c r="CAB167" s="249"/>
      <c r="CAC167" s="249"/>
      <c r="CAD167" s="249"/>
      <c r="CAE167" s="249"/>
      <c r="CAF167" s="249"/>
      <c r="CAG167" s="249"/>
      <c r="CAH167" s="249"/>
      <c r="CAI167" s="249"/>
      <c r="CAJ167" s="249"/>
      <c r="CAK167" s="249"/>
      <c r="CAL167" s="249"/>
      <c r="CAM167" s="249"/>
      <c r="CAN167" s="249"/>
      <c r="CAO167" s="249"/>
      <c r="CAP167" s="249"/>
      <c r="CAQ167" s="249"/>
      <c r="CAR167" s="249"/>
      <c r="CAS167" s="249"/>
      <c r="CAT167" s="249"/>
      <c r="CAU167" s="249"/>
      <c r="CAV167" s="249"/>
      <c r="CAW167" s="249"/>
      <c r="CAX167" s="249"/>
      <c r="CAY167" s="249"/>
      <c r="CAZ167" s="249"/>
      <c r="CBA167" s="249"/>
      <c r="CBB167" s="249"/>
      <c r="CBC167" s="249"/>
      <c r="CBD167" s="249"/>
      <c r="CBE167" s="249"/>
      <c r="CBF167" s="249"/>
      <c r="CBG167" s="249"/>
      <c r="CBH167" s="249"/>
      <c r="CBI167" s="249"/>
      <c r="CBJ167" s="249"/>
      <c r="CBK167" s="249"/>
      <c r="CBL167" s="249"/>
      <c r="CBM167" s="249"/>
      <c r="CBN167" s="249"/>
      <c r="CBO167" s="249"/>
      <c r="CBP167" s="249"/>
      <c r="CBQ167" s="249"/>
      <c r="CBR167" s="249"/>
      <c r="CBS167" s="249"/>
      <c r="CBT167" s="249"/>
      <c r="CBU167" s="249"/>
      <c r="CBV167" s="249"/>
      <c r="CBW167" s="249"/>
      <c r="CBX167" s="249"/>
      <c r="CBY167" s="249"/>
      <c r="CBZ167" s="249"/>
      <c r="CCA167" s="249"/>
      <c r="CCB167" s="249"/>
      <c r="CCC167" s="249"/>
      <c r="CCD167" s="249"/>
      <c r="CCE167" s="249"/>
      <c r="CCF167" s="249"/>
      <c r="CCG167" s="249"/>
      <c r="CCH167" s="249"/>
      <c r="CCI167" s="249"/>
      <c r="CCJ167" s="249"/>
      <c r="CCK167" s="249"/>
      <c r="CCL167" s="249"/>
      <c r="CCM167" s="249"/>
      <c r="CCN167" s="249"/>
      <c r="CCO167" s="249"/>
      <c r="CCP167" s="249"/>
      <c r="CCQ167" s="249"/>
      <c r="CCR167" s="249"/>
      <c r="CCS167" s="249"/>
      <c r="CCT167" s="249"/>
      <c r="CCU167" s="249"/>
      <c r="CCV167" s="249"/>
      <c r="CCW167" s="249"/>
      <c r="CCX167" s="249"/>
      <c r="CCY167" s="249"/>
      <c r="CCZ167" s="249"/>
      <c r="CDA167" s="249"/>
      <c r="CDB167" s="249"/>
      <c r="CDC167" s="249"/>
      <c r="CDD167" s="249"/>
      <c r="CDE167" s="249"/>
      <c r="CDF167" s="249"/>
      <c r="CDG167" s="249"/>
      <c r="CDH167" s="249"/>
      <c r="CDI167" s="249"/>
      <c r="CDJ167" s="249"/>
      <c r="CDK167" s="249"/>
      <c r="CDL167" s="249"/>
      <c r="CDM167" s="249"/>
      <c r="CDN167" s="249"/>
      <c r="CDO167" s="249"/>
      <c r="CDP167" s="249"/>
      <c r="CDQ167" s="249"/>
      <c r="CDR167" s="249"/>
      <c r="CDS167" s="249"/>
      <c r="CDT167" s="249"/>
      <c r="CDU167" s="249"/>
      <c r="CDV167" s="249"/>
      <c r="CDW167" s="249"/>
      <c r="CDX167" s="249"/>
      <c r="CDY167" s="249"/>
      <c r="CDZ167" s="249"/>
      <c r="CEA167" s="249"/>
      <c r="CEB167" s="249"/>
      <c r="CEC167" s="249"/>
      <c r="CED167" s="249"/>
      <c r="CEE167" s="249"/>
      <c r="CEF167" s="249"/>
      <c r="CEG167" s="249"/>
      <c r="CEH167" s="249"/>
      <c r="CEI167" s="249"/>
      <c r="CEJ167" s="249"/>
      <c r="CEK167" s="249"/>
      <c r="CEL167" s="249"/>
      <c r="CEM167" s="249"/>
      <c r="CEN167" s="249"/>
      <c r="CEO167" s="249"/>
      <c r="CEP167" s="249"/>
      <c r="CEQ167" s="249"/>
      <c r="CER167" s="249"/>
      <c r="CES167" s="249"/>
      <c r="CET167" s="249"/>
      <c r="CEU167" s="249"/>
      <c r="CEV167" s="249"/>
      <c r="CEW167" s="249"/>
      <c r="CEX167" s="249"/>
      <c r="CEY167" s="249"/>
      <c r="CEZ167" s="249"/>
      <c r="CFA167" s="249"/>
      <c r="CFB167" s="249"/>
      <c r="CFC167" s="249"/>
      <c r="CFD167" s="249"/>
      <c r="CFE167" s="249"/>
      <c r="CFF167" s="249"/>
      <c r="CFG167" s="249"/>
      <c r="CFH167" s="249"/>
      <c r="CFI167" s="249"/>
      <c r="CFJ167" s="249"/>
      <c r="CFK167" s="249"/>
      <c r="CFL167" s="249"/>
      <c r="CFM167" s="249"/>
      <c r="CFN167" s="249"/>
      <c r="CFO167" s="249"/>
      <c r="CFP167" s="249"/>
      <c r="CFQ167" s="249"/>
      <c r="CFR167" s="249"/>
      <c r="CFS167" s="249"/>
      <c r="CFT167" s="249"/>
      <c r="CFU167" s="249"/>
      <c r="CFV167" s="249"/>
      <c r="CFW167" s="249"/>
      <c r="CFX167" s="249"/>
      <c r="CFY167" s="249"/>
      <c r="CFZ167" s="249"/>
      <c r="CGA167" s="249"/>
      <c r="CGB167" s="249"/>
      <c r="CGC167" s="249"/>
      <c r="CGD167" s="249"/>
      <c r="CGE167" s="249"/>
      <c r="CGF167" s="249"/>
      <c r="CGG167" s="249"/>
      <c r="CGH167" s="249"/>
      <c r="CGI167" s="249"/>
      <c r="CGJ167" s="249"/>
      <c r="CGK167" s="249"/>
      <c r="CGL167" s="249"/>
      <c r="CGM167" s="249"/>
      <c r="CGN167" s="249"/>
      <c r="CGO167" s="249"/>
      <c r="CGP167" s="249"/>
      <c r="CGQ167" s="249"/>
      <c r="CGR167" s="249"/>
      <c r="CGS167" s="249"/>
      <c r="CGT167" s="249"/>
      <c r="CGU167" s="249"/>
      <c r="CGV167" s="249"/>
      <c r="CGW167" s="249"/>
      <c r="CGX167" s="249"/>
      <c r="CGY167" s="249"/>
      <c r="CGZ167" s="249"/>
      <c r="CHA167" s="249"/>
      <c r="CHB167" s="249"/>
      <c r="CHC167" s="249"/>
      <c r="CHD167" s="249"/>
      <c r="CHE167" s="249"/>
      <c r="CHF167" s="249"/>
      <c r="CHG167" s="249"/>
      <c r="CHH167" s="249"/>
      <c r="CHI167" s="249"/>
      <c r="CHJ167" s="249"/>
      <c r="CHK167" s="249"/>
      <c r="CHL167" s="249"/>
      <c r="CHM167" s="249"/>
      <c r="CHN167" s="249"/>
      <c r="CHO167" s="249"/>
      <c r="CHP167" s="249"/>
      <c r="CHQ167" s="249"/>
      <c r="CHR167" s="249"/>
      <c r="CHS167" s="249"/>
      <c r="CHT167" s="249"/>
      <c r="CHU167" s="249"/>
      <c r="CHV167" s="249"/>
      <c r="CHW167" s="249"/>
      <c r="CHX167" s="249"/>
      <c r="CHY167" s="249"/>
      <c r="CHZ167" s="249"/>
      <c r="CIA167" s="249"/>
      <c r="CIB167" s="249"/>
      <c r="CIC167" s="249"/>
      <c r="CID167" s="249"/>
      <c r="CIE167" s="249"/>
      <c r="CIF167" s="249"/>
      <c r="CIG167" s="249"/>
      <c r="CIH167" s="249"/>
      <c r="CII167" s="249"/>
      <c r="CIJ167" s="249"/>
      <c r="CIK167" s="249"/>
      <c r="CIL167" s="249"/>
      <c r="CIM167" s="249"/>
      <c r="CIN167" s="249"/>
      <c r="CIO167" s="249"/>
      <c r="CIP167" s="249"/>
      <c r="CIQ167" s="249"/>
      <c r="CIR167" s="249"/>
      <c r="CIS167" s="249"/>
      <c r="CIT167" s="249"/>
      <c r="CIU167" s="249"/>
      <c r="CIV167" s="249"/>
      <c r="CIW167" s="249"/>
      <c r="CIX167" s="249"/>
      <c r="CIY167" s="249"/>
      <c r="CIZ167" s="249"/>
      <c r="CJA167" s="249"/>
      <c r="CJB167" s="249"/>
      <c r="CJC167" s="249"/>
      <c r="CJD167" s="249"/>
      <c r="CJE167" s="249"/>
      <c r="CJF167" s="249"/>
      <c r="CJG167" s="249"/>
      <c r="CJH167" s="249"/>
      <c r="CJI167" s="249"/>
      <c r="CJJ167" s="249"/>
      <c r="CJK167" s="249"/>
      <c r="CJL167" s="249"/>
      <c r="CJM167" s="249"/>
      <c r="CJN167" s="249"/>
      <c r="CJO167" s="249"/>
      <c r="CJP167" s="249"/>
      <c r="CJQ167" s="249"/>
      <c r="CJR167" s="249"/>
      <c r="CJS167" s="249"/>
      <c r="CJT167" s="249"/>
      <c r="CJU167" s="249"/>
      <c r="CJV167" s="249"/>
      <c r="CJW167" s="249"/>
      <c r="CJX167" s="249"/>
      <c r="CJY167" s="249"/>
      <c r="CJZ167" s="249"/>
      <c r="CKA167" s="249"/>
      <c r="CKB167" s="249"/>
      <c r="CKC167" s="249"/>
      <c r="CKD167" s="249"/>
      <c r="CKE167" s="249"/>
      <c r="CKF167" s="249"/>
      <c r="CKG167" s="249"/>
      <c r="CKH167" s="249"/>
      <c r="CKI167" s="249"/>
      <c r="CKJ167" s="249"/>
      <c r="CKK167" s="249"/>
      <c r="CKL167" s="249"/>
      <c r="CKM167" s="249"/>
      <c r="CKN167" s="249"/>
      <c r="CKO167" s="249"/>
      <c r="CKP167" s="249"/>
      <c r="CKQ167" s="249"/>
      <c r="CKR167" s="249"/>
      <c r="CKS167" s="249"/>
      <c r="CKT167" s="249"/>
      <c r="CKU167" s="249"/>
      <c r="CKV167" s="249"/>
      <c r="CKW167" s="249"/>
      <c r="CKX167" s="249"/>
      <c r="CKY167" s="249"/>
      <c r="CKZ167" s="249"/>
      <c r="CLA167" s="249"/>
      <c r="CLB167" s="249"/>
      <c r="CLC167" s="249"/>
      <c r="CLD167" s="249"/>
      <c r="CLE167" s="249"/>
      <c r="CLF167" s="249"/>
      <c r="CLG167" s="249"/>
      <c r="CLH167" s="249"/>
      <c r="CLI167" s="249"/>
      <c r="CLJ167" s="249"/>
      <c r="CLK167" s="249"/>
      <c r="CLL167" s="249"/>
      <c r="CLM167" s="249"/>
      <c r="CLN167" s="249"/>
      <c r="CLO167" s="249"/>
      <c r="CLP167" s="249"/>
      <c r="CLQ167" s="249"/>
      <c r="CLR167" s="249"/>
      <c r="CLS167" s="249"/>
      <c r="CLT167" s="249"/>
      <c r="CLU167" s="249"/>
      <c r="CLV167" s="249"/>
      <c r="CLW167" s="249"/>
      <c r="CLX167" s="249"/>
      <c r="CLY167" s="249"/>
      <c r="CLZ167" s="249"/>
      <c r="CMA167" s="249"/>
      <c r="CMB167" s="249"/>
      <c r="CMC167" s="249"/>
      <c r="CMD167" s="249"/>
      <c r="CME167" s="249"/>
      <c r="CMF167" s="249"/>
      <c r="CMG167" s="249"/>
      <c r="CMH167" s="249"/>
      <c r="CMI167" s="249"/>
      <c r="CMJ167" s="249"/>
      <c r="CMK167" s="249"/>
      <c r="CML167" s="249"/>
      <c r="CMM167" s="249"/>
      <c r="CMN167" s="249"/>
      <c r="CMO167" s="249"/>
      <c r="CMP167" s="249"/>
      <c r="CMQ167" s="249"/>
      <c r="CMR167" s="249"/>
      <c r="CMS167" s="249"/>
      <c r="CMT167" s="249"/>
      <c r="CMU167" s="249"/>
      <c r="CMV167" s="249"/>
      <c r="CMW167" s="249"/>
      <c r="CMX167" s="249"/>
      <c r="CMY167" s="249"/>
      <c r="CMZ167" s="249"/>
      <c r="CNA167" s="249"/>
      <c r="CNB167" s="249"/>
      <c r="CNC167" s="249"/>
      <c r="CND167" s="249"/>
      <c r="CNE167" s="249"/>
      <c r="CNF167" s="249"/>
      <c r="CNG167" s="249"/>
      <c r="CNH167" s="249"/>
      <c r="CNI167" s="249"/>
      <c r="CNJ167" s="249"/>
      <c r="CNK167" s="249"/>
      <c r="CNL167" s="249"/>
      <c r="CNM167" s="249"/>
      <c r="CNN167" s="249"/>
      <c r="CNO167" s="249"/>
      <c r="CNP167" s="249"/>
      <c r="CNQ167" s="249"/>
      <c r="CNR167" s="249"/>
      <c r="CNS167" s="249"/>
      <c r="CNT167" s="249"/>
      <c r="CNU167" s="249"/>
      <c r="CNV167" s="249"/>
      <c r="CNW167" s="249"/>
      <c r="CNX167" s="249"/>
      <c r="CNY167" s="249"/>
      <c r="CNZ167" s="249"/>
      <c r="COA167" s="249"/>
      <c r="COB167" s="249"/>
      <c r="COC167" s="249"/>
      <c r="COD167" s="249"/>
      <c r="COE167" s="249"/>
      <c r="COF167" s="249"/>
      <c r="COG167" s="249"/>
      <c r="COH167" s="249"/>
      <c r="COI167" s="249"/>
      <c r="COJ167" s="249"/>
      <c r="COK167" s="249"/>
      <c r="COL167" s="249"/>
      <c r="COM167" s="249"/>
      <c r="CON167" s="249"/>
      <c r="COO167" s="249"/>
      <c r="COP167" s="249"/>
      <c r="COQ167" s="249"/>
      <c r="COR167" s="249"/>
      <c r="COS167" s="249"/>
      <c r="COT167" s="249"/>
      <c r="COU167" s="249"/>
      <c r="COV167" s="249"/>
      <c r="COW167" s="249"/>
      <c r="COX167" s="249"/>
      <c r="COY167" s="249"/>
      <c r="COZ167" s="249"/>
      <c r="CPA167" s="249"/>
      <c r="CPB167" s="249"/>
      <c r="CPC167" s="249"/>
      <c r="CPD167" s="249"/>
      <c r="CPE167" s="249"/>
      <c r="CPF167" s="249"/>
      <c r="CPG167" s="249"/>
      <c r="CPH167" s="249"/>
      <c r="CPI167" s="249"/>
      <c r="CPJ167" s="249"/>
      <c r="CPK167" s="249"/>
      <c r="CPL167" s="249"/>
      <c r="CPM167" s="249"/>
      <c r="CPN167" s="249"/>
      <c r="CPO167" s="249"/>
      <c r="CPP167" s="249"/>
      <c r="CPQ167" s="249"/>
      <c r="CPR167" s="249"/>
      <c r="CPS167" s="249"/>
      <c r="CPT167" s="249"/>
      <c r="CPU167" s="249"/>
      <c r="CPV167" s="249"/>
      <c r="CPW167" s="249"/>
      <c r="CPX167" s="249"/>
      <c r="CPY167" s="249"/>
      <c r="CPZ167" s="249"/>
      <c r="CQA167" s="249"/>
      <c r="CQB167" s="249"/>
      <c r="CQC167" s="249"/>
      <c r="CQD167" s="249"/>
      <c r="CQE167" s="249"/>
      <c r="CQF167" s="249"/>
      <c r="CQG167" s="249"/>
      <c r="CQH167" s="249"/>
      <c r="CQI167" s="249"/>
      <c r="CQJ167" s="249"/>
      <c r="CQK167" s="249"/>
      <c r="CQL167" s="249"/>
      <c r="CQM167" s="249"/>
      <c r="CQN167" s="249"/>
      <c r="CQO167" s="249"/>
      <c r="CQP167" s="249"/>
      <c r="CQQ167" s="249"/>
      <c r="CQR167" s="249"/>
      <c r="CQS167" s="249"/>
      <c r="CQT167" s="249"/>
      <c r="CQU167" s="249"/>
      <c r="CQV167" s="249"/>
      <c r="CQW167" s="249"/>
      <c r="CQX167" s="249"/>
      <c r="CQY167" s="249"/>
      <c r="CQZ167" s="249"/>
      <c r="CRA167" s="249"/>
      <c r="CRB167" s="249"/>
      <c r="CRC167" s="249"/>
      <c r="CRD167" s="249"/>
      <c r="CRE167" s="249"/>
      <c r="CRF167" s="249"/>
      <c r="CRG167" s="249"/>
      <c r="CRH167" s="249"/>
      <c r="CRI167" s="249"/>
      <c r="CRJ167" s="249"/>
      <c r="CRK167" s="249"/>
      <c r="CRL167" s="249"/>
      <c r="CRM167" s="249"/>
      <c r="CRN167" s="249"/>
      <c r="CRO167" s="249"/>
      <c r="CRP167" s="249"/>
      <c r="CRQ167" s="249"/>
      <c r="CRR167" s="249"/>
      <c r="CRS167" s="249"/>
      <c r="CRT167" s="249"/>
      <c r="CRU167" s="249"/>
      <c r="CRV167" s="249"/>
      <c r="CRW167" s="249"/>
      <c r="CRX167" s="249"/>
      <c r="CRY167" s="249"/>
      <c r="CRZ167" s="249"/>
      <c r="CSA167" s="249"/>
      <c r="CSB167" s="249"/>
      <c r="CSC167" s="249"/>
      <c r="CSD167" s="249"/>
      <c r="CSE167" s="249"/>
      <c r="CSF167" s="249"/>
      <c r="CSG167" s="249"/>
      <c r="CSH167" s="249"/>
      <c r="CSI167" s="249"/>
      <c r="CSJ167" s="249"/>
      <c r="CSK167" s="249"/>
      <c r="CSL167" s="249"/>
      <c r="CSM167" s="249"/>
      <c r="CSN167" s="249"/>
      <c r="CSO167" s="249"/>
      <c r="CSP167" s="249"/>
      <c r="CSQ167" s="249"/>
      <c r="CSR167" s="249"/>
      <c r="CSS167" s="249"/>
      <c r="CST167" s="249"/>
      <c r="CSU167" s="249"/>
      <c r="CSV167" s="249"/>
      <c r="CSW167" s="249"/>
      <c r="CSX167" s="249"/>
      <c r="CSY167" s="249"/>
      <c r="CSZ167" s="249"/>
      <c r="CTA167" s="249"/>
      <c r="CTB167" s="249"/>
      <c r="CTC167" s="249"/>
      <c r="CTD167" s="249"/>
      <c r="CTE167" s="249"/>
      <c r="CTF167" s="249"/>
      <c r="CTG167" s="249"/>
      <c r="CTH167" s="249"/>
      <c r="CTI167" s="249"/>
      <c r="CTJ167" s="249"/>
      <c r="CTK167" s="249"/>
      <c r="CTL167" s="249"/>
      <c r="CTM167" s="249"/>
      <c r="CTN167" s="249"/>
      <c r="CTO167" s="249"/>
      <c r="CTP167" s="249"/>
      <c r="CTQ167" s="249"/>
      <c r="CTR167" s="249"/>
      <c r="CTS167" s="249"/>
      <c r="CTT167" s="249"/>
      <c r="CTU167" s="249"/>
      <c r="CTV167" s="249"/>
      <c r="CTW167" s="249"/>
      <c r="CTX167" s="249"/>
      <c r="CTY167" s="249"/>
      <c r="CTZ167" s="249"/>
      <c r="CUA167" s="249"/>
      <c r="CUB167" s="249"/>
      <c r="CUC167" s="249"/>
      <c r="CUD167" s="249"/>
      <c r="CUE167" s="249"/>
      <c r="CUF167" s="249"/>
      <c r="CUG167" s="249"/>
      <c r="CUH167" s="249"/>
      <c r="CUI167" s="249"/>
      <c r="CUJ167" s="249"/>
      <c r="CUK167" s="249"/>
      <c r="CUL167" s="249"/>
      <c r="CUM167" s="249"/>
      <c r="CUN167" s="249"/>
      <c r="CUO167" s="249"/>
      <c r="CUP167" s="249"/>
      <c r="CUQ167" s="249"/>
      <c r="CUR167" s="249"/>
      <c r="CUS167" s="249"/>
      <c r="CUT167" s="249"/>
      <c r="CUU167" s="249"/>
      <c r="CUV167" s="249"/>
      <c r="CUW167" s="249"/>
      <c r="CUX167" s="249"/>
      <c r="CUY167" s="249"/>
      <c r="CUZ167" s="249"/>
      <c r="CVA167" s="249"/>
      <c r="CVB167" s="249"/>
      <c r="CVC167" s="249"/>
      <c r="CVD167" s="249"/>
      <c r="CVE167" s="249"/>
      <c r="CVF167" s="249"/>
      <c r="CVG167" s="249"/>
      <c r="CVH167" s="249"/>
      <c r="CVI167" s="249"/>
      <c r="CVJ167" s="249"/>
      <c r="CVK167" s="249"/>
      <c r="CVL167" s="249"/>
      <c r="CVM167" s="249"/>
      <c r="CVN167" s="249"/>
      <c r="CVO167" s="249"/>
      <c r="CVP167" s="249"/>
      <c r="CVQ167" s="249"/>
      <c r="CVR167" s="249"/>
      <c r="CVS167" s="249"/>
      <c r="CVT167" s="249"/>
      <c r="CVU167" s="249"/>
      <c r="CVV167" s="249"/>
      <c r="CVW167" s="249"/>
      <c r="CVX167" s="249"/>
      <c r="CVY167" s="249"/>
      <c r="CVZ167" s="249"/>
      <c r="CWA167" s="249"/>
      <c r="CWB167" s="249"/>
      <c r="CWC167" s="249"/>
      <c r="CWD167" s="249"/>
      <c r="CWE167" s="249"/>
      <c r="CWF167" s="249"/>
      <c r="CWG167" s="249"/>
      <c r="CWH167" s="249"/>
      <c r="CWI167" s="249"/>
      <c r="CWJ167" s="249"/>
      <c r="CWK167" s="249"/>
      <c r="CWL167" s="249"/>
      <c r="CWM167" s="249"/>
      <c r="CWN167" s="249"/>
      <c r="CWO167" s="249"/>
      <c r="CWP167" s="249"/>
      <c r="CWQ167" s="249"/>
      <c r="CWR167" s="249"/>
      <c r="CWS167" s="249"/>
      <c r="CWT167" s="249"/>
      <c r="CWU167" s="249"/>
      <c r="CWV167" s="249"/>
      <c r="CWW167" s="249"/>
      <c r="CWX167" s="249"/>
      <c r="CWY167" s="249"/>
      <c r="CWZ167" s="249"/>
      <c r="CXA167" s="249"/>
      <c r="CXB167" s="249"/>
      <c r="CXC167" s="249"/>
      <c r="CXD167" s="249"/>
      <c r="CXE167" s="249"/>
      <c r="CXF167" s="249"/>
      <c r="CXG167" s="249"/>
      <c r="CXH167" s="249"/>
      <c r="CXI167" s="249"/>
      <c r="CXJ167" s="249"/>
      <c r="CXK167" s="249"/>
      <c r="CXL167" s="249"/>
      <c r="CXM167" s="249"/>
      <c r="CXN167" s="249"/>
      <c r="CXO167" s="249"/>
      <c r="CXP167" s="249"/>
      <c r="CXQ167" s="249"/>
      <c r="CXR167" s="249"/>
      <c r="CXS167" s="249"/>
      <c r="CXT167" s="249"/>
      <c r="CXU167" s="249"/>
      <c r="CXV167" s="249"/>
      <c r="CXW167" s="249"/>
      <c r="CXX167" s="249"/>
      <c r="CXY167" s="249"/>
      <c r="CXZ167" s="249"/>
      <c r="CYA167" s="249"/>
      <c r="CYB167" s="249"/>
      <c r="CYC167" s="249"/>
      <c r="CYD167" s="249"/>
      <c r="CYE167" s="249"/>
      <c r="CYF167" s="249"/>
      <c r="CYG167" s="249"/>
      <c r="CYH167" s="249"/>
      <c r="CYI167" s="249"/>
      <c r="CYJ167" s="249"/>
      <c r="CYK167" s="249"/>
      <c r="CYL167" s="249"/>
      <c r="CYM167" s="249"/>
      <c r="CYN167" s="249"/>
      <c r="CYO167" s="249"/>
      <c r="CYP167" s="249"/>
      <c r="CYQ167" s="249"/>
      <c r="CYR167" s="249"/>
      <c r="CYS167" s="249"/>
      <c r="CYT167" s="249"/>
      <c r="CYU167" s="249"/>
      <c r="CYV167" s="249"/>
      <c r="CYW167" s="249"/>
      <c r="CYX167" s="249"/>
      <c r="CYY167" s="249"/>
      <c r="CYZ167" s="249"/>
      <c r="CZA167" s="249"/>
      <c r="CZB167" s="249"/>
      <c r="CZC167" s="249"/>
      <c r="CZD167" s="249"/>
      <c r="CZE167" s="249"/>
      <c r="CZF167" s="249"/>
      <c r="CZG167" s="249"/>
      <c r="CZH167" s="249"/>
      <c r="CZI167" s="249"/>
      <c r="CZJ167" s="249"/>
      <c r="CZK167" s="249"/>
      <c r="CZL167" s="249"/>
      <c r="CZM167" s="249"/>
      <c r="CZN167" s="249"/>
      <c r="CZO167" s="249"/>
      <c r="CZP167" s="249"/>
      <c r="CZQ167" s="249"/>
      <c r="CZR167" s="249"/>
      <c r="CZS167" s="249"/>
      <c r="CZT167" s="249"/>
      <c r="CZU167" s="249"/>
      <c r="CZV167" s="249"/>
      <c r="CZW167" s="249"/>
      <c r="CZX167" s="249"/>
      <c r="CZY167" s="249"/>
      <c r="CZZ167" s="249"/>
      <c r="DAA167" s="249"/>
      <c r="DAB167" s="249"/>
      <c r="DAC167" s="249"/>
      <c r="DAD167" s="249"/>
      <c r="DAE167" s="249"/>
      <c r="DAF167" s="249"/>
      <c r="DAG167" s="249"/>
      <c r="DAH167" s="249"/>
      <c r="DAI167" s="249"/>
      <c r="DAJ167" s="249"/>
      <c r="DAK167" s="249"/>
      <c r="DAL167" s="249"/>
      <c r="DAM167" s="249"/>
      <c r="DAN167" s="249"/>
      <c r="DAO167" s="249"/>
      <c r="DAP167" s="249"/>
      <c r="DAQ167" s="249"/>
      <c r="DAR167" s="249"/>
      <c r="DAS167" s="249"/>
      <c r="DAT167" s="249"/>
      <c r="DAU167" s="249"/>
      <c r="DAV167" s="249"/>
      <c r="DAW167" s="249"/>
      <c r="DAX167" s="249"/>
      <c r="DAY167" s="249"/>
      <c r="DAZ167" s="249"/>
      <c r="DBA167" s="249"/>
      <c r="DBB167" s="249"/>
      <c r="DBC167" s="249"/>
      <c r="DBD167" s="249"/>
      <c r="DBE167" s="249"/>
      <c r="DBF167" s="249"/>
      <c r="DBG167" s="249"/>
      <c r="DBH167" s="249"/>
      <c r="DBI167" s="249"/>
      <c r="DBJ167" s="249"/>
      <c r="DBK167" s="249"/>
      <c r="DBL167" s="249"/>
      <c r="DBM167" s="249"/>
      <c r="DBN167" s="249"/>
      <c r="DBO167" s="249"/>
      <c r="DBP167" s="249"/>
      <c r="DBQ167" s="249"/>
      <c r="DBR167" s="249"/>
      <c r="DBS167" s="249"/>
      <c r="DBT167" s="249"/>
      <c r="DBU167" s="249"/>
      <c r="DBV167" s="249"/>
      <c r="DBW167" s="249"/>
      <c r="DBX167" s="249"/>
      <c r="DBY167" s="249"/>
      <c r="DBZ167" s="249"/>
      <c r="DCA167" s="249"/>
      <c r="DCB167" s="249"/>
      <c r="DCC167" s="249"/>
      <c r="DCD167" s="249"/>
      <c r="DCE167" s="249"/>
      <c r="DCF167" s="249"/>
      <c r="DCG167" s="249"/>
      <c r="DCH167" s="249"/>
      <c r="DCI167" s="249"/>
      <c r="DCJ167" s="249"/>
      <c r="DCK167" s="249"/>
      <c r="DCL167" s="249"/>
      <c r="DCM167" s="249"/>
      <c r="DCN167" s="249"/>
      <c r="DCO167" s="249"/>
      <c r="DCP167" s="249"/>
      <c r="DCQ167" s="249"/>
      <c r="DCR167" s="249"/>
      <c r="DCS167" s="249"/>
      <c r="DCT167" s="249"/>
      <c r="DCU167" s="249"/>
      <c r="DCV167" s="249"/>
      <c r="DCW167" s="249"/>
      <c r="DCX167" s="249"/>
      <c r="DCY167" s="249"/>
      <c r="DCZ167" s="249"/>
      <c r="DDA167" s="249"/>
      <c r="DDB167" s="249"/>
      <c r="DDC167" s="249"/>
      <c r="DDD167" s="249"/>
      <c r="DDE167" s="249"/>
      <c r="DDF167" s="249"/>
      <c r="DDG167" s="249"/>
      <c r="DDH167" s="249"/>
      <c r="DDI167" s="249"/>
      <c r="DDJ167" s="249"/>
      <c r="DDK167" s="249"/>
      <c r="DDL167" s="249"/>
      <c r="DDM167" s="249"/>
      <c r="DDN167" s="249"/>
      <c r="DDO167" s="249"/>
      <c r="DDP167" s="249"/>
      <c r="DDQ167" s="249"/>
      <c r="DDR167" s="249"/>
      <c r="DDS167" s="249"/>
      <c r="DDT167" s="249"/>
      <c r="DDU167" s="249"/>
      <c r="DDV167" s="249"/>
      <c r="DDW167" s="249"/>
      <c r="DDX167" s="249"/>
      <c r="DDY167" s="249"/>
      <c r="DDZ167" s="249"/>
      <c r="DEA167" s="249"/>
      <c r="DEB167" s="249"/>
      <c r="DEC167" s="249"/>
      <c r="DED167" s="249"/>
      <c r="DEE167" s="249"/>
      <c r="DEF167" s="249"/>
      <c r="DEG167" s="249"/>
      <c r="DEH167" s="249"/>
      <c r="DEI167" s="249"/>
      <c r="DEJ167" s="249"/>
      <c r="DEK167" s="249"/>
      <c r="DEL167" s="249"/>
      <c r="DEM167" s="249"/>
      <c r="DEN167" s="249"/>
      <c r="DEO167" s="249"/>
      <c r="DEP167" s="249"/>
      <c r="DEQ167" s="249"/>
      <c r="DER167" s="249"/>
      <c r="DES167" s="249"/>
      <c r="DET167" s="249"/>
      <c r="DEU167" s="249"/>
      <c r="DEV167" s="249"/>
      <c r="DEW167" s="249"/>
      <c r="DEX167" s="249"/>
      <c r="DEY167" s="249"/>
      <c r="DEZ167" s="249"/>
      <c r="DFA167" s="249"/>
      <c r="DFB167" s="249"/>
      <c r="DFC167" s="249"/>
      <c r="DFD167" s="249"/>
      <c r="DFE167" s="249"/>
      <c r="DFF167" s="249"/>
      <c r="DFG167" s="249"/>
      <c r="DFH167" s="249"/>
      <c r="DFI167" s="249"/>
      <c r="DFJ167" s="249"/>
      <c r="DFK167" s="249"/>
      <c r="DFL167" s="249"/>
      <c r="DFM167" s="249"/>
      <c r="DFN167" s="249"/>
      <c r="DFO167" s="249"/>
      <c r="DFP167" s="249"/>
      <c r="DFQ167" s="249"/>
      <c r="DFR167" s="249"/>
      <c r="DFS167" s="249"/>
      <c r="DFT167" s="249"/>
      <c r="DFU167" s="249"/>
      <c r="DFV167" s="249"/>
      <c r="DFW167" s="249"/>
      <c r="DFX167" s="249"/>
      <c r="DFY167" s="249"/>
      <c r="DFZ167" s="249"/>
      <c r="DGA167" s="249"/>
      <c r="DGB167" s="249"/>
      <c r="DGC167" s="249"/>
      <c r="DGD167" s="249"/>
      <c r="DGE167" s="249"/>
      <c r="DGF167" s="249"/>
      <c r="DGG167" s="249"/>
      <c r="DGH167" s="249"/>
      <c r="DGI167" s="249"/>
      <c r="DGJ167" s="249"/>
      <c r="DGK167" s="249"/>
      <c r="DGL167" s="249"/>
      <c r="DGM167" s="249"/>
      <c r="DGN167" s="249"/>
      <c r="DGO167" s="249"/>
      <c r="DGP167" s="249"/>
      <c r="DGQ167" s="249"/>
      <c r="DGR167" s="249"/>
      <c r="DGS167" s="249"/>
      <c r="DGT167" s="249"/>
      <c r="DGU167" s="249"/>
      <c r="DGV167" s="249"/>
      <c r="DGW167" s="249"/>
      <c r="DGX167" s="249"/>
      <c r="DGY167" s="249"/>
      <c r="DGZ167" s="249"/>
      <c r="DHA167" s="249"/>
      <c r="DHB167" s="249"/>
      <c r="DHC167" s="249"/>
      <c r="DHD167" s="249"/>
      <c r="DHE167" s="249"/>
      <c r="DHF167" s="249"/>
      <c r="DHG167" s="249"/>
      <c r="DHH167" s="249"/>
      <c r="DHI167" s="249"/>
      <c r="DHJ167" s="249"/>
      <c r="DHK167" s="249"/>
      <c r="DHL167" s="249"/>
      <c r="DHM167" s="249"/>
      <c r="DHN167" s="249"/>
      <c r="DHO167" s="249"/>
      <c r="DHP167" s="249"/>
      <c r="DHQ167" s="249"/>
      <c r="DHR167" s="249"/>
      <c r="DHS167" s="249"/>
      <c r="DHT167" s="249"/>
      <c r="DHU167" s="249"/>
      <c r="DHV167" s="249"/>
      <c r="DHW167" s="249"/>
      <c r="DHX167" s="249"/>
      <c r="DHY167" s="249"/>
      <c r="DHZ167" s="249"/>
      <c r="DIA167" s="249"/>
      <c r="DIB167" s="249"/>
      <c r="DIC167" s="249"/>
      <c r="DID167" s="249"/>
      <c r="DIE167" s="249"/>
      <c r="DIF167" s="249"/>
      <c r="DIG167" s="249"/>
      <c r="DIH167" s="249"/>
      <c r="DII167" s="249"/>
      <c r="DIJ167" s="249"/>
      <c r="DIK167" s="249"/>
      <c r="DIL167" s="249"/>
      <c r="DIM167" s="249"/>
      <c r="DIN167" s="249"/>
      <c r="DIO167" s="249"/>
      <c r="DIP167" s="249"/>
      <c r="DIQ167" s="249"/>
      <c r="DIR167" s="249"/>
      <c r="DIS167" s="249"/>
      <c r="DIT167" s="249"/>
      <c r="DIU167" s="249"/>
      <c r="DIV167" s="249"/>
      <c r="DIW167" s="249"/>
      <c r="DIX167" s="249"/>
      <c r="DIY167" s="249"/>
      <c r="DIZ167" s="249"/>
      <c r="DJA167" s="249"/>
      <c r="DJB167" s="249"/>
      <c r="DJC167" s="249"/>
      <c r="DJD167" s="249"/>
      <c r="DJE167" s="249"/>
      <c r="DJF167" s="249"/>
      <c r="DJG167" s="249"/>
      <c r="DJH167" s="249"/>
      <c r="DJI167" s="249"/>
      <c r="DJJ167" s="249"/>
      <c r="DJK167" s="249"/>
      <c r="DJL167" s="249"/>
      <c r="DJM167" s="249"/>
      <c r="DJN167" s="249"/>
      <c r="DJO167" s="249"/>
      <c r="DJP167" s="249"/>
      <c r="DJQ167" s="249"/>
      <c r="DJR167" s="249"/>
      <c r="DJS167" s="249"/>
      <c r="DJT167" s="249"/>
      <c r="DJU167" s="249"/>
      <c r="DJV167" s="249"/>
      <c r="DJW167" s="249"/>
      <c r="DJX167" s="249"/>
      <c r="DJY167" s="249"/>
      <c r="DJZ167" s="249"/>
      <c r="DKA167" s="249"/>
      <c r="DKB167" s="249"/>
      <c r="DKC167" s="249"/>
      <c r="DKD167" s="249"/>
      <c r="DKE167" s="249"/>
      <c r="DKF167" s="249"/>
      <c r="DKG167" s="249"/>
      <c r="DKH167" s="249"/>
      <c r="DKI167" s="249"/>
      <c r="DKJ167" s="249"/>
      <c r="DKK167" s="249"/>
      <c r="DKL167" s="249"/>
      <c r="DKM167" s="249"/>
      <c r="DKN167" s="249"/>
      <c r="DKO167" s="249"/>
      <c r="DKP167" s="249"/>
      <c r="DKQ167" s="249"/>
      <c r="DKR167" s="249"/>
      <c r="DKS167" s="249"/>
      <c r="DKT167" s="249"/>
      <c r="DKU167" s="249"/>
      <c r="DKV167" s="249"/>
      <c r="DKW167" s="249"/>
      <c r="DKX167" s="249"/>
      <c r="DKY167" s="249"/>
      <c r="DKZ167" s="249"/>
      <c r="DLA167" s="249"/>
      <c r="DLB167" s="249"/>
      <c r="DLC167" s="249"/>
      <c r="DLD167" s="249"/>
      <c r="DLE167" s="249"/>
      <c r="DLF167" s="249"/>
      <c r="DLG167" s="249"/>
      <c r="DLH167" s="249"/>
      <c r="DLI167" s="249"/>
      <c r="DLJ167" s="249"/>
      <c r="DLK167" s="249"/>
      <c r="DLL167" s="249"/>
      <c r="DLM167" s="249"/>
      <c r="DLN167" s="249"/>
      <c r="DLO167" s="249"/>
      <c r="DLP167" s="249"/>
      <c r="DLQ167" s="249"/>
      <c r="DLR167" s="249"/>
      <c r="DLS167" s="249"/>
      <c r="DLT167" s="249"/>
      <c r="DLU167" s="249"/>
      <c r="DLV167" s="249"/>
      <c r="DLW167" s="249"/>
      <c r="DLX167" s="249"/>
      <c r="DLY167" s="249"/>
      <c r="DLZ167" s="249"/>
      <c r="DMA167" s="249"/>
      <c r="DMB167" s="249"/>
      <c r="DMC167" s="249"/>
      <c r="DMD167" s="249"/>
      <c r="DME167" s="249"/>
      <c r="DMF167" s="249"/>
      <c r="DMG167" s="249"/>
      <c r="DMH167" s="249"/>
      <c r="DMI167" s="249"/>
      <c r="DMJ167" s="249"/>
      <c r="DMK167" s="249"/>
      <c r="DML167" s="249"/>
      <c r="DMM167" s="249"/>
      <c r="DMN167" s="249"/>
      <c r="DMO167" s="249"/>
      <c r="DMP167" s="249"/>
      <c r="DMQ167" s="249"/>
      <c r="DMR167" s="249"/>
      <c r="DMS167" s="249"/>
      <c r="DMT167" s="249"/>
      <c r="DMU167" s="249"/>
      <c r="DMV167" s="249"/>
      <c r="DMW167" s="249"/>
      <c r="DMX167" s="249"/>
      <c r="DMY167" s="249"/>
      <c r="DMZ167" s="249"/>
      <c r="DNA167" s="249"/>
      <c r="DNB167" s="249"/>
      <c r="DNC167" s="249"/>
      <c r="DND167" s="249"/>
      <c r="DNE167" s="249"/>
      <c r="DNF167" s="249"/>
      <c r="DNG167" s="249"/>
      <c r="DNH167" s="249"/>
      <c r="DNI167" s="249"/>
      <c r="DNJ167" s="249"/>
      <c r="DNK167" s="249"/>
      <c r="DNL167" s="249"/>
      <c r="DNM167" s="249"/>
      <c r="DNN167" s="249"/>
      <c r="DNO167" s="249"/>
      <c r="DNP167" s="249"/>
      <c r="DNQ167" s="249"/>
      <c r="DNR167" s="249"/>
      <c r="DNS167" s="249"/>
      <c r="DNT167" s="249"/>
      <c r="DNU167" s="249"/>
      <c r="DNV167" s="249"/>
      <c r="DNW167" s="249"/>
      <c r="DNX167" s="249"/>
      <c r="DNY167" s="249"/>
      <c r="DNZ167" s="249"/>
      <c r="DOA167" s="249"/>
      <c r="DOB167" s="249"/>
      <c r="DOC167" s="249"/>
      <c r="DOD167" s="249"/>
      <c r="DOE167" s="249"/>
      <c r="DOF167" s="249"/>
      <c r="DOG167" s="249"/>
      <c r="DOH167" s="249"/>
      <c r="DOI167" s="249"/>
      <c r="DOJ167" s="249"/>
      <c r="DOK167" s="249"/>
      <c r="DOL167" s="249"/>
      <c r="DOM167" s="249"/>
      <c r="DON167" s="249"/>
      <c r="DOO167" s="249"/>
      <c r="DOP167" s="249"/>
      <c r="DOQ167" s="249"/>
      <c r="DOR167" s="249"/>
      <c r="DOS167" s="249"/>
      <c r="DOT167" s="249"/>
      <c r="DOU167" s="249"/>
      <c r="DOV167" s="249"/>
      <c r="DOW167" s="249"/>
      <c r="DOX167" s="249"/>
      <c r="DOY167" s="249"/>
      <c r="DOZ167" s="249"/>
      <c r="DPA167" s="249"/>
      <c r="DPB167" s="249"/>
      <c r="DPC167" s="249"/>
      <c r="DPD167" s="249"/>
      <c r="DPE167" s="249"/>
      <c r="DPF167" s="249"/>
      <c r="DPG167" s="249"/>
      <c r="DPH167" s="249"/>
      <c r="DPI167" s="249"/>
      <c r="DPJ167" s="249"/>
      <c r="DPK167" s="249"/>
      <c r="DPL167" s="249"/>
      <c r="DPM167" s="249"/>
      <c r="DPN167" s="249"/>
      <c r="DPO167" s="249"/>
      <c r="DPP167" s="249"/>
      <c r="DPQ167" s="249"/>
      <c r="DPR167" s="249"/>
      <c r="DPS167" s="249"/>
      <c r="DPT167" s="249"/>
      <c r="DPU167" s="249"/>
      <c r="DPV167" s="249"/>
      <c r="DPW167" s="249"/>
      <c r="DPX167" s="249"/>
      <c r="DPY167" s="249"/>
      <c r="DPZ167" s="249"/>
      <c r="DQA167" s="249"/>
      <c r="DQB167" s="249"/>
      <c r="DQC167" s="249"/>
      <c r="DQD167" s="249"/>
      <c r="DQE167" s="249"/>
      <c r="DQF167" s="249"/>
      <c r="DQG167" s="249"/>
      <c r="DQH167" s="249"/>
      <c r="DQI167" s="249"/>
      <c r="DQJ167" s="249"/>
      <c r="DQK167" s="249"/>
      <c r="DQL167" s="249"/>
      <c r="DQM167" s="249"/>
      <c r="DQN167" s="249"/>
      <c r="DQO167" s="249"/>
      <c r="DQP167" s="249"/>
      <c r="DQQ167" s="249"/>
      <c r="DQR167" s="249"/>
      <c r="DQS167" s="249"/>
      <c r="DQT167" s="249"/>
      <c r="DQU167" s="249"/>
      <c r="DQV167" s="249"/>
      <c r="DQW167" s="249"/>
      <c r="DQX167" s="249"/>
      <c r="DQY167" s="249"/>
      <c r="DQZ167" s="249"/>
      <c r="DRA167" s="249"/>
      <c r="DRB167" s="249"/>
      <c r="DRC167" s="249"/>
      <c r="DRD167" s="249"/>
      <c r="DRE167" s="249"/>
      <c r="DRF167" s="249"/>
      <c r="DRG167" s="249"/>
      <c r="DRH167" s="249"/>
      <c r="DRI167" s="249"/>
      <c r="DRJ167" s="249"/>
      <c r="DRK167" s="249"/>
      <c r="DRL167" s="249"/>
      <c r="DRM167" s="249"/>
      <c r="DRN167" s="249"/>
      <c r="DRO167" s="249"/>
      <c r="DRP167" s="249"/>
      <c r="DRQ167" s="249"/>
      <c r="DRR167" s="249"/>
      <c r="DRS167" s="249"/>
      <c r="DRT167" s="249"/>
      <c r="DRU167" s="249"/>
      <c r="DRV167" s="249"/>
      <c r="DRW167" s="249"/>
      <c r="DRX167" s="249"/>
      <c r="DRY167" s="249"/>
      <c r="DRZ167" s="249"/>
      <c r="DSA167" s="249"/>
      <c r="DSB167" s="249"/>
      <c r="DSC167" s="249"/>
      <c r="DSD167" s="249"/>
      <c r="DSE167" s="249"/>
      <c r="DSF167" s="249"/>
      <c r="DSG167" s="249"/>
      <c r="DSH167" s="249"/>
      <c r="DSI167" s="249"/>
      <c r="DSJ167" s="249"/>
      <c r="DSK167" s="249"/>
      <c r="DSL167" s="249"/>
      <c r="DSM167" s="249"/>
      <c r="DSN167" s="249"/>
      <c r="DSO167" s="249"/>
      <c r="DSP167" s="249"/>
      <c r="DSQ167" s="249"/>
      <c r="DSR167" s="249"/>
      <c r="DSS167" s="249"/>
      <c r="DST167" s="249"/>
      <c r="DSU167" s="249"/>
      <c r="DSV167" s="249"/>
      <c r="DSW167" s="249"/>
      <c r="DSX167" s="249"/>
      <c r="DSY167" s="249"/>
      <c r="DSZ167" s="249"/>
      <c r="DTA167" s="249"/>
      <c r="DTB167" s="249"/>
      <c r="DTC167" s="249"/>
      <c r="DTD167" s="249"/>
      <c r="DTE167" s="249"/>
      <c r="DTF167" s="249"/>
      <c r="DTG167" s="249"/>
      <c r="DTH167" s="249"/>
      <c r="DTI167" s="249"/>
      <c r="DTJ167" s="249"/>
      <c r="DTK167" s="249"/>
      <c r="DTL167" s="249"/>
      <c r="DTM167" s="249"/>
      <c r="DTN167" s="249"/>
      <c r="DTO167" s="249"/>
      <c r="DTP167" s="249"/>
      <c r="DTQ167" s="249"/>
      <c r="DTR167" s="249"/>
      <c r="DTS167" s="249"/>
      <c r="DTT167" s="249"/>
      <c r="DTU167" s="249"/>
      <c r="DTV167" s="249"/>
      <c r="DTW167" s="249"/>
      <c r="DTX167" s="249"/>
      <c r="DTY167" s="249"/>
      <c r="DTZ167" s="249"/>
      <c r="DUA167" s="249"/>
      <c r="DUB167" s="249"/>
      <c r="DUC167" s="249"/>
      <c r="DUD167" s="249"/>
      <c r="DUE167" s="249"/>
      <c r="DUF167" s="249"/>
      <c r="DUG167" s="249"/>
      <c r="DUH167" s="249"/>
      <c r="DUI167" s="249"/>
      <c r="DUJ167" s="249"/>
      <c r="DUK167" s="249"/>
      <c r="DUL167" s="249"/>
      <c r="DUM167" s="249"/>
      <c r="DUN167" s="249"/>
      <c r="DUO167" s="249"/>
      <c r="DUP167" s="249"/>
      <c r="DUQ167" s="249"/>
      <c r="DUR167" s="249"/>
      <c r="DUS167" s="249"/>
      <c r="DUT167" s="249"/>
      <c r="DUU167" s="249"/>
      <c r="DUV167" s="249"/>
      <c r="DUW167" s="249"/>
      <c r="DUX167" s="249"/>
      <c r="DUY167" s="249"/>
      <c r="DUZ167" s="249"/>
      <c r="DVA167" s="249"/>
      <c r="DVB167" s="249"/>
      <c r="DVC167" s="249"/>
      <c r="DVD167" s="249"/>
      <c r="DVE167" s="249"/>
      <c r="DVF167" s="249"/>
      <c r="DVG167" s="249"/>
      <c r="DVH167" s="249"/>
      <c r="DVI167" s="249"/>
      <c r="DVJ167" s="249"/>
      <c r="DVK167" s="249"/>
      <c r="DVL167" s="249"/>
      <c r="DVM167" s="249"/>
      <c r="DVN167" s="249"/>
      <c r="DVO167" s="249"/>
      <c r="DVP167" s="249"/>
      <c r="DVQ167" s="249"/>
      <c r="DVR167" s="249"/>
      <c r="DVS167" s="249"/>
      <c r="DVT167" s="249"/>
      <c r="DVU167" s="249"/>
      <c r="DVV167" s="249"/>
      <c r="DVW167" s="249"/>
      <c r="DVX167" s="249"/>
      <c r="DVY167" s="249"/>
      <c r="DVZ167" s="249"/>
      <c r="DWA167" s="249"/>
      <c r="DWB167" s="249"/>
      <c r="DWC167" s="249"/>
      <c r="DWD167" s="249"/>
      <c r="DWE167" s="249"/>
      <c r="DWF167" s="249"/>
      <c r="DWG167" s="249"/>
      <c r="DWH167" s="249"/>
      <c r="DWI167" s="249"/>
      <c r="DWJ167" s="249"/>
      <c r="DWK167" s="249"/>
      <c r="DWL167" s="249"/>
      <c r="DWM167" s="249"/>
      <c r="DWN167" s="249"/>
      <c r="DWO167" s="249"/>
      <c r="DWP167" s="249"/>
      <c r="DWQ167" s="249"/>
      <c r="DWR167" s="249"/>
      <c r="DWS167" s="249"/>
      <c r="DWT167" s="249"/>
      <c r="DWU167" s="249"/>
      <c r="DWV167" s="249"/>
      <c r="DWW167" s="249"/>
      <c r="DWX167" s="249"/>
      <c r="DWY167" s="249"/>
      <c r="DWZ167" s="249"/>
      <c r="DXA167" s="249"/>
      <c r="DXB167" s="249"/>
      <c r="DXC167" s="249"/>
      <c r="DXD167" s="249"/>
      <c r="DXE167" s="249"/>
      <c r="DXF167" s="249"/>
      <c r="DXG167" s="249"/>
      <c r="DXH167" s="249"/>
      <c r="DXI167" s="249"/>
      <c r="DXJ167" s="249"/>
      <c r="DXK167" s="249"/>
      <c r="DXL167" s="249"/>
      <c r="DXM167" s="249"/>
      <c r="DXN167" s="249"/>
      <c r="DXO167" s="249"/>
      <c r="DXP167" s="249"/>
      <c r="DXQ167" s="249"/>
      <c r="DXR167" s="249"/>
      <c r="DXS167" s="249"/>
      <c r="DXT167" s="249"/>
      <c r="DXU167" s="249"/>
      <c r="DXV167" s="249"/>
      <c r="DXW167" s="249"/>
      <c r="DXX167" s="249"/>
      <c r="DXY167" s="249"/>
      <c r="DXZ167" s="249"/>
      <c r="DYA167" s="249"/>
      <c r="DYB167" s="249"/>
      <c r="DYC167" s="249"/>
      <c r="DYD167" s="249"/>
      <c r="DYE167" s="249"/>
      <c r="DYF167" s="249"/>
      <c r="DYG167" s="249"/>
      <c r="DYH167" s="249"/>
      <c r="DYI167" s="249"/>
      <c r="DYJ167" s="249"/>
      <c r="DYK167" s="249"/>
      <c r="DYL167" s="249"/>
      <c r="DYM167" s="249"/>
      <c r="DYN167" s="249"/>
      <c r="DYO167" s="249"/>
      <c r="DYP167" s="249"/>
      <c r="DYQ167" s="249"/>
      <c r="DYR167" s="249"/>
      <c r="DYS167" s="249"/>
      <c r="DYT167" s="249"/>
      <c r="DYU167" s="249"/>
      <c r="DYV167" s="249"/>
      <c r="DYW167" s="249"/>
      <c r="DYX167" s="249"/>
      <c r="DYY167" s="249"/>
      <c r="DYZ167" s="249"/>
      <c r="DZA167" s="249"/>
      <c r="DZB167" s="249"/>
      <c r="DZC167" s="249"/>
      <c r="DZD167" s="249"/>
      <c r="DZE167" s="249"/>
      <c r="DZF167" s="249"/>
      <c r="DZG167" s="249"/>
      <c r="DZH167" s="249"/>
      <c r="DZI167" s="249"/>
      <c r="DZJ167" s="249"/>
      <c r="DZK167" s="249"/>
      <c r="DZL167" s="249"/>
      <c r="DZM167" s="249"/>
      <c r="DZN167" s="249"/>
      <c r="DZO167" s="249"/>
      <c r="DZP167" s="249"/>
      <c r="DZQ167" s="249"/>
      <c r="DZR167" s="249"/>
      <c r="DZS167" s="249"/>
      <c r="DZT167" s="249"/>
      <c r="DZU167" s="249"/>
      <c r="DZV167" s="249"/>
      <c r="DZW167" s="249"/>
      <c r="DZX167" s="249"/>
      <c r="DZY167" s="249"/>
      <c r="DZZ167" s="249"/>
      <c r="EAA167" s="249"/>
      <c r="EAB167" s="249"/>
      <c r="EAC167" s="249"/>
      <c r="EAD167" s="249"/>
      <c r="EAE167" s="249"/>
      <c r="EAF167" s="249"/>
      <c r="EAG167" s="249"/>
      <c r="EAH167" s="249"/>
      <c r="EAI167" s="249"/>
      <c r="EAJ167" s="249"/>
      <c r="EAK167" s="249"/>
      <c r="EAL167" s="249"/>
      <c r="EAM167" s="249"/>
      <c r="EAN167" s="249"/>
      <c r="EAO167" s="249"/>
      <c r="EAP167" s="249"/>
      <c r="EAQ167" s="249"/>
      <c r="EAR167" s="249"/>
      <c r="EAS167" s="249"/>
      <c r="EAT167" s="249"/>
      <c r="EAU167" s="249"/>
      <c r="EAV167" s="249"/>
      <c r="EAW167" s="249"/>
      <c r="EAX167" s="249"/>
      <c r="EAY167" s="249"/>
      <c r="EAZ167" s="249"/>
      <c r="EBA167" s="249"/>
      <c r="EBB167" s="249"/>
      <c r="EBC167" s="249"/>
      <c r="EBD167" s="249"/>
      <c r="EBE167" s="249"/>
      <c r="EBF167" s="249"/>
      <c r="EBG167" s="249"/>
      <c r="EBH167" s="249"/>
      <c r="EBI167" s="249"/>
      <c r="EBJ167" s="249"/>
      <c r="EBK167" s="249"/>
      <c r="EBL167" s="249"/>
      <c r="EBM167" s="249"/>
      <c r="EBN167" s="249"/>
      <c r="EBO167" s="249"/>
      <c r="EBP167" s="249"/>
      <c r="EBQ167" s="249"/>
      <c r="EBR167" s="249"/>
      <c r="EBS167" s="249"/>
      <c r="EBT167" s="249"/>
      <c r="EBU167" s="249"/>
      <c r="EBV167" s="249"/>
      <c r="EBW167" s="249"/>
      <c r="EBX167" s="249"/>
      <c r="EBY167" s="249"/>
      <c r="EBZ167" s="249"/>
      <c r="ECA167" s="249"/>
      <c r="ECB167" s="249"/>
      <c r="ECC167" s="249"/>
      <c r="ECD167" s="249"/>
      <c r="ECE167" s="249"/>
      <c r="ECF167" s="249"/>
      <c r="ECG167" s="249"/>
      <c r="ECH167" s="249"/>
      <c r="ECI167" s="249"/>
      <c r="ECJ167" s="249"/>
      <c r="ECK167" s="249"/>
      <c r="ECL167" s="249"/>
      <c r="ECM167" s="249"/>
      <c r="ECN167" s="249"/>
      <c r="ECO167" s="249"/>
      <c r="ECP167" s="249"/>
      <c r="ECQ167" s="249"/>
      <c r="ECR167" s="249"/>
      <c r="ECS167" s="249"/>
      <c r="ECT167" s="249"/>
      <c r="ECU167" s="249"/>
      <c r="ECV167" s="249"/>
      <c r="ECW167" s="249"/>
      <c r="ECX167" s="249"/>
      <c r="ECY167" s="249"/>
      <c r="ECZ167" s="249"/>
      <c r="EDA167" s="249"/>
      <c r="EDB167" s="249"/>
      <c r="EDC167" s="249"/>
      <c r="EDD167" s="249"/>
      <c r="EDE167" s="249"/>
      <c r="EDF167" s="249"/>
      <c r="EDG167" s="249"/>
      <c r="EDH167" s="249"/>
      <c r="EDI167" s="249"/>
      <c r="EDJ167" s="249"/>
      <c r="EDK167" s="249"/>
      <c r="EDL167" s="249"/>
      <c r="EDM167" s="249"/>
      <c r="EDN167" s="249"/>
      <c r="EDO167" s="249"/>
      <c r="EDP167" s="249"/>
      <c r="EDQ167" s="249"/>
      <c r="EDR167" s="249"/>
      <c r="EDS167" s="249"/>
      <c r="EDT167" s="249"/>
      <c r="EDU167" s="249"/>
      <c r="EDV167" s="249"/>
      <c r="EDW167" s="249"/>
      <c r="EDX167" s="249"/>
      <c r="EDY167" s="249"/>
      <c r="EDZ167" s="249"/>
      <c r="EEA167" s="249"/>
      <c r="EEB167" s="249"/>
      <c r="EEC167" s="249"/>
      <c r="EED167" s="249"/>
      <c r="EEE167" s="249"/>
      <c r="EEF167" s="249"/>
      <c r="EEG167" s="249"/>
      <c r="EEH167" s="249"/>
      <c r="EEI167" s="249"/>
      <c r="EEJ167" s="249"/>
      <c r="EEK167" s="249"/>
      <c r="EEL167" s="249"/>
      <c r="EEM167" s="249"/>
      <c r="EEN167" s="249"/>
      <c r="EEO167" s="249"/>
      <c r="EEP167" s="249"/>
      <c r="EEQ167" s="249"/>
      <c r="EER167" s="249"/>
      <c r="EES167" s="249"/>
      <c r="EET167" s="249"/>
      <c r="EEU167" s="249"/>
      <c r="EEV167" s="249"/>
      <c r="EEW167" s="249"/>
      <c r="EEX167" s="249"/>
      <c r="EEY167" s="249"/>
      <c r="EEZ167" s="249"/>
      <c r="EFA167" s="249"/>
      <c r="EFB167" s="249"/>
      <c r="EFC167" s="249"/>
      <c r="EFD167" s="249"/>
      <c r="EFE167" s="249"/>
      <c r="EFF167" s="249"/>
      <c r="EFG167" s="249"/>
      <c r="EFH167" s="249"/>
      <c r="EFI167" s="249"/>
      <c r="EFJ167" s="249"/>
      <c r="EFK167" s="249"/>
      <c r="EFL167" s="249"/>
      <c r="EFM167" s="249"/>
      <c r="EFN167" s="249"/>
      <c r="EFO167" s="249"/>
      <c r="EFP167" s="249"/>
      <c r="EFQ167" s="249"/>
      <c r="EFR167" s="249"/>
      <c r="EFS167" s="249"/>
      <c r="EFT167" s="249"/>
      <c r="EFU167" s="249"/>
      <c r="EFV167" s="249"/>
      <c r="EFW167" s="249"/>
      <c r="EFX167" s="249"/>
      <c r="EFY167" s="249"/>
      <c r="EFZ167" s="249"/>
      <c r="EGA167" s="249"/>
      <c r="EGB167" s="249"/>
      <c r="EGC167" s="249"/>
      <c r="EGD167" s="249"/>
      <c r="EGE167" s="249"/>
      <c r="EGF167" s="249"/>
      <c r="EGG167" s="249"/>
      <c r="EGH167" s="249"/>
      <c r="EGI167" s="249"/>
      <c r="EGJ167" s="249"/>
      <c r="EGK167" s="249"/>
      <c r="EGL167" s="249"/>
      <c r="EGM167" s="249"/>
      <c r="EGN167" s="249"/>
      <c r="EGO167" s="249"/>
      <c r="EGP167" s="249"/>
      <c r="EGQ167" s="249"/>
      <c r="EGR167" s="249"/>
      <c r="EGS167" s="249"/>
      <c r="EGT167" s="249"/>
      <c r="EGU167" s="249"/>
      <c r="EGV167" s="249"/>
      <c r="EGW167" s="249"/>
      <c r="EGX167" s="249"/>
      <c r="EGY167" s="249"/>
      <c r="EGZ167" s="249"/>
      <c r="EHA167" s="249"/>
      <c r="EHB167" s="249"/>
      <c r="EHC167" s="249"/>
      <c r="EHD167" s="249"/>
      <c r="EHE167" s="249"/>
      <c r="EHF167" s="249"/>
      <c r="EHG167" s="249"/>
      <c r="EHH167" s="249"/>
      <c r="EHI167" s="249"/>
      <c r="EHJ167" s="249"/>
      <c r="EHK167" s="249"/>
      <c r="EHL167" s="249"/>
      <c r="EHM167" s="249"/>
      <c r="EHN167" s="249"/>
      <c r="EHO167" s="249"/>
      <c r="EHP167" s="249"/>
      <c r="EHQ167" s="249"/>
      <c r="EHR167" s="249"/>
      <c r="EHS167" s="249"/>
      <c r="EHT167" s="249"/>
      <c r="EHU167" s="249"/>
      <c r="EHV167" s="249"/>
      <c r="EHW167" s="249"/>
      <c r="EHX167" s="249"/>
      <c r="EHY167" s="249"/>
      <c r="EHZ167" s="249"/>
      <c r="EIA167" s="249"/>
      <c r="EIB167" s="249"/>
      <c r="EIC167" s="249"/>
      <c r="EID167" s="249"/>
      <c r="EIE167" s="249"/>
      <c r="EIF167" s="249"/>
      <c r="EIG167" s="249"/>
      <c r="EIH167" s="249"/>
      <c r="EII167" s="249"/>
      <c r="EIJ167" s="249"/>
      <c r="EIK167" s="249"/>
      <c r="EIL167" s="249"/>
      <c r="EIM167" s="249"/>
      <c r="EIN167" s="249"/>
      <c r="EIO167" s="249"/>
      <c r="EIP167" s="249"/>
      <c r="EIQ167" s="249"/>
      <c r="EIR167" s="249"/>
      <c r="EIS167" s="249"/>
      <c r="EIT167" s="249"/>
      <c r="EIU167" s="249"/>
      <c r="EIV167" s="249"/>
      <c r="EIW167" s="249"/>
      <c r="EIX167" s="249"/>
      <c r="EIY167" s="249"/>
      <c r="EIZ167" s="249"/>
      <c r="EJA167" s="249"/>
      <c r="EJB167" s="249"/>
      <c r="EJC167" s="249"/>
      <c r="EJD167" s="249"/>
      <c r="EJE167" s="249"/>
      <c r="EJF167" s="249"/>
      <c r="EJG167" s="249"/>
      <c r="EJH167" s="249"/>
      <c r="EJI167" s="249"/>
      <c r="EJJ167" s="249"/>
      <c r="EJK167" s="249"/>
      <c r="EJL167" s="249"/>
      <c r="EJM167" s="249"/>
      <c r="EJN167" s="249"/>
      <c r="EJO167" s="249"/>
      <c r="EJP167" s="249"/>
      <c r="EJQ167" s="249"/>
      <c r="EJR167" s="249"/>
      <c r="EJS167" s="249"/>
      <c r="EJT167" s="249"/>
      <c r="EJU167" s="249"/>
      <c r="EJV167" s="249"/>
      <c r="EJW167" s="249"/>
      <c r="EJX167" s="249"/>
      <c r="EJY167" s="249"/>
      <c r="EJZ167" s="249"/>
      <c r="EKA167" s="249"/>
      <c r="EKB167" s="249"/>
      <c r="EKC167" s="249"/>
      <c r="EKD167" s="249"/>
      <c r="EKE167" s="249"/>
      <c r="EKF167" s="249"/>
      <c r="EKG167" s="249"/>
      <c r="EKH167" s="249"/>
      <c r="EKI167" s="249"/>
      <c r="EKJ167" s="249"/>
      <c r="EKK167" s="249"/>
      <c r="EKL167" s="249"/>
      <c r="EKM167" s="249"/>
      <c r="EKN167" s="249"/>
      <c r="EKO167" s="249"/>
      <c r="EKP167" s="249"/>
      <c r="EKQ167" s="249"/>
      <c r="EKR167" s="249"/>
      <c r="EKS167" s="249"/>
      <c r="EKT167" s="249"/>
      <c r="EKU167" s="249"/>
      <c r="EKV167" s="249"/>
      <c r="EKW167" s="249"/>
      <c r="EKX167" s="249"/>
      <c r="EKY167" s="249"/>
      <c r="EKZ167" s="249"/>
      <c r="ELA167" s="249"/>
      <c r="ELB167" s="249"/>
      <c r="ELC167" s="249"/>
      <c r="ELD167" s="249"/>
      <c r="ELE167" s="249"/>
      <c r="ELF167" s="249"/>
      <c r="ELG167" s="249"/>
      <c r="ELH167" s="249"/>
      <c r="ELI167" s="249"/>
      <c r="ELJ167" s="249"/>
      <c r="ELK167" s="249"/>
      <c r="ELL167" s="249"/>
      <c r="ELM167" s="249"/>
      <c r="ELN167" s="249"/>
      <c r="ELO167" s="249"/>
      <c r="ELP167" s="249"/>
      <c r="ELQ167" s="249"/>
      <c r="ELR167" s="249"/>
      <c r="ELS167" s="249"/>
      <c r="ELT167" s="249"/>
      <c r="ELU167" s="249"/>
      <c r="ELV167" s="249"/>
      <c r="ELW167" s="249"/>
      <c r="ELX167" s="249"/>
      <c r="ELY167" s="249"/>
      <c r="ELZ167" s="249"/>
      <c r="EMA167" s="249"/>
      <c r="EMB167" s="249"/>
      <c r="EMC167" s="249"/>
      <c r="EMD167" s="249"/>
      <c r="EME167" s="249"/>
      <c r="EMF167" s="249"/>
      <c r="EMG167" s="249"/>
      <c r="EMH167" s="249"/>
      <c r="EMI167" s="249"/>
      <c r="EMJ167" s="249"/>
      <c r="EMK167" s="249"/>
      <c r="EML167" s="249"/>
      <c r="EMM167" s="249"/>
      <c r="EMN167" s="249"/>
      <c r="EMO167" s="249"/>
      <c r="EMP167" s="249"/>
      <c r="EMQ167" s="249"/>
      <c r="EMR167" s="249"/>
      <c r="EMS167" s="249"/>
      <c r="EMT167" s="249"/>
      <c r="EMU167" s="249"/>
      <c r="EMV167" s="249"/>
      <c r="EMW167" s="249"/>
      <c r="EMX167" s="249"/>
      <c r="EMY167" s="249"/>
      <c r="EMZ167" s="249"/>
      <c r="ENA167" s="249"/>
      <c r="ENB167" s="249"/>
      <c r="ENC167" s="249"/>
      <c r="END167" s="249"/>
      <c r="ENE167" s="249"/>
      <c r="ENF167" s="249"/>
      <c r="ENG167" s="249"/>
      <c r="ENH167" s="249"/>
      <c r="ENI167" s="249"/>
      <c r="ENJ167" s="249"/>
      <c r="ENK167" s="249"/>
      <c r="ENL167" s="249"/>
      <c r="ENM167" s="249"/>
      <c r="ENN167" s="249"/>
      <c r="ENO167" s="249"/>
      <c r="ENP167" s="249"/>
      <c r="ENQ167" s="249"/>
      <c r="ENR167" s="249"/>
      <c r="ENS167" s="249"/>
      <c r="ENT167" s="249"/>
      <c r="ENU167" s="249"/>
      <c r="ENV167" s="249"/>
      <c r="ENW167" s="249"/>
      <c r="ENX167" s="249"/>
      <c r="ENY167" s="249"/>
      <c r="ENZ167" s="249"/>
      <c r="EOA167" s="249"/>
      <c r="EOB167" s="249"/>
      <c r="EOC167" s="249"/>
      <c r="EOD167" s="249"/>
      <c r="EOE167" s="249"/>
      <c r="EOF167" s="249"/>
      <c r="EOG167" s="249"/>
      <c r="EOH167" s="249"/>
      <c r="EOI167" s="249"/>
      <c r="EOJ167" s="249"/>
      <c r="EOK167" s="249"/>
      <c r="EOL167" s="249"/>
      <c r="EOM167" s="249"/>
      <c r="EON167" s="249"/>
      <c r="EOO167" s="249"/>
      <c r="EOP167" s="249"/>
      <c r="EOQ167" s="249"/>
      <c r="EOR167" s="249"/>
      <c r="EOS167" s="249"/>
      <c r="EOT167" s="249"/>
      <c r="EOU167" s="249"/>
      <c r="EOV167" s="249"/>
      <c r="EOW167" s="249"/>
      <c r="EOX167" s="249"/>
      <c r="EOY167" s="249"/>
      <c r="EOZ167" s="249"/>
      <c r="EPA167" s="249"/>
      <c r="EPB167" s="249"/>
      <c r="EPC167" s="249"/>
      <c r="EPD167" s="249"/>
      <c r="EPE167" s="249"/>
      <c r="EPF167" s="249"/>
      <c r="EPG167" s="249"/>
      <c r="EPH167" s="249"/>
      <c r="EPI167" s="249"/>
      <c r="EPJ167" s="249"/>
      <c r="EPK167" s="249"/>
      <c r="EPL167" s="249"/>
      <c r="EPM167" s="249"/>
      <c r="EPN167" s="249"/>
      <c r="EPO167" s="249"/>
      <c r="EPP167" s="249"/>
      <c r="EPQ167" s="249"/>
      <c r="EPR167" s="249"/>
      <c r="EPS167" s="249"/>
      <c r="EPT167" s="249"/>
      <c r="EPU167" s="249"/>
      <c r="EPV167" s="249"/>
      <c r="EPW167" s="249"/>
      <c r="EPX167" s="249"/>
      <c r="EPY167" s="249"/>
      <c r="EPZ167" s="249"/>
      <c r="EQA167" s="249"/>
      <c r="EQB167" s="249"/>
      <c r="EQC167" s="249"/>
      <c r="EQD167" s="249"/>
      <c r="EQE167" s="249"/>
      <c r="EQF167" s="249"/>
      <c r="EQG167" s="249"/>
      <c r="EQH167" s="249"/>
      <c r="EQI167" s="249"/>
      <c r="EQJ167" s="249"/>
      <c r="EQK167" s="249"/>
      <c r="EQL167" s="249"/>
      <c r="EQM167" s="249"/>
      <c r="EQN167" s="249"/>
      <c r="EQO167" s="249"/>
      <c r="EQP167" s="249"/>
      <c r="EQQ167" s="249"/>
      <c r="EQR167" s="249"/>
      <c r="EQS167" s="249"/>
      <c r="EQT167" s="249"/>
      <c r="EQU167" s="249"/>
      <c r="EQV167" s="249"/>
      <c r="EQW167" s="249"/>
      <c r="EQX167" s="249"/>
      <c r="EQY167" s="249"/>
      <c r="EQZ167" s="249"/>
      <c r="ERA167" s="249"/>
      <c r="ERB167" s="249"/>
      <c r="ERC167" s="249"/>
      <c r="ERD167" s="249"/>
      <c r="ERE167" s="249"/>
      <c r="ERF167" s="249"/>
      <c r="ERG167" s="249"/>
      <c r="ERH167" s="249"/>
      <c r="ERI167" s="249"/>
      <c r="ERJ167" s="249"/>
      <c r="ERK167" s="249"/>
      <c r="ERL167" s="249"/>
      <c r="ERM167" s="249"/>
      <c r="ERN167" s="249"/>
      <c r="ERO167" s="249"/>
      <c r="ERP167" s="249"/>
      <c r="ERQ167" s="249"/>
      <c r="ERR167" s="249"/>
      <c r="ERS167" s="249"/>
      <c r="ERT167" s="249"/>
      <c r="ERU167" s="249"/>
      <c r="ERV167" s="249"/>
      <c r="ERW167" s="249"/>
      <c r="ERX167" s="249"/>
      <c r="ERY167" s="249"/>
      <c r="ERZ167" s="249"/>
      <c r="ESA167" s="249"/>
      <c r="ESB167" s="249"/>
      <c r="ESC167" s="249"/>
      <c r="ESD167" s="249"/>
      <c r="ESE167" s="249"/>
      <c r="ESF167" s="249"/>
      <c r="ESG167" s="249"/>
      <c r="ESH167" s="249"/>
      <c r="ESI167" s="249"/>
      <c r="ESJ167" s="249"/>
      <c r="ESK167" s="249"/>
      <c r="ESL167" s="249"/>
      <c r="ESM167" s="249"/>
      <c r="ESN167" s="249"/>
      <c r="ESO167" s="249"/>
      <c r="ESP167" s="249"/>
      <c r="ESQ167" s="249"/>
      <c r="ESR167" s="249"/>
      <c r="ESS167" s="249"/>
      <c r="EST167" s="249"/>
      <c r="ESU167" s="249"/>
      <c r="ESV167" s="249"/>
      <c r="ESW167" s="249"/>
      <c r="ESX167" s="249"/>
      <c r="ESY167" s="249"/>
      <c r="ESZ167" s="249"/>
      <c r="ETA167" s="249"/>
      <c r="ETB167" s="249"/>
      <c r="ETC167" s="249"/>
      <c r="ETD167" s="249"/>
      <c r="ETE167" s="249"/>
      <c r="ETF167" s="249"/>
      <c r="ETG167" s="249"/>
      <c r="ETH167" s="249"/>
      <c r="ETI167" s="249"/>
      <c r="ETJ167" s="249"/>
      <c r="ETK167" s="249"/>
      <c r="ETL167" s="249"/>
      <c r="ETM167" s="249"/>
      <c r="ETN167" s="249"/>
      <c r="ETO167" s="249"/>
      <c r="ETP167" s="249"/>
      <c r="ETQ167" s="249"/>
      <c r="ETR167" s="249"/>
      <c r="ETS167" s="249"/>
      <c r="ETT167" s="249"/>
      <c r="ETU167" s="249"/>
      <c r="ETV167" s="249"/>
      <c r="ETW167" s="249"/>
      <c r="ETX167" s="249"/>
      <c r="ETY167" s="249"/>
      <c r="ETZ167" s="249"/>
      <c r="EUA167" s="249"/>
      <c r="EUB167" s="249"/>
      <c r="EUC167" s="249"/>
      <c r="EUD167" s="249"/>
      <c r="EUE167" s="249"/>
      <c r="EUF167" s="249"/>
      <c r="EUG167" s="249"/>
      <c r="EUH167" s="249"/>
      <c r="EUI167" s="249"/>
      <c r="EUJ167" s="249"/>
      <c r="EUK167" s="249"/>
      <c r="EUL167" s="249"/>
      <c r="EUM167" s="249"/>
      <c r="EUN167" s="249"/>
      <c r="EUO167" s="249"/>
      <c r="EUP167" s="249"/>
      <c r="EUQ167" s="249"/>
      <c r="EUR167" s="249"/>
      <c r="EUS167" s="249"/>
      <c r="EUT167" s="249"/>
      <c r="EUU167" s="249"/>
      <c r="EUV167" s="249"/>
      <c r="EUW167" s="249"/>
      <c r="EUX167" s="249"/>
      <c r="EUY167" s="249"/>
      <c r="EUZ167" s="249"/>
      <c r="EVA167" s="249"/>
      <c r="EVB167" s="249"/>
      <c r="EVC167" s="249"/>
      <c r="EVD167" s="249"/>
      <c r="EVE167" s="249"/>
      <c r="EVF167" s="249"/>
      <c r="EVG167" s="249"/>
      <c r="EVH167" s="249"/>
      <c r="EVI167" s="249"/>
      <c r="EVJ167" s="249"/>
      <c r="EVK167" s="249"/>
      <c r="EVL167" s="249"/>
      <c r="EVM167" s="249"/>
      <c r="EVN167" s="249"/>
      <c r="EVO167" s="249"/>
      <c r="EVP167" s="249"/>
      <c r="EVQ167" s="249"/>
      <c r="EVR167" s="249"/>
      <c r="EVS167" s="249"/>
      <c r="EVT167" s="249"/>
      <c r="EVU167" s="249"/>
      <c r="EVV167" s="249"/>
      <c r="EVW167" s="249"/>
      <c r="EVX167" s="249"/>
      <c r="EVY167" s="249"/>
      <c r="EVZ167" s="249"/>
      <c r="EWA167" s="249"/>
      <c r="EWB167" s="249"/>
      <c r="EWC167" s="249"/>
      <c r="EWD167" s="249"/>
      <c r="EWE167" s="249"/>
      <c r="EWF167" s="249"/>
      <c r="EWG167" s="249"/>
      <c r="EWH167" s="249"/>
      <c r="EWI167" s="249"/>
      <c r="EWJ167" s="249"/>
      <c r="EWK167" s="249"/>
      <c r="EWL167" s="249"/>
      <c r="EWM167" s="249"/>
      <c r="EWN167" s="249"/>
      <c r="EWO167" s="249"/>
      <c r="EWP167" s="249"/>
      <c r="EWQ167" s="249"/>
      <c r="EWR167" s="249"/>
      <c r="EWS167" s="249"/>
      <c r="EWT167" s="249"/>
      <c r="EWU167" s="249"/>
      <c r="EWV167" s="249"/>
      <c r="EWW167" s="249"/>
      <c r="EWX167" s="249"/>
      <c r="EWY167" s="249"/>
      <c r="EWZ167" s="249"/>
      <c r="EXA167" s="249"/>
      <c r="EXB167" s="249"/>
      <c r="EXC167" s="249"/>
      <c r="EXD167" s="249"/>
      <c r="EXE167" s="249"/>
      <c r="EXF167" s="249"/>
      <c r="EXG167" s="249"/>
      <c r="EXH167" s="249"/>
      <c r="EXI167" s="249"/>
      <c r="EXJ167" s="249"/>
      <c r="EXK167" s="249"/>
      <c r="EXL167" s="249"/>
      <c r="EXM167" s="249"/>
      <c r="EXN167" s="249"/>
      <c r="EXO167" s="249"/>
      <c r="EXP167" s="249"/>
      <c r="EXQ167" s="249"/>
      <c r="EXR167" s="249"/>
      <c r="EXS167" s="249"/>
      <c r="EXT167" s="249"/>
      <c r="EXU167" s="249"/>
      <c r="EXV167" s="249"/>
      <c r="EXW167" s="249"/>
      <c r="EXX167" s="249"/>
      <c r="EXY167" s="249"/>
      <c r="EXZ167" s="249"/>
      <c r="EYA167" s="249"/>
      <c r="EYB167" s="249"/>
      <c r="EYC167" s="249"/>
      <c r="EYD167" s="249"/>
      <c r="EYE167" s="249"/>
      <c r="EYF167" s="249"/>
      <c r="EYG167" s="249"/>
      <c r="EYH167" s="249"/>
      <c r="EYI167" s="249"/>
      <c r="EYJ167" s="249"/>
      <c r="EYK167" s="249"/>
      <c r="EYL167" s="249"/>
      <c r="EYM167" s="249"/>
      <c r="EYN167" s="249"/>
      <c r="EYO167" s="249"/>
      <c r="EYP167" s="249"/>
      <c r="EYQ167" s="249"/>
      <c r="EYR167" s="249"/>
      <c r="EYS167" s="249"/>
      <c r="EYT167" s="249"/>
      <c r="EYU167" s="249"/>
      <c r="EYV167" s="249"/>
      <c r="EYW167" s="249"/>
      <c r="EYX167" s="249"/>
      <c r="EYY167" s="249"/>
      <c r="EYZ167" s="249"/>
      <c r="EZA167" s="249"/>
      <c r="EZB167" s="249"/>
      <c r="EZC167" s="249"/>
      <c r="EZD167" s="249"/>
      <c r="EZE167" s="249"/>
      <c r="EZF167" s="249"/>
      <c r="EZG167" s="249"/>
      <c r="EZH167" s="249"/>
      <c r="EZI167" s="249"/>
      <c r="EZJ167" s="249"/>
      <c r="EZK167" s="249"/>
      <c r="EZL167" s="249"/>
      <c r="EZM167" s="249"/>
      <c r="EZN167" s="249"/>
      <c r="EZO167" s="249"/>
      <c r="EZP167" s="249"/>
      <c r="EZQ167" s="249"/>
      <c r="EZR167" s="249"/>
      <c r="EZS167" s="249"/>
      <c r="EZT167" s="249"/>
      <c r="EZU167" s="249"/>
      <c r="EZV167" s="249"/>
      <c r="EZW167" s="249"/>
      <c r="EZX167" s="249"/>
      <c r="EZY167" s="249"/>
      <c r="EZZ167" s="249"/>
      <c r="FAA167" s="249"/>
      <c r="FAB167" s="249"/>
      <c r="FAC167" s="249"/>
      <c r="FAD167" s="249"/>
      <c r="FAE167" s="249"/>
      <c r="FAF167" s="249"/>
      <c r="FAG167" s="249"/>
      <c r="FAH167" s="249"/>
      <c r="FAI167" s="249"/>
      <c r="FAJ167" s="249"/>
      <c r="FAK167" s="249"/>
      <c r="FAL167" s="249"/>
      <c r="FAM167" s="249"/>
      <c r="FAN167" s="249"/>
      <c r="FAO167" s="249"/>
      <c r="FAP167" s="249"/>
      <c r="FAQ167" s="249"/>
      <c r="FAR167" s="249"/>
      <c r="FAS167" s="249"/>
      <c r="FAT167" s="249"/>
      <c r="FAU167" s="249"/>
      <c r="FAV167" s="249"/>
      <c r="FAW167" s="249"/>
      <c r="FAX167" s="249"/>
      <c r="FAY167" s="249"/>
      <c r="FAZ167" s="249"/>
      <c r="FBA167" s="249"/>
      <c r="FBB167" s="249"/>
      <c r="FBC167" s="249"/>
      <c r="FBD167" s="249"/>
      <c r="FBE167" s="249"/>
      <c r="FBF167" s="249"/>
      <c r="FBG167" s="249"/>
      <c r="FBH167" s="249"/>
      <c r="FBI167" s="249"/>
      <c r="FBJ167" s="249"/>
      <c r="FBK167" s="249"/>
      <c r="FBL167" s="249"/>
      <c r="FBM167" s="249"/>
      <c r="FBN167" s="249"/>
      <c r="FBO167" s="249"/>
      <c r="FBP167" s="249"/>
      <c r="FBQ167" s="249"/>
      <c r="FBR167" s="249"/>
      <c r="FBS167" s="249"/>
      <c r="FBT167" s="249"/>
      <c r="FBU167" s="249"/>
      <c r="FBV167" s="249"/>
      <c r="FBW167" s="249"/>
      <c r="FBX167" s="249"/>
      <c r="FBY167" s="249"/>
      <c r="FBZ167" s="249"/>
      <c r="FCA167" s="249"/>
      <c r="FCB167" s="249"/>
      <c r="FCC167" s="249"/>
      <c r="FCD167" s="249"/>
      <c r="FCE167" s="249"/>
      <c r="FCF167" s="249"/>
      <c r="FCG167" s="249"/>
      <c r="FCH167" s="249"/>
      <c r="FCI167" s="249"/>
      <c r="FCJ167" s="249"/>
      <c r="FCK167" s="249"/>
      <c r="FCL167" s="249"/>
      <c r="FCM167" s="249"/>
      <c r="FCN167" s="249"/>
      <c r="FCO167" s="249"/>
      <c r="FCP167" s="249"/>
      <c r="FCQ167" s="249"/>
      <c r="FCR167" s="249"/>
      <c r="FCS167" s="249"/>
      <c r="FCT167" s="249"/>
      <c r="FCU167" s="249"/>
      <c r="FCV167" s="249"/>
      <c r="FCW167" s="249"/>
      <c r="FCX167" s="249"/>
      <c r="FCY167" s="249"/>
      <c r="FCZ167" s="249"/>
      <c r="FDA167" s="249"/>
      <c r="FDB167" s="249"/>
      <c r="FDC167" s="249"/>
      <c r="FDD167" s="249"/>
      <c r="FDE167" s="249"/>
      <c r="FDF167" s="249"/>
      <c r="FDG167" s="249"/>
      <c r="FDH167" s="249"/>
      <c r="FDI167" s="249"/>
      <c r="FDJ167" s="249"/>
      <c r="FDK167" s="249"/>
      <c r="FDL167" s="249"/>
      <c r="FDM167" s="249"/>
      <c r="FDN167" s="249"/>
      <c r="FDO167" s="249"/>
      <c r="FDP167" s="249"/>
      <c r="FDQ167" s="249"/>
      <c r="FDR167" s="249"/>
      <c r="FDS167" s="249"/>
      <c r="FDT167" s="249"/>
      <c r="FDU167" s="249"/>
      <c r="FDV167" s="249"/>
      <c r="FDW167" s="249"/>
      <c r="FDX167" s="249"/>
      <c r="FDY167" s="249"/>
      <c r="FDZ167" s="249"/>
      <c r="FEA167" s="249"/>
      <c r="FEB167" s="249"/>
      <c r="FEC167" s="249"/>
      <c r="FED167" s="249"/>
      <c r="FEE167" s="249"/>
      <c r="FEF167" s="249"/>
      <c r="FEG167" s="249"/>
      <c r="FEH167" s="249"/>
      <c r="FEI167" s="249"/>
      <c r="FEJ167" s="249"/>
      <c r="FEK167" s="249"/>
      <c r="FEL167" s="249"/>
      <c r="FEM167" s="249"/>
      <c r="FEN167" s="249"/>
      <c r="FEO167" s="249"/>
      <c r="FEP167" s="249"/>
      <c r="FEQ167" s="249"/>
      <c r="FER167" s="249"/>
      <c r="FES167" s="249"/>
      <c r="FET167" s="249"/>
      <c r="FEU167" s="249"/>
      <c r="FEV167" s="249"/>
      <c r="FEW167" s="249"/>
      <c r="FEX167" s="249"/>
      <c r="FEY167" s="249"/>
      <c r="FEZ167" s="249"/>
      <c r="FFA167" s="249"/>
      <c r="FFB167" s="249"/>
      <c r="FFC167" s="249"/>
      <c r="FFD167" s="249"/>
      <c r="FFE167" s="249"/>
      <c r="FFF167" s="249"/>
      <c r="FFG167" s="249"/>
      <c r="FFH167" s="249"/>
      <c r="FFI167" s="249"/>
      <c r="FFJ167" s="249"/>
      <c r="FFK167" s="249"/>
      <c r="FFL167" s="249"/>
      <c r="FFM167" s="249"/>
      <c r="FFN167" s="249"/>
      <c r="FFO167" s="249"/>
      <c r="FFP167" s="249"/>
      <c r="FFQ167" s="249"/>
      <c r="FFR167" s="249"/>
      <c r="FFS167" s="249"/>
      <c r="FFT167" s="249"/>
      <c r="FFU167" s="249"/>
      <c r="FFV167" s="249"/>
      <c r="FFW167" s="249"/>
      <c r="FFX167" s="249"/>
      <c r="FFY167" s="249"/>
      <c r="FFZ167" s="249"/>
      <c r="FGA167" s="249"/>
      <c r="FGB167" s="249"/>
      <c r="FGC167" s="249"/>
      <c r="FGD167" s="249"/>
      <c r="FGE167" s="249"/>
      <c r="FGF167" s="249"/>
      <c r="FGG167" s="249"/>
      <c r="FGH167" s="249"/>
      <c r="FGI167" s="249"/>
      <c r="FGJ167" s="249"/>
      <c r="FGK167" s="249"/>
      <c r="FGL167" s="249"/>
      <c r="FGM167" s="249"/>
      <c r="FGN167" s="249"/>
      <c r="FGO167" s="249"/>
      <c r="FGP167" s="249"/>
      <c r="FGQ167" s="249"/>
      <c r="FGR167" s="249"/>
      <c r="FGS167" s="249"/>
      <c r="FGT167" s="249"/>
      <c r="FGU167" s="249"/>
      <c r="FGV167" s="249"/>
      <c r="FGW167" s="249"/>
      <c r="FGX167" s="249"/>
      <c r="FGY167" s="249"/>
      <c r="FGZ167" s="249"/>
      <c r="FHA167" s="249"/>
      <c r="FHB167" s="249"/>
      <c r="FHC167" s="249"/>
      <c r="FHD167" s="249"/>
      <c r="FHE167" s="249"/>
      <c r="FHF167" s="249"/>
      <c r="FHG167" s="249"/>
      <c r="FHH167" s="249"/>
      <c r="FHI167" s="249"/>
      <c r="FHJ167" s="249"/>
      <c r="FHK167" s="249"/>
      <c r="FHL167" s="249"/>
      <c r="FHM167" s="249"/>
      <c r="FHN167" s="249"/>
      <c r="FHO167" s="249"/>
      <c r="FHP167" s="249"/>
      <c r="FHQ167" s="249"/>
      <c r="FHR167" s="249"/>
      <c r="FHS167" s="249"/>
      <c r="FHT167" s="249"/>
      <c r="FHU167" s="249"/>
      <c r="FHV167" s="249"/>
      <c r="FHW167" s="249"/>
      <c r="FHX167" s="249"/>
      <c r="FHY167" s="249"/>
      <c r="FHZ167" s="249"/>
      <c r="FIA167" s="249"/>
      <c r="FIB167" s="249"/>
      <c r="FIC167" s="249"/>
      <c r="FID167" s="249"/>
      <c r="FIE167" s="249"/>
      <c r="FIF167" s="249"/>
      <c r="FIG167" s="249"/>
      <c r="FIH167" s="249"/>
      <c r="FII167" s="249"/>
      <c r="FIJ167" s="249"/>
      <c r="FIK167" s="249"/>
      <c r="FIL167" s="249"/>
      <c r="FIM167" s="249"/>
      <c r="FIN167" s="249"/>
      <c r="FIO167" s="249"/>
      <c r="FIP167" s="249"/>
      <c r="FIQ167" s="249"/>
      <c r="FIR167" s="249"/>
      <c r="FIS167" s="249"/>
      <c r="FIT167" s="249"/>
      <c r="FIU167" s="249"/>
      <c r="FIV167" s="249"/>
      <c r="FIW167" s="249"/>
      <c r="FIX167" s="249"/>
      <c r="FIY167" s="249"/>
      <c r="FIZ167" s="249"/>
      <c r="FJA167" s="249"/>
      <c r="FJB167" s="249"/>
      <c r="FJC167" s="249"/>
      <c r="FJD167" s="249"/>
      <c r="FJE167" s="249"/>
      <c r="FJF167" s="249"/>
      <c r="FJG167" s="249"/>
      <c r="FJH167" s="249"/>
      <c r="FJI167" s="249"/>
      <c r="FJJ167" s="249"/>
      <c r="FJK167" s="249"/>
      <c r="FJL167" s="249"/>
      <c r="FJM167" s="249"/>
      <c r="FJN167" s="249"/>
      <c r="FJO167" s="249"/>
      <c r="FJP167" s="249"/>
      <c r="FJQ167" s="249"/>
      <c r="FJR167" s="249"/>
      <c r="FJS167" s="249"/>
      <c r="FJT167" s="249"/>
      <c r="FJU167" s="249"/>
      <c r="FJV167" s="249"/>
      <c r="FJW167" s="249"/>
      <c r="FJX167" s="249"/>
      <c r="FJY167" s="249"/>
      <c r="FJZ167" s="249"/>
      <c r="FKA167" s="249"/>
      <c r="FKB167" s="249"/>
      <c r="FKC167" s="249"/>
      <c r="FKD167" s="249"/>
      <c r="FKE167" s="249"/>
      <c r="FKF167" s="249"/>
      <c r="FKG167" s="249"/>
      <c r="FKH167" s="249"/>
      <c r="FKI167" s="249"/>
      <c r="FKJ167" s="249"/>
      <c r="FKK167" s="249"/>
      <c r="FKL167" s="249"/>
      <c r="FKM167" s="249"/>
      <c r="FKN167" s="249"/>
      <c r="FKO167" s="249"/>
      <c r="FKP167" s="249"/>
      <c r="FKQ167" s="249"/>
      <c r="FKR167" s="249"/>
      <c r="FKS167" s="249"/>
      <c r="FKT167" s="249"/>
      <c r="FKU167" s="249"/>
      <c r="FKV167" s="249"/>
      <c r="FKW167" s="249"/>
      <c r="FKX167" s="249"/>
      <c r="FKY167" s="249"/>
      <c r="FKZ167" s="249"/>
      <c r="FLA167" s="249"/>
      <c r="FLB167" s="249"/>
      <c r="FLC167" s="249"/>
      <c r="FLD167" s="249"/>
      <c r="FLE167" s="249"/>
      <c r="FLF167" s="249"/>
      <c r="FLG167" s="249"/>
      <c r="FLH167" s="249"/>
      <c r="FLI167" s="249"/>
      <c r="FLJ167" s="249"/>
      <c r="FLK167" s="249"/>
      <c r="FLL167" s="249"/>
      <c r="FLM167" s="249"/>
      <c r="FLN167" s="249"/>
      <c r="FLO167" s="249"/>
      <c r="FLP167" s="249"/>
      <c r="FLQ167" s="249"/>
      <c r="FLR167" s="249"/>
      <c r="FLS167" s="249"/>
      <c r="FLT167" s="249"/>
      <c r="FLU167" s="249"/>
      <c r="FLV167" s="249"/>
      <c r="FLW167" s="249"/>
      <c r="FLX167" s="249"/>
      <c r="FLY167" s="249"/>
      <c r="FLZ167" s="249"/>
      <c r="FMA167" s="249"/>
      <c r="FMB167" s="249"/>
      <c r="FMC167" s="249"/>
      <c r="FMD167" s="249"/>
      <c r="FME167" s="249"/>
      <c r="FMF167" s="249"/>
      <c r="FMG167" s="249"/>
      <c r="FMH167" s="249"/>
      <c r="FMI167" s="249"/>
      <c r="FMJ167" s="249"/>
      <c r="FMK167" s="249"/>
      <c r="FML167" s="249"/>
      <c r="FMM167" s="249"/>
      <c r="FMN167" s="249"/>
      <c r="FMO167" s="249"/>
      <c r="FMP167" s="249"/>
      <c r="FMQ167" s="249"/>
      <c r="FMR167" s="249"/>
      <c r="FMS167" s="249"/>
      <c r="FMT167" s="249"/>
      <c r="FMU167" s="249"/>
      <c r="FMV167" s="249"/>
      <c r="FMW167" s="249"/>
      <c r="FMX167" s="249"/>
      <c r="FMY167" s="249"/>
      <c r="FMZ167" s="249"/>
      <c r="FNA167" s="249"/>
      <c r="FNB167" s="249"/>
      <c r="FNC167" s="249"/>
      <c r="FND167" s="249"/>
      <c r="FNE167" s="249"/>
      <c r="FNF167" s="249"/>
      <c r="FNG167" s="249"/>
      <c r="FNH167" s="249"/>
      <c r="FNI167" s="249"/>
      <c r="FNJ167" s="249"/>
      <c r="FNK167" s="249"/>
      <c r="FNL167" s="249"/>
      <c r="FNM167" s="249"/>
      <c r="FNN167" s="249"/>
      <c r="FNO167" s="249"/>
      <c r="FNP167" s="249"/>
      <c r="FNQ167" s="249"/>
      <c r="FNR167" s="249"/>
      <c r="FNS167" s="249"/>
      <c r="FNT167" s="249"/>
      <c r="FNU167" s="249"/>
      <c r="FNV167" s="249"/>
      <c r="FNW167" s="249"/>
      <c r="FNX167" s="249"/>
      <c r="FNY167" s="249"/>
      <c r="FNZ167" s="249"/>
      <c r="FOA167" s="249"/>
      <c r="FOB167" s="249"/>
      <c r="FOC167" s="249"/>
      <c r="FOD167" s="249"/>
      <c r="FOE167" s="249"/>
      <c r="FOF167" s="249"/>
      <c r="FOG167" s="249"/>
      <c r="FOH167" s="249"/>
      <c r="FOI167" s="249"/>
      <c r="FOJ167" s="249"/>
      <c r="FOK167" s="249"/>
      <c r="FOL167" s="249"/>
      <c r="FOM167" s="249"/>
      <c r="FON167" s="249"/>
      <c r="FOO167" s="249"/>
      <c r="FOP167" s="249"/>
      <c r="FOQ167" s="249"/>
      <c r="FOR167" s="249"/>
      <c r="FOS167" s="249"/>
      <c r="FOT167" s="249"/>
      <c r="FOU167" s="249"/>
      <c r="FOV167" s="249"/>
      <c r="FOW167" s="249"/>
      <c r="FOX167" s="249"/>
      <c r="FOY167" s="249"/>
      <c r="FOZ167" s="249"/>
      <c r="FPA167" s="249"/>
      <c r="FPB167" s="249"/>
      <c r="FPC167" s="249"/>
      <c r="FPD167" s="249"/>
      <c r="FPE167" s="249"/>
      <c r="FPF167" s="249"/>
      <c r="FPG167" s="249"/>
      <c r="FPH167" s="249"/>
      <c r="FPI167" s="249"/>
      <c r="FPJ167" s="249"/>
      <c r="FPK167" s="249"/>
      <c r="FPL167" s="249"/>
      <c r="FPM167" s="249"/>
      <c r="FPN167" s="249"/>
      <c r="FPO167" s="249"/>
      <c r="FPP167" s="249"/>
      <c r="FPQ167" s="249"/>
      <c r="FPR167" s="249"/>
      <c r="FPS167" s="249"/>
      <c r="FPT167" s="249"/>
      <c r="FPU167" s="249"/>
      <c r="FPV167" s="249"/>
      <c r="FPW167" s="249"/>
      <c r="FPX167" s="249"/>
      <c r="FPY167" s="249"/>
      <c r="FPZ167" s="249"/>
      <c r="FQA167" s="249"/>
      <c r="FQB167" s="249"/>
      <c r="FQC167" s="249"/>
      <c r="FQD167" s="249"/>
      <c r="FQE167" s="249"/>
      <c r="FQF167" s="249"/>
      <c r="FQG167" s="249"/>
      <c r="FQH167" s="249"/>
      <c r="FQI167" s="249"/>
      <c r="FQJ167" s="249"/>
      <c r="FQK167" s="249"/>
      <c r="FQL167" s="249"/>
      <c r="FQM167" s="249"/>
      <c r="FQN167" s="249"/>
      <c r="FQO167" s="249"/>
      <c r="FQP167" s="249"/>
      <c r="FQQ167" s="249"/>
      <c r="FQR167" s="249"/>
      <c r="FQS167" s="249"/>
      <c r="FQT167" s="249"/>
      <c r="FQU167" s="249"/>
      <c r="FQV167" s="249"/>
      <c r="FQW167" s="249"/>
      <c r="FQX167" s="249"/>
      <c r="FQY167" s="249"/>
      <c r="FQZ167" s="249"/>
      <c r="FRA167" s="249"/>
      <c r="FRB167" s="249"/>
      <c r="FRC167" s="249"/>
      <c r="FRD167" s="249"/>
      <c r="FRE167" s="249"/>
      <c r="FRF167" s="249"/>
      <c r="FRG167" s="249"/>
      <c r="FRH167" s="249"/>
      <c r="FRI167" s="249"/>
      <c r="FRJ167" s="249"/>
      <c r="FRK167" s="249"/>
      <c r="FRL167" s="249"/>
      <c r="FRM167" s="249"/>
      <c r="FRN167" s="249"/>
      <c r="FRO167" s="249"/>
      <c r="FRP167" s="249"/>
      <c r="FRQ167" s="249"/>
      <c r="FRR167" s="249"/>
      <c r="FRS167" s="249"/>
      <c r="FRT167" s="249"/>
      <c r="FRU167" s="249"/>
      <c r="FRV167" s="249"/>
      <c r="FRW167" s="249"/>
      <c r="FRX167" s="249"/>
      <c r="FRY167" s="249"/>
      <c r="FRZ167" s="249"/>
      <c r="FSA167" s="249"/>
      <c r="FSB167" s="249"/>
      <c r="FSC167" s="249"/>
      <c r="FSD167" s="249"/>
      <c r="FSE167" s="249"/>
      <c r="FSF167" s="249"/>
      <c r="FSG167" s="249"/>
      <c r="FSH167" s="249"/>
      <c r="FSI167" s="249"/>
      <c r="FSJ167" s="249"/>
      <c r="FSK167" s="249"/>
      <c r="FSL167" s="249"/>
      <c r="FSM167" s="249"/>
      <c r="FSN167" s="249"/>
      <c r="FSO167" s="249"/>
      <c r="FSP167" s="249"/>
      <c r="FSQ167" s="249"/>
      <c r="FSR167" s="249"/>
      <c r="FSS167" s="249"/>
      <c r="FST167" s="249"/>
      <c r="FSU167" s="249"/>
      <c r="FSV167" s="249"/>
      <c r="FSW167" s="249"/>
      <c r="FSX167" s="249"/>
      <c r="FSY167" s="249"/>
      <c r="FSZ167" s="249"/>
      <c r="FTA167" s="249"/>
      <c r="FTB167" s="249"/>
      <c r="FTC167" s="249"/>
      <c r="FTD167" s="249"/>
      <c r="FTE167" s="249"/>
      <c r="FTF167" s="249"/>
      <c r="FTG167" s="249"/>
      <c r="FTH167" s="249"/>
      <c r="FTI167" s="249"/>
      <c r="FTJ167" s="249"/>
      <c r="FTK167" s="249"/>
      <c r="FTL167" s="249"/>
      <c r="FTM167" s="249"/>
      <c r="FTN167" s="249"/>
      <c r="FTO167" s="249"/>
      <c r="FTP167" s="249"/>
      <c r="FTQ167" s="249"/>
      <c r="FTR167" s="249"/>
      <c r="FTS167" s="249"/>
      <c r="FTT167" s="249"/>
      <c r="FTU167" s="249"/>
      <c r="FTV167" s="249"/>
      <c r="FTW167" s="249"/>
      <c r="FTX167" s="249"/>
      <c r="FTY167" s="249"/>
      <c r="FTZ167" s="249"/>
      <c r="FUA167" s="249"/>
      <c r="FUB167" s="249"/>
      <c r="FUC167" s="249"/>
      <c r="FUD167" s="249"/>
      <c r="FUE167" s="249"/>
      <c r="FUF167" s="249"/>
      <c r="FUG167" s="249"/>
      <c r="FUH167" s="249"/>
      <c r="FUI167" s="249"/>
      <c r="FUJ167" s="249"/>
      <c r="FUK167" s="249"/>
      <c r="FUL167" s="249"/>
      <c r="FUM167" s="249"/>
      <c r="FUN167" s="249"/>
      <c r="FUO167" s="249"/>
      <c r="FUP167" s="249"/>
      <c r="FUQ167" s="249"/>
      <c r="FUR167" s="249"/>
      <c r="FUS167" s="249"/>
      <c r="FUT167" s="249"/>
      <c r="FUU167" s="249"/>
      <c r="FUV167" s="249"/>
      <c r="FUW167" s="249"/>
      <c r="FUX167" s="249"/>
      <c r="FUY167" s="249"/>
      <c r="FUZ167" s="249"/>
      <c r="FVA167" s="249"/>
      <c r="FVB167" s="249"/>
      <c r="FVC167" s="249"/>
      <c r="FVD167" s="249"/>
      <c r="FVE167" s="249"/>
      <c r="FVF167" s="249"/>
      <c r="FVG167" s="249"/>
      <c r="FVH167" s="249"/>
      <c r="FVI167" s="249"/>
      <c r="FVJ167" s="249"/>
      <c r="FVK167" s="249"/>
      <c r="FVL167" s="249"/>
      <c r="FVM167" s="249"/>
      <c r="FVN167" s="249"/>
      <c r="FVO167" s="249"/>
      <c r="FVP167" s="249"/>
      <c r="FVQ167" s="249"/>
      <c r="FVR167" s="249"/>
      <c r="FVS167" s="249"/>
      <c r="FVT167" s="249"/>
      <c r="FVU167" s="249"/>
      <c r="FVV167" s="249"/>
      <c r="FVW167" s="249"/>
      <c r="FVX167" s="249"/>
      <c r="FVY167" s="249"/>
      <c r="FVZ167" s="249"/>
      <c r="FWA167" s="249"/>
      <c r="FWB167" s="249"/>
      <c r="FWC167" s="249"/>
      <c r="FWD167" s="249"/>
      <c r="FWE167" s="249"/>
      <c r="FWF167" s="249"/>
      <c r="FWG167" s="249"/>
      <c r="FWH167" s="249"/>
      <c r="FWI167" s="249"/>
      <c r="FWJ167" s="249"/>
      <c r="FWK167" s="249"/>
      <c r="FWL167" s="249"/>
      <c r="FWM167" s="249"/>
      <c r="FWN167" s="249"/>
      <c r="FWO167" s="249"/>
      <c r="FWP167" s="249"/>
      <c r="FWQ167" s="249"/>
      <c r="FWR167" s="249"/>
      <c r="FWS167" s="249"/>
      <c r="FWT167" s="249"/>
      <c r="FWU167" s="249"/>
      <c r="FWV167" s="249"/>
      <c r="FWW167" s="249"/>
      <c r="FWX167" s="249"/>
      <c r="FWY167" s="249"/>
      <c r="FWZ167" s="249"/>
      <c r="FXA167" s="249"/>
      <c r="FXB167" s="249"/>
      <c r="FXC167" s="249"/>
      <c r="FXD167" s="249"/>
      <c r="FXE167" s="249"/>
      <c r="FXF167" s="249"/>
      <c r="FXG167" s="249"/>
      <c r="FXH167" s="249"/>
      <c r="FXI167" s="249"/>
      <c r="FXJ167" s="249"/>
      <c r="FXK167" s="249"/>
      <c r="FXL167" s="249"/>
      <c r="FXM167" s="249"/>
      <c r="FXN167" s="249"/>
      <c r="FXO167" s="249"/>
      <c r="FXP167" s="249"/>
      <c r="FXQ167" s="249"/>
      <c r="FXR167" s="249"/>
      <c r="FXS167" s="249"/>
      <c r="FXT167" s="249"/>
      <c r="FXU167" s="249"/>
      <c r="FXV167" s="249"/>
      <c r="FXW167" s="249"/>
      <c r="FXX167" s="249"/>
      <c r="FXY167" s="249"/>
      <c r="FXZ167" s="249"/>
      <c r="FYA167" s="249"/>
      <c r="FYB167" s="249"/>
      <c r="FYC167" s="249"/>
      <c r="FYD167" s="249"/>
      <c r="FYE167" s="249"/>
      <c r="FYF167" s="249"/>
      <c r="FYG167" s="249"/>
      <c r="FYH167" s="249"/>
      <c r="FYI167" s="249"/>
      <c r="FYJ167" s="249"/>
      <c r="FYK167" s="249"/>
      <c r="FYL167" s="249"/>
      <c r="FYM167" s="249"/>
      <c r="FYN167" s="249"/>
      <c r="FYO167" s="249"/>
      <c r="FYP167" s="249"/>
      <c r="FYQ167" s="249"/>
      <c r="FYR167" s="249"/>
      <c r="FYS167" s="249"/>
      <c r="FYT167" s="249"/>
      <c r="FYU167" s="249"/>
      <c r="FYV167" s="249"/>
      <c r="FYW167" s="249"/>
      <c r="FYX167" s="249"/>
      <c r="FYY167" s="249"/>
      <c r="FYZ167" s="249"/>
      <c r="FZA167" s="249"/>
      <c r="FZB167" s="249"/>
      <c r="FZC167" s="249"/>
      <c r="FZD167" s="249"/>
      <c r="FZE167" s="249"/>
      <c r="FZF167" s="249"/>
      <c r="FZG167" s="249"/>
      <c r="FZH167" s="249"/>
      <c r="FZI167" s="249"/>
      <c r="FZJ167" s="249"/>
      <c r="FZK167" s="249"/>
      <c r="FZL167" s="249"/>
      <c r="FZM167" s="249"/>
      <c r="FZN167" s="249"/>
      <c r="FZO167" s="249"/>
      <c r="FZP167" s="249"/>
      <c r="FZQ167" s="249"/>
      <c r="FZR167" s="249"/>
      <c r="FZS167" s="249"/>
      <c r="FZT167" s="249"/>
      <c r="FZU167" s="249"/>
      <c r="FZV167" s="249"/>
      <c r="FZW167" s="249"/>
      <c r="FZX167" s="249"/>
      <c r="FZY167" s="249"/>
      <c r="FZZ167" s="249"/>
      <c r="GAA167" s="249"/>
      <c r="GAB167" s="249"/>
      <c r="GAC167" s="249"/>
      <c r="GAD167" s="249"/>
      <c r="GAE167" s="249"/>
      <c r="GAF167" s="249"/>
      <c r="GAG167" s="249"/>
      <c r="GAH167" s="249"/>
      <c r="GAI167" s="249"/>
      <c r="GAJ167" s="249"/>
      <c r="GAK167" s="249"/>
      <c r="GAL167" s="249"/>
      <c r="GAM167" s="249"/>
      <c r="GAN167" s="249"/>
      <c r="GAO167" s="249"/>
      <c r="GAP167" s="249"/>
      <c r="GAQ167" s="249"/>
      <c r="GAR167" s="249"/>
      <c r="GAS167" s="249"/>
      <c r="GAT167" s="249"/>
      <c r="GAU167" s="249"/>
      <c r="GAV167" s="249"/>
      <c r="GAW167" s="249"/>
      <c r="GAX167" s="249"/>
      <c r="GAY167" s="249"/>
      <c r="GAZ167" s="249"/>
      <c r="GBA167" s="249"/>
      <c r="GBB167" s="249"/>
      <c r="GBC167" s="249"/>
      <c r="GBD167" s="249"/>
      <c r="GBE167" s="249"/>
      <c r="GBF167" s="249"/>
      <c r="GBG167" s="249"/>
      <c r="GBH167" s="249"/>
      <c r="GBI167" s="249"/>
      <c r="GBJ167" s="249"/>
      <c r="GBK167" s="249"/>
      <c r="GBL167" s="249"/>
      <c r="GBM167" s="249"/>
      <c r="GBN167" s="249"/>
      <c r="GBO167" s="249"/>
      <c r="GBP167" s="249"/>
      <c r="GBQ167" s="249"/>
      <c r="GBR167" s="249"/>
      <c r="GBS167" s="249"/>
      <c r="GBT167" s="249"/>
      <c r="GBU167" s="249"/>
      <c r="GBV167" s="249"/>
      <c r="GBW167" s="249"/>
      <c r="GBX167" s="249"/>
      <c r="GBY167" s="249"/>
      <c r="GBZ167" s="249"/>
      <c r="GCA167" s="249"/>
      <c r="GCB167" s="249"/>
      <c r="GCC167" s="249"/>
      <c r="GCD167" s="249"/>
      <c r="GCE167" s="249"/>
      <c r="GCF167" s="249"/>
      <c r="GCG167" s="249"/>
      <c r="GCH167" s="249"/>
      <c r="GCI167" s="249"/>
      <c r="GCJ167" s="249"/>
      <c r="GCK167" s="249"/>
      <c r="GCL167" s="249"/>
      <c r="GCM167" s="249"/>
      <c r="GCN167" s="249"/>
      <c r="GCO167" s="249"/>
      <c r="GCP167" s="249"/>
      <c r="GCQ167" s="249"/>
      <c r="GCR167" s="249"/>
      <c r="GCS167" s="249"/>
      <c r="GCT167" s="249"/>
      <c r="GCU167" s="249"/>
      <c r="GCV167" s="249"/>
      <c r="GCW167" s="249"/>
      <c r="GCX167" s="249"/>
      <c r="GCY167" s="249"/>
      <c r="GCZ167" s="249"/>
      <c r="GDA167" s="249"/>
      <c r="GDB167" s="249"/>
      <c r="GDC167" s="249"/>
      <c r="GDD167" s="249"/>
      <c r="GDE167" s="249"/>
      <c r="GDF167" s="249"/>
      <c r="GDG167" s="249"/>
      <c r="GDH167" s="249"/>
      <c r="GDI167" s="249"/>
      <c r="GDJ167" s="249"/>
      <c r="GDK167" s="249"/>
      <c r="GDL167" s="249"/>
      <c r="GDM167" s="249"/>
      <c r="GDN167" s="249"/>
      <c r="GDO167" s="249"/>
      <c r="GDP167" s="249"/>
      <c r="GDQ167" s="249"/>
      <c r="GDR167" s="249"/>
      <c r="GDS167" s="249"/>
      <c r="GDT167" s="249"/>
      <c r="GDU167" s="249"/>
      <c r="GDV167" s="249"/>
      <c r="GDW167" s="249"/>
      <c r="GDX167" s="249"/>
      <c r="GDY167" s="249"/>
      <c r="GDZ167" s="249"/>
      <c r="GEA167" s="249"/>
      <c r="GEB167" s="249"/>
      <c r="GEC167" s="249"/>
      <c r="GED167" s="249"/>
      <c r="GEE167" s="249"/>
      <c r="GEF167" s="249"/>
      <c r="GEG167" s="249"/>
      <c r="GEH167" s="249"/>
      <c r="GEI167" s="249"/>
      <c r="GEJ167" s="249"/>
      <c r="GEK167" s="249"/>
      <c r="GEL167" s="249"/>
      <c r="GEM167" s="249"/>
      <c r="GEN167" s="249"/>
      <c r="GEO167" s="249"/>
      <c r="GEP167" s="249"/>
      <c r="GEQ167" s="249"/>
      <c r="GER167" s="249"/>
      <c r="GES167" s="249"/>
      <c r="GET167" s="249"/>
      <c r="GEU167" s="249"/>
      <c r="GEV167" s="249"/>
      <c r="GEW167" s="249"/>
      <c r="GEX167" s="249"/>
      <c r="GEY167" s="249"/>
      <c r="GEZ167" s="249"/>
      <c r="GFA167" s="249"/>
      <c r="GFB167" s="249"/>
      <c r="GFC167" s="249"/>
      <c r="GFD167" s="249"/>
      <c r="GFE167" s="249"/>
      <c r="GFF167" s="249"/>
      <c r="GFG167" s="249"/>
      <c r="GFH167" s="249"/>
      <c r="GFI167" s="249"/>
      <c r="GFJ167" s="249"/>
      <c r="GFK167" s="249"/>
      <c r="GFL167" s="249"/>
      <c r="GFM167" s="249"/>
      <c r="GFN167" s="249"/>
      <c r="GFO167" s="249"/>
      <c r="GFP167" s="249"/>
      <c r="GFQ167" s="249"/>
      <c r="GFR167" s="249"/>
      <c r="GFS167" s="249"/>
      <c r="GFT167" s="249"/>
      <c r="GFU167" s="249"/>
      <c r="GFV167" s="249"/>
      <c r="GFW167" s="249"/>
      <c r="GFX167" s="249"/>
      <c r="GFY167" s="249"/>
      <c r="GFZ167" s="249"/>
      <c r="GGA167" s="249"/>
      <c r="GGB167" s="249"/>
      <c r="GGC167" s="249"/>
      <c r="GGD167" s="249"/>
      <c r="GGE167" s="249"/>
      <c r="GGF167" s="249"/>
      <c r="GGG167" s="249"/>
      <c r="GGH167" s="249"/>
      <c r="GGI167" s="249"/>
      <c r="GGJ167" s="249"/>
      <c r="GGK167" s="249"/>
      <c r="GGL167" s="249"/>
      <c r="GGM167" s="249"/>
      <c r="GGN167" s="249"/>
      <c r="GGO167" s="249"/>
      <c r="GGP167" s="249"/>
      <c r="GGQ167" s="249"/>
      <c r="GGR167" s="249"/>
      <c r="GGS167" s="249"/>
      <c r="GGT167" s="249"/>
      <c r="GGU167" s="249"/>
      <c r="GGV167" s="249"/>
      <c r="GGW167" s="249"/>
      <c r="GGX167" s="249"/>
      <c r="GGY167" s="249"/>
      <c r="GGZ167" s="249"/>
      <c r="GHA167" s="249"/>
      <c r="GHB167" s="249"/>
      <c r="GHC167" s="249"/>
      <c r="GHD167" s="249"/>
      <c r="GHE167" s="249"/>
      <c r="GHF167" s="249"/>
      <c r="GHG167" s="249"/>
      <c r="GHH167" s="249"/>
      <c r="GHI167" s="249"/>
      <c r="GHJ167" s="249"/>
      <c r="GHK167" s="249"/>
      <c r="GHL167" s="249"/>
      <c r="GHM167" s="249"/>
      <c r="GHN167" s="249"/>
      <c r="GHO167" s="249"/>
      <c r="GHP167" s="249"/>
      <c r="GHQ167" s="249"/>
      <c r="GHR167" s="249"/>
      <c r="GHS167" s="249"/>
      <c r="GHT167" s="249"/>
      <c r="GHU167" s="249"/>
      <c r="GHV167" s="249"/>
      <c r="GHW167" s="249"/>
      <c r="GHX167" s="249"/>
      <c r="GHY167" s="249"/>
      <c r="GHZ167" s="249"/>
      <c r="GIA167" s="249"/>
      <c r="GIB167" s="249"/>
      <c r="GIC167" s="249"/>
      <c r="GID167" s="249"/>
      <c r="GIE167" s="249"/>
      <c r="GIF167" s="249"/>
      <c r="GIG167" s="249"/>
      <c r="GIH167" s="249"/>
      <c r="GII167" s="249"/>
      <c r="GIJ167" s="249"/>
      <c r="GIK167" s="249"/>
      <c r="GIL167" s="249"/>
      <c r="GIM167" s="249"/>
      <c r="GIN167" s="249"/>
      <c r="GIO167" s="249"/>
      <c r="GIP167" s="249"/>
      <c r="GIQ167" s="249"/>
      <c r="GIR167" s="249"/>
      <c r="GIS167" s="249"/>
      <c r="GIT167" s="249"/>
      <c r="GIU167" s="249"/>
      <c r="GIV167" s="249"/>
      <c r="GIW167" s="249"/>
      <c r="GIX167" s="249"/>
      <c r="GIY167" s="249"/>
      <c r="GIZ167" s="249"/>
      <c r="GJA167" s="249"/>
      <c r="GJB167" s="249"/>
      <c r="GJC167" s="249"/>
      <c r="GJD167" s="249"/>
      <c r="GJE167" s="249"/>
      <c r="GJF167" s="249"/>
      <c r="GJG167" s="249"/>
      <c r="GJH167" s="249"/>
      <c r="GJI167" s="249"/>
      <c r="GJJ167" s="249"/>
      <c r="GJK167" s="249"/>
      <c r="GJL167" s="249"/>
      <c r="GJM167" s="249"/>
      <c r="GJN167" s="249"/>
      <c r="GJO167" s="249"/>
      <c r="GJP167" s="249"/>
      <c r="GJQ167" s="249"/>
      <c r="GJR167" s="249"/>
      <c r="GJS167" s="249"/>
      <c r="GJT167" s="249"/>
      <c r="GJU167" s="249"/>
      <c r="GJV167" s="249"/>
      <c r="GJW167" s="249"/>
      <c r="GJX167" s="249"/>
      <c r="GJY167" s="249"/>
      <c r="GJZ167" s="249"/>
      <c r="GKA167" s="249"/>
      <c r="GKB167" s="249"/>
      <c r="GKC167" s="249"/>
      <c r="GKD167" s="249"/>
      <c r="GKE167" s="249"/>
      <c r="GKF167" s="249"/>
      <c r="GKG167" s="249"/>
      <c r="GKH167" s="249"/>
      <c r="GKI167" s="249"/>
      <c r="GKJ167" s="249"/>
      <c r="GKK167" s="249"/>
      <c r="GKL167" s="249"/>
      <c r="GKM167" s="249"/>
      <c r="GKN167" s="249"/>
      <c r="GKO167" s="249"/>
      <c r="GKP167" s="249"/>
      <c r="GKQ167" s="249"/>
      <c r="GKR167" s="249"/>
      <c r="GKS167" s="249"/>
      <c r="GKT167" s="249"/>
      <c r="GKU167" s="249"/>
      <c r="GKV167" s="249"/>
      <c r="GKW167" s="249"/>
      <c r="GKX167" s="249"/>
      <c r="GKY167" s="249"/>
      <c r="GKZ167" s="249"/>
      <c r="GLA167" s="249"/>
      <c r="GLB167" s="249"/>
      <c r="GLC167" s="249"/>
      <c r="GLD167" s="249"/>
      <c r="GLE167" s="249"/>
      <c r="GLF167" s="249"/>
      <c r="GLG167" s="249"/>
      <c r="GLH167" s="249"/>
      <c r="GLI167" s="249"/>
      <c r="GLJ167" s="249"/>
      <c r="GLK167" s="249"/>
      <c r="GLL167" s="249"/>
      <c r="GLM167" s="249"/>
      <c r="GLN167" s="249"/>
      <c r="GLO167" s="249"/>
      <c r="GLP167" s="249"/>
      <c r="GLQ167" s="249"/>
      <c r="GLR167" s="249"/>
      <c r="GLS167" s="249"/>
      <c r="GLT167" s="249"/>
      <c r="GLU167" s="249"/>
      <c r="GLV167" s="249"/>
      <c r="GLW167" s="249"/>
      <c r="GLX167" s="249"/>
      <c r="GLY167" s="249"/>
      <c r="GLZ167" s="249"/>
      <c r="GMA167" s="249"/>
      <c r="GMB167" s="249"/>
      <c r="GMC167" s="249"/>
      <c r="GMD167" s="249"/>
      <c r="GME167" s="249"/>
      <c r="GMF167" s="249"/>
      <c r="GMG167" s="249"/>
      <c r="GMH167" s="249"/>
      <c r="GMI167" s="249"/>
      <c r="GMJ167" s="249"/>
      <c r="GMK167" s="249"/>
      <c r="GML167" s="249"/>
      <c r="GMM167" s="249"/>
      <c r="GMN167" s="249"/>
      <c r="GMO167" s="249"/>
      <c r="GMP167" s="249"/>
      <c r="GMQ167" s="249"/>
      <c r="GMR167" s="249"/>
      <c r="GMS167" s="249"/>
      <c r="GMT167" s="249"/>
      <c r="GMU167" s="249"/>
      <c r="GMV167" s="249"/>
      <c r="GMW167" s="249"/>
      <c r="GMX167" s="249"/>
      <c r="GMY167" s="249"/>
      <c r="GMZ167" s="249"/>
      <c r="GNA167" s="249"/>
      <c r="GNB167" s="249"/>
      <c r="GNC167" s="249"/>
      <c r="GND167" s="249"/>
      <c r="GNE167" s="249"/>
      <c r="GNF167" s="249"/>
      <c r="GNG167" s="249"/>
      <c r="GNH167" s="249"/>
      <c r="GNI167" s="249"/>
      <c r="GNJ167" s="249"/>
      <c r="GNK167" s="249"/>
      <c r="GNL167" s="249"/>
      <c r="GNM167" s="249"/>
      <c r="GNN167" s="249"/>
      <c r="GNO167" s="249"/>
      <c r="GNP167" s="249"/>
      <c r="GNQ167" s="249"/>
      <c r="GNR167" s="249"/>
      <c r="GNS167" s="249"/>
      <c r="GNT167" s="249"/>
      <c r="GNU167" s="249"/>
      <c r="GNV167" s="249"/>
      <c r="GNW167" s="249"/>
      <c r="GNX167" s="249"/>
      <c r="GNY167" s="249"/>
      <c r="GNZ167" s="249"/>
      <c r="GOA167" s="249"/>
      <c r="GOB167" s="249"/>
      <c r="GOC167" s="249"/>
      <c r="GOD167" s="249"/>
      <c r="GOE167" s="249"/>
      <c r="GOF167" s="249"/>
      <c r="GOG167" s="249"/>
      <c r="GOH167" s="249"/>
      <c r="GOI167" s="249"/>
      <c r="GOJ167" s="249"/>
      <c r="GOK167" s="249"/>
      <c r="GOL167" s="249"/>
      <c r="GOM167" s="249"/>
      <c r="GON167" s="249"/>
      <c r="GOO167" s="249"/>
      <c r="GOP167" s="249"/>
      <c r="GOQ167" s="249"/>
      <c r="GOR167" s="249"/>
      <c r="GOS167" s="249"/>
      <c r="GOT167" s="249"/>
      <c r="GOU167" s="249"/>
      <c r="GOV167" s="249"/>
      <c r="GOW167" s="249"/>
      <c r="GOX167" s="249"/>
      <c r="GOY167" s="249"/>
      <c r="GOZ167" s="249"/>
      <c r="GPA167" s="249"/>
      <c r="GPB167" s="249"/>
      <c r="GPC167" s="249"/>
      <c r="GPD167" s="249"/>
      <c r="GPE167" s="249"/>
      <c r="GPF167" s="249"/>
      <c r="GPG167" s="249"/>
      <c r="GPH167" s="249"/>
      <c r="GPI167" s="249"/>
      <c r="GPJ167" s="249"/>
      <c r="GPK167" s="249"/>
      <c r="GPL167" s="249"/>
      <c r="GPM167" s="249"/>
      <c r="GPN167" s="249"/>
      <c r="GPO167" s="249"/>
      <c r="GPP167" s="249"/>
      <c r="GPQ167" s="249"/>
      <c r="GPR167" s="249"/>
      <c r="GPS167" s="249"/>
      <c r="GPT167" s="249"/>
      <c r="GPU167" s="249"/>
      <c r="GPV167" s="249"/>
      <c r="GPW167" s="249"/>
      <c r="GPX167" s="249"/>
      <c r="GPY167" s="249"/>
      <c r="GPZ167" s="249"/>
      <c r="GQA167" s="249"/>
      <c r="GQB167" s="249"/>
      <c r="GQC167" s="249"/>
      <c r="GQD167" s="249"/>
      <c r="GQE167" s="249"/>
      <c r="GQF167" s="249"/>
      <c r="GQG167" s="249"/>
      <c r="GQH167" s="249"/>
      <c r="GQI167" s="249"/>
      <c r="GQJ167" s="249"/>
      <c r="GQK167" s="249"/>
      <c r="GQL167" s="249"/>
      <c r="GQM167" s="249"/>
      <c r="GQN167" s="249"/>
      <c r="GQO167" s="249"/>
      <c r="GQP167" s="249"/>
      <c r="GQQ167" s="249"/>
      <c r="GQR167" s="249"/>
      <c r="GQS167" s="249"/>
      <c r="GQT167" s="249"/>
      <c r="GQU167" s="249"/>
      <c r="GQV167" s="249"/>
      <c r="GQW167" s="249"/>
      <c r="GQX167" s="249"/>
      <c r="GQY167" s="249"/>
      <c r="GQZ167" s="249"/>
      <c r="GRA167" s="249"/>
      <c r="GRB167" s="249"/>
      <c r="GRC167" s="249"/>
      <c r="GRD167" s="249"/>
      <c r="GRE167" s="249"/>
      <c r="GRF167" s="249"/>
      <c r="GRG167" s="249"/>
      <c r="GRH167" s="249"/>
      <c r="GRI167" s="249"/>
      <c r="GRJ167" s="249"/>
      <c r="GRK167" s="249"/>
      <c r="GRL167" s="249"/>
      <c r="GRM167" s="249"/>
      <c r="GRN167" s="249"/>
      <c r="GRO167" s="249"/>
      <c r="GRP167" s="249"/>
      <c r="GRQ167" s="249"/>
      <c r="GRR167" s="249"/>
      <c r="GRS167" s="249"/>
      <c r="GRT167" s="249"/>
      <c r="GRU167" s="249"/>
      <c r="GRV167" s="249"/>
      <c r="GRW167" s="249"/>
      <c r="GRX167" s="249"/>
      <c r="GRY167" s="249"/>
      <c r="GRZ167" s="249"/>
      <c r="GSA167" s="249"/>
      <c r="GSB167" s="249"/>
      <c r="GSC167" s="249"/>
      <c r="GSD167" s="249"/>
      <c r="GSE167" s="249"/>
      <c r="GSF167" s="249"/>
      <c r="GSG167" s="249"/>
      <c r="GSH167" s="249"/>
      <c r="GSI167" s="249"/>
      <c r="GSJ167" s="249"/>
      <c r="GSK167" s="249"/>
      <c r="GSL167" s="249"/>
      <c r="GSM167" s="249"/>
      <c r="GSN167" s="249"/>
      <c r="GSO167" s="249"/>
      <c r="GSP167" s="249"/>
      <c r="GSQ167" s="249"/>
      <c r="GSR167" s="249"/>
      <c r="GSS167" s="249"/>
      <c r="GST167" s="249"/>
      <c r="GSU167" s="249"/>
      <c r="GSV167" s="249"/>
      <c r="GSW167" s="249"/>
      <c r="GSX167" s="249"/>
      <c r="GSY167" s="249"/>
      <c r="GSZ167" s="249"/>
      <c r="GTA167" s="249"/>
      <c r="GTB167" s="249"/>
      <c r="GTC167" s="249"/>
      <c r="GTD167" s="249"/>
      <c r="GTE167" s="249"/>
      <c r="GTF167" s="249"/>
      <c r="GTG167" s="249"/>
      <c r="GTH167" s="249"/>
      <c r="GTI167" s="249"/>
      <c r="GTJ167" s="249"/>
      <c r="GTK167" s="249"/>
      <c r="GTL167" s="249"/>
      <c r="GTM167" s="249"/>
      <c r="GTN167" s="249"/>
      <c r="GTO167" s="249"/>
      <c r="GTP167" s="249"/>
      <c r="GTQ167" s="249"/>
      <c r="GTR167" s="249"/>
      <c r="GTS167" s="249"/>
      <c r="GTT167" s="249"/>
      <c r="GTU167" s="249"/>
      <c r="GTV167" s="249"/>
      <c r="GTW167" s="249"/>
      <c r="GTX167" s="249"/>
      <c r="GTY167" s="249"/>
      <c r="GTZ167" s="249"/>
      <c r="GUA167" s="249"/>
      <c r="GUB167" s="249"/>
      <c r="GUC167" s="249"/>
      <c r="GUD167" s="249"/>
      <c r="GUE167" s="249"/>
      <c r="GUF167" s="249"/>
      <c r="GUG167" s="249"/>
      <c r="GUH167" s="249"/>
      <c r="GUI167" s="249"/>
      <c r="GUJ167" s="249"/>
      <c r="GUK167" s="249"/>
      <c r="GUL167" s="249"/>
      <c r="GUM167" s="249"/>
      <c r="GUN167" s="249"/>
      <c r="GUO167" s="249"/>
      <c r="GUP167" s="249"/>
      <c r="GUQ167" s="249"/>
      <c r="GUR167" s="249"/>
      <c r="GUS167" s="249"/>
      <c r="GUT167" s="249"/>
      <c r="GUU167" s="249"/>
      <c r="GUV167" s="249"/>
      <c r="GUW167" s="249"/>
      <c r="GUX167" s="249"/>
      <c r="GUY167" s="249"/>
      <c r="GUZ167" s="249"/>
      <c r="GVA167" s="249"/>
      <c r="GVB167" s="249"/>
      <c r="GVC167" s="249"/>
      <c r="GVD167" s="249"/>
      <c r="GVE167" s="249"/>
      <c r="GVF167" s="249"/>
      <c r="GVG167" s="249"/>
      <c r="GVH167" s="249"/>
      <c r="GVI167" s="249"/>
      <c r="GVJ167" s="249"/>
      <c r="GVK167" s="249"/>
      <c r="GVL167" s="249"/>
      <c r="GVM167" s="249"/>
      <c r="GVN167" s="249"/>
      <c r="GVO167" s="249"/>
      <c r="GVP167" s="249"/>
      <c r="GVQ167" s="249"/>
      <c r="GVR167" s="249"/>
      <c r="GVS167" s="249"/>
      <c r="GVT167" s="249"/>
      <c r="GVU167" s="249"/>
      <c r="GVV167" s="249"/>
      <c r="GVW167" s="249"/>
      <c r="GVX167" s="249"/>
      <c r="GVY167" s="249"/>
      <c r="GVZ167" s="249"/>
      <c r="GWA167" s="249"/>
      <c r="GWB167" s="249"/>
      <c r="GWC167" s="249"/>
      <c r="GWD167" s="249"/>
      <c r="GWE167" s="249"/>
      <c r="GWF167" s="249"/>
      <c r="GWG167" s="249"/>
      <c r="GWH167" s="249"/>
      <c r="GWI167" s="249"/>
      <c r="GWJ167" s="249"/>
      <c r="GWK167" s="249"/>
      <c r="GWL167" s="249"/>
      <c r="GWM167" s="249"/>
      <c r="GWN167" s="249"/>
      <c r="GWO167" s="249"/>
      <c r="GWP167" s="249"/>
      <c r="GWQ167" s="249"/>
      <c r="GWR167" s="249"/>
      <c r="GWS167" s="249"/>
      <c r="GWT167" s="249"/>
      <c r="GWU167" s="249"/>
      <c r="GWV167" s="249"/>
      <c r="GWW167" s="249"/>
      <c r="GWX167" s="249"/>
      <c r="GWY167" s="249"/>
      <c r="GWZ167" s="249"/>
      <c r="GXA167" s="249"/>
      <c r="GXB167" s="249"/>
      <c r="GXC167" s="249"/>
      <c r="GXD167" s="249"/>
      <c r="GXE167" s="249"/>
      <c r="GXF167" s="249"/>
      <c r="GXG167" s="249"/>
      <c r="GXH167" s="249"/>
      <c r="GXI167" s="249"/>
      <c r="GXJ167" s="249"/>
      <c r="GXK167" s="249"/>
      <c r="GXL167" s="249"/>
      <c r="GXM167" s="249"/>
      <c r="GXN167" s="249"/>
      <c r="GXO167" s="249"/>
      <c r="GXP167" s="249"/>
      <c r="GXQ167" s="249"/>
      <c r="GXR167" s="249"/>
      <c r="GXS167" s="249"/>
      <c r="GXT167" s="249"/>
      <c r="GXU167" s="249"/>
      <c r="GXV167" s="249"/>
      <c r="GXW167" s="249"/>
      <c r="GXX167" s="249"/>
      <c r="GXY167" s="249"/>
      <c r="GXZ167" s="249"/>
      <c r="GYA167" s="249"/>
      <c r="GYB167" s="249"/>
      <c r="GYC167" s="249"/>
      <c r="GYD167" s="249"/>
      <c r="GYE167" s="249"/>
      <c r="GYF167" s="249"/>
      <c r="GYG167" s="249"/>
      <c r="GYH167" s="249"/>
      <c r="GYI167" s="249"/>
      <c r="GYJ167" s="249"/>
      <c r="GYK167" s="249"/>
      <c r="GYL167" s="249"/>
      <c r="GYM167" s="249"/>
      <c r="GYN167" s="249"/>
      <c r="GYO167" s="249"/>
      <c r="GYP167" s="249"/>
      <c r="GYQ167" s="249"/>
      <c r="GYR167" s="249"/>
      <c r="GYS167" s="249"/>
      <c r="GYT167" s="249"/>
      <c r="GYU167" s="249"/>
      <c r="GYV167" s="249"/>
      <c r="GYW167" s="249"/>
      <c r="GYX167" s="249"/>
      <c r="GYY167" s="249"/>
      <c r="GYZ167" s="249"/>
      <c r="GZA167" s="249"/>
      <c r="GZB167" s="249"/>
      <c r="GZC167" s="249"/>
      <c r="GZD167" s="249"/>
      <c r="GZE167" s="249"/>
      <c r="GZF167" s="249"/>
      <c r="GZG167" s="249"/>
      <c r="GZH167" s="249"/>
      <c r="GZI167" s="249"/>
      <c r="GZJ167" s="249"/>
      <c r="GZK167" s="249"/>
      <c r="GZL167" s="249"/>
      <c r="GZM167" s="249"/>
      <c r="GZN167" s="249"/>
      <c r="GZO167" s="249"/>
      <c r="GZP167" s="249"/>
      <c r="GZQ167" s="249"/>
      <c r="GZR167" s="249"/>
      <c r="GZS167" s="249"/>
      <c r="GZT167" s="249"/>
      <c r="GZU167" s="249"/>
      <c r="GZV167" s="249"/>
      <c r="GZW167" s="249"/>
      <c r="GZX167" s="249"/>
      <c r="GZY167" s="249"/>
      <c r="GZZ167" s="249"/>
      <c r="HAA167" s="249"/>
      <c r="HAB167" s="249"/>
      <c r="HAC167" s="249"/>
      <c r="HAD167" s="249"/>
      <c r="HAE167" s="249"/>
      <c r="HAF167" s="249"/>
      <c r="HAG167" s="249"/>
      <c r="HAH167" s="249"/>
      <c r="HAI167" s="249"/>
      <c r="HAJ167" s="249"/>
      <c r="HAK167" s="249"/>
      <c r="HAL167" s="249"/>
      <c r="HAM167" s="249"/>
      <c r="HAN167" s="249"/>
      <c r="HAO167" s="249"/>
      <c r="HAP167" s="249"/>
      <c r="HAQ167" s="249"/>
      <c r="HAR167" s="249"/>
      <c r="HAS167" s="249"/>
      <c r="HAT167" s="249"/>
      <c r="HAU167" s="249"/>
      <c r="HAV167" s="249"/>
      <c r="HAW167" s="249"/>
      <c r="HAX167" s="249"/>
      <c r="HAY167" s="249"/>
      <c r="HAZ167" s="249"/>
      <c r="HBA167" s="249"/>
      <c r="HBB167" s="249"/>
      <c r="HBC167" s="249"/>
      <c r="HBD167" s="249"/>
      <c r="HBE167" s="249"/>
      <c r="HBF167" s="249"/>
      <c r="HBG167" s="249"/>
      <c r="HBH167" s="249"/>
      <c r="HBI167" s="249"/>
      <c r="HBJ167" s="249"/>
      <c r="HBK167" s="249"/>
      <c r="HBL167" s="249"/>
      <c r="HBM167" s="249"/>
      <c r="HBN167" s="249"/>
      <c r="HBO167" s="249"/>
      <c r="HBP167" s="249"/>
      <c r="HBQ167" s="249"/>
      <c r="HBR167" s="249"/>
      <c r="HBS167" s="249"/>
      <c r="HBT167" s="249"/>
      <c r="HBU167" s="249"/>
      <c r="HBV167" s="249"/>
      <c r="HBW167" s="249"/>
      <c r="HBX167" s="249"/>
      <c r="HBY167" s="249"/>
      <c r="HBZ167" s="249"/>
      <c r="HCA167" s="249"/>
      <c r="HCB167" s="249"/>
      <c r="HCC167" s="249"/>
      <c r="HCD167" s="249"/>
      <c r="HCE167" s="249"/>
      <c r="HCF167" s="249"/>
      <c r="HCG167" s="249"/>
      <c r="HCH167" s="249"/>
      <c r="HCI167" s="249"/>
      <c r="HCJ167" s="249"/>
      <c r="HCK167" s="249"/>
      <c r="HCL167" s="249"/>
      <c r="HCM167" s="249"/>
      <c r="HCN167" s="249"/>
      <c r="HCO167" s="249"/>
      <c r="HCP167" s="249"/>
      <c r="HCQ167" s="249"/>
      <c r="HCR167" s="249"/>
      <c r="HCS167" s="249"/>
      <c r="HCT167" s="249"/>
      <c r="HCU167" s="249"/>
      <c r="HCV167" s="249"/>
      <c r="HCW167" s="249"/>
      <c r="HCX167" s="249"/>
      <c r="HCY167" s="249"/>
      <c r="HCZ167" s="249"/>
      <c r="HDA167" s="249"/>
      <c r="HDB167" s="249"/>
      <c r="HDC167" s="249"/>
      <c r="HDD167" s="249"/>
      <c r="HDE167" s="249"/>
      <c r="HDF167" s="249"/>
      <c r="HDG167" s="249"/>
      <c r="HDH167" s="249"/>
      <c r="HDI167" s="249"/>
      <c r="HDJ167" s="249"/>
      <c r="HDK167" s="249"/>
      <c r="HDL167" s="249"/>
      <c r="HDM167" s="249"/>
      <c r="HDN167" s="249"/>
      <c r="HDO167" s="249"/>
      <c r="HDP167" s="249"/>
      <c r="HDQ167" s="249"/>
      <c r="HDR167" s="249"/>
      <c r="HDS167" s="249"/>
      <c r="HDT167" s="249"/>
      <c r="HDU167" s="249"/>
      <c r="HDV167" s="249"/>
      <c r="HDW167" s="249"/>
      <c r="HDX167" s="249"/>
      <c r="HDY167" s="249"/>
      <c r="HDZ167" s="249"/>
      <c r="HEA167" s="249"/>
      <c r="HEB167" s="249"/>
      <c r="HEC167" s="249"/>
      <c r="HED167" s="249"/>
      <c r="HEE167" s="249"/>
      <c r="HEF167" s="249"/>
      <c r="HEG167" s="249"/>
      <c r="HEH167" s="249"/>
      <c r="HEI167" s="249"/>
      <c r="HEJ167" s="249"/>
      <c r="HEK167" s="249"/>
      <c r="HEL167" s="249"/>
      <c r="HEM167" s="249"/>
      <c r="HEN167" s="249"/>
      <c r="HEO167" s="249"/>
      <c r="HEP167" s="249"/>
      <c r="HEQ167" s="249"/>
      <c r="HER167" s="249"/>
      <c r="HES167" s="249"/>
      <c r="HET167" s="249"/>
      <c r="HEU167" s="249"/>
      <c r="HEV167" s="249"/>
      <c r="HEW167" s="249"/>
      <c r="HEX167" s="249"/>
      <c r="HEY167" s="249"/>
      <c r="HEZ167" s="249"/>
      <c r="HFA167" s="249"/>
      <c r="HFB167" s="249"/>
      <c r="HFC167" s="249"/>
      <c r="HFD167" s="249"/>
      <c r="HFE167" s="249"/>
      <c r="HFF167" s="249"/>
      <c r="HFG167" s="249"/>
      <c r="HFH167" s="249"/>
      <c r="HFI167" s="249"/>
      <c r="HFJ167" s="249"/>
      <c r="HFK167" s="249"/>
      <c r="HFL167" s="249"/>
      <c r="HFM167" s="249"/>
      <c r="HFN167" s="249"/>
      <c r="HFO167" s="249"/>
      <c r="HFP167" s="249"/>
      <c r="HFQ167" s="249"/>
      <c r="HFR167" s="249"/>
      <c r="HFS167" s="249"/>
      <c r="HFT167" s="249"/>
      <c r="HFU167" s="249"/>
      <c r="HFV167" s="249"/>
      <c r="HFW167" s="249"/>
      <c r="HFX167" s="249"/>
      <c r="HFY167" s="249"/>
      <c r="HFZ167" s="249"/>
      <c r="HGA167" s="249"/>
      <c r="HGB167" s="249"/>
      <c r="HGC167" s="249"/>
      <c r="HGD167" s="249"/>
      <c r="HGE167" s="249"/>
      <c r="HGF167" s="249"/>
      <c r="HGG167" s="249"/>
      <c r="HGH167" s="249"/>
      <c r="HGI167" s="249"/>
      <c r="HGJ167" s="249"/>
      <c r="HGK167" s="249"/>
      <c r="HGL167" s="249"/>
      <c r="HGM167" s="249"/>
      <c r="HGN167" s="249"/>
      <c r="HGO167" s="249"/>
      <c r="HGP167" s="249"/>
      <c r="HGQ167" s="249"/>
      <c r="HGR167" s="249"/>
      <c r="HGS167" s="249"/>
      <c r="HGT167" s="249"/>
      <c r="HGU167" s="249"/>
      <c r="HGV167" s="249"/>
      <c r="HGW167" s="249"/>
      <c r="HGX167" s="249"/>
      <c r="HGY167" s="249"/>
      <c r="HGZ167" s="249"/>
      <c r="HHA167" s="249"/>
      <c r="HHB167" s="249"/>
      <c r="HHC167" s="249"/>
      <c r="HHD167" s="249"/>
      <c r="HHE167" s="249"/>
      <c r="HHF167" s="249"/>
      <c r="HHG167" s="249"/>
      <c r="HHH167" s="249"/>
      <c r="HHI167" s="249"/>
      <c r="HHJ167" s="249"/>
      <c r="HHK167" s="249"/>
      <c r="HHL167" s="249"/>
      <c r="HHM167" s="249"/>
      <c r="HHN167" s="249"/>
      <c r="HHO167" s="249"/>
      <c r="HHP167" s="249"/>
      <c r="HHQ167" s="249"/>
      <c r="HHR167" s="249"/>
      <c r="HHS167" s="249"/>
      <c r="HHT167" s="249"/>
      <c r="HHU167" s="249"/>
      <c r="HHV167" s="249"/>
      <c r="HHW167" s="249"/>
      <c r="HHX167" s="249"/>
      <c r="HHY167" s="249"/>
      <c r="HHZ167" s="249"/>
      <c r="HIA167" s="249"/>
      <c r="HIB167" s="249"/>
      <c r="HIC167" s="249"/>
      <c r="HID167" s="249"/>
      <c r="HIE167" s="249"/>
      <c r="HIF167" s="249"/>
      <c r="HIG167" s="249"/>
      <c r="HIH167" s="249"/>
      <c r="HII167" s="249"/>
      <c r="HIJ167" s="249"/>
      <c r="HIK167" s="249"/>
      <c r="HIL167" s="249"/>
      <c r="HIM167" s="249"/>
      <c r="HIN167" s="249"/>
      <c r="HIO167" s="249"/>
      <c r="HIP167" s="249"/>
      <c r="HIQ167" s="249"/>
      <c r="HIR167" s="249"/>
      <c r="HIS167" s="249"/>
      <c r="HIT167" s="249"/>
      <c r="HIU167" s="249"/>
      <c r="HIV167" s="249"/>
      <c r="HIW167" s="249"/>
      <c r="HIX167" s="249"/>
      <c r="HIY167" s="249"/>
      <c r="HIZ167" s="249"/>
      <c r="HJA167" s="249"/>
      <c r="HJB167" s="249"/>
      <c r="HJC167" s="249"/>
      <c r="HJD167" s="249"/>
      <c r="HJE167" s="249"/>
      <c r="HJF167" s="249"/>
      <c r="HJG167" s="249"/>
      <c r="HJH167" s="249"/>
      <c r="HJI167" s="249"/>
      <c r="HJJ167" s="249"/>
      <c r="HJK167" s="249"/>
      <c r="HJL167" s="249"/>
      <c r="HJM167" s="249"/>
      <c r="HJN167" s="249"/>
      <c r="HJO167" s="249"/>
      <c r="HJP167" s="249"/>
      <c r="HJQ167" s="249"/>
      <c r="HJR167" s="249"/>
      <c r="HJS167" s="249"/>
      <c r="HJT167" s="249"/>
      <c r="HJU167" s="249"/>
      <c r="HJV167" s="249"/>
      <c r="HJW167" s="249"/>
      <c r="HJX167" s="249"/>
      <c r="HJY167" s="249"/>
      <c r="HJZ167" s="249"/>
      <c r="HKA167" s="249"/>
      <c r="HKB167" s="249"/>
      <c r="HKC167" s="249"/>
      <c r="HKD167" s="249"/>
      <c r="HKE167" s="249"/>
      <c r="HKF167" s="249"/>
      <c r="HKG167" s="249"/>
      <c r="HKH167" s="249"/>
      <c r="HKI167" s="249"/>
      <c r="HKJ167" s="249"/>
      <c r="HKK167" s="249"/>
      <c r="HKL167" s="249"/>
      <c r="HKM167" s="249"/>
      <c r="HKN167" s="249"/>
      <c r="HKO167" s="249"/>
      <c r="HKP167" s="249"/>
      <c r="HKQ167" s="249"/>
      <c r="HKR167" s="249"/>
      <c r="HKS167" s="249"/>
      <c r="HKT167" s="249"/>
      <c r="HKU167" s="249"/>
      <c r="HKV167" s="249"/>
      <c r="HKW167" s="249"/>
      <c r="HKX167" s="249"/>
      <c r="HKY167" s="249"/>
      <c r="HKZ167" s="249"/>
      <c r="HLA167" s="249"/>
      <c r="HLB167" s="249"/>
      <c r="HLC167" s="249"/>
      <c r="HLD167" s="249"/>
      <c r="HLE167" s="249"/>
      <c r="HLF167" s="249"/>
      <c r="HLG167" s="249"/>
      <c r="HLH167" s="249"/>
      <c r="HLI167" s="249"/>
      <c r="HLJ167" s="249"/>
      <c r="HLK167" s="249"/>
      <c r="HLL167" s="249"/>
      <c r="HLM167" s="249"/>
      <c r="HLN167" s="249"/>
      <c r="HLO167" s="249"/>
      <c r="HLP167" s="249"/>
      <c r="HLQ167" s="249"/>
      <c r="HLR167" s="249"/>
      <c r="HLS167" s="249"/>
      <c r="HLT167" s="249"/>
      <c r="HLU167" s="249"/>
      <c r="HLV167" s="249"/>
      <c r="HLW167" s="249"/>
      <c r="HLX167" s="249"/>
      <c r="HLY167" s="249"/>
      <c r="HLZ167" s="249"/>
      <c r="HMA167" s="249"/>
      <c r="HMB167" s="249"/>
      <c r="HMC167" s="249"/>
      <c r="HMD167" s="249"/>
      <c r="HME167" s="249"/>
      <c r="HMF167" s="249"/>
      <c r="HMG167" s="249"/>
      <c r="HMH167" s="249"/>
      <c r="HMI167" s="249"/>
      <c r="HMJ167" s="249"/>
      <c r="HMK167" s="249"/>
      <c r="HML167" s="249"/>
      <c r="HMM167" s="249"/>
      <c r="HMN167" s="249"/>
      <c r="HMO167" s="249"/>
      <c r="HMP167" s="249"/>
      <c r="HMQ167" s="249"/>
      <c r="HMR167" s="249"/>
      <c r="HMS167" s="249"/>
      <c r="HMT167" s="249"/>
      <c r="HMU167" s="249"/>
      <c r="HMV167" s="249"/>
      <c r="HMW167" s="249"/>
      <c r="HMX167" s="249"/>
      <c r="HMY167" s="249"/>
      <c r="HMZ167" s="249"/>
      <c r="HNA167" s="249"/>
      <c r="HNB167" s="249"/>
      <c r="HNC167" s="249"/>
      <c r="HND167" s="249"/>
      <c r="HNE167" s="249"/>
      <c r="HNF167" s="249"/>
      <c r="HNG167" s="249"/>
      <c r="HNH167" s="249"/>
      <c r="HNI167" s="249"/>
      <c r="HNJ167" s="249"/>
      <c r="HNK167" s="249"/>
      <c r="HNL167" s="249"/>
      <c r="HNM167" s="249"/>
      <c r="HNN167" s="249"/>
      <c r="HNO167" s="249"/>
      <c r="HNP167" s="249"/>
      <c r="HNQ167" s="249"/>
      <c r="HNR167" s="249"/>
      <c r="HNS167" s="249"/>
      <c r="HNT167" s="249"/>
      <c r="HNU167" s="249"/>
      <c r="HNV167" s="249"/>
      <c r="HNW167" s="249"/>
      <c r="HNX167" s="249"/>
      <c r="HNY167" s="249"/>
      <c r="HNZ167" s="249"/>
      <c r="HOA167" s="249"/>
      <c r="HOB167" s="249"/>
      <c r="HOC167" s="249"/>
      <c r="HOD167" s="249"/>
      <c r="HOE167" s="249"/>
      <c r="HOF167" s="249"/>
      <c r="HOG167" s="249"/>
      <c r="HOH167" s="249"/>
      <c r="HOI167" s="249"/>
      <c r="HOJ167" s="249"/>
      <c r="HOK167" s="249"/>
      <c r="HOL167" s="249"/>
      <c r="HOM167" s="249"/>
      <c r="HON167" s="249"/>
      <c r="HOO167" s="249"/>
      <c r="HOP167" s="249"/>
      <c r="HOQ167" s="249"/>
      <c r="HOR167" s="249"/>
      <c r="HOS167" s="249"/>
      <c r="HOT167" s="249"/>
      <c r="HOU167" s="249"/>
      <c r="HOV167" s="249"/>
      <c r="HOW167" s="249"/>
      <c r="HOX167" s="249"/>
      <c r="HOY167" s="249"/>
      <c r="HOZ167" s="249"/>
      <c r="HPA167" s="249"/>
      <c r="HPB167" s="249"/>
      <c r="HPC167" s="249"/>
      <c r="HPD167" s="249"/>
      <c r="HPE167" s="249"/>
      <c r="HPF167" s="249"/>
      <c r="HPG167" s="249"/>
      <c r="HPH167" s="249"/>
      <c r="HPI167" s="249"/>
      <c r="HPJ167" s="249"/>
      <c r="HPK167" s="249"/>
      <c r="HPL167" s="249"/>
      <c r="HPM167" s="249"/>
      <c r="HPN167" s="249"/>
      <c r="HPO167" s="249"/>
      <c r="HPP167" s="249"/>
      <c r="HPQ167" s="249"/>
      <c r="HPR167" s="249"/>
      <c r="HPS167" s="249"/>
      <c r="HPT167" s="249"/>
      <c r="HPU167" s="249"/>
      <c r="HPV167" s="249"/>
      <c r="HPW167" s="249"/>
      <c r="HPX167" s="249"/>
      <c r="HPY167" s="249"/>
      <c r="HPZ167" s="249"/>
      <c r="HQA167" s="249"/>
      <c r="HQB167" s="249"/>
      <c r="HQC167" s="249"/>
      <c r="HQD167" s="249"/>
      <c r="HQE167" s="249"/>
      <c r="HQF167" s="249"/>
      <c r="HQG167" s="249"/>
      <c r="HQH167" s="249"/>
      <c r="HQI167" s="249"/>
      <c r="HQJ167" s="249"/>
      <c r="HQK167" s="249"/>
      <c r="HQL167" s="249"/>
      <c r="HQM167" s="249"/>
      <c r="HQN167" s="249"/>
      <c r="HQO167" s="249"/>
      <c r="HQP167" s="249"/>
      <c r="HQQ167" s="249"/>
      <c r="HQR167" s="249"/>
      <c r="HQS167" s="249"/>
      <c r="HQT167" s="249"/>
      <c r="HQU167" s="249"/>
      <c r="HQV167" s="249"/>
      <c r="HQW167" s="249"/>
      <c r="HQX167" s="249"/>
      <c r="HQY167" s="249"/>
      <c r="HQZ167" s="249"/>
      <c r="HRA167" s="249"/>
      <c r="HRB167" s="249"/>
      <c r="HRC167" s="249"/>
      <c r="HRD167" s="249"/>
      <c r="HRE167" s="249"/>
      <c r="HRF167" s="249"/>
      <c r="HRG167" s="249"/>
      <c r="HRH167" s="249"/>
      <c r="HRI167" s="249"/>
      <c r="HRJ167" s="249"/>
      <c r="HRK167" s="249"/>
      <c r="HRL167" s="249"/>
      <c r="HRM167" s="249"/>
      <c r="HRN167" s="249"/>
      <c r="HRO167" s="249"/>
      <c r="HRP167" s="249"/>
      <c r="HRQ167" s="249"/>
      <c r="HRR167" s="249"/>
      <c r="HRS167" s="249"/>
      <c r="HRT167" s="249"/>
      <c r="HRU167" s="249"/>
      <c r="HRV167" s="249"/>
      <c r="HRW167" s="249"/>
      <c r="HRX167" s="249"/>
      <c r="HRY167" s="249"/>
      <c r="HRZ167" s="249"/>
      <c r="HSA167" s="249"/>
      <c r="HSB167" s="249"/>
      <c r="HSC167" s="249"/>
      <c r="HSD167" s="249"/>
      <c r="HSE167" s="249"/>
      <c r="HSF167" s="249"/>
      <c r="HSG167" s="249"/>
      <c r="HSH167" s="249"/>
      <c r="HSI167" s="249"/>
      <c r="HSJ167" s="249"/>
      <c r="HSK167" s="249"/>
      <c r="HSL167" s="249"/>
      <c r="HSM167" s="249"/>
      <c r="HSN167" s="249"/>
      <c r="HSO167" s="249"/>
      <c r="HSP167" s="249"/>
      <c r="HSQ167" s="249"/>
      <c r="HSR167" s="249"/>
      <c r="HSS167" s="249"/>
      <c r="HST167" s="249"/>
      <c r="HSU167" s="249"/>
      <c r="HSV167" s="249"/>
      <c r="HSW167" s="249"/>
      <c r="HSX167" s="249"/>
      <c r="HSY167" s="249"/>
      <c r="HSZ167" s="249"/>
      <c r="HTA167" s="249"/>
      <c r="HTB167" s="249"/>
      <c r="HTC167" s="249"/>
      <c r="HTD167" s="249"/>
      <c r="HTE167" s="249"/>
      <c r="HTF167" s="249"/>
      <c r="HTG167" s="249"/>
      <c r="HTH167" s="249"/>
      <c r="HTI167" s="249"/>
      <c r="HTJ167" s="249"/>
      <c r="HTK167" s="249"/>
      <c r="HTL167" s="249"/>
      <c r="HTM167" s="249"/>
      <c r="HTN167" s="249"/>
      <c r="HTO167" s="249"/>
      <c r="HTP167" s="249"/>
      <c r="HTQ167" s="249"/>
      <c r="HTR167" s="249"/>
      <c r="HTS167" s="249"/>
      <c r="HTT167" s="249"/>
      <c r="HTU167" s="249"/>
      <c r="HTV167" s="249"/>
      <c r="HTW167" s="249"/>
      <c r="HTX167" s="249"/>
      <c r="HTY167" s="249"/>
      <c r="HTZ167" s="249"/>
      <c r="HUA167" s="249"/>
      <c r="HUB167" s="249"/>
      <c r="HUC167" s="249"/>
      <c r="HUD167" s="249"/>
      <c r="HUE167" s="249"/>
      <c r="HUF167" s="249"/>
      <c r="HUG167" s="249"/>
      <c r="HUH167" s="249"/>
      <c r="HUI167" s="249"/>
      <c r="HUJ167" s="249"/>
      <c r="HUK167" s="249"/>
      <c r="HUL167" s="249"/>
      <c r="HUM167" s="249"/>
      <c r="HUN167" s="249"/>
      <c r="HUO167" s="249"/>
      <c r="HUP167" s="249"/>
      <c r="HUQ167" s="249"/>
      <c r="HUR167" s="249"/>
      <c r="HUS167" s="249"/>
      <c r="HUT167" s="249"/>
      <c r="HUU167" s="249"/>
      <c r="HUV167" s="249"/>
      <c r="HUW167" s="249"/>
      <c r="HUX167" s="249"/>
      <c r="HUY167" s="249"/>
      <c r="HUZ167" s="249"/>
      <c r="HVA167" s="249"/>
      <c r="HVB167" s="249"/>
      <c r="HVC167" s="249"/>
      <c r="HVD167" s="249"/>
      <c r="HVE167" s="249"/>
      <c r="HVF167" s="249"/>
      <c r="HVG167" s="249"/>
      <c r="HVH167" s="249"/>
      <c r="HVI167" s="249"/>
      <c r="HVJ167" s="249"/>
      <c r="HVK167" s="249"/>
      <c r="HVL167" s="249"/>
      <c r="HVM167" s="249"/>
      <c r="HVN167" s="249"/>
      <c r="HVO167" s="249"/>
      <c r="HVP167" s="249"/>
      <c r="HVQ167" s="249"/>
      <c r="HVR167" s="249"/>
      <c r="HVS167" s="249"/>
      <c r="HVT167" s="249"/>
      <c r="HVU167" s="249"/>
      <c r="HVV167" s="249"/>
      <c r="HVW167" s="249"/>
      <c r="HVX167" s="249"/>
      <c r="HVY167" s="249"/>
      <c r="HVZ167" s="249"/>
      <c r="HWA167" s="249"/>
      <c r="HWB167" s="249"/>
      <c r="HWC167" s="249"/>
      <c r="HWD167" s="249"/>
      <c r="HWE167" s="249"/>
      <c r="HWF167" s="249"/>
      <c r="HWG167" s="249"/>
      <c r="HWH167" s="249"/>
      <c r="HWI167" s="249"/>
      <c r="HWJ167" s="249"/>
      <c r="HWK167" s="249"/>
      <c r="HWL167" s="249"/>
      <c r="HWM167" s="249"/>
      <c r="HWN167" s="249"/>
      <c r="HWO167" s="249"/>
      <c r="HWP167" s="249"/>
      <c r="HWQ167" s="249"/>
      <c r="HWR167" s="249"/>
      <c r="HWS167" s="249"/>
      <c r="HWT167" s="249"/>
      <c r="HWU167" s="249"/>
      <c r="HWV167" s="249"/>
      <c r="HWW167" s="249"/>
      <c r="HWX167" s="249"/>
      <c r="HWY167" s="249"/>
      <c r="HWZ167" s="249"/>
      <c r="HXA167" s="249"/>
      <c r="HXB167" s="249"/>
      <c r="HXC167" s="249"/>
      <c r="HXD167" s="249"/>
      <c r="HXE167" s="249"/>
      <c r="HXF167" s="249"/>
      <c r="HXG167" s="249"/>
      <c r="HXH167" s="249"/>
      <c r="HXI167" s="249"/>
      <c r="HXJ167" s="249"/>
      <c r="HXK167" s="249"/>
      <c r="HXL167" s="249"/>
      <c r="HXM167" s="249"/>
      <c r="HXN167" s="249"/>
      <c r="HXO167" s="249"/>
      <c r="HXP167" s="249"/>
      <c r="HXQ167" s="249"/>
      <c r="HXR167" s="249"/>
      <c r="HXS167" s="249"/>
      <c r="HXT167" s="249"/>
      <c r="HXU167" s="249"/>
      <c r="HXV167" s="249"/>
      <c r="HXW167" s="249"/>
      <c r="HXX167" s="249"/>
      <c r="HXY167" s="249"/>
      <c r="HXZ167" s="249"/>
      <c r="HYA167" s="249"/>
      <c r="HYB167" s="249"/>
      <c r="HYC167" s="249"/>
      <c r="HYD167" s="249"/>
      <c r="HYE167" s="249"/>
      <c r="HYF167" s="249"/>
      <c r="HYG167" s="249"/>
      <c r="HYH167" s="249"/>
      <c r="HYI167" s="249"/>
      <c r="HYJ167" s="249"/>
      <c r="HYK167" s="249"/>
      <c r="HYL167" s="249"/>
      <c r="HYM167" s="249"/>
      <c r="HYN167" s="249"/>
      <c r="HYO167" s="249"/>
      <c r="HYP167" s="249"/>
      <c r="HYQ167" s="249"/>
      <c r="HYR167" s="249"/>
      <c r="HYS167" s="249"/>
      <c r="HYT167" s="249"/>
      <c r="HYU167" s="249"/>
      <c r="HYV167" s="249"/>
      <c r="HYW167" s="249"/>
      <c r="HYX167" s="249"/>
      <c r="HYY167" s="249"/>
      <c r="HYZ167" s="249"/>
      <c r="HZA167" s="249"/>
      <c r="HZB167" s="249"/>
      <c r="HZC167" s="249"/>
      <c r="HZD167" s="249"/>
      <c r="HZE167" s="249"/>
      <c r="HZF167" s="249"/>
      <c r="HZG167" s="249"/>
      <c r="HZH167" s="249"/>
      <c r="HZI167" s="249"/>
      <c r="HZJ167" s="249"/>
      <c r="HZK167" s="249"/>
      <c r="HZL167" s="249"/>
      <c r="HZM167" s="249"/>
      <c r="HZN167" s="249"/>
      <c r="HZO167" s="249"/>
      <c r="HZP167" s="249"/>
      <c r="HZQ167" s="249"/>
      <c r="HZR167" s="249"/>
      <c r="HZS167" s="249"/>
      <c r="HZT167" s="249"/>
      <c r="HZU167" s="249"/>
      <c r="HZV167" s="249"/>
      <c r="HZW167" s="249"/>
      <c r="HZX167" s="249"/>
      <c r="HZY167" s="249"/>
      <c r="HZZ167" s="249"/>
      <c r="IAA167" s="249"/>
      <c r="IAB167" s="249"/>
      <c r="IAC167" s="249"/>
      <c r="IAD167" s="249"/>
      <c r="IAE167" s="249"/>
      <c r="IAF167" s="249"/>
      <c r="IAG167" s="249"/>
      <c r="IAH167" s="249"/>
      <c r="IAI167" s="249"/>
      <c r="IAJ167" s="249"/>
      <c r="IAK167" s="249"/>
      <c r="IAL167" s="249"/>
      <c r="IAM167" s="249"/>
      <c r="IAN167" s="249"/>
      <c r="IAO167" s="249"/>
      <c r="IAP167" s="249"/>
      <c r="IAQ167" s="249"/>
      <c r="IAR167" s="249"/>
      <c r="IAS167" s="249"/>
      <c r="IAT167" s="249"/>
      <c r="IAU167" s="249"/>
      <c r="IAV167" s="249"/>
      <c r="IAW167" s="249"/>
      <c r="IAX167" s="249"/>
      <c r="IAY167" s="249"/>
      <c r="IAZ167" s="249"/>
      <c r="IBA167" s="249"/>
      <c r="IBB167" s="249"/>
      <c r="IBC167" s="249"/>
      <c r="IBD167" s="249"/>
      <c r="IBE167" s="249"/>
      <c r="IBF167" s="249"/>
      <c r="IBG167" s="249"/>
      <c r="IBH167" s="249"/>
      <c r="IBI167" s="249"/>
      <c r="IBJ167" s="249"/>
      <c r="IBK167" s="249"/>
      <c r="IBL167" s="249"/>
      <c r="IBM167" s="249"/>
      <c r="IBN167" s="249"/>
      <c r="IBO167" s="249"/>
      <c r="IBP167" s="249"/>
      <c r="IBQ167" s="249"/>
      <c r="IBR167" s="249"/>
      <c r="IBS167" s="249"/>
      <c r="IBT167" s="249"/>
      <c r="IBU167" s="249"/>
      <c r="IBV167" s="249"/>
      <c r="IBW167" s="249"/>
      <c r="IBX167" s="249"/>
      <c r="IBY167" s="249"/>
      <c r="IBZ167" s="249"/>
      <c r="ICA167" s="249"/>
      <c r="ICB167" s="249"/>
      <c r="ICC167" s="249"/>
      <c r="ICD167" s="249"/>
      <c r="ICE167" s="249"/>
      <c r="ICF167" s="249"/>
      <c r="ICG167" s="249"/>
      <c r="ICH167" s="249"/>
      <c r="ICI167" s="249"/>
      <c r="ICJ167" s="249"/>
      <c r="ICK167" s="249"/>
      <c r="ICL167" s="249"/>
      <c r="ICM167" s="249"/>
      <c r="ICN167" s="249"/>
      <c r="ICO167" s="249"/>
      <c r="ICP167" s="249"/>
      <c r="ICQ167" s="249"/>
      <c r="ICR167" s="249"/>
      <c r="ICS167" s="249"/>
      <c r="ICT167" s="249"/>
      <c r="ICU167" s="249"/>
      <c r="ICV167" s="249"/>
      <c r="ICW167" s="249"/>
      <c r="ICX167" s="249"/>
      <c r="ICY167" s="249"/>
      <c r="ICZ167" s="249"/>
      <c r="IDA167" s="249"/>
      <c r="IDB167" s="249"/>
      <c r="IDC167" s="249"/>
      <c r="IDD167" s="249"/>
      <c r="IDE167" s="249"/>
      <c r="IDF167" s="249"/>
      <c r="IDG167" s="249"/>
      <c r="IDH167" s="249"/>
      <c r="IDI167" s="249"/>
      <c r="IDJ167" s="249"/>
      <c r="IDK167" s="249"/>
      <c r="IDL167" s="249"/>
      <c r="IDM167" s="249"/>
      <c r="IDN167" s="249"/>
      <c r="IDO167" s="249"/>
      <c r="IDP167" s="249"/>
      <c r="IDQ167" s="249"/>
      <c r="IDR167" s="249"/>
      <c r="IDS167" s="249"/>
      <c r="IDT167" s="249"/>
      <c r="IDU167" s="249"/>
      <c r="IDV167" s="249"/>
      <c r="IDW167" s="249"/>
      <c r="IDX167" s="249"/>
      <c r="IDY167" s="249"/>
      <c r="IDZ167" s="249"/>
      <c r="IEA167" s="249"/>
      <c r="IEB167" s="249"/>
      <c r="IEC167" s="249"/>
      <c r="IED167" s="249"/>
      <c r="IEE167" s="249"/>
      <c r="IEF167" s="249"/>
      <c r="IEG167" s="249"/>
      <c r="IEH167" s="249"/>
      <c r="IEI167" s="249"/>
      <c r="IEJ167" s="249"/>
      <c r="IEK167" s="249"/>
      <c r="IEL167" s="249"/>
      <c r="IEM167" s="249"/>
      <c r="IEN167" s="249"/>
      <c r="IEO167" s="249"/>
      <c r="IEP167" s="249"/>
      <c r="IEQ167" s="249"/>
      <c r="IER167" s="249"/>
      <c r="IES167" s="249"/>
      <c r="IET167" s="249"/>
      <c r="IEU167" s="249"/>
      <c r="IEV167" s="249"/>
      <c r="IEW167" s="249"/>
      <c r="IEX167" s="249"/>
      <c r="IEY167" s="249"/>
      <c r="IEZ167" s="249"/>
      <c r="IFA167" s="249"/>
      <c r="IFB167" s="249"/>
      <c r="IFC167" s="249"/>
      <c r="IFD167" s="249"/>
      <c r="IFE167" s="249"/>
      <c r="IFF167" s="249"/>
      <c r="IFG167" s="249"/>
      <c r="IFH167" s="249"/>
      <c r="IFI167" s="249"/>
      <c r="IFJ167" s="249"/>
      <c r="IFK167" s="249"/>
      <c r="IFL167" s="249"/>
      <c r="IFM167" s="249"/>
      <c r="IFN167" s="249"/>
      <c r="IFO167" s="249"/>
      <c r="IFP167" s="249"/>
      <c r="IFQ167" s="249"/>
      <c r="IFR167" s="249"/>
      <c r="IFS167" s="249"/>
      <c r="IFT167" s="249"/>
      <c r="IFU167" s="249"/>
      <c r="IFV167" s="249"/>
      <c r="IFW167" s="249"/>
      <c r="IFX167" s="249"/>
      <c r="IFY167" s="249"/>
      <c r="IFZ167" s="249"/>
      <c r="IGA167" s="249"/>
      <c r="IGB167" s="249"/>
      <c r="IGC167" s="249"/>
      <c r="IGD167" s="249"/>
      <c r="IGE167" s="249"/>
      <c r="IGF167" s="249"/>
      <c r="IGG167" s="249"/>
      <c r="IGH167" s="249"/>
      <c r="IGI167" s="249"/>
      <c r="IGJ167" s="249"/>
      <c r="IGK167" s="249"/>
      <c r="IGL167" s="249"/>
      <c r="IGM167" s="249"/>
      <c r="IGN167" s="249"/>
      <c r="IGO167" s="249"/>
      <c r="IGP167" s="249"/>
      <c r="IGQ167" s="249"/>
      <c r="IGR167" s="249"/>
      <c r="IGS167" s="249"/>
      <c r="IGT167" s="249"/>
      <c r="IGU167" s="249"/>
      <c r="IGV167" s="249"/>
      <c r="IGW167" s="249"/>
      <c r="IGX167" s="249"/>
      <c r="IGY167" s="249"/>
      <c r="IGZ167" s="249"/>
      <c r="IHA167" s="249"/>
      <c r="IHB167" s="249"/>
      <c r="IHC167" s="249"/>
      <c r="IHD167" s="249"/>
      <c r="IHE167" s="249"/>
      <c r="IHF167" s="249"/>
      <c r="IHG167" s="249"/>
      <c r="IHH167" s="249"/>
      <c r="IHI167" s="249"/>
      <c r="IHJ167" s="249"/>
      <c r="IHK167" s="249"/>
      <c r="IHL167" s="249"/>
      <c r="IHM167" s="249"/>
      <c r="IHN167" s="249"/>
      <c r="IHO167" s="249"/>
      <c r="IHP167" s="249"/>
      <c r="IHQ167" s="249"/>
      <c r="IHR167" s="249"/>
      <c r="IHS167" s="249"/>
      <c r="IHT167" s="249"/>
      <c r="IHU167" s="249"/>
      <c r="IHV167" s="249"/>
      <c r="IHW167" s="249"/>
      <c r="IHX167" s="249"/>
      <c r="IHY167" s="249"/>
      <c r="IHZ167" s="249"/>
      <c r="IIA167" s="249"/>
      <c r="IIB167" s="249"/>
      <c r="IIC167" s="249"/>
      <c r="IID167" s="249"/>
      <c r="IIE167" s="249"/>
      <c r="IIF167" s="249"/>
      <c r="IIG167" s="249"/>
      <c r="IIH167" s="249"/>
      <c r="III167" s="249"/>
      <c r="IIJ167" s="249"/>
      <c r="IIK167" s="249"/>
      <c r="IIL167" s="249"/>
      <c r="IIM167" s="249"/>
      <c r="IIN167" s="249"/>
      <c r="IIO167" s="249"/>
      <c r="IIP167" s="249"/>
      <c r="IIQ167" s="249"/>
      <c r="IIR167" s="249"/>
      <c r="IIS167" s="249"/>
      <c r="IIT167" s="249"/>
      <c r="IIU167" s="249"/>
      <c r="IIV167" s="249"/>
      <c r="IIW167" s="249"/>
      <c r="IIX167" s="249"/>
      <c r="IIY167" s="249"/>
      <c r="IIZ167" s="249"/>
      <c r="IJA167" s="249"/>
      <c r="IJB167" s="249"/>
      <c r="IJC167" s="249"/>
      <c r="IJD167" s="249"/>
      <c r="IJE167" s="249"/>
      <c r="IJF167" s="249"/>
      <c r="IJG167" s="249"/>
      <c r="IJH167" s="249"/>
      <c r="IJI167" s="249"/>
      <c r="IJJ167" s="249"/>
      <c r="IJK167" s="249"/>
      <c r="IJL167" s="249"/>
      <c r="IJM167" s="249"/>
      <c r="IJN167" s="249"/>
      <c r="IJO167" s="249"/>
      <c r="IJP167" s="249"/>
      <c r="IJQ167" s="249"/>
      <c r="IJR167" s="249"/>
      <c r="IJS167" s="249"/>
      <c r="IJT167" s="249"/>
      <c r="IJU167" s="249"/>
      <c r="IJV167" s="249"/>
      <c r="IJW167" s="249"/>
      <c r="IJX167" s="249"/>
      <c r="IJY167" s="249"/>
      <c r="IJZ167" s="249"/>
      <c r="IKA167" s="249"/>
      <c r="IKB167" s="249"/>
      <c r="IKC167" s="249"/>
      <c r="IKD167" s="249"/>
      <c r="IKE167" s="249"/>
      <c r="IKF167" s="249"/>
      <c r="IKG167" s="249"/>
      <c r="IKH167" s="249"/>
      <c r="IKI167" s="249"/>
      <c r="IKJ167" s="249"/>
      <c r="IKK167" s="249"/>
      <c r="IKL167" s="249"/>
      <c r="IKM167" s="249"/>
      <c r="IKN167" s="249"/>
      <c r="IKO167" s="249"/>
      <c r="IKP167" s="249"/>
      <c r="IKQ167" s="249"/>
      <c r="IKR167" s="249"/>
      <c r="IKS167" s="249"/>
      <c r="IKT167" s="249"/>
      <c r="IKU167" s="249"/>
      <c r="IKV167" s="249"/>
      <c r="IKW167" s="249"/>
      <c r="IKX167" s="249"/>
      <c r="IKY167" s="249"/>
      <c r="IKZ167" s="249"/>
      <c r="ILA167" s="249"/>
      <c r="ILB167" s="249"/>
      <c r="ILC167" s="249"/>
      <c r="ILD167" s="249"/>
      <c r="ILE167" s="249"/>
      <c r="ILF167" s="249"/>
      <c r="ILG167" s="249"/>
      <c r="ILH167" s="249"/>
      <c r="ILI167" s="249"/>
      <c r="ILJ167" s="249"/>
      <c r="ILK167" s="249"/>
      <c r="ILL167" s="249"/>
      <c r="ILM167" s="249"/>
      <c r="ILN167" s="249"/>
      <c r="ILO167" s="249"/>
      <c r="ILP167" s="249"/>
      <c r="ILQ167" s="249"/>
      <c r="ILR167" s="249"/>
      <c r="ILS167" s="249"/>
      <c r="ILT167" s="249"/>
      <c r="ILU167" s="249"/>
      <c r="ILV167" s="249"/>
      <c r="ILW167" s="249"/>
      <c r="ILX167" s="249"/>
      <c r="ILY167" s="249"/>
      <c r="ILZ167" s="249"/>
      <c r="IMA167" s="249"/>
      <c r="IMB167" s="249"/>
      <c r="IMC167" s="249"/>
      <c r="IMD167" s="249"/>
      <c r="IME167" s="249"/>
      <c r="IMF167" s="249"/>
      <c r="IMG167" s="249"/>
      <c r="IMH167" s="249"/>
      <c r="IMI167" s="249"/>
      <c r="IMJ167" s="249"/>
      <c r="IMK167" s="249"/>
      <c r="IML167" s="249"/>
      <c r="IMM167" s="249"/>
      <c r="IMN167" s="249"/>
      <c r="IMO167" s="249"/>
      <c r="IMP167" s="249"/>
      <c r="IMQ167" s="249"/>
      <c r="IMR167" s="249"/>
      <c r="IMS167" s="249"/>
      <c r="IMT167" s="249"/>
      <c r="IMU167" s="249"/>
      <c r="IMV167" s="249"/>
      <c r="IMW167" s="249"/>
      <c r="IMX167" s="249"/>
      <c r="IMY167" s="249"/>
      <c r="IMZ167" s="249"/>
      <c r="INA167" s="249"/>
      <c r="INB167" s="249"/>
      <c r="INC167" s="249"/>
      <c r="IND167" s="249"/>
      <c r="INE167" s="249"/>
      <c r="INF167" s="249"/>
      <c r="ING167" s="249"/>
      <c r="INH167" s="249"/>
      <c r="INI167" s="249"/>
      <c r="INJ167" s="249"/>
      <c r="INK167" s="249"/>
      <c r="INL167" s="249"/>
      <c r="INM167" s="249"/>
      <c r="INN167" s="249"/>
      <c r="INO167" s="249"/>
      <c r="INP167" s="249"/>
      <c r="INQ167" s="249"/>
      <c r="INR167" s="249"/>
      <c r="INS167" s="249"/>
      <c r="INT167" s="249"/>
      <c r="INU167" s="249"/>
      <c r="INV167" s="249"/>
      <c r="INW167" s="249"/>
      <c r="INX167" s="249"/>
      <c r="INY167" s="249"/>
      <c r="INZ167" s="249"/>
      <c r="IOA167" s="249"/>
      <c r="IOB167" s="249"/>
      <c r="IOC167" s="249"/>
      <c r="IOD167" s="249"/>
      <c r="IOE167" s="249"/>
      <c r="IOF167" s="249"/>
      <c r="IOG167" s="249"/>
      <c r="IOH167" s="249"/>
      <c r="IOI167" s="249"/>
      <c r="IOJ167" s="249"/>
      <c r="IOK167" s="249"/>
      <c r="IOL167" s="249"/>
      <c r="IOM167" s="249"/>
      <c r="ION167" s="249"/>
      <c r="IOO167" s="249"/>
      <c r="IOP167" s="249"/>
      <c r="IOQ167" s="249"/>
      <c r="IOR167" s="249"/>
      <c r="IOS167" s="249"/>
      <c r="IOT167" s="249"/>
      <c r="IOU167" s="249"/>
      <c r="IOV167" s="249"/>
      <c r="IOW167" s="249"/>
      <c r="IOX167" s="249"/>
      <c r="IOY167" s="249"/>
      <c r="IOZ167" s="249"/>
      <c r="IPA167" s="249"/>
      <c r="IPB167" s="249"/>
      <c r="IPC167" s="249"/>
      <c r="IPD167" s="249"/>
      <c r="IPE167" s="249"/>
      <c r="IPF167" s="249"/>
      <c r="IPG167" s="249"/>
      <c r="IPH167" s="249"/>
      <c r="IPI167" s="249"/>
      <c r="IPJ167" s="249"/>
      <c r="IPK167" s="249"/>
      <c r="IPL167" s="249"/>
      <c r="IPM167" s="249"/>
      <c r="IPN167" s="249"/>
      <c r="IPO167" s="249"/>
      <c r="IPP167" s="249"/>
      <c r="IPQ167" s="249"/>
      <c r="IPR167" s="249"/>
      <c r="IPS167" s="249"/>
      <c r="IPT167" s="249"/>
      <c r="IPU167" s="249"/>
      <c r="IPV167" s="249"/>
      <c r="IPW167" s="249"/>
      <c r="IPX167" s="249"/>
      <c r="IPY167" s="249"/>
      <c r="IPZ167" s="249"/>
      <c r="IQA167" s="249"/>
      <c r="IQB167" s="249"/>
      <c r="IQC167" s="249"/>
      <c r="IQD167" s="249"/>
      <c r="IQE167" s="249"/>
      <c r="IQF167" s="249"/>
      <c r="IQG167" s="249"/>
      <c r="IQH167" s="249"/>
      <c r="IQI167" s="249"/>
      <c r="IQJ167" s="249"/>
      <c r="IQK167" s="249"/>
      <c r="IQL167" s="249"/>
      <c r="IQM167" s="249"/>
      <c r="IQN167" s="249"/>
      <c r="IQO167" s="249"/>
      <c r="IQP167" s="249"/>
      <c r="IQQ167" s="249"/>
      <c r="IQR167" s="249"/>
      <c r="IQS167" s="249"/>
      <c r="IQT167" s="249"/>
      <c r="IQU167" s="249"/>
      <c r="IQV167" s="249"/>
      <c r="IQW167" s="249"/>
      <c r="IQX167" s="249"/>
      <c r="IQY167" s="249"/>
      <c r="IQZ167" s="249"/>
      <c r="IRA167" s="249"/>
      <c r="IRB167" s="249"/>
      <c r="IRC167" s="249"/>
      <c r="IRD167" s="249"/>
      <c r="IRE167" s="249"/>
      <c r="IRF167" s="249"/>
      <c r="IRG167" s="249"/>
      <c r="IRH167" s="249"/>
      <c r="IRI167" s="249"/>
      <c r="IRJ167" s="249"/>
      <c r="IRK167" s="249"/>
      <c r="IRL167" s="249"/>
      <c r="IRM167" s="249"/>
      <c r="IRN167" s="249"/>
      <c r="IRO167" s="249"/>
      <c r="IRP167" s="249"/>
      <c r="IRQ167" s="249"/>
      <c r="IRR167" s="249"/>
      <c r="IRS167" s="249"/>
      <c r="IRT167" s="249"/>
      <c r="IRU167" s="249"/>
      <c r="IRV167" s="249"/>
      <c r="IRW167" s="249"/>
      <c r="IRX167" s="249"/>
      <c r="IRY167" s="249"/>
      <c r="IRZ167" s="249"/>
      <c r="ISA167" s="249"/>
      <c r="ISB167" s="249"/>
      <c r="ISC167" s="249"/>
      <c r="ISD167" s="249"/>
      <c r="ISE167" s="249"/>
      <c r="ISF167" s="249"/>
      <c r="ISG167" s="249"/>
      <c r="ISH167" s="249"/>
      <c r="ISI167" s="249"/>
      <c r="ISJ167" s="249"/>
      <c r="ISK167" s="249"/>
      <c r="ISL167" s="249"/>
      <c r="ISM167" s="249"/>
      <c r="ISN167" s="249"/>
      <c r="ISO167" s="249"/>
      <c r="ISP167" s="249"/>
      <c r="ISQ167" s="249"/>
      <c r="ISR167" s="249"/>
      <c r="ISS167" s="249"/>
      <c r="IST167" s="249"/>
      <c r="ISU167" s="249"/>
      <c r="ISV167" s="249"/>
      <c r="ISW167" s="249"/>
      <c r="ISX167" s="249"/>
      <c r="ISY167" s="249"/>
      <c r="ISZ167" s="249"/>
      <c r="ITA167" s="249"/>
      <c r="ITB167" s="249"/>
      <c r="ITC167" s="249"/>
      <c r="ITD167" s="249"/>
      <c r="ITE167" s="249"/>
      <c r="ITF167" s="249"/>
      <c r="ITG167" s="249"/>
      <c r="ITH167" s="249"/>
      <c r="ITI167" s="249"/>
      <c r="ITJ167" s="249"/>
      <c r="ITK167" s="249"/>
      <c r="ITL167" s="249"/>
      <c r="ITM167" s="249"/>
      <c r="ITN167" s="249"/>
      <c r="ITO167" s="249"/>
      <c r="ITP167" s="249"/>
      <c r="ITQ167" s="249"/>
      <c r="ITR167" s="249"/>
      <c r="ITS167" s="249"/>
      <c r="ITT167" s="249"/>
      <c r="ITU167" s="249"/>
      <c r="ITV167" s="249"/>
      <c r="ITW167" s="249"/>
      <c r="ITX167" s="249"/>
      <c r="ITY167" s="249"/>
      <c r="ITZ167" s="249"/>
      <c r="IUA167" s="249"/>
      <c r="IUB167" s="249"/>
      <c r="IUC167" s="249"/>
      <c r="IUD167" s="249"/>
      <c r="IUE167" s="249"/>
      <c r="IUF167" s="249"/>
      <c r="IUG167" s="249"/>
      <c r="IUH167" s="249"/>
      <c r="IUI167" s="249"/>
      <c r="IUJ167" s="249"/>
      <c r="IUK167" s="249"/>
      <c r="IUL167" s="249"/>
      <c r="IUM167" s="249"/>
      <c r="IUN167" s="249"/>
      <c r="IUO167" s="249"/>
      <c r="IUP167" s="249"/>
      <c r="IUQ167" s="249"/>
      <c r="IUR167" s="249"/>
      <c r="IUS167" s="249"/>
      <c r="IUT167" s="249"/>
      <c r="IUU167" s="249"/>
      <c r="IUV167" s="249"/>
      <c r="IUW167" s="249"/>
      <c r="IUX167" s="249"/>
      <c r="IUY167" s="249"/>
      <c r="IUZ167" s="249"/>
      <c r="IVA167" s="249"/>
      <c r="IVB167" s="249"/>
      <c r="IVC167" s="249"/>
      <c r="IVD167" s="249"/>
      <c r="IVE167" s="249"/>
      <c r="IVF167" s="249"/>
      <c r="IVG167" s="249"/>
      <c r="IVH167" s="249"/>
      <c r="IVI167" s="249"/>
      <c r="IVJ167" s="249"/>
      <c r="IVK167" s="249"/>
      <c r="IVL167" s="249"/>
      <c r="IVM167" s="249"/>
      <c r="IVN167" s="249"/>
      <c r="IVO167" s="249"/>
      <c r="IVP167" s="249"/>
      <c r="IVQ167" s="249"/>
      <c r="IVR167" s="249"/>
      <c r="IVS167" s="249"/>
      <c r="IVT167" s="249"/>
      <c r="IVU167" s="249"/>
      <c r="IVV167" s="249"/>
      <c r="IVW167" s="249"/>
      <c r="IVX167" s="249"/>
      <c r="IVY167" s="249"/>
      <c r="IVZ167" s="249"/>
      <c r="IWA167" s="249"/>
      <c r="IWB167" s="249"/>
      <c r="IWC167" s="249"/>
      <c r="IWD167" s="249"/>
      <c r="IWE167" s="249"/>
      <c r="IWF167" s="249"/>
      <c r="IWG167" s="249"/>
      <c r="IWH167" s="249"/>
      <c r="IWI167" s="249"/>
      <c r="IWJ167" s="249"/>
      <c r="IWK167" s="249"/>
      <c r="IWL167" s="249"/>
      <c r="IWM167" s="249"/>
      <c r="IWN167" s="249"/>
      <c r="IWO167" s="249"/>
      <c r="IWP167" s="249"/>
      <c r="IWQ167" s="249"/>
      <c r="IWR167" s="249"/>
      <c r="IWS167" s="249"/>
      <c r="IWT167" s="249"/>
      <c r="IWU167" s="249"/>
      <c r="IWV167" s="249"/>
      <c r="IWW167" s="249"/>
      <c r="IWX167" s="249"/>
      <c r="IWY167" s="249"/>
      <c r="IWZ167" s="249"/>
      <c r="IXA167" s="249"/>
      <c r="IXB167" s="249"/>
      <c r="IXC167" s="249"/>
      <c r="IXD167" s="249"/>
      <c r="IXE167" s="249"/>
      <c r="IXF167" s="249"/>
      <c r="IXG167" s="249"/>
      <c r="IXH167" s="249"/>
      <c r="IXI167" s="249"/>
      <c r="IXJ167" s="249"/>
      <c r="IXK167" s="249"/>
      <c r="IXL167" s="249"/>
      <c r="IXM167" s="249"/>
      <c r="IXN167" s="249"/>
      <c r="IXO167" s="249"/>
      <c r="IXP167" s="249"/>
      <c r="IXQ167" s="249"/>
      <c r="IXR167" s="249"/>
      <c r="IXS167" s="249"/>
      <c r="IXT167" s="249"/>
      <c r="IXU167" s="249"/>
      <c r="IXV167" s="249"/>
      <c r="IXW167" s="249"/>
      <c r="IXX167" s="249"/>
      <c r="IXY167" s="249"/>
      <c r="IXZ167" s="249"/>
      <c r="IYA167" s="249"/>
      <c r="IYB167" s="249"/>
      <c r="IYC167" s="249"/>
      <c r="IYD167" s="249"/>
      <c r="IYE167" s="249"/>
      <c r="IYF167" s="249"/>
      <c r="IYG167" s="249"/>
      <c r="IYH167" s="249"/>
      <c r="IYI167" s="249"/>
      <c r="IYJ167" s="249"/>
      <c r="IYK167" s="249"/>
      <c r="IYL167" s="249"/>
      <c r="IYM167" s="249"/>
      <c r="IYN167" s="249"/>
      <c r="IYO167" s="249"/>
      <c r="IYP167" s="249"/>
      <c r="IYQ167" s="249"/>
      <c r="IYR167" s="249"/>
      <c r="IYS167" s="249"/>
      <c r="IYT167" s="249"/>
      <c r="IYU167" s="249"/>
      <c r="IYV167" s="249"/>
      <c r="IYW167" s="249"/>
      <c r="IYX167" s="249"/>
      <c r="IYY167" s="249"/>
      <c r="IYZ167" s="249"/>
      <c r="IZA167" s="249"/>
      <c r="IZB167" s="249"/>
      <c r="IZC167" s="249"/>
      <c r="IZD167" s="249"/>
      <c r="IZE167" s="249"/>
      <c r="IZF167" s="249"/>
      <c r="IZG167" s="249"/>
      <c r="IZH167" s="249"/>
      <c r="IZI167" s="249"/>
      <c r="IZJ167" s="249"/>
      <c r="IZK167" s="249"/>
      <c r="IZL167" s="249"/>
      <c r="IZM167" s="249"/>
      <c r="IZN167" s="249"/>
      <c r="IZO167" s="249"/>
      <c r="IZP167" s="249"/>
      <c r="IZQ167" s="249"/>
      <c r="IZR167" s="249"/>
      <c r="IZS167" s="249"/>
      <c r="IZT167" s="249"/>
      <c r="IZU167" s="249"/>
      <c r="IZV167" s="249"/>
      <c r="IZW167" s="249"/>
      <c r="IZX167" s="249"/>
      <c r="IZY167" s="249"/>
      <c r="IZZ167" s="249"/>
      <c r="JAA167" s="249"/>
      <c r="JAB167" s="249"/>
      <c r="JAC167" s="249"/>
      <c r="JAD167" s="249"/>
      <c r="JAE167" s="249"/>
      <c r="JAF167" s="249"/>
      <c r="JAG167" s="249"/>
      <c r="JAH167" s="249"/>
      <c r="JAI167" s="249"/>
      <c r="JAJ167" s="249"/>
      <c r="JAK167" s="249"/>
      <c r="JAL167" s="249"/>
      <c r="JAM167" s="249"/>
      <c r="JAN167" s="249"/>
      <c r="JAO167" s="249"/>
      <c r="JAP167" s="249"/>
      <c r="JAQ167" s="249"/>
      <c r="JAR167" s="249"/>
      <c r="JAS167" s="249"/>
      <c r="JAT167" s="249"/>
      <c r="JAU167" s="249"/>
      <c r="JAV167" s="249"/>
      <c r="JAW167" s="249"/>
      <c r="JAX167" s="249"/>
      <c r="JAY167" s="249"/>
      <c r="JAZ167" s="249"/>
      <c r="JBA167" s="249"/>
      <c r="JBB167" s="249"/>
      <c r="JBC167" s="249"/>
      <c r="JBD167" s="249"/>
      <c r="JBE167" s="249"/>
      <c r="JBF167" s="249"/>
      <c r="JBG167" s="249"/>
      <c r="JBH167" s="249"/>
      <c r="JBI167" s="249"/>
      <c r="JBJ167" s="249"/>
      <c r="JBK167" s="249"/>
      <c r="JBL167" s="249"/>
      <c r="JBM167" s="249"/>
      <c r="JBN167" s="249"/>
      <c r="JBO167" s="249"/>
      <c r="JBP167" s="249"/>
      <c r="JBQ167" s="249"/>
      <c r="JBR167" s="249"/>
      <c r="JBS167" s="249"/>
      <c r="JBT167" s="249"/>
      <c r="JBU167" s="249"/>
      <c r="JBV167" s="249"/>
      <c r="JBW167" s="249"/>
      <c r="JBX167" s="249"/>
      <c r="JBY167" s="249"/>
      <c r="JBZ167" s="249"/>
      <c r="JCA167" s="249"/>
      <c r="JCB167" s="249"/>
      <c r="JCC167" s="249"/>
      <c r="JCD167" s="249"/>
      <c r="JCE167" s="249"/>
      <c r="JCF167" s="249"/>
      <c r="JCG167" s="249"/>
      <c r="JCH167" s="249"/>
      <c r="JCI167" s="249"/>
      <c r="JCJ167" s="249"/>
      <c r="JCK167" s="249"/>
      <c r="JCL167" s="249"/>
      <c r="JCM167" s="249"/>
      <c r="JCN167" s="249"/>
      <c r="JCO167" s="249"/>
      <c r="JCP167" s="249"/>
      <c r="JCQ167" s="249"/>
      <c r="JCR167" s="249"/>
      <c r="JCS167" s="249"/>
      <c r="JCT167" s="249"/>
      <c r="JCU167" s="249"/>
      <c r="JCV167" s="249"/>
      <c r="JCW167" s="249"/>
      <c r="JCX167" s="249"/>
      <c r="JCY167" s="249"/>
      <c r="JCZ167" s="249"/>
      <c r="JDA167" s="249"/>
      <c r="JDB167" s="249"/>
      <c r="JDC167" s="249"/>
      <c r="JDD167" s="249"/>
      <c r="JDE167" s="249"/>
      <c r="JDF167" s="249"/>
      <c r="JDG167" s="249"/>
      <c r="JDH167" s="249"/>
      <c r="JDI167" s="249"/>
      <c r="JDJ167" s="249"/>
      <c r="JDK167" s="249"/>
      <c r="JDL167" s="249"/>
      <c r="JDM167" s="249"/>
      <c r="JDN167" s="249"/>
      <c r="JDO167" s="249"/>
      <c r="JDP167" s="249"/>
      <c r="JDQ167" s="249"/>
      <c r="JDR167" s="249"/>
      <c r="JDS167" s="249"/>
      <c r="JDT167" s="249"/>
      <c r="JDU167" s="249"/>
      <c r="JDV167" s="249"/>
      <c r="JDW167" s="249"/>
      <c r="JDX167" s="249"/>
      <c r="JDY167" s="249"/>
      <c r="JDZ167" s="249"/>
      <c r="JEA167" s="249"/>
      <c r="JEB167" s="249"/>
      <c r="JEC167" s="249"/>
      <c r="JED167" s="249"/>
      <c r="JEE167" s="249"/>
      <c r="JEF167" s="249"/>
      <c r="JEG167" s="249"/>
      <c r="JEH167" s="249"/>
      <c r="JEI167" s="249"/>
      <c r="JEJ167" s="249"/>
      <c r="JEK167" s="249"/>
      <c r="JEL167" s="249"/>
      <c r="JEM167" s="249"/>
      <c r="JEN167" s="249"/>
      <c r="JEO167" s="249"/>
      <c r="JEP167" s="249"/>
      <c r="JEQ167" s="249"/>
      <c r="JER167" s="249"/>
      <c r="JES167" s="249"/>
      <c r="JET167" s="249"/>
      <c r="JEU167" s="249"/>
      <c r="JEV167" s="249"/>
      <c r="JEW167" s="249"/>
      <c r="JEX167" s="249"/>
      <c r="JEY167" s="249"/>
      <c r="JEZ167" s="249"/>
      <c r="JFA167" s="249"/>
      <c r="JFB167" s="249"/>
      <c r="JFC167" s="249"/>
      <c r="JFD167" s="249"/>
      <c r="JFE167" s="249"/>
      <c r="JFF167" s="249"/>
      <c r="JFG167" s="249"/>
      <c r="JFH167" s="249"/>
      <c r="JFI167" s="249"/>
      <c r="JFJ167" s="249"/>
      <c r="JFK167" s="249"/>
      <c r="JFL167" s="249"/>
      <c r="JFM167" s="249"/>
      <c r="JFN167" s="249"/>
      <c r="JFO167" s="249"/>
      <c r="JFP167" s="249"/>
      <c r="JFQ167" s="249"/>
      <c r="JFR167" s="249"/>
      <c r="JFS167" s="249"/>
      <c r="JFT167" s="249"/>
      <c r="JFU167" s="249"/>
      <c r="JFV167" s="249"/>
      <c r="JFW167" s="249"/>
      <c r="JFX167" s="249"/>
      <c r="JFY167" s="249"/>
      <c r="JFZ167" s="249"/>
      <c r="JGA167" s="249"/>
      <c r="JGB167" s="249"/>
      <c r="JGC167" s="249"/>
      <c r="JGD167" s="249"/>
      <c r="JGE167" s="249"/>
      <c r="JGF167" s="249"/>
      <c r="JGG167" s="249"/>
      <c r="JGH167" s="249"/>
      <c r="JGI167" s="249"/>
      <c r="JGJ167" s="249"/>
      <c r="JGK167" s="249"/>
      <c r="JGL167" s="249"/>
      <c r="JGM167" s="249"/>
      <c r="JGN167" s="249"/>
      <c r="JGO167" s="249"/>
      <c r="JGP167" s="249"/>
      <c r="JGQ167" s="249"/>
      <c r="JGR167" s="249"/>
      <c r="JGS167" s="249"/>
      <c r="JGT167" s="249"/>
      <c r="JGU167" s="249"/>
      <c r="JGV167" s="249"/>
      <c r="JGW167" s="249"/>
      <c r="JGX167" s="249"/>
      <c r="JGY167" s="249"/>
      <c r="JGZ167" s="249"/>
      <c r="JHA167" s="249"/>
      <c r="JHB167" s="249"/>
      <c r="JHC167" s="249"/>
      <c r="JHD167" s="249"/>
      <c r="JHE167" s="249"/>
      <c r="JHF167" s="249"/>
      <c r="JHG167" s="249"/>
      <c r="JHH167" s="249"/>
      <c r="JHI167" s="249"/>
      <c r="JHJ167" s="249"/>
      <c r="JHK167" s="249"/>
      <c r="JHL167" s="249"/>
      <c r="JHM167" s="249"/>
      <c r="JHN167" s="249"/>
      <c r="JHO167" s="249"/>
      <c r="JHP167" s="249"/>
      <c r="JHQ167" s="249"/>
      <c r="JHR167" s="249"/>
      <c r="JHS167" s="249"/>
      <c r="JHT167" s="249"/>
      <c r="JHU167" s="249"/>
      <c r="JHV167" s="249"/>
      <c r="JHW167" s="249"/>
      <c r="JHX167" s="249"/>
      <c r="JHY167" s="249"/>
      <c r="JHZ167" s="249"/>
      <c r="JIA167" s="249"/>
      <c r="JIB167" s="249"/>
      <c r="JIC167" s="249"/>
      <c r="JID167" s="249"/>
      <c r="JIE167" s="249"/>
      <c r="JIF167" s="249"/>
      <c r="JIG167" s="249"/>
      <c r="JIH167" s="249"/>
      <c r="JII167" s="249"/>
      <c r="JIJ167" s="249"/>
      <c r="JIK167" s="249"/>
      <c r="JIL167" s="249"/>
      <c r="JIM167" s="249"/>
      <c r="JIN167" s="249"/>
      <c r="JIO167" s="249"/>
      <c r="JIP167" s="249"/>
      <c r="JIQ167" s="249"/>
      <c r="JIR167" s="249"/>
      <c r="JIS167" s="249"/>
      <c r="JIT167" s="249"/>
      <c r="JIU167" s="249"/>
      <c r="JIV167" s="249"/>
      <c r="JIW167" s="249"/>
      <c r="JIX167" s="249"/>
      <c r="JIY167" s="249"/>
      <c r="JIZ167" s="249"/>
      <c r="JJA167" s="249"/>
      <c r="JJB167" s="249"/>
      <c r="JJC167" s="249"/>
      <c r="JJD167" s="249"/>
      <c r="JJE167" s="249"/>
      <c r="JJF167" s="249"/>
      <c r="JJG167" s="249"/>
      <c r="JJH167" s="249"/>
      <c r="JJI167" s="249"/>
      <c r="JJJ167" s="249"/>
      <c r="JJK167" s="249"/>
      <c r="JJL167" s="249"/>
      <c r="JJM167" s="249"/>
      <c r="JJN167" s="249"/>
      <c r="JJO167" s="249"/>
      <c r="JJP167" s="249"/>
      <c r="JJQ167" s="249"/>
      <c r="JJR167" s="249"/>
      <c r="JJS167" s="249"/>
      <c r="JJT167" s="249"/>
      <c r="JJU167" s="249"/>
      <c r="JJV167" s="249"/>
      <c r="JJW167" s="249"/>
      <c r="JJX167" s="249"/>
      <c r="JJY167" s="249"/>
      <c r="JJZ167" s="249"/>
      <c r="JKA167" s="249"/>
      <c r="JKB167" s="249"/>
      <c r="JKC167" s="249"/>
      <c r="JKD167" s="249"/>
      <c r="JKE167" s="249"/>
      <c r="JKF167" s="249"/>
      <c r="JKG167" s="249"/>
      <c r="JKH167" s="249"/>
      <c r="JKI167" s="249"/>
      <c r="JKJ167" s="249"/>
      <c r="JKK167" s="249"/>
      <c r="JKL167" s="249"/>
      <c r="JKM167" s="249"/>
      <c r="JKN167" s="249"/>
      <c r="JKO167" s="249"/>
      <c r="JKP167" s="249"/>
      <c r="JKQ167" s="249"/>
      <c r="JKR167" s="249"/>
      <c r="JKS167" s="249"/>
      <c r="JKT167" s="249"/>
      <c r="JKU167" s="249"/>
      <c r="JKV167" s="249"/>
      <c r="JKW167" s="249"/>
      <c r="JKX167" s="249"/>
      <c r="JKY167" s="249"/>
      <c r="JKZ167" s="249"/>
      <c r="JLA167" s="249"/>
      <c r="JLB167" s="249"/>
      <c r="JLC167" s="249"/>
      <c r="JLD167" s="249"/>
      <c r="JLE167" s="249"/>
      <c r="JLF167" s="249"/>
      <c r="JLG167" s="249"/>
      <c r="JLH167" s="249"/>
      <c r="JLI167" s="249"/>
      <c r="JLJ167" s="249"/>
      <c r="JLK167" s="249"/>
      <c r="JLL167" s="249"/>
      <c r="JLM167" s="249"/>
      <c r="JLN167" s="249"/>
      <c r="JLO167" s="249"/>
      <c r="JLP167" s="249"/>
      <c r="JLQ167" s="249"/>
      <c r="JLR167" s="249"/>
      <c r="JLS167" s="249"/>
      <c r="JLT167" s="249"/>
      <c r="JLU167" s="249"/>
      <c r="JLV167" s="249"/>
      <c r="JLW167" s="249"/>
      <c r="JLX167" s="249"/>
      <c r="JLY167" s="249"/>
      <c r="JLZ167" s="249"/>
      <c r="JMA167" s="249"/>
      <c r="JMB167" s="249"/>
      <c r="JMC167" s="249"/>
      <c r="JMD167" s="249"/>
      <c r="JME167" s="249"/>
      <c r="JMF167" s="249"/>
      <c r="JMG167" s="249"/>
      <c r="JMH167" s="249"/>
      <c r="JMI167" s="249"/>
      <c r="JMJ167" s="249"/>
      <c r="JMK167" s="249"/>
      <c r="JML167" s="249"/>
      <c r="JMM167" s="249"/>
      <c r="JMN167" s="249"/>
      <c r="JMO167" s="249"/>
      <c r="JMP167" s="249"/>
      <c r="JMQ167" s="249"/>
      <c r="JMR167" s="249"/>
      <c r="JMS167" s="249"/>
      <c r="JMT167" s="249"/>
      <c r="JMU167" s="249"/>
      <c r="JMV167" s="249"/>
      <c r="JMW167" s="249"/>
      <c r="JMX167" s="249"/>
      <c r="JMY167" s="249"/>
      <c r="JMZ167" s="249"/>
      <c r="JNA167" s="249"/>
      <c r="JNB167" s="249"/>
      <c r="JNC167" s="249"/>
      <c r="JND167" s="249"/>
      <c r="JNE167" s="249"/>
      <c r="JNF167" s="249"/>
      <c r="JNG167" s="249"/>
      <c r="JNH167" s="249"/>
      <c r="JNI167" s="249"/>
      <c r="JNJ167" s="249"/>
      <c r="JNK167" s="249"/>
      <c r="JNL167" s="249"/>
      <c r="JNM167" s="249"/>
      <c r="JNN167" s="249"/>
      <c r="JNO167" s="249"/>
      <c r="JNP167" s="249"/>
      <c r="JNQ167" s="249"/>
      <c r="JNR167" s="249"/>
      <c r="JNS167" s="249"/>
      <c r="JNT167" s="249"/>
      <c r="JNU167" s="249"/>
      <c r="JNV167" s="249"/>
      <c r="JNW167" s="249"/>
      <c r="JNX167" s="249"/>
      <c r="JNY167" s="249"/>
      <c r="JNZ167" s="249"/>
      <c r="JOA167" s="249"/>
      <c r="JOB167" s="249"/>
      <c r="JOC167" s="249"/>
      <c r="JOD167" s="249"/>
      <c r="JOE167" s="249"/>
      <c r="JOF167" s="249"/>
      <c r="JOG167" s="249"/>
      <c r="JOH167" s="249"/>
      <c r="JOI167" s="249"/>
      <c r="JOJ167" s="249"/>
      <c r="JOK167" s="249"/>
      <c r="JOL167" s="249"/>
      <c r="JOM167" s="249"/>
      <c r="JON167" s="249"/>
      <c r="JOO167" s="249"/>
      <c r="JOP167" s="249"/>
      <c r="JOQ167" s="249"/>
      <c r="JOR167" s="249"/>
      <c r="JOS167" s="249"/>
      <c r="JOT167" s="249"/>
      <c r="JOU167" s="249"/>
      <c r="JOV167" s="249"/>
      <c r="JOW167" s="249"/>
      <c r="JOX167" s="249"/>
      <c r="JOY167" s="249"/>
      <c r="JOZ167" s="249"/>
      <c r="JPA167" s="249"/>
      <c r="JPB167" s="249"/>
      <c r="JPC167" s="249"/>
      <c r="JPD167" s="249"/>
      <c r="JPE167" s="249"/>
      <c r="JPF167" s="249"/>
      <c r="JPG167" s="249"/>
      <c r="JPH167" s="249"/>
      <c r="JPI167" s="249"/>
      <c r="JPJ167" s="249"/>
      <c r="JPK167" s="249"/>
      <c r="JPL167" s="249"/>
      <c r="JPM167" s="249"/>
      <c r="JPN167" s="249"/>
      <c r="JPO167" s="249"/>
      <c r="JPP167" s="249"/>
      <c r="JPQ167" s="249"/>
      <c r="JPR167" s="249"/>
      <c r="JPS167" s="249"/>
      <c r="JPT167" s="249"/>
      <c r="JPU167" s="249"/>
      <c r="JPV167" s="249"/>
      <c r="JPW167" s="249"/>
      <c r="JPX167" s="249"/>
      <c r="JPY167" s="249"/>
      <c r="JPZ167" s="249"/>
      <c r="JQA167" s="249"/>
      <c r="JQB167" s="249"/>
      <c r="JQC167" s="249"/>
      <c r="JQD167" s="249"/>
      <c r="JQE167" s="249"/>
      <c r="JQF167" s="249"/>
      <c r="JQG167" s="249"/>
      <c r="JQH167" s="249"/>
      <c r="JQI167" s="249"/>
      <c r="JQJ167" s="249"/>
      <c r="JQK167" s="249"/>
      <c r="JQL167" s="249"/>
      <c r="JQM167" s="249"/>
      <c r="JQN167" s="249"/>
      <c r="JQO167" s="249"/>
      <c r="JQP167" s="249"/>
      <c r="JQQ167" s="249"/>
      <c r="JQR167" s="249"/>
      <c r="JQS167" s="249"/>
      <c r="JQT167" s="249"/>
      <c r="JQU167" s="249"/>
      <c r="JQV167" s="249"/>
      <c r="JQW167" s="249"/>
      <c r="JQX167" s="249"/>
      <c r="JQY167" s="249"/>
      <c r="JQZ167" s="249"/>
      <c r="JRA167" s="249"/>
      <c r="JRB167" s="249"/>
      <c r="JRC167" s="249"/>
      <c r="JRD167" s="249"/>
      <c r="JRE167" s="249"/>
      <c r="JRF167" s="249"/>
      <c r="JRG167" s="249"/>
      <c r="JRH167" s="249"/>
      <c r="JRI167" s="249"/>
      <c r="JRJ167" s="249"/>
      <c r="JRK167" s="249"/>
      <c r="JRL167" s="249"/>
      <c r="JRM167" s="249"/>
      <c r="JRN167" s="249"/>
      <c r="JRO167" s="249"/>
      <c r="JRP167" s="249"/>
      <c r="JRQ167" s="249"/>
      <c r="JRR167" s="249"/>
      <c r="JRS167" s="249"/>
      <c r="JRT167" s="249"/>
      <c r="JRU167" s="249"/>
      <c r="JRV167" s="249"/>
      <c r="JRW167" s="249"/>
      <c r="JRX167" s="249"/>
      <c r="JRY167" s="249"/>
      <c r="JRZ167" s="249"/>
      <c r="JSA167" s="249"/>
      <c r="JSB167" s="249"/>
      <c r="JSC167" s="249"/>
      <c r="JSD167" s="249"/>
      <c r="JSE167" s="249"/>
      <c r="JSF167" s="249"/>
      <c r="JSG167" s="249"/>
      <c r="JSH167" s="249"/>
      <c r="JSI167" s="249"/>
      <c r="JSJ167" s="249"/>
      <c r="JSK167" s="249"/>
      <c r="JSL167" s="249"/>
      <c r="JSM167" s="249"/>
      <c r="JSN167" s="249"/>
      <c r="JSO167" s="249"/>
      <c r="JSP167" s="249"/>
      <c r="JSQ167" s="249"/>
      <c r="JSR167" s="249"/>
      <c r="JSS167" s="249"/>
      <c r="JST167" s="249"/>
      <c r="JSU167" s="249"/>
      <c r="JSV167" s="249"/>
      <c r="JSW167" s="249"/>
      <c r="JSX167" s="249"/>
      <c r="JSY167" s="249"/>
      <c r="JSZ167" s="249"/>
      <c r="JTA167" s="249"/>
      <c r="JTB167" s="249"/>
      <c r="JTC167" s="249"/>
      <c r="JTD167" s="249"/>
      <c r="JTE167" s="249"/>
      <c r="JTF167" s="249"/>
      <c r="JTG167" s="249"/>
      <c r="JTH167" s="249"/>
      <c r="JTI167" s="249"/>
      <c r="JTJ167" s="249"/>
      <c r="JTK167" s="249"/>
      <c r="JTL167" s="249"/>
      <c r="JTM167" s="249"/>
      <c r="JTN167" s="249"/>
      <c r="JTO167" s="249"/>
      <c r="JTP167" s="249"/>
      <c r="JTQ167" s="249"/>
      <c r="JTR167" s="249"/>
      <c r="JTS167" s="249"/>
      <c r="JTT167" s="249"/>
      <c r="JTU167" s="249"/>
      <c r="JTV167" s="249"/>
      <c r="JTW167" s="249"/>
      <c r="JTX167" s="249"/>
      <c r="JTY167" s="249"/>
      <c r="JTZ167" s="249"/>
      <c r="JUA167" s="249"/>
      <c r="JUB167" s="249"/>
      <c r="JUC167" s="249"/>
      <c r="JUD167" s="249"/>
      <c r="JUE167" s="249"/>
      <c r="JUF167" s="249"/>
      <c r="JUG167" s="249"/>
      <c r="JUH167" s="249"/>
      <c r="JUI167" s="249"/>
      <c r="JUJ167" s="249"/>
      <c r="JUK167" s="249"/>
      <c r="JUL167" s="249"/>
      <c r="JUM167" s="249"/>
      <c r="JUN167" s="249"/>
      <c r="JUO167" s="249"/>
      <c r="JUP167" s="249"/>
      <c r="JUQ167" s="249"/>
      <c r="JUR167" s="249"/>
      <c r="JUS167" s="249"/>
      <c r="JUT167" s="249"/>
      <c r="JUU167" s="249"/>
      <c r="JUV167" s="249"/>
      <c r="JUW167" s="249"/>
      <c r="JUX167" s="249"/>
      <c r="JUY167" s="249"/>
      <c r="JUZ167" s="249"/>
      <c r="JVA167" s="249"/>
      <c r="JVB167" s="249"/>
      <c r="JVC167" s="249"/>
      <c r="JVD167" s="249"/>
      <c r="JVE167" s="249"/>
      <c r="JVF167" s="249"/>
      <c r="JVG167" s="249"/>
      <c r="JVH167" s="249"/>
      <c r="JVI167" s="249"/>
      <c r="JVJ167" s="249"/>
      <c r="JVK167" s="249"/>
      <c r="JVL167" s="249"/>
      <c r="JVM167" s="249"/>
      <c r="JVN167" s="249"/>
      <c r="JVO167" s="249"/>
      <c r="JVP167" s="249"/>
      <c r="JVQ167" s="249"/>
      <c r="JVR167" s="249"/>
      <c r="JVS167" s="249"/>
      <c r="JVT167" s="249"/>
      <c r="JVU167" s="249"/>
      <c r="JVV167" s="249"/>
      <c r="JVW167" s="249"/>
      <c r="JVX167" s="249"/>
      <c r="JVY167" s="249"/>
      <c r="JVZ167" s="249"/>
      <c r="JWA167" s="249"/>
      <c r="JWB167" s="249"/>
      <c r="JWC167" s="249"/>
      <c r="JWD167" s="249"/>
      <c r="JWE167" s="249"/>
      <c r="JWF167" s="249"/>
      <c r="JWG167" s="249"/>
      <c r="JWH167" s="249"/>
      <c r="JWI167" s="249"/>
      <c r="JWJ167" s="249"/>
      <c r="JWK167" s="249"/>
      <c r="JWL167" s="249"/>
      <c r="JWM167" s="249"/>
      <c r="JWN167" s="249"/>
      <c r="JWO167" s="249"/>
      <c r="JWP167" s="249"/>
      <c r="JWQ167" s="249"/>
      <c r="JWR167" s="249"/>
      <c r="JWS167" s="249"/>
      <c r="JWT167" s="249"/>
      <c r="JWU167" s="249"/>
      <c r="JWV167" s="249"/>
      <c r="JWW167" s="249"/>
      <c r="JWX167" s="249"/>
      <c r="JWY167" s="249"/>
      <c r="JWZ167" s="249"/>
      <c r="JXA167" s="249"/>
      <c r="JXB167" s="249"/>
      <c r="JXC167" s="249"/>
      <c r="JXD167" s="249"/>
      <c r="JXE167" s="249"/>
      <c r="JXF167" s="249"/>
      <c r="JXG167" s="249"/>
      <c r="JXH167" s="249"/>
      <c r="JXI167" s="249"/>
      <c r="JXJ167" s="249"/>
      <c r="JXK167" s="249"/>
      <c r="JXL167" s="249"/>
      <c r="JXM167" s="249"/>
      <c r="JXN167" s="249"/>
      <c r="JXO167" s="249"/>
      <c r="JXP167" s="249"/>
      <c r="JXQ167" s="249"/>
      <c r="JXR167" s="249"/>
      <c r="JXS167" s="249"/>
      <c r="JXT167" s="249"/>
      <c r="JXU167" s="249"/>
      <c r="JXV167" s="249"/>
      <c r="JXW167" s="249"/>
      <c r="JXX167" s="249"/>
      <c r="JXY167" s="249"/>
      <c r="JXZ167" s="249"/>
      <c r="JYA167" s="249"/>
      <c r="JYB167" s="249"/>
      <c r="JYC167" s="249"/>
      <c r="JYD167" s="249"/>
      <c r="JYE167" s="249"/>
      <c r="JYF167" s="249"/>
      <c r="JYG167" s="249"/>
      <c r="JYH167" s="249"/>
      <c r="JYI167" s="249"/>
      <c r="JYJ167" s="249"/>
      <c r="JYK167" s="249"/>
      <c r="JYL167" s="249"/>
      <c r="JYM167" s="249"/>
      <c r="JYN167" s="249"/>
      <c r="JYO167" s="249"/>
      <c r="JYP167" s="249"/>
      <c r="JYQ167" s="249"/>
      <c r="JYR167" s="249"/>
      <c r="JYS167" s="249"/>
      <c r="JYT167" s="249"/>
      <c r="JYU167" s="249"/>
      <c r="JYV167" s="249"/>
      <c r="JYW167" s="249"/>
      <c r="JYX167" s="249"/>
      <c r="JYY167" s="249"/>
      <c r="JYZ167" s="249"/>
      <c r="JZA167" s="249"/>
      <c r="JZB167" s="249"/>
      <c r="JZC167" s="249"/>
      <c r="JZD167" s="249"/>
      <c r="JZE167" s="249"/>
      <c r="JZF167" s="249"/>
      <c r="JZG167" s="249"/>
      <c r="JZH167" s="249"/>
      <c r="JZI167" s="249"/>
      <c r="JZJ167" s="249"/>
      <c r="JZK167" s="249"/>
      <c r="JZL167" s="249"/>
      <c r="JZM167" s="249"/>
      <c r="JZN167" s="249"/>
      <c r="JZO167" s="249"/>
      <c r="JZP167" s="249"/>
      <c r="JZQ167" s="249"/>
      <c r="JZR167" s="249"/>
      <c r="JZS167" s="249"/>
      <c r="JZT167" s="249"/>
      <c r="JZU167" s="249"/>
      <c r="JZV167" s="249"/>
      <c r="JZW167" s="249"/>
      <c r="JZX167" s="249"/>
      <c r="JZY167" s="249"/>
      <c r="JZZ167" s="249"/>
      <c r="KAA167" s="249"/>
      <c r="KAB167" s="249"/>
      <c r="KAC167" s="249"/>
      <c r="KAD167" s="249"/>
      <c r="KAE167" s="249"/>
      <c r="KAF167" s="249"/>
      <c r="KAG167" s="249"/>
      <c r="KAH167" s="249"/>
      <c r="KAI167" s="249"/>
      <c r="KAJ167" s="249"/>
      <c r="KAK167" s="249"/>
      <c r="KAL167" s="249"/>
      <c r="KAM167" s="249"/>
      <c r="KAN167" s="249"/>
      <c r="KAO167" s="249"/>
      <c r="KAP167" s="249"/>
      <c r="KAQ167" s="249"/>
      <c r="KAR167" s="249"/>
      <c r="KAS167" s="249"/>
      <c r="KAT167" s="249"/>
      <c r="KAU167" s="249"/>
      <c r="KAV167" s="249"/>
      <c r="KAW167" s="249"/>
      <c r="KAX167" s="249"/>
      <c r="KAY167" s="249"/>
      <c r="KAZ167" s="249"/>
      <c r="KBA167" s="249"/>
      <c r="KBB167" s="249"/>
      <c r="KBC167" s="249"/>
      <c r="KBD167" s="249"/>
      <c r="KBE167" s="249"/>
      <c r="KBF167" s="249"/>
      <c r="KBG167" s="249"/>
      <c r="KBH167" s="249"/>
      <c r="KBI167" s="249"/>
      <c r="KBJ167" s="249"/>
      <c r="KBK167" s="249"/>
      <c r="KBL167" s="249"/>
      <c r="KBM167" s="249"/>
      <c r="KBN167" s="249"/>
      <c r="KBO167" s="249"/>
      <c r="KBP167" s="249"/>
      <c r="KBQ167" s="249"/>
      <c r="KBR167" s="249"/>
      <c r="KBS167" s="249"/>
      <c r="KBT167" s="249"/>
      <c r="KBU167" s="249"/>
      <c r="KBV167" s="249"/>
      <c r="KBW167" s="249"/>
      <c r="KBX167" s="249"/>
      <c r="KBY167" s="249"/>
      <c r="KBZ167" s="249"/>
      <c r="KCA167" s="249"/>
      <c r="KCB167" s="249"/>
      <c r="KCC167" s="249"/>
      <c r="KCD167" s="249"/>
      <c r="KCE167" s="249"/>
      <c r="KCF167" s="249"/>
      <c r="KCG167" s="249"/>
      <c r="KCH167" s="249"/>
      <c r="KCI167" s="249"/>
      <c r="KCJ167" s="249"/>
      <c r="KCK167" s="249"/>
      <c r="KCL167" s="249"/>
      <c r="KCM167" s="249"/>
      <c r="KCN167" s="249"/>
      <c r="KCO167" s="249"/>
      <c r="KCP167" s="249"/>
      <c r="KCQ167" s="249"/>
      <c r="KCR167" s="249"/>
      <c r="KCS167" s="249"/>
      <c r="KCT167" s="249"/>
      <c r="KCU167" s="249"/>
      <c r="KCV167" s="249"/>
      <c r="KCW167" s="249"/>
      <c r="KCX167" s="249"/>
      <c r="KCY167" s="249"/>
      <c r="KCZ167" s="249"/>
      <c r="KDA167" s="249"/>
      <c r="KDB167" s="249"/>
      <c r="KDC167" s="249"/>
      <c r="KDD167" s="249"/>
      <c r="KDE167" s="249"/>
      <c r="KDF167" s="249"/>
      <c r="KDG167" s="249"/>
      <c r="KDH167" s="249"/>
      <c r="KDI167" s="249"/>
      <c r="KDJ167" s="249"/>
      <c r="KDK167" s="249"/>
      <c r="KDL167" s="249"/>
      <c r="KDM167" s="249"/>
      <c r="KDN167" s="249"/>
      <c r="KDO167" s="249"/>
      <c r="KDP167" s="249"/>
      <c r="KDQ167" s="249"/>
      <c r="KDR167" s="249"/>
      <c r="KDS167" s="249"/>
      <c r="KDT167" s="249"/>
      <c r="KDU167" s="249"/>
      <c r="KDV167" s="249"/>
      <c r="KDW167" s="249"/>
      <c r="KDX167" s="249"/>
      <c r="KDY167" s="249"/>
      <c r="KDZ167" s="249"/>
      <c r="KEA167" s="249"/>
      <c r="KEB167" s="249"/>
      <c r="KEC167" s="249"/>
      <c r="KED167" s="249"/>
      <c r="KEE167" s="249"/>
      <c r="KEF167" s="249"/>
      <c r="KEG167" s="249"/>
      <c r="KEH167" s="249"/>
      <c r="KEI167" s="249"/>
      <c r="KEJ167" s="249"/>
      <c r="KEK167" s="249"/>
      <c r="KEL167" s="249"/>
      <c r="KEM167" s="249"/>
      <c r="KEN167" s="249"/>
      <c r="KEO167" s="249"/>
      <c r="KEP167" s="249"/>
      <c r="KEQ167" s="249"/>
      <c r="KER167" s="249"/>
      <c r="KES167" s="249"/>
      <c r="KET167" s="249"/>
      <c r="KEU167" s="249"/>
      <c r="KEV167" s="249"/>
      <c r="KEW167" s="249"/>
      <c r="KEX167" s="249"/>
      <c r="KEY167" s="249"/>
      <c r="KEZ167" s="249"/>
      <c r="KFA167" s="249"/>
      <c r="KFB167" s="249"/>
      <c r="KFC167" s="249"/>
      <c r="KFD167" s="249"/>
      <c r="KFE167" s="249"/>
      <c r="KFF167" s="249"/>
      <c r="KFG167" s="249"/>
      <c r="KFH167" s="249"/>
      <c r="KFI167" s="249"/>
      <c r="KFJ167" s="249"/>
      <c r="KFK167" s="249"/>
      <c r="KFL167" s="249"/>
      <c r="KFM167" s="249"/>
      <c r="KFN167" s="249"/>
      <c r="KFO167" s="249"/>
      <c r="KFP167" s="249"/>
      <c r="KFQ167" s="249"/>
      <c r="KFR167" s="249"/>
      <c r="KFS167" s="249"/>
      <c r="KFT167" s="249"/>
      <c r="KFU167" s="249"/>
      <c r="KFV167" s="249"/>
      <c r="KFW167" s="249"/>
      <c r="KFX167" s="249"/>
      <c r="KFY167" s="249"/>
      <c r="KFZ167" s="249"/>
      <c r="KGA167" s="249"/>
      <c r="KGB167" s="249"/>
      <c r="KGC167" s="249"/>
      <c r="KGD167" s="249"/>
      <c r="KGE167" s="249"/>
      <c r="KGF167" s="249"/>
      <c r="KGG167" s="249"/>
      <c r="KGH167" s="249"/>
      <c r="KGI167" s="249"/>
      <c r="KGJ167" s="249"/>
      <c r="KGK167" s="249"/>
      <c r="KGL167" s="249"/>
      <c r="KGM167" s="249"/>
      <c r="KGN167" s="249"/>
      <c r="KGO167" s="249"/>
      <c r="KGP167" s="249"/>
      <c r="KGQ167" s="249"/>
      <c r="KGR167" s="249"/>
      <c r="KGS167" s="249"/>
      <c r="KGT167" s="249"/>
      <c r="KGU167" s="249"/>
      <c r="KGV167" s="249"/>
      <c r="KGW167" s="249"/>
      <c r="KGX167" s="249"/>
      <c r="KGY167" s="249"/>
      <c r="KGZ167" s="249"/>
      <c r="KHA167" s="249"/>
      <c r="KHB167" s="249"/>
      <c r="KHC167" s="249"/>
      <c r="KHD167" s="249"/>
      <c r="KHE167" s="249"/>
      <c r="KHF167" s="249"/>
      <c r="KHG167" s="249"/>
      <c r="KHH167" s="249"/>
      <c r="KHI167" s="249"/>
      <c r="KHJ167" s="249"/>
      <c r="KHK167" s="249"/>
      <c r="KHL167" s="249"/>
      <c r="KHM167" s="249"/>
      <c r="KHN167" s="249"/>
      <c r="KHO167" s="249"/>
      <c r="KHP167" s="249"/>
      <c r="KHQ167" s="249"/>
      <c r="KHR167" s="249"/>
      <c r="KHS167" s="249"/>
      <c r="KHT167" s="249"/>
      <c r="KHU167" s="249"/>
      <c r="KHV167" s="249"/>
      <c r="KHW167" s="249"/>
      <c r="KHX167" s="249"/>
      <c r="KHY167" s="249"/>
      <c r="KHZ167" s="249"/>
      <c r="KIA167" s="249"/>
      <c r="KIB167" s="249"/>
      <c r="KIC167" s="249"/>
      <c r="KID167" s="249"/>
      <c r="KIE167" s="249"/>
      <c r="KIF167" s="249"/>
      <c r="KIG167" s="249"/>
      <c r="KIH167" s="249"/>
      <c r="KII167" s="249"/>
      <c r="KIJ167" s="249"/>
      <c r="KIK167" s="249"/>
      <c r="KIL167" s="249"/>
      <c r="KIM167" s="249"/>
      <c r="KIN167" s="249"/>
      <c r="KIO167" s="249"/>
      <c r="KIP167" s="249"/>
      <c r="KIQ167" s="249"/>
      <c r="KIR167" s="249"/>
      <c r="KIS167" s="249"/>
      <c r="KIT167" s="249"/>
      <c r="KIU167" s="249"/>
      <c r="KIV167" s="249"/>
      <c r="KIW167" s="249"/>
      <c r="KIX167" s="249"/>
      <c r="KIY167" s="249"/>
      <c r="KIZ167" s="249"/>
      <c r="KJA167" s="249"/>
      <c r="KJB167" s="249"/>
      <c r="KJC167" s="249"/>
      <c r="KJD167" s="249"/>
      <c r="KJE167" s="249"/>
      <c r="KJF167" s="249"/>
      <c r="KJG167" s="249"/>
      <c r="KJH167" s="249"/>
      <c r="KJI167" s="249"/>
      <c r="KJJ167" s="249"/>
      <c r="KJK167" s="249"/>
      <c r="KJL167" s="249"/>
      <c r="KJM167" s="249"/>
      <c r="KJN167" s="249"/>
      <c r="KJO167" s="249"/>
      <c r="KJP167" s="249"/>
      <c r="KJQ167" s="249"/>
      <c r="KJR167" s="249"/>
      <c r="KJS167" s="249"/>
      <c r="KJT167" s="249"/>
      <c r="KJU167" s="249"/>
      <c r="KJV167" s="249"/>
      <c r="KJW167" s="249"/>
      <c r="KJX167" s="249"/>
      <c r="KJY167" s="249"/>
      <c r="KJZ167" s="249"/>
      <c r="KKA167" s="249"/>
      <c r="KKB167" s="249"/>
      <c r="KKC167" s="249"/>
      <c r="KKD167" s="249"/>
      <c r="KKE167" s="249"/>
      <c r="KKF167" s="249"/>
      <c r="KKG167" s="249"/>
      <c r="KKH167" s="249"/>
      <c r="KKI167" s="249"/>
      <c r="KKJ167" s="249"/>
      <c r="KKK167" s="249"/>
      <c r="KKL167" s="249"/>
      <c r="KKM167" s="249"/>
      <c r="KKN167" s="249"/>
      <c r="KKO167" s="249"/>
      <c r="KKP167" s="249"/>
      <c r="KKQ167" s="249"/>
      <c r="KKR167" s="249"/>
      <c r="KKS167" s="249"/>
      <c r="KKT167" s="249"/>
      <c r="KKU167" s="249"/>
      <c r="KKV167" s="249"/>
      <c r="KKW167" s="249"/>
      <c r="KKX167" s="249"/>
      <c r="KKY167" s="249"/>
      <c r="KKZ167" s="249"/>
      <c r="KLA167" s="249"/>
      <c r="KLB167" s="249"/>
      <c r="KLC167" s="249"/>
      <c r="KLD167" s="249"/>
      <c r="KLE167" s="249"/>
      <c r="KLF167" s="249"/>
      <c r="KLG167" s="249"/>
      <c r="KLH167" s="249"/>
      <c r="KLI167" s="249"/>
      <c r="KLJ167" s="249"/>
      <c r="KLK167" s="249"/>
      <c r="KLL167" s="249"/>
      <c r="KLM167" s="249"/>
      <c r="KLN167" s="249"/>
      <c r="KLO167" s="249"/>
      <c r="KLP167" s="249"/>
      <c r="KLQ167" s="249"/>
      <c r="KLR167" s="249"/>
      <c r="KLS167" s="249"/>
      <c r="KLT167" s="249"/>
      <c r="KLU167" s="249"/>
      <c r="KLV167" s="249"/>
      <c r="KLW167" s="249"/>
      <c r="KLX167" s="249"/>
      <c r="KLY167" s="249"/>
      <c r="KLZ167" s="249"/>
      <c r="KMA167" s="249"/>
      <c r="KMB167" s="249"/>
      <c r="KMC167" s="249"/>
      <c r="KMD167" s="249"/>
      <c r="KME167" s="249"/>
      <c r="KMF167" s="249"/>
      <c r="KMG167" s="249"/>
      <c r="KMH167" s="249"/>
      <c r="KMI167" s="249"/>
      <c r="KMJ167" s="249"/>
      <c r="KMK167" s="249"/>
      <c r="KML167" s="249"/>
      <c r="KMM167" s="249"/>
      <c r="KMN167" s="249"/>
      <c r="KMO167" s="249"/>
      <c r="KMP167" s="249"/>
      <c r="KMQ167" s="249"/>
      <c r="KMR167" s="249"/>
      <c r="KMS167" s="249"/>
      <c r="KMT167" s="249"/>
      <c r="KMU167" s="249"/>
      <c r="KMV167" s="249"/>
      <c r="KMW167" s="249"/>
      <c r="KMX167" s="249"/>
      <c r="KMY167" s="249"/>
      <c r="KMZ167" s="249"/>
      <c r="KNA167" s="249"/>
      <c r="KNB167" s="249"/>
      <c r="KNC167" s="249"/>
      <c r="KND167" s="249"/>
      <c r="KNE167" s="249"/>
      <c r="KNF167" s="249"/>
      <c r="KNG167" s="249"/>
      <c r="KNH167" s="249"/>
      <c r="KNI167" s="249"/>
      <c r="KNJ167" s="249"/>
      <c r="KNK167" s="249"/>
      <c r="KNL167" s="249"/>
      <c r="KNM167" s="249"/>
      <c r="KNN167" s="249"/>
      <c r="KNO167" s="249"/>
      <c r="KNP167" s="249"/>
      <c r="KNQ167" s="249"/>
      <c r="KNR167" s="249"/>
      <c r="KNS167" s="249"/>
      <c r="KNT167" s="249"/>
      <c r="KNU167" s="249"/>
      <c r="KNV167" s="249"/>
      <c r="KNW167" s="249"/>
      <c r="KNX167" s="249"/>
      <c r="KNY167" s="249"/>
      <c r="KNZ167" s="249"/>
      <c r="KOA167" s="249"/>
      <c r="KOB167" s="249"/>
      <c r="KOC167" s="249"/>
      <c r="KOD167" s="249"/>
      <c r="KOE167" s="249"/>
      <c r="KOF167" s="249"/>
      <c r="KOG167" s="249"/>
      <c r="KOH167" s="249"/>
      <c r="KOI167" s="249"/>
      <c r="KOJ167" s="249"/>
      <c r="KOK167" s="249"/>
      <c r="KOL167" s="249"/>
      <c r="KOM167" s="249"/>
      <c r="KON167" s="249"/>
      <c r="KOO167" s="249"/>
      <c r="KOP167" s="249"/>
      <c r="KOQ167" s="249"/>
      <c r="KOR167" s="249"/>
      <c r="KOS167" s="249"/>
      <c r="KOT167" s="249"/>
      <c r="KOU167" s="249"/>
      <c r="KOV167" s="249"/>
      <c r="KOW167" s="249"/>
      <c r="KOX167" s="249"/>
      <c r="KOY167" s="249"/>
      <c r="KOZ167" s="249"/>
      <c r="KPA167" s="249"/>
      <c r="KPB167" s="249"/>
      <c r="KPC167" s="249"/>
      <c r="KPD167" s="249"/>
      <c r="KPE167" s="249"/>
      <c r="KPF167" s="249"/>
      <c r="KPG167" s="249"/>
      <c r="KPH167" s="249"/>
      <c r="KPI167" s="249"/>
      <c r="KPJ167" s="249"/>
      <c r="KPK167" s="249"/>
      <c r="KPL167" s="249"/>
      <c r="KPM167" s="249"/>
      <c r="KPN167" s="249"/>
      <c r="KPO167" s="249"/>
      <c r="KPP167" s="249"/>
      <c r="KPQ167" s="249"/>
      <c r="KPR167" s="249"/>
      <c r="KPS167" s="249"/>
      <c r="KPT167" s="249"/>
      <c r="KPU167" s="249"/>
      <c r="KPV167" s="249"/>
      <c r="KPW167" s="249"/>
      <c r="KPX167" s="249"/>
      <c r="KPY167" s="249"/>
      <c r="KPZ167" s="249"/>
      <c r="KQA167" s="249"/>
      <c r="KQB167" s="249"/>
      <c r="KQC167" s="249"/>
      <c r="KQD167" s="249"/>
      <c r="KQE167" s="249"/>
      <c r="KQF167" s="249"/>
      <c r="KQG167" s="249"/>
      <c r="KQH167" s="249"/>
      <c r="KQI167" s="249"/>
      <c r="KQJ167" s="249"/>
      <c r="KQK167" s="249"/>
      <c r="KQL167" s="249"/>
      <c r="KQM167" s="249"/>
      <c r="KQN167" s="249"/>
      <c r="KQO167" s="249"/>
      <c r="KQP167" s="249"/>
      <c r="KQQ167" s="249"/>
      <c r="KQR167" s="249"/>
      <c r="KQS167" s="249"/>
      <c r="KQT167" s="249"/>
      <c r="KQU167" s="249"/>
      <c r="KQV167" s="249"/>
      <c r="KQW167" s="249"/>
      <c r="KQX167" s="249"/>
      <c r="KQY167" s="249"/>
      <c r="KQZ167" s="249"/>
      <c r="KRA167" s="249"/>
      <c r="KRB167" s="249"/>
      <c r="KRC167" s="249"/>
      <c r="KRD167" s="249"/>
      <c r="KRE167" s="249"/>
      <c r="KRF167" s="249"/>
      <c r="KRG167" s="249"/>
      <c r="KRH167" s="249"/>
      <c r="KRI167" s="249"/>
      <c r="KRJ167" s="249"/>
      <c r="KRK167" s="249"/>
      <c r="KRL167" s="249"/>
      <c r="KRM167" s="249"/>
      <c r="KRN167" s="249"/>
      <c r="KRO167" s="249"/>
      <c r="KRP167" s="249"/>
      <c r="KRQ167" s="249"/>
      <c r="KRR167" s="249"/>
      <c r="KRS167" s="249"/>
      <c r="KRT167" s="249"/>
      <c r="KRU167" s="249"/>
      <c r="KRV167" s="249"/>
      <c r="KRW167" s="249"/>
      <c r="KRX167" s="249"/>
      <c r="KRY167" s="249"/>
      <c r="KRZ167" s="249"/>
      <c r="KSA167" s="249"/>
      <c r="KSB167" s="249"/>
      <c r="KSC167" s="249"/>
      <c r="KSD167" s="249"/>
      <c r="KSE167" s="249"/>
      <c r="KSF167" s="249"/>
      <c r="KSG167" s="249"/>
      <c r="KSH167" s="249"/>
      <c r="KSI167" s="249"/>
      <c r="KSJ167" s="249"/>
      <c r="KSK167" s="249"/>
      <c r="KSL167" s="249"/>
      <c r="KSM167" s="249"/>
      <c r="KSN167" s="249"/>
      <c r="KSO167" s="249"/>
      <c r="KSP167" s="249"/>
      <c r="KSQ167" s="249"/>
      <c r="KSR167" s="249"/>
      <c r="KSS167" s="249"/>
      <c r="KST167" s="249"/>
      <c r="KSU167" s="249"/>
      <c r="KSV167" s="249"/>
      <c r="KSW167" s="249"/>
      <c r="KSX167" s="249"/>
      <c r="KSY167" s="249"/>
      <c r="KSZ167" s="249"/>
      <c r="KTA167" s="249"/>
      <c r="KTB167" s="249"/>
      <c r="KTC167" s="249"/>
      <c r="KTD167" s="249"/>
      <c r="KTE167" s="249"/>
      <c r="KTF167" s="249"/>
      <c r="KTG167" s="249"/>
      <c r="KTH167" s="249"/>
      <c r="KTI167" s="249"/>
      <c r="KTJ167" s="249"/>
      <c r="KTK167" s="249"/>
      <c r="KTL167" s="249"/>
      <c r="KTM167" s="249"/>
      <c r="KTN167" s="249"/>
      <c r="KTO167" s="249"/>
      <c r="KTP167" s="249"/>
      <c r="KTQ167" s="249"/>
      <c r="KTR167" s="249"/>
      <c r="KTS167" s="249"/>
      <c r="KTT167" s="249"/>
      <c r="KTU167" s="249"/>
      <c r="KTV167" s="249"/>
      <c r="KTW167" s="249"/>
      <c r="KTX167" s="249"/>
      <c r="KTY167" s="249"/>
      <c r="KTZ167" s="249"/>
      <c r="KUA167" s="249"/>
      <c r="KUB167" s="249"/>
      <c r="KUC167" s="249"/>
      <c r="KUD167" s="249"/>
      <c r="KUE167" s="249"/>
      <c r="KUF167" s="249"/>
      <c r="KUG167" s="249"/>
      <c r="KUH167" s="249"/>
      <c r="KUI167" s="249"/>
      <c r="KUJ167" s="249"/>
      <c r="KUK167" s="249"/>
      <c r="KUL167" s="249"/>
      <c r="KUM167" s="249"/>
      <c r="KUN167" s="249"/>
      <c r="KUO167" s="249"/>
      <c r="KUP167" s="249"/>
      <c r="KUQ167" s="249"/>
      <c r="KUR167" s="249"/>
      <c r="KUS167" s="249"/>
      <c r="KUT167" s="249"/>
      <c r="KUU167" s="249"/>
      <c r="KUV167" s="249"/>
      <c r="KUW167" s="249"/>
      <c r="KUX167" s="249"/>
      <c r="KUY167" s="249"/>
      <c r="KUZ167" s="249"/>
      <c r="KVA167" s="249"/>
      <c r="KVB167" s="249"/>
      <c r="KVC167" s="249"/>
      <c r="KVD167" s="249"/>
      <c r="KVE167" s="249"/>
      <c r="KVF167" s="249"/>
      <c r="KVG167" s="249"/>
      <c r="KVH167" s="249"/>
      <c r="KVI167" s="249"/>
      <c r="KVJ167" s="249"/>
      <c r="KVK167" s="249"/>
      <c r="KVL167" s="249"/>
      <c r="KVM167" s="249"/>
      <c r="KVN167" s="249"/>
      <c r="KVO167" s="249"/>
      <c r="KVP167" s="249"/>
      <c r="KVQ167" s="249"/>
      <c r="KVR167" s="249"/>
      <c r="KVS167" s="249"/>
      <c r="KVT167" s="249"/>
      <c r="KVU167" s="249"/>
      <c r="KVV167" s="249"/>
      <c r="KVW167" s="249"/>
      <c r="KVX167" s="249"/>
      <c r="KVY167" s="249"/>
      <c r="KVZ167" s="249"/>
      <c r="KWA167" s="249"/>
      <c r="KWB167" s="249"/>
      <c r="KWC167" s="249"/>
      <c r="KWD167" s="249"/>
      <c r="KWE167" s="249"/>
      <c r="KWF167" s="249"/>
      <c r="KWG167" s="249"/>
      <c r="KWH167" s="249"/>
      <c r="KWI167" s="249"/>
      <c r="KWJ167" s="249"/>
      <c r="KWK167" s="249"/>
      <c r="KWL167" s="249"/>
      <c r="KWM167" s="249"/>
      <c r="KWN167" s="249"/>
      <c r="KWO167" s="249"/>
      <c r="KWP167" s="249"/>
      <c r="KWQ167" s="249"/>
      <c r="KWR167" s="249"/>
      <c r="KWS167" s="249"/>
      <c r="KWT167" s="249"/>
      <c r="KWU167" s="249"/>
      <c r="KWV167" s="249"/>
      <c r="KWW167" s="249"/>
      <c r="KWX167" s="249"/>
      <c r="KWY167" s="249"/>
      <c r="KWZ167" s="249"/>
      <c r="KXA167" s="249"/>
      <c r="KXB167" s="249"/>
      <c r="KXC167" s="249"/>
      <c r="KXD167" s="249"/>
      <c r="KXE167" s="249"/>
      <c r="KXF167" s="249"/>
      <c r="KXG167" s="249"/>
      <c r="KXH167" s="249"/>
      <c r="KXI167" s="249"/>
      <c r="KXJ167" s="249"/>
      <c r="KXK167" s="249"/>
      <c r="KXL167" s="249"/>
      <c r="KXM167" s="249"/>
      <c r="KXN167" s="249"/>
      <c r="KXO167" s="249"/>
      <c r="KXP167" s="249"/>
      <c r="KXQ167" s="249"/>
      <c r="KXR167" s="249"/>
      <c r="KXS167" s="249"/>
      <c r="KXT167" s="249"/>
      <c r="KXU167" s="249"/>
      <c r="KXV167" s="249"/>
      <c r="KXW167" s="249"/>
      <c r="KXX167" s="249"/>
      <c r="KXY167" s="249"/>
      <c r="KXZ167" s="249"/>
      <c r="KYA167" s="249"/>
      <c r="KYB167" s="249"/>
      <c r="KYC167" s="249"/>
      <c r="KYD167" s="249"/>
      <c r="KYE167" s="249"/>
      <c r="KYF167" s="249"/>
      <c r="KYG167" s="249"/>
      <c r="KYH167" s="249"/>
      <c r="KYI167" s="249"/>
      <c r="KYJ167" s="249"/>
      <c r="KYK167" s="249"/>
      <c r="KYL167" s="249"/>
      <c r="KYM167" s="249"/>
      <c r="KYN167" s="249"/>
      <c r="KYO167" s="249"/>
      <c r="KYP167" s="249"/>
      <c r="KYQ167" s="249"/>
      <c r="KYR167" s="249"/>
      <c r="KYS167" s="249"/>
      <c r="KYT167" s="249"/>
      <c r="KYU167" s="249"/>
      <c r="KYV167" s="249"/>
      <c r="KYW167" s="249"/>
      <c r="KYX167" s="249"/>
      <c r="KYY167" s="249"/>
      <c r="KYZ167" s="249"/>
      <c r="KZA167" s="249"/>
      <c r="KZB167" s="249"/>
      <c r="KZC167" s="249"/>
      <c r="KZD167" s="249"/>
      <c r="KZE167" s="249"/>
      <c r="KZF167" s="249"/>
      <c r="KZG167" s="249"/>
      <c r="KZH167" s="249"/>
      <c r="KZI167" s="249"/>
      <c r="KZJ167" s="249"/>
      <c r="KZK167" s="249"/>
      <c r="KZL167" s="249"/>
      <c r="KZM167" s="249"/>
      <c r="KZN167" s="249"/>
      <c r="KZO167" s="249"/>
      <c r="KZP167" s="249"/>
      <c r="KZQ167" s="249"/>
      <c r="KZR167" s="249"/>
      <c r="KZS167" s="249"/>
      <c r="KZT167" s="249"/>
      <c r="KZU167" s="249"/>
      <c r="KZV167" s="249"/>
      <c r="KZW167" s="249"/>
      <c r="KZX167" s="249"/>
      <c r="KZY167" s="249"/>
      <c r="KZZ167" s="249"/>
      <c r="LAA167" s="249"/>
      <c r="LAB167" s="249"/>
      <c r="LAC167" s="249"/>
      <c r="LAD167" s="249"/>
      <c r="LAE167" s="249"/>
      <c r="LAF167" s="249"/>
      <c r="LAG167" s="249"/>
      <c r="LAH167" s="249"/>
      <c r="LAI167" s="249"/>
      <c r="LAJ167" s="249"/>
      <c r="LAK167" s="249"/>
      <c r="LAL167" s="249"/>
      <c r="LAM167" s="249"/>
      <c r="LAN167" s="249"/>
      <c r="LAO167" s="249"/>
      <c r="LAP167" s="249"/>
      <c r="LAQ167" s="249"/>
      <c r="LAR167" s="249"/>
      <c r="LAS167" s="249"/>
      <c r="LAT167" s="249"/>
      <c r="LAU167" s="249"/>
      <c r="LAV167" s="249"/>
      <c r="LAW167" s="249"/>
      <c r="LAX167" s="249"/>
      <c r="LAY167" s="249"/>
      <c r="LAZ167" s="249"/>
      <c r="LBA167" s="249"/>
      <c r="LBB167" s="249"/>
      <c r="LBC167" s="249"/>
      <c r="LBD167" s="249"/>
      <c r="LBE167" s="249"/>
      <c r="LBF167" s="249"/>
      <c r="LBG167" s="249"/>
      <c r="LBH167" s="249"/>
      <c r="LBI167" s="249"/>
      <c r="LBJ167" s="249"/>
      <c r="LBK167" s="249"/>
      <c r="LBL167" s="249"/>
      <c r="LBM167" s="249"/>
      <c r="LBN167" s="249"/>
      <c r="LBO167" s="249"/>
      <c r="LBP167" s="249"/>
      <c r="LBQ167" s="249"/>
      <c r="LBR167" s="249"/>
      <c r="LBS167" s="249"/>
      <c r="LBT167" s="249"/>
      <c r="LBU167" s="249"/>
      <c r="LBV167" s="249"/>
      <c r="LBW167" s="249"/>
      <c r="LBX167" s="249"/>
      <c r="LBY167" s="249"/>
      <c r="LBZ167" s="249"/>
      <c r="LCA167" s="249"/>
      <c r="LCB167" s="249"/>
      <c r="LCC167" s="249"/>
      <c r="LCD167" s="249"/>
      <c r="LCE167" s="249"/>
      <c r="LCF167" s="249"/>
      <c r="LCG167" s="249"/>
      <c r="LCH167" s="249"/>
      <c r="LCI167" s="249"/>
      <c r="LCJ167" s="249"/>
      <c r="LCK167" s="249"/>
      <c r="LCL167" s="249"/>
      <c r="LCM167" s="249"/>
      <c r="LCN167" s="249"/>
      <c r="LCO167" s="249"/>
      <c r="LCP167" s="249"/>
      <c r="LCQ167" s="249"/>
      <c r="LCR167" s="249"/>
      <c r="LCS167" s="249"/>
      <c r="LCT167" s="249"/>
      <c r="LCU167" s="249"/>
      <c r="LCV167" s="249"/>
      <c r="LCW167" s="249"/>
      <c r="LCX167" s="249"/>
      <c r="LCY167" s="249"/>
      <c r="LCZ167" s="249"/>
      <c r="LDA167" s="249"/>
      <c r="LDB167" s="249"/>
      <c r="LDC167" s="249"/>
      <c r="LDD167" s="249"/>
      <c r="LDE167" s="249"/>
      <c r="LDF167" s="249"/>
      <c r="LDG167" s="249"/>
      <c r="LDH167" s="249"/>
      <c r="LDI167" s="249"/>
      <c r="LDJ167" s="249"/>
      <c r="LDK167" s="249"/>
      <c r="LDL167" s="249"/>
      <c r="LDM167" s="249"/>
      <c r="LDN167" s="249"/>
      <c r="LDO167" s="249"/>
      <c r="LDP167" s="249"/>
      <c r="LDQ167" s="249"/>
      <c r="LDR167" s="249"/>
      <c r="LDS167" s="249"/>
      <c r="LDT167" s="249"/>
      <c r="LDU167" s="249"/>
      <c r="LDV167" s="249"/>
      <c r="LDW167" s="249"/>
      <c r="LDX167" s="249"/>
      <c r="LDY167" s="249"/>
      <c r="LDZ167" s="249"/>
      <c r="LEA167" s="249"/>
      <c r="LEB167" s="249"/>
      <c r="LEC167" s="249"/>
      <c r="LED167" s="249"/>
      <c r="LEE167" s="249"/>
      <c r="LEF167" s="249"/>
      <c r="LEG167" s="249"/>
      <c r="LEH167" s="249"/>
      <c r="LEI167" s="249"/>
      <c r="LEJ167" s="249"/>
      <c r="LEK167" s="249"/>
      <c r="LEL167" s="249"/>
      <c r="LEM167" s="249"/>
      <c r="LEN167" s="249"/>
      <c r="LEO167" s="249"/>
      <c r="LEP167" s="249"/>
      <c r="LEQ167" s="249"/>
      <c r="LER167" s="249"/>
      <c r="LES167" s="249"/>
      <c r="LET167" s="249"/>
      <c r="LEU167" s="249"/>
      <c r="LEV167" s="249"/>
      <c r="LEW167" s="249"/>
      <c r="LEX167" s="249"/>
      <c r="LEY167" s="249"/>
      <c r="LEZ167" s="249"/>
      <c r="LFA167" s="249"/>
      <c r="LFB167" s="249"/>
      <c r="LFC167" s="249"/>
      <c r="LFD167" s="249"/>
      <c r="LFE167" s="249"/>
      <c r="LFF167" s="249"/>
      <c r="LFG167" s="249"/>
      <c r="LFH167" s="249"/>
      <c r="LFI167" s="249"/>
      <c r="LFJ167" s="249"/>
      <c r="LFK167" s="249"/>
      <c r="LFL167" s="249"/>
      <c r="LFM167" s="249"/>
      <c r="LFN167" s="249"/>
      <c r="LFO167" s="249"/>
      <c r="LFP167" s="249"/>
      <c r="LFQ167" s="249"/>
      <c r="LFR167" s="249"/>
      <c r="LFS167" s="249"/>
      <c r="LFT167" s="249"/>
      <c r="LFU167" s="249"/>
      <c r="LFV167" s="249"/>
      <c r="LFW167" s="249"/>
      <c r="LFX167" s="249"/>
      <c r="LFY167" s="249"/>
      <c r="LFZ167" s="249"/>
      <c r="LGA167" s="249"/>
      <c r="LGB167" s="249"/>
      <c r="LGC167" s="249"/>
      <c r="LGD167" s="249"/>
      <c r="LGE167" s="249"/>
      <c r="LGF167" s="249"/>
      <c r="LGG167" s="249"/>
      <c r="LGH167" s="249"/>
      <c r="LGI167" s="249"/>
      <c r="LGJ167" s="249"/>
      <c r="LGK167" s="249"/>
      <c r="LGL167" s="249"/>
      <c r="LGM167" s="249"/>
      <c r="LGN167" s="249"/>
      <c r="LGO167" s="249"/>
      <c r="LGP167" s="249"/>
      <c r="LGQ167" s="249"/>
      <c r="LGR167" s="249"/>
      <c r="LGS167" s="249"/>
      <c r="LGT167" s="249"/>
      <c r="LGU167" s="249"/>
      <c r="LGV167" s="249"/>
      <c r="LGW167" s="249"/>
      <c r="LGX167" s="249"/>
      <c r="LGY167" s="249"/>
      <c r="LGZ167" s="249"/>
      <c r="LHA167" s="249"/>
      <c r="LHB167" s="249"/>
      <c r="LHC167" s="249"/>
      <c r="LHD167" s="249"/>
      <c r="LHE167" s="249"/>
      <c r="LHF167" s="249"/>
      <c r="LHG167" s="249"/>
      <c r="LHH167" s="249"/>
      <c r="LHI167" s="249"/>
      <c r="LHJ167" s="249"/>
      <c r="LHK167" s="249"/>
      <c r="LHL167" s="249"/>
      <c r="LHM167" s="249"/>
      <c r="LHN167" s="249"/>
      <c r="LHO167" s="249"/>
      <c r="LHP167" s="249"/>
      <c r="LHQ167" s="249"/>
      <c r="LHR167" s="249"/>
      <c r="LHS167" s="249"/>
      <c r="LHT167" s="249"/>
      <c r="LHU167" s="249"/>
      <c r="LHV167" s="249"/>
      <c r="LHW167" s="249"/>
      <c r="LHX167" s="249"/>
      <c r="LHY167" s="249"/>
      <c r="LHZ167" s="249"/>
      <c r="LIA167" s="249"/>
      <c r="LIB167" s="249"/>
      <c r="LIC167" s="249"/>
      <c r="LID167" s="249"/>
      <c r="LIE167" s="249"/>
      <c r="LIF167" s="249"/>
      <c r="LIG167" s="249"/>
      <c r="LIH167" s="249"/>
      <c r="LII167" s="249"/>
      <c r="LIJ167" s="249"/>
      <c r="LIK167" s="249"/>
      <c r="LIL167" s="249"/>
      <c r="LIM167" s="249"/>
      <c r="LIN167" s="249"/>
      <c r="LIO167" s="249"/>
      <c r="LIP167" s="249"/>
      <c r="LIQ167" s="249"/>
      <c r="LIR167" s="249"/>
      <c r="LIS167" s="249"/>
      <c r="LIT167" s="249"/>
      <c r="LIU167" s="249"/>
      <c r="LIV167" s="249"/>
      <c r="LIW167" s="249"/>
      <c r="LIX167" s="249"/>
      <c r="LIY167" s="249"/>
      <c r="LIZ167" s="249"/>
      <c r="LJA167" s="249"/>
      <c r="LJB167" s="249"/>
      <c r="LJC167" s="249"/>
      <c r="LJD167" s="249"/>
      <c r="LJE167" s="249"/>
      <c r="LJF167" s="249"/>
      <c r="LJG167" s="249"/>
      <c r="LJH167" s="249"/>
      <c r="LJI167" s="249"/>
      <c r="LJJ167" s="249"/>
      <c r="LJK167" s="249"/>
      <c r="LJL167" s="249"/>
      <c r="LJM167" s="249"/>
      <c r="LJN167" s="249"/>
      <c r="LJO167" s="249"/>
      <c r="LJP167" s="249"/>
      <c r="LJQ167" s="249"/>
      <c r="LJR167" s="249"/>
      <c r="LJS167" s="249"/>
      <c r="LJT167" s="249"/>
      <c r="LJU167" s="249"/>
      <c r="LJV167" s="249"/>
      <c r="LJW167" s="249"/>
      <c r="LJX167" s="249"/>
      <c r="LJY167" s="249"/>
      <c r="LJZ167" s="249"/>
      <c r="LKA167" s="249"/>
      <c r="LKB167" s="249"/>
      <c r="LKC167" s="249"/>
      <c r="LKD167" s="249"/>
      <c r="LKE167" s="249"/>
      <c r="LKF167" s="249"/>
      <c r="LKG167" s="249"/>
      <c r="LKH167" s="249"/>
      <c r="LKI167" s="249"/>
      <c r="LKJ167" s="249"/>
      <c r="LKK167" s="249"/>
      <c r="LKL167" s="249"/>
      <c r="LKM167" s="249"/>
      <c r="LKN167" s="249"/>
      <c r="LKO167" s="249"/>
      <c r="LKP167" s="249"/>
      <c r="LKQ167" s="249"/>
      <c r="LKR167" s="249"/>
      <c r="LKS167" s="249"/>
      <c r="LKT167" s="249"/>
      <c r="LKU167" s="249"/>
      <c r="LKV167" s="249"/>
      <c r="LKW167" s="249"/>
      <c r="LKX167" s="249"/>
      <c r="LKY167" s="249"/>
      <c r="LKZ167" s="249"/>
      <c r="LLA167" s="249"/>
      <c r="LLB167" s="249"/>
      <c r="LLC167" s="249"/>
      <c r="LLD167" s="249"/>
      <c r="LLE167" s="249"/>
      <c r="LLF167" s="249"/>
      <c r="LLG167" s="249"/>
      <c r="LLH167" s="249"/>
      <c r="LLI167" s="249"/>
      <c r="LLJ167" s="249"/>
      <c r="LLK167" s="249"/>
      <c r="LLL167" s="249"/>
      <c r="LLM167" s="249"/>
      <c r="LLN167" s="249"/>
      <c r="LLO167" s="249"/>
      <c r="LLP167" s="249"/>
      <c r="LLQ167" s="249"/>
      <c r="LLR167" s="249"/>
      <c r="LLS167" s="249"/>
      <c r="LLT167" s="249"/>
      <c r="LLU167" s="249"/>
      <c r="LLV167" s="249"/>
      <c r="LLW167" s="249"/>
      <c r="LLX167" s="249"/>
      <c r="LLY167" s="249"/>
      <c r="LLZ167" s="249"/>
      <c r="LMA167" s="249"/>
      <c r="LMB167" s="249"/>
      <c r="LMC167" s="249"/>
      <c r="LMD167" s="249"/>
      <c r="LME167" s="249"/>
      <c r="LMF167" s="249"/>
      <c r="LMG167" s="249"/>
      <c r="LMH167" s="249"/>
      <c r="LMI167" s="249"/>
      <c r="LMJ167" s="249"/>
      <c r="LMK167" s="249"/>
      <c r="LML167" s="249"/>
      <c r="LMM167" s="249"/>
      <c r="LMN167" s="249"/>
      <c r="LMO167" s="249"/>
      <c r="LMP167" s="249"/>
      <c r="LMQ167" s="249"/>
      <c r="LMR167" s="249"/>
      <c r="LMS167" s="249"/>
      <c r="LMT167" s="249"/>
      <c r="LMU167" s="249"/>
      <c r="LMV167" s="249"/>
      <c r="LMW167" s="249"/>
      <c r="LMX167" s="249"/>
      <c r="LMY167" s="249"/>
      <c r="LMZ167" s="249"/>
      <c r="LNA167" s="249"/>
      <c r="LNB167" s="249"/>
      <c r="LNC167" s="249"/>
      <c r="LND167" s="249"/>
      <c r="LNE167" s="249"/>
      <c r="LNF167" s="249"/>
      <c r="LNG167" s="249"/>
      <c r="LNH167" s="249"/>
      <c r="LNI167" s="249"/>
      <c r="LNJ167" s="249"/>
      <c r="LNK167" s="249"/>
      <c r="LNL167" s="249"/>
      <c r="LNM167" s="249"/>
      <c r="LNN167" s="249"/>
      <c r="LNO167" s="249"/>
      <c r="LNP167" s="249"/>
      <c r="LNQ167" s="249"/>
      <c r="LNR167" s="249"/>
      <c r="LNS167" s="249"/>
      <c r="LNT167" s="249"/>
      <c r="LNU167" s="249"/>
      <c r="LNV167" s="249"/>
      <c r="LNW167" s="249"/>
      <c r="LNX167" s="249"/>
      <c r="LNY167" s="249"/>
      <c r="LNZ167" s="249"/>
      <c r="LOA167" s="249"/>
      <c r="LOB167" s="249"/>
      <c r="LOC167" s="249"/>
      <c r="LOD167" s="249"/>
      <c r="LOE167" s="249"/>
      <c r="LOF167" s="249"/>
      <c r="LOG167" s="249"/>
      <c r="LOH167" s="249"/>
      <c r="LOI167" s="249"/>
      <c r="LOJ167" s="249"/>
      <c r="LOK167" s="249"/>
      <c r="LOL167" s="249"/>
      <c r="LOM167" s="249"/>
      <c r="LON167" s="249"/>
      <c r="LOO167" s="249"/>
      <c r="LOP167" s="249"/>
      <c r="LOQ167" s="249"/>
      <c r="LOR167" s="249"/>
      <c r="LOS167" s="249"/>
      <c r="LOT167" s="249"/>
      <c r="LOU167" s="249"/>
      <c r="LOV167" s="249"/>
      <c r="LOW167" s="249"/>
      <c r="LOX167" s="249"/>
      <c r="LOY167" s="249"/>
      <c r="LOZ167" s="249"/>
      <c r="LPA167" s="249"/>
      <c r="LPB167" s="249"/>
      <c r="LPC167" s="249"/>
      <c r="LPD167" s="249"/>
      <c r="LPE167" s="249"/>
      <c r="LPF167" s="249"/>
      <c r="LPG167" s="249"/>
      <c r="LPH167" s="249"/>
      <c r="LPI167" s="249"/>
      <c r="LPJ167" s="249"/>
      <c r="LPK167" s="249"/>
      <c r="LPL167" s="249"/>
      <c r="LPM167" s="249"/>
      <c r="LPN167" s="249"/>
      <c r="LPO167" s="249"/>
      <c r="LPP167" s="249"/>
      <c r="LPQ167" s="249"/>
      <c r="LPR167" s="249"/>
      <c r="LPS167" s="249"/>
      <c r="LPT167" s="249"/>
      <c r="LPU167" s="249"/>
      <c r="LPV167" s="249"/>
      <c r="LPW167" s="249"/>
      <c r="LPX167" s="249"/>
      <c r="LPY167" s="249"/>
      <c r="LPZ167" s="249"/>
      <c r="LQA167" s="249"/>
      <c r="LQB167" s="249"/>
      <c r="LQC167" s="249"/>
      <c r="LQD167" s="249"/>
      <c r="LQE167" s="249"/>
      <c r="LQF167" s="249"/>
      <c r="LQG167" s="249"/>
      <c r="LQH167" s="249"/>
      <c r="LQI167" s="249"/>
      <c r="LQJ167" s="249"/>
      <c r="LQK167" s="249"/>
      <c r="LQL167" s="249"/>
      <c r="LQM167" s="249"/>
      <c r="LQN167" s="249"/>
      <c r="LQO167" s="249"/>
      <c r="LQP167" s="249"/>
      <c r="LQQ167" s="249"/>
      <c r="LQR167" s="249"/>
      <c r="LQS167" s="249"/>
      <c r="LQT167" s="249"/>
      <c r="LQU167" s="249"/>
      <c r="LQV167" s="249"/>
      <c r="LQW167" s="249"/>
      <c r="LQX167" s="249"/>
      <c r="LQY167" s="249"/>
      <c r="LQZ167" s="249"/>
      <c r="LRA167" s="249"/>
      <c r="LRB167" s="249"/>
      <c r="LRC167" s="249"/>
      <c r="LRD167" s="249"/>
      <c r="LRE167" s="249"/>
      <c r="LRF167" s="249"/>
      <c r="LRG167" s="249"/>
      <c r="LRH167" s="249"/>
      <c r="LRI167" s="249"/>
      <c r="LRJ167" s="249"/>
      <c r="LRK167" s="249"/>
      <c r="LRL167" s="249"/>
      <c r="LRM167" s="249"/>
      <c r="LRN167" s="249"/>
      <c r="LRO167" s="249"/>
      <c r="LRP167" s="249"/>
      <c r="LRQ167" s="249"/>
      <c r="LRR167" s="249"/>
      <c r="LRS167" s="249"/>
      <c r="LRT167" s="249"/>
      <c r="LRU167" s="249"/>
      <c r="LRV167" s="249"/>
      <c r="LRW167" s="249"/>
      <c r="LRX167" s="249"/>
      <c r="LRY167" s="249"/>
      <c r="LRZ167" s="249"/>
      <c r="LSA167" s="249"/>
      <c r="LSB167" s="249"/>
      <c r="LSC167" s="249"/>
      <c r="LSD167" s="249"/>
      <c r="LSE167" s="249"/>
      <c r="LSF167" s="249"/>
      <c r="LSG167" s="249"/>
      <c r="LSH167" s="249"/>
      <c r="LSI167" s="249"/>
      <c r="LSJ167" s="249"/>
      <c r="LSK167" s="249"/>
      <c r="LSL167" s="249"/>
      <c r="LSM167" s="249"/>
      <c r="LSN167" s="249"/>
      <c r="LSO167" s="249"/>
      <c r="LSP167" s="249"/>
      <c r="LSQ167" s="249"/>
      <c r="LSR167" s="249"/>
      <c r="LSS167" s="249"/>
      <c r="LST167" s="249"/>
      <c r="LSU167" s="249"/>
      <c r="LSV167" s="249"/>
      <c r="LSW167" s="249"/>
      <c r="LSX167" s="249"/>
      <c r="LSY167" s="249"/>
      <c r="LSZ167" s="249"/>
      <c r="LTA167" s="249"/>
      <c r="LTB167" s="249"/>
      <c r="LTC167" s="249"/>
      <c r="LTD167" s="249"/>
      <c r="LTE167" s="249"/>
      <c r="LTF167" s="249"/>
      <c r="LTG167" s="249"/>
      <c r="LTH167" s="249"/>
      <c r="LTI167" s="249"/>
      <c r="LTJ167" s="249"/>
      <c r="LTK167" s="249"/>
      <c r="LTL167" s="249"/>
      <c r="LTM167" s="249"/>
      <c r="LTN167" s="249"/>
      <c r="LTO167" s="249"/>
      <c r="LTP167" s="249"/>
      <c r="LTQ167" s="249"/>
      <c r="LTR167" s="249"/>
      <c r="LTS167" s="249"/>
      <c r="LTT167" s="249"/>
      <c r="LTU167" s="249"/>
      <c r="LTV167" s="249"/>
      <c r="LTW167" s="249"/>
      <c r="LTX167" s="249"/>
      <c r="LTY167" s="249"/>
      <c r="LTZ167" s="249"/>
      <c r="LUA167" s="249"/>
      <c r="LUB167" s="249"/>
      <c r="LUC167" s="249"/>
      <c r="LUD167" s="249"/>
      <c r="LUE167" s="249"/>
      <c r="LUF167" s="249"/>
      <c r="LUG167" s="249"/>
      <c r="LUH167" s="249"/>
      <c r="LUI167" s="249"/>
      <c r="LUJ167" s="249"/>
      <c r="LUK167" s="249"/>
      <c r="LUL167" s="249"/>
      <c r="LUM167" s="249"/>
      <c r="LUN167" s="249"/>
      <c r="LUO167" s="249"/>
      <c r="LUP167" s="249"/>
      <c r="LUQ167" s="249"/>
      <c r="LUR167" s="249"/>
      <c r="LUS167" s="249"/>
      <c r="LUT167" s="249"/>
      <c r="LUU167" s="249"/>
      <c r="LUV167" s="249"/>
      <c r="LUW167" s="249"/>
      <c r="LUX167" s="249"/>
      <c r="LUY167" s="249"/>
      <c r="LUZ167" s="249"/>
      <c r="LVA167" s="249"/>
      <c r="LVB167" s="249"/>
      <c r="LVC167" s="249"/>
      <c r="LVD167" s="249"/>
      <c r="LVE167" s="249"/>
      <c r="LVF167" s="249"/>
      <c r="LVG167" s="249"/>
      <c r="LVH167" s="249"/>
      <c r="LVI167" s="249"/>
      <c r="LVJ167" s="249"/>
      <c r="LVK167" s="249"/>
      <c r="LVL167" s="249"/>
      <c r="LVM167" s="249"/>
      <c r="LVN167" s="249"/>
      <c r="LVO167" s="249"/>
      <c r="LVP167" s="249"/>
      <c r="LVQ167" s="249"/>
      <c r="LVR167" s="249"/>
      <c r="LVS167" s="249"/>
      <c r="LVT167" s="249"/>
      <c r="LVU167" s="249"/>
      <c r="LVV167" s="249"/>
      <c r="LVW167" s="249"/>
      <c r="LVX167" s="249"/>
      <c r="LVY167" s="249"/>
      <c r="LVZ167" s="249"/>
      <c r="LWA167" s="249"/>
      <c r="LWB167" s="249"/>
      <c r="LWC167" s="249"/>
      <c r="LWD167" s="249"/>
      <c r="LWE167" s="249"/>
      <c r="LWF167" s="249"/>
      <c r="LWG167" s="249"/>
      <c r="LWH167" s="249"/>
      <c r="LWI167" s="249"/>
      <c r="LWJ167" s="249"/>
      <c r="LWK167" s="249"/>
      <c r="LWL167" s="249"/>
      <c r="LWM167" s="249"/>
      <c r="LWN167" s="249"/>
      <c r="LWO167" s="249"/>
      <c r="LWP167" s="249"/>
      <c r="LWQ167" s="249"/>
      <c r="LWR167" s="249"/>
      <c r="LWS167" s="249"/>
      <c r="LWT167" s="249"/>
      <c r="LWU167" s="249"/>
      <c r="LWV167" s="249"/>
      <c r="LWW167" s="249"/>
      <c r="LWX167" s="249"/>
      <c r="LWY167" s="249"/>
      <c r="LWZ167" s="249"/>
      <c r="LXA167" s="249"/>
      <c r="LXB167" s="249"/>
      <c r="LXC167" s="249"/>
      <c r="LXD167" s="249"/>
      <c r="LXE167" s="249"/>
      <c r="LXF167" s="249"/>
      <c r="LXG167" s="249"/>
      <c r="LXH167" s="249"/>
      <c r="LXI167" s="249"/>
      <c r="LXJ167" s="249"/>
      <c r="LXK167" s="249"/>
      <c r="LXL167" s="249"/>
      <c r="LXM167" s="249"/>
      <c r="LXN167" s="249"/>
      <c r="LXO167" s="249"/>
      <c r="LXP167" s="249"/>
      <c r="LXQ167" s="249"/>
      <c r="LXR167" s="249"/>
      <c r="LXS167" s="249"/>
      <c r="LXT167" s="249"/>
      <c r="LXU167" s="249"/>
      <c r="LXV167" s="249"/>
      <c r="LXW167" s="249"/>
      <c r="LXX167" s="249"/>
      <c r="LXY167" s="249"/>
      <c r="LXZ167" s="249"/>
      <c r="LYA167" s="249"/>
      <c r="LYB167" s="249"/>
      <c r="LYC167" s="249"/>
      <c r="LYD167" s="249"/>
      <c r="LYE167" s="249"/>
      <c r="LYF167" s="249"/>
      <c r="LYG167" s="249"/>
      <c r="LYH167" s="249"/>
      <c r="LYI167" s="249"/>
      <c r="LYJ167" s="249"/>
      <c r="LYK167" s="249"/>
      <c r="LYL167" s="249"/>
      <c r="LYM167" s="249"/>
      <c r="LYN167" s="249"/>
      <c r="LYO167" s="249"/>
      <c r="LYP167" s="249"/>
      <c r="LYQ167" s="249"/>
      <c r="LYR167" s="249"/>
      <c r="LYS167" s="249"/>
      <c r="LYT167" s="249"/>
      <c r="LYU167" s="249"/>
      <c r="LYV167" s="249"/>
      <c r="LYW167" s="249"/>
      <c r="LYX167" s="249"/>
      <c r="LYY167" s="249"/>
      <c r="LYZ167" s="249"/>
      <c r="LZA167" s="249"/>
      <c r="LZB167" s="249"/>
      <c r="LZC167" s="249"/>
      <c r="LZD167" s="249"/>
      <c r="LZE167" s="249"/>
      <c r="LZF167" s="249"/>
      <c r="LZG167" s="249"/>
      <c r="LZH167" s="249"/>
      <c r="LZI167" s="249"/>
      <c r="LZJ167" s="249"/>
      <c r="LZK167" s="249"/>
      <c r="LZL167" s="249"/>
      <c r="LZM167" s="249"/>
      <c r="LZN167" s="249"/>
      <c r="LZO167" s="249"/>
      <c r="LZP167" s="249"/>
      <c r="LZQ167" s="249"/>
      <c r="LZR167" s="249"/>
      <c r="LZS167" s="249"/>
      <c r="LZT167" s="249"/>
      <c r="LZU167" s="249"/>
      <c r="LZV167" s="249"/>
      <c r="LZW167" s="249"/>
      <c r="LZX167" s="249"/>
      <c r="LZY167" s="249"/>
      <c r="LZZ167" s="249"/>
      <c r="MAA167" s="249"/>
      <c r="MAB167" s="249"/>
      <c r="MAC167" s="249"/>
      <c r="MAD167" s="249"/>
      <c r="MAE167" s="249"/>
      <c r="MAF167" s="249"/>
      <c r="MAG167" s="249"/>
      <c r="MAH167" s="249"/>
      <c r="MAI167" s="249"/>
      <c r="MAJ167" s="249"/>
      <c r="MAK167" s="249"/>
      <c r="MAL167" s="249"/>
      <c r="MAM167" s="249"/>
      <c r="MAN167" s="249"/>
      <c r="MAO167" s="249"/>
      <c r="MAP167" s="249"/>
      <c r="MAQ167" s="249"/>
      <c r="MAR167" s="249"/>
      <c r="MAS167" s="249"/>
      <c r="MAT167" s="249"/>
      <c r="MAU167" s="249"/>
      <c r="MAV167" s="249"/>
      <c r="MAW167" s="249"/>
      <c r="MAX167" s="249"/>
      <c r="MAY167" s="249"/>
      <c r="MAZ167" s="249"/>
      <c r="MBA167" s="249"/>
      <c r="MBB167" s="249"/>
      <c r="MBC167" s="249"/>
      <c r="MBD167" s="249"/>
      <c r="MBE167" s="249"/>
      <c r="MBF167" s="249"/>
      <c r="MBG167" s="249"/>
      <c r="MBH167" s="249"/>
      <c r="MBI167" s="249"/>
      <c r="MBJ167" s="249"/>
      <c r="MBK167" s="249"/>
      <c r="MBL167" s="249"/>
      <c r="MBM167" s="249"/>
      <c r="MBN167" s="249"/>
      <c r="MBO167" s="249"/>
      <c r="MBP167" s="249"/>
      <c r="MBQ167" s="249"/>
      <c r="MBR167" s="249"/>
      <c r="MBS167" s="249"/>
      <c r="MBT167" s="249"/>
      <c r="MBU167" s="249"/>
      <c r="MBV167" s="249"/>
      <c r="MBW167" s="249"/>
      <c r="MBX167" s="249"/>
      <c r="MBY167" s="249"/>
      <c r="MBZ167" s="249"/>
      <c r="MCA167" s="249"/>
      <c r="MCB167" s="249"/>
      <c r="MCC167" s="249"/>
      <c r="MCD167" s="249"/>
      <c r="MCE167" s="249"/>
      <c r="MCF167" s="249"/>
      <c r="MCG167" s="249"/>
      <c r="MCH167" s="249"/>
      <c r="MCI167" s="249"/>
      <c r="MCJ167" s="249"/>
      <c r="MCK167" s="249"/>
      <c r="MCL167" s="249"/>
      <c r="MCM167" s="249"/>
      <c r="MCN167" s="249"/>
      <c r="MCO167" s="249"/>
      <c r="MCP167" s="249"/>
      <c r="MCQ167" s="249"/>
      <c r="MCR167" s="249"/>
      <c r="MCS167" s="249"/>
      <c r="MCT167" s="249"/>
      <c r="MCU167" s="249"/>
      <c r="MCV167" s="249"/>
      <c r="MCW167" s="249"/>
      <c r="MCX167" s="249"/>
      <c r="MCY167" s="249"/>
      <c r="MCZ167" s="249"/>
      <c r="MDA167" s="249"/>
      <c r="MDB167" s="249"/>
      <c r="MDC167" s="249"/>
      <c r="MDD167" s="249"/>
      <c r="MDE167" s="249"/>
      <c r="MDF167" s="249"/>
      <c r="MDG167" s="249"/>
      <c r="MDH167" s="249"/>
      <c r="MDI167" s="249"/>
      <c r="MDJ167" s="249"/>
      <c r="MDK167" s="249"/>
      <c r="MDL167" s="249"/>
      <c r="MDM167" s="249"/>
      <c r="MDN167" s="249"/>
      <c r="MDO167" s="249"/>
      <c r="MDP167" s="249"/>
      <c r="MDQ167" s="249"/>
      <c r="MDR167" s="249"/>
      <c r="MDS167" s="249"/>
      <c r="MDT167" s="249"/>
      <c r="MDU167" s="249"/>
      <c r="MDV167" s="249"/>
      <c r="MDW167" s="249"/>
      <c r="MDX167" s="249"/>
      <c r="MDY167" s="249"/>
      <c r="MDZ167" s="249"/>
      <c r="MEA167" s="249"/>
      <c r="MEB167" s="249"/>
      <c r="MEC167" s="249"/>
      <c r="MED167" s="249"/>
      <c r="MEE167" s="249"/>
      <c r="MEF167" s="249"/>
      <c r="MEG167" s="249"/>
      <c r="MEH167" s="249"/>
      <c r="MEI167" s="249"/>
      <c r="MEJ167" s="249"/>
      <c r="MEK167" s="249"/>
      <c r="MEL167" s="249"/>
      <c r="MEM167" s="249"/>
      <c r="MEN167" s="249"/>
      <c r="MEO167" s="249"/>
      <c r="MEP167" s="249"/>
      <c r="MEQ167" s="249"/>
      <c r="MER167" s="249"/>
      <c r="MES167" s="249"/>
      <c r="MET167" s="249"/>
      <c r="MEU167" s="249"/>
      <c r="MEV167" s="249"/>
      <c r="MEW167" s="249"/>
      <c r="MEX167" s="249"/>
      <c r="MEY167" s="249"/>
      <c r="MEZ167" s="249"/>
      <c r="MFA167" s="249"/>
      <c r="MFB167" s="249"/>
      <c r="MFC167" s="249"/>
      <c r="MFD167" s="249"/>
      <c r="MFE167" s="249"/>
      <c r="MFF167" s="249"/>
      <c r="MFG167" s="249"/>
      <c r="MFH167" s="249"/>
      <c r="MFI167" s="249"/>
      <c r="MFJ167" s="249"/>
      <c r="MFK167" s="249"/>
      <c r="MFL167" s="249"/>
      <c r="MFM167" s="249"/>
      <c r="MFN167" s="249"/>
      <c r="MFO167" s="249"/>
      <c r="MFP167" s="249"/>
      <c r="MFQ167" s="249"/>
      <c r="MFR167" s="249"/>
      <c r="MFS167" s="249"/>
      <c r="MFT167" s="249"/>
      <c r="MFU167" s="249"/>
      <c r="MFV167" s="249"/>
      <c r="MFW167" s="249"/>
      <c r="MFX167" s="249"/>
      <c r="MFY167" s="249"/>
      <c r="MFZ167" s="249"/>
      <c r="MGA167" s="249"/>
      <c r="MGB167" s="249"/>
      <c r="MGC167" s="249"/>
      <c r="MGD167" s="249"/>
      <c r="MGE167" s="249"/>
      <c r="MGF167" s="249"/>
      <c r="MGG167" s="249"/>
      <c r="MGH167" s="249"/>
      <c r="MGI167" s="249"/>
      <c r="MGJ167" s="249"/>
      <c r="MGK167" s="249"/>
      <c r="MGL167" s="249"/>
      <c r="MGM167" s="249"/>
      <c r="MGN167" s="249"/>
      <c r="MGO167" s="249"/>
      <c r="MGP167" s="249"/>
      <c r="MGQ167" s="249"/>
      <c r="MGR167" s="249"/>
      <c r="MGS167" s="249"/>
      <c r="MGT167" s="249"/>
      <c r="MGU167" s="249"/>
      <c r="MGV167" s="249"/>
      <c r="MGW167" s="249"/>
      <c r="MGX167" s="249"/>
      <c r="MGY167" s="249"/>
      <c r="MGZ167" s="249"/>
      <c r="MHA167" s="249"/>
      <c r="MHB167" s="249"/>
      <c r="MHC167" s="249"/>
      <c r="MHD167" s="249"/>
      <c r="MHE167" s="249"/>
      <c r="MHF167" s="249"/>
      <c r="MHG167" s="249"/>
      <c r="MHH167" s="249"/>
      <c r="MHI167" s="249"/>
      <c r="MHJ167" s="249"/>
      <c r="MHK167" s="249"/>
      <c r="MHL167" s="249"/>
      <c r="MHM167" s="249"/>
      <c r="MHN167" s="249"/>
      <c r="MHO167" s="249"/>
      <c r="MHP167" s="249"/>
      <c r="MHQ167" s="249"/>
      <c r="MHR167" s="249"/>
      <c r="MHS167" s="249"/>
      <c r="MHT167" s="249"/>
      <c r="MHU167" s="249"/>
      <c r="MHV167" s="249"/>
      <c r="MHW167" s="249"/>
      <c r="MHX167" s="249"/>
      <c r="MHY167" s="249"/>
      <c r="MHZ167" s="249"/>
      <c r="MIA167" s="249"/>
      <c r="MIB167" s="249"/>
      <c r="MIC167" s="249"/>
      <c r="MID167" s="249"/>
      <c r="MIE167" s="249"/>
      <c r="MIF167" s="249"/>
      <c r="MIG167" s="249"/>
      <c r="MIH167" s="249"/>
      <c r="MII167" s="249"/>
      <c r="MIJ167" s="249"/>
      <c r="MIK167" s="249"/>
      <c r="MIL167" s="249"/>
      <c r="MIM167" s="249"/>
      <c r="MIN167" s="249"/>
      <c r="MIO167" s="249"/>
      <c r="MIP167" s="249"/>
      <c r="MIQ167" s="249"/>
      <c r="MIR167" s="249"/>
      <c r="MIS167" s="249"/>
      <c r="MIT167" s="249"/>
      <c r="MIU167" s="249"/>
      <c r="MIV167" s="249"/>
      <c r="MIW167" s="249"/>
      <c r="MIX167" s="249"/>
      <c r="MIY167" s="249"/>
      <c r="MIZ167" s="249"/>
      <c r="MJA167" s="249"/>
      <c r="MJB167" s="249"/>
      <c r="MJC167" s="249"/>
      <c r="MJD167" s="249"/>
      <c r="MJE167" s="249"/>
      <c r="MJF167" s="249"/>
      <c r="MJG167" s="249"/>
      <c r="MJH167" s="249"/>
      <c r="MJI167" s="249"/>
      <c r="MJJ167" s="249"/>
      <c r="MJK167" s="249"/>
      <c r="MJL167" s="249"/>
      <c r="MJM167" s="249"/>
      <c r="MJN167" s="249"/>
      <c r="MJO167" s="249"/>
      <c r="MJP167" s="249"/>
      <c r="MJQ167" s="249"/>
      <c r="MJR167" s="249"/>
      <c r="MJS167" s="249"/>
      <c r="MJT167" s="249"/>
      <c r="MJU167" s="249"/>
      <c r="MJV167" s="249"/>
      <c r="MJW167" s="249"/>
      <c r="MJX167" s="249"/>
      <c r="MJY167" s="249"/>
      <c r="MJZ167" s="249"/>
      <c r="MKA167" s="249"/>
      <c r="MKB167" s="249"/>
      <c r="MKC167" s="249"/>
      <c r="MKD167" s="249"/>
      <c r="MKE167" s="249"/>
      <c r="MKF167" s="249"/>
      <c r="MKG167" s="249"/>
      <c r="MKH167" s="249"/>
      <c r="MKI167" s="249"/>
      <c r="MKJ167" s="249"/>
      <c r="MKK167" s="249"/>
      <c r="MKL167" s="249"/>
      <c r="MKM167" s="249"/>
      <c r="MKN167" s="249"/>
      <c r="MKO167" s="249"/>
      <c r="MKP167" s="249"/>
      <c r="MKQ167" s="249"/>
      <c r="MKR167" s="249"/>
      <c r="MKS167" s="249"/>
      <c r="MKT167" s="249"/>
      <c r="MKU167" s="249"/>
      <c r="MKV167" s="249"/>
      <c r="MKW167" s="249"/>
      <c r="MKX167" s="249"/>
      <c r="MKY167" s="249"/>
      <c r="MKZ167" s="249"/>
      <c r="MLA167" s="249"/>
      <c r="MLB167" s="249"/>
      <c r="MLC167" s="249"/>
      <c r="MLD167" s="249"/>
      <c r="MLE167" s="249"/>
      <c r="MLF167" s="249"/>
      <c r="MLG167" s="249"/>
      <c r="MLH167" s="249"/>
      <c r="MLI167" s="249"/>
      <c r="MLJ167" s="249"/>
      <c r="MLK167" s="249"/>
      <c r="MLL167" s="249"/>
      <c r="MLM167" s="249"/>
      <c r="MLN167" s="249"/>
      <c r="MLO167" s="249"/>
      <c r="MLP167" s="249"/>
      <c r="MLQ167" s="249"/>
      <c r="MLR167" s="249"/>
      <c r="MLS167" s="249"/>
      <c r="MLT167" s="249"/>
      <c r="MLU167" s="249"/>
      <c r="MLV167" s="249"/>
      <c r="MLW167" s="249"/>
      <c r="MLX167" s="249"/>
      <c r="MLY167" s="249"/>
      <c r="MLZ167" s="249"/>
      <c r="MMA167" s="249"/>
      <c r="MMB167" s="249"/>
      <c r="MMC167" s="249"/>
      <c r="MMD167" s="249"/>
      <c r="MME167" s="249"/>
      <c r="MMF167" s="249"/>
      <c r="MMG167" s="249"/>
      <c r="MMH167" s="249"/>
      <c r="MMI167" s="249"/>
      <c r="MMJ167" s="249"/>
      <c r="MMK167" s="249"/>
      <c r="MML167" s="249"/>
      <c r="MMM167" s="249"/>
      <c r="MMN167" s="249"/>
      <c r="MMO167" s="249"/>
      <c r="MMP167" s="249"/>
      <c r="MMQ167" s="249"/>
      <c r="MMR167" s="249"/>
      <c r="MMS167" s="249"/>
      <c r="MMT167" s="249"/>
      <c r="MMU167" s="249"/>
      <c r="MMV167" s="249"/>
      <c r="MMW167" s="249"/>
      <c r="MMX167" s="249"/>
      <c r="MMY167" s="249"/>
      <c r="MMZ167" s="249"/>
      <c r="MNA167" s="249"/>
      <c r="MNB167" s="249"/>
      <c r="MNC167" s="249"/>
      <c r="MND167" s="249"/>
      <c r="MNE167" s="249"/>
      <c r="MNF167" s="249"/>
      <c r="MNG167" s="249"/>
      <c r="MNH167" s="249"/>
      <c r="MNI167" s="249"/>
      <c r="MNJ167" s="249"/>
      <c r="MNK167" s="249"/>
      <c r="MNL167" s="249"/>
      <c r="MNM167" s="249"/>
      <c r="MNN167" s="249"/>
      <c r="MNO167" s="249"/>
      <c r="MNP167" s="249"/>
      <c r="MNQ167" s="249"/>
      <c r="MNR167" s="249"/>
      <c r="MNS167" s="249"/>
      <c r="MNT167" s="249"/>
      <c r="MNU167" s="249"/>
      <c r="MNV167" s="249"/>
      <c r="MNW167" s="249"/>
      <c r="MNX167" s="249"/>
      <c r="MNY167" s="249"/>
      <c r="MNZ167" s="249"/>
      <c r="MOA167" s="249"/>
      <c r="MOB167" s="249"/>
      <c r="MOC167" s="249"/>
      <c r="MOD167" s="249"/>
      <c r="MOE167" s="249"/>
      <c r="MOF167" s="249"/>
      <c r="MOG167" s="249"/>
      <c r="MOH167" s="249"/>
      <c r="MOI167" s="249"/>
      <c r="MOJ167" s="249"/>
      <c r="MOK167" s="249"/>
      <c r="MOL167" s="249"/>
      <c r="MOM167" s="249"/>
      <c r="MON167" s="249"/>
      <c r="MOO167" s="249"/>
      <c r="MOP167" s="249"/>
      <c r="MOQ167" s="249"/>
      <c r="MOR167" s="249"/>
      <c r="MOS167" s="249"/>
      <c r="MOT167" s="249"/>
      <c r="MOU167" s="249"/>
      <c r="MOV167" s="249"/>
      <c r="MOW167" s="249"/>
      <c r="MOX167" s="249"/>
      <c r="MOY167" s="249"/>
      <c r="MOZ167" s="249"/>
      <c r="MPA167" s="249"/>
      <c r="MPB167" s="249"/>
      <c r="MPC167" s="249"/>
      <c r="MPD167" s="249"/>
      <c r="MPE167" s="249"/>
      <c r="MPF167" s="249"/>
      <c r="MPG167" s="249"/>
      <c r="MPH167" s="249"/>
      <c r="MPI167" s="249"/>
      <c r="MPJ167" s="249"/>
      <c r="MPK167" s="249"/>
      <c r="MPL167" s="249"/>
      <c r="MPM167" s="249"/>
      <c r="MPN167" s="249"/>
      <c r="MPO167" s="249"/>
      <c r="MPP167" s="249"/>
      <c r="MPQ167" s="249"/>
      <c r="MPR167" s="249"/>
      <c r="MPS167" s="249"/>
      <c r="MPT167" s="249"/>
      <c r="MPU167" s="249"/>
      <c r="MPV167" s="249"/>
      <c r="MPW167" s="249"/>
      <c r="MPX167" s="249"/>
      <c r="MPY167" s="249"/>
      <c r="MPZ167" s="249"/>
      <c r="MQA167" s="249"/>
      <c r="MQB167" s="249"/>
      <c r="MQC167" s="249"/>
      <c r="MQD167" s="249"/>
      <c r="MQE167" s="249"/>
      <c r="MQF167" s="249"/>
      <c r="MQG167" s="249"/>
      <c r="MQH167" s="249"/>
      <c r="MQI167" s="249"/>
      <c r="MQJ167" s="249"/>
      <c r="MQK167" s="249"/>
      <c r="MQL167" s="249"/>
      <c r="MQM167" s="249"/>
      <c r="MQN167" s="249"/>
      <c r="MQO167" s="249"/>
      <c r="MQP167" s="249"/>
      <c r="MQQ167" s="249"/>
      <c r="MQR167" s="249"/>
      <c r="MQS167" s="249"/>
      <c r="MQT167" s="249"/>
      <c r="MQU167" s="249"/>
      <c r="MQV167" s="249"/>
      <c r="MQW167" s="249"/>
      <c r="MQX167" s="249"/>
      <c r="MQY167" s="249"/>
      <c r="MQZ167" s="249"/>
      <c r="MRA167" s="249"/>
      <c r="MRB167" s="249"/>
      <c r="MRC167" s="249"/>
      <c r="MRD167" s="249"/>
      <c r="MRE167" s="249"/>
      <c r="MRF167" s="249"/>
      <c r="MRG167" s="249"/>
      <c r="MRH167" s="249"/>
      <c r="MRI167" s="249"/>
      <c r="MRJ167" s="249"/>
      <c r="MRK167" s="249"/>
      <c r="MRL167" s="249"/>
      <c r="MRM167" s="249"/>
      <c r="MRN167" s="249"/>
      <c r="MRO167" s="249"/>
      <c r="MRP167" s="249"/>
      <c r="MRQ167" s="249"/>
      <c r="MRR167" s="249"/>
      <c r="MRS167" s="249"/>
      <c r="MRT167" s="249"/>
      <c r="MRU167" s="249"/>
      <c r="MRV167" s="249"/>
      <c r="MRW167" s="249"/>
      <c r="MRX167" s="249"/>
      <c r="MRY167" s="249"/>
      <c r="MRZ167" s="249"/>
      <c r="MSA167" s="249"/>
      <c r="MSB167" s="249"/>
      <c r="MSC167" s="249"/>
      <c r="MSD167" s="249"/>
      <c r="MSE167" s="249"/>
      <c r="MSF167" s="249"/>
      <c r="MSG167" s="249"/>
      <c r="MSH167" s="249"/>
      <c r="MSI167" s="249"/>
      <c r="MSJ167" s="249"/>
      <c r="MSK167" s="249"/>
      <c r="MSL167" s="249"/>
      <c r="MSM167" s="249"/>
      <c r="MSN167" s="249"/>
      <c r="MSO167" s="249"/>
      <c r="MSP167" s="249"/>
      <c r="MSQ167" s="249"/>
      <c r="MSR167" s="249"/>
      <c r="MSS167" s="249"/>
      <c r="MST167" s="249"/>
      <c r="MSU167" s="249"/>
      <c r="MSV167" s="249"/>
      <c r="MSW167" s="249"/>
      <c r="MSX167" s="249"/>
      <c r="MSY167" s="249"/>
      <c r="MSZ167" s="249"/>
      <c r="MTA167" s="249"/>
      <c r="MTB167" s="249"/>
      <c r="MTC167" s="249"/>
      <c r="MTD167" s="249"/>
      <c r="MTE167" s="249"/>
      <c r="MTF167" s="249"/>
      <c r="MTG167" s="249"/>
      <c r="MTH167" s="249"/>
      <c r="MTI167" s="249"/>
      <c r="MTJ167" s="249"/>
      <c r="MTK167" s="249"/>
      <c r="MTL167" s="249"/>
      <c r="MTM167" s="249"/>
      <c r="MTN167" s="249"/>
      <c r="MTO167" s="249"/>
      <c r="MTP167" s="249"/>
      <c r="MTQ167" s="249"/>
      <c r="MTR167" s="249"/>
      <c r="MTS167" s="249"/>
      <c r="MTT167" s="249"/>
      <c r="MTU167" s="249"/>
      <c r="MTV167" s="249"/>
      <c r="MTW167" s="249"/>
      <c r="MTX167" s="249"/>
      <c r="MTY167" s="249"/>
      <c r="MTZ167" s="249"/>
      <c r="MUA167" s="249"/>
      <c r="MUB167" s="249"/>
      <c r="MUC167" s="249"/>
      <c r="MUD167" s="249"/>
      <c r="MUE167" s="249"/>
      <c r="MUF167" s="249"/>
      <c r="MUG167" s="249"/>
      <c r="MUH167" s="249"/>
      <c r="MUI167" s="249"/>
      <c r="MUJ167" s="249"/>
      <c r="MUK167" s="249"/>
      <c r="MUL167" s="249"/>
      <c r="MUM167" s="249"/>
      <c r="MUN167" s="249"/>
      <c r="MUO167" s="249"/>
      <c r="MUP167" s="249"/>
      <c r="MUQ167" s="249"/>
      <c r="MUR167" s="249"/>
      <c r="MUS167" s="249"/>
      <c r="MUT167" s="249"/>
      <c r="MUU167" s="249"/>
      <c r="MUV167" s="249"/>
      <c r="MUW167" s="249"/>
      <c r="MUX167" s="249"/>
      <c r="MUY167" s="249"/>
      <c r="MUZ167" s="249"/>
      <c r="MVA167" s="249"/>
      <c r="MVB167" s="249"/>
      <c r="MVC167" s="249"/>
      <c r="MVD167" s="249"/>
      <c r="MVE167" s="249"/>
      <c r="MVF167" s="249"/>
      <c r="MVG167" s="249"/>
      <c r="MVH167" s="249"/>
      <c r="MVI167" s="249"/>
      <c r="MVJ167" s="249"/>
      <c r="MVK167" s="249"/>
      <c r="MVL167" s="249"/>
      <c r="MVM167" s="249"/>
      <c r="MVN167" s="249"/>
      <c r="MVO167" s="249"/>
      <c r="MVP167" s="249"/>
      <c r="MVQ167" s="249"/>
      <c r="MVR167" s="249"/>
      <c r="MVS167" s="249"/>
      <c r="MVT167" s="249"/>
      <c r="MVU167" s="249"/>
      <c r="MVV167" s="249"/>
      <c r="MVW167" s="249"/>
      <c r="MVX167" s="249"/>
      <c r="MVY167" s="249"/>
      <c r="MVZ167" s="249"/>
      <c r="MWA167" s="249"/>
      <c r="MWB167" s="249"/>
      <c r="MWC167" s="249"/>
      <c r="MWD167" s="249"/>
      <c r="MWE167" s="249"/>
      <c r="MWF167" s="249"/>
      <c r="MWG167" s="249"/>
      <c r="MWH167" s="249"/>
      <c r="MWI167" s="249"/>
      <c r="MWJ167" s="249"/>
      <c r="MWK167" s="249"/>
      <c r="MWL167" s="249"/>
      <c r="MWM167" s="249"/>
      <c r="MWN167" s="249"/>
      <c r="MWO167" s="249"/>
      <c r="MWP167" s="249"/>
      <c r="MWQ167" s="249"/>
      <c r="MWR167" s="249"/>
      <c r="MWS167" s="249"/>
      <c r="MWT167" s="249"/>
      <c r="MWU167" s="249"/>
      <c r="MWV167" s="249"/>
      <c r="MWW167" s="249"/>
      <c r="MWX167" s="249"/>
      <c r="MWY167" s="249"/>
      <c r="MWZ167" s="249"/>
      <c r="MXA167" s="249"/>
      <c r="MXB167" s="249"/>
      <c r="MXC167" s="249"/>
      <c r="MXD167" s="249"/>
      <c r="MXE167" s="249"/>
      <c r="MXF167" s="249"/>
      <c r="MXG167" s="249"/>
      <c r="MXH167" s="249"/>
      <c r="MXI167" s="249"/>
      <c r="MXJ167" s="249"/>
      <c r="MXK167" s="249"/>
      <c r="MXL167" s="249"/>
      <c r="MXM167" s="249"/>
      <c r="MXN167" s="249"/>
      <c r="MXO167" s="249"/>
      <c r="MXP167" s="249"/>
      <c r="MXQ167" s="249"/>
      <c r="MXR167" s="249"/>
      <c r="MXS167" s="249"/>
      <c r="MXT167" s="249"/>
      <c r="MXU167" s="249"/>
      <c r="MXV167" s="249"/>
      <c r="MXW167" s="249"/>
      <c r="MXX167" s="249"/>
      <c r="MXY167" s="249"/>
      <c r="MXZ167" s="249"/>
      <c r="MYA167" s="249"/>
      <c r="MYB167" s="249"/>
      <c r="MYC167" s="249"/>
      <c r="MYD167" s="249"/>
      <c r="MYE167" s="249"/>
      <c r="MYF167" s="249"/>
      <c r="MYG167" s="249"/>
      <c r="MYH167" s="249"/>
      <c r="MYI167" s="249"/>
      <c r="MYJ167" s="249"/>
      <c r="MYK167" s="249"/>
      <c r="MYL167" s="249"/>
      <c r="MYM167" s="249"/>
      <c r="MYN167" s="249"/>
      <c r="MYO167" s="249"/>
      <c r="MYP167" s="249"/>
      <c r="MYQ167" s="249"/>
      <c r="MYR167" s="249"/>
      <c r="MYS167" s="249"/>
      <c r="MYT167" s="249"/>
      <c r="MYU167" s="249"/>
      <c r="MYV167" s="249"/>
      <c r="MYW167" s="249"/>
      <c r="MYX167" s="249"/>
      <c r="MYY167" s="249"/>
      <c r="MYZ167" s="249"/>
      <c r="MZA167" s="249"/>
      <c r="MZB167" s="249"/>
      <c r="MZC167" s="249"/>
      <c r="MZD167" s="249"/>
      <c r="MZE167" s="249"/>
      <c r="MZF167" s="249"/>
      <c r="MZG167" s="249"/>
      <c r="MZH167" s="249"/>
      <c r="MZI167" s="249"/>
      <c r="MZJ167" s="249"/>
      <c r="MZK167" s="249"/>
      <c r="MZL167" s="249"/>
      <c r="MZM167" s="249"/>
      <c r="MZN167" s="249"/>
      <c r="MZO167" s="249"/>
      <c r="MZP167" s="249"/>
      <c r="MZQ167" s="249"/>
      <c r="MZR167" s="249"/>
      <c r="MZS167" s="249"/>
      <c r="MZT167" s="249"/>
      <c r="MZU167" s="249"/>
      <c r="MZV167" s="249"/>
      <c r="MZW167" s="249"/>
      <c r="MZX167" s="249"/>
      <c r="MZY167" s="249"/>
      <c r="MZZ167" s="249"/>
      <c r="NAA167" s="249"/>
      <c r="NAB167" s="249"/>
      <c r="NAC167" s="249"/>
      <c r="NAD167" s="249"/>
      <c r="NAE167" s="249"/>
      <c r="NAF167" s="249"/>
      <c r="NAG167" s="249"/>
      <c r="NAH167" s="249"/>
      <c r="NAI167" s="249"/>
      <c r="NAJ167" s="249"/>
      <c r="NAK167" s="249"/>
      <c r="NAL167" s="249"/>
      <c r="NAM167" s="249"/>
      <c r="NAN167" s="249"/>
      <c r="NAO167" s="249"/>
      <c r="NAP167" s="249"/>
      <c r="NAQ167" s="249"/>
      <c r="NAR167" s="249"/>
      <c r="NAS167" s="249"/>
      <c r="NAT167" s="249"/>
      <c r="NAU167" s="249"/>
      <c r="NAV167" s="249"/>
      <c r="NAW167" s="249"/>
      <c r="NAX167" s="249"/>
      <c r="NAY167" s="249"/>
      <c r="NAZ167" s="249"/>
      <c r="NBA167" s="249"/>
      <c r="NBB167" s="249"/>
      <c r="NBC167" s="249"/>
      <c r="NBD167" s="249"/>
      <c r="NBE167" s="249"/>
      <c r="NBF167" s="249"/>
      <c r="NBG167" s="249"/>
      <c r="NBH167" s="249"/>
      <c r="NBI167" s="249"/>
      <c r="NBJ167" s="249"/>
      <c r="NBK167" s="249"/>
      <c r="NBL167" s="249"/>
      <c r="NBM167" s="249"/>
      <c r="NBN167" s="249"/>
      <c r="NBO167" s="249"/>
      <c r="NBP167" s="249"/>
      <c r="NBQ167" s="249"/>
      <c r="NBR167" s="249"/>
      <c r="NBS167" s="249"/>
      <c r="NBT167" s="249"/>
      <c r="NBU167" s="249"/>
      <c r="NBV167" s="249"/>
      <c r="NBW167" s="249"/>
      <c r="NBX167" s="249"/>
      <c r="NBY167" s="249"/>
      <c r="NBZ167" s="249"/>
      <c r="NCA167" s="249"/>
      <c r="NCB167" s="249"/>
      <c r="NCC167" s="249"/>
      <c r="NCD167" s="249"/>
      <c r="NCE167" s="249"/>
      <c r="NCF167" s="249"/>
      <c r="NCG167" s="249"/>
      <c r="NCH167" s="249"/>
      <c r="NCI167" s="249"/>
      <c r="NCJ167" s="249"/>
      <c r="NCK167" s="249"/>
      <c r="NCL167" s="249"/>
      <c r="NCM167" s="249"/>
      <c r="NCN167" s="249"/>
      <c r="NCO167" s="249"/>
      <c r="NCP167" s="249"/>
      <c r="NCQ167" s="249"/>
      <c r="NCR167" s="249"/>
      <c r="NCS167" s="249"/>
      <c r="NCT167" s="249"/>
      <c r="NCU167" s="249"/>
      <c r="NCV167" s="249"/>
      <c r="NCW167" s="249"/>
      <c r="NCX167" s="249"/>
      <c r="NCY167" s="249"/>
      <c r="NCZ167" s="249"/>
      <c r="NDA167" s="249"/>
      <c r="NDB167" s="249"/>
      <c r="NDC167" s="249"/>
      <c r="NDD167" s="249"/>
      <c r="NDE167" s="249"/>
      <c r="NDF167" s="249"/>
      <c r="NDG167" s="249"/>
      <c r="NDH167" s="249"/>
      <c r="NDI167" s="249"/>
      <c r="NDJ167" s="249"/>
      <c r="NDK167" s="249"/>
      <c r="NDL167" s="249"/>
      <c r="NDM167" s="249"/>
      <c r="NDN167" s="249"/>
      <c r="NDO167" s="249"/>
      <c r="NDP167" s="249"/>
      <c r="NDQ167" s="249"/>
      <c r="NDR167" s="249"/>
      <c r="NDS167" s="249"/>
      <c r="NDT167" s="249"/>
      <c r="NDU167" s="249"/>
      <c r="NDV167" s="249"/>
      <c r="NDW167" s="249"/>
      <c r="NDX167" s="249"/>
      <c r="NDY167" s="249"/>
      <c r="NDZ167" s="249"/>
      <c r="NEA167" s="249"/>
      <c r="NEB167" s="249"/>
      <c r="NEC167" s="249"/>
      <c r="NED167" s="249"/>
      <c r="NEE167" s="249"/>
      <c r="NEF167" s="249"/>
      <c r="NEG167" s="249"/>
      <c r="NEH167" s="249"/>
      <c r="NEI167" s="249"/>
      <c r="NEJ167" s="249"/>
      <c r="NEK167" s="249"/>
      <c r="NEL167" s="249"/>
      <c r="NEM167" s="249"/>
      <c r="NEN167" s="249"/>
      <c r="NEO167" s="249"/>
      <c r="NEP167" s="249"/>
      <c r="NEQ167" s="249"/>
      <c r="NER167" s="249"/>
      <c r="NES167" s="249"/>
      <c r="NET167" s="249"/>
      <c r="NEU167" s="249"/>
      <c r="NEV167" s="249"/>
      <c r="NEW167" s="249"/>
      <c r="NEX167" s="249"/>
      <c r="NEY167" s="249"/>
      <c r="NEZ167" s="249"/>
      <c r="NFA167" s="249"/>
      <c r="NFB167" s="249"/>
      <c r="NFC167" s="249"/>
      <c r="NFD167" s="249"/>
      <c r="NFE167" s="249"/>
      <c r="NFF167" s="249"/>
      <c r="NFG167" s="249"/>
      <c r="NFH167" s="249"/>
      <c r="NFI167" s="249"/>
      <c r="NFJ167" s="249"/>
      <c r="NFK167" s="249"/>
      <c r="NFL167" s="249"/>
      <c r="NFM167" s="249"/>
      <c r="NFN167" s="249"/>
      <c r="NFO167" s="249"/>
      <c r="NFP167" s="249"/>
      <c r="NFQ167" s="249"/>
      <c r="NFR167" s="249"/>
      <c r="NFS167" s="249"/>
      <c r="NFT167" s="249"/>
      <c r="NFU167" s="249"/>
      <c r="NFV167" s="249"/>
      <c r="NFW167" s="249"/>
      <c r="NFX167" s="249"/>
      <c r="NFY167" s="249"/>
      <c r="NFZ167" s="249"/>
      <c r="NGA167" s="249"/>
      <c r="NGB167" s="249"/>
      <c r="NGC167" s="249"/>
      <c r="NGD167" s="249"/>
      <c r="NGE167" s="249"/>
      <c r="NGF167" s="249"/>
      <c r="NGG167" s="249"/>
      <c r="NGH167" s="249"/>
      <c r="NGI167" s="249"/>
      <c r="NGJ167" s="249"/>
      <c r="NGK167" s="249"/>
      <c r="NGL167" s="249"/>
      <c r="NGM167" s="249"/>
      <c r="NGN167" s="249"/>
      <c r="NGO167" s="249"/>
      <c r="NGP167" s="249"/>
      <c r="NGQ167" s="249"/>
      <c r="NGR167" s="249"/>
      <c r="NGS167" s="249"/>
      <c r="NGT167" s="249"/>
      <c r="NGU167" s="249"/>
      <c r="NGV167" s="249"/>
      <c r="NGW167" s="249"/>
      <c r="NGX167" s="249"/>
      <c r="NGY167" s="249"/>
      <c r="NGZ167" s="249"/>
      <c r="NHA167" s="249"/>
      <c r="NHB167" s="249"/>
      <c r="NHC167" s="249"/>
      <c r="NHD167" s="249"/>
      <c r="NHE167" s="249"/>
      <c r="NHF167" s="249"/>
      <c r="NHG167" s="249"/>
      <c r="NHH167" s="249"/>
      <c r="NHI167" s="249"/>
      <c r="NHJ167" s="249"/>
      <c r="NHK167" s="249"/>
      <c r="NHL167" s="249"/>
      <c r="NHM167" s="249"/>
      <c r="NHN167" s="249"/>
      <c r="NHO167" s="249"/>
      <c r="NHP167" s="249"/>
      <c r="NHQ167" s="249"/>
      <c r="NHR167" s="249"/>
      <c r="NHS167" s="249"/>
      <c r="NHT167" s="249"/>
      <c r="NHU167" s="249"/>
      <c r="NHV167" s="249"/>
      <c r="NHW167" s="249"/>
      <c r="NHX167" s="249"/>
      <c r="NHY167" s="249"/>
      <c r="NHZ167" s="249"/>
      <c r="NIA167" s="249"/>
      <c r="NIB167" s="249"/>
      <c r="NIC167" s="249"/>
      <c r="NID167" s="249"/>
      <c r="NIE167" s="249"/>
      <c r="NIF167" s="249"/>
      <c r="NIG167" s="249"/>
      <c r="NIH167" s="249"/>
      <c r="NII167" s="249"/>
      <c r="NIJ167" s="249"/>
      <c r="NIK167" s="249"/>
      <c r="NIL167" s="249"/>
      <c r="NIM167" s="249"/>
      <c r="NIN167" s="249"/>
      <c r="NIO167" s="249"/>
      <c r="NIP167" s="249"/>
      <c r="NIQ167" s="249"/>
      <c r="NIR167" s="249"/>
      <c r="NIS167" s="249"/>
      <c r="NIT167" s="249"/>
      <c r="NIU167" s="249"/>
      <c r="NIV167" s="249"/>
      <c r="NIW167" s="249"/>
      <c r="NIX167" s="249"/>
      <c r="NIY167" s="249"/>
      <c r="NIZ167" s="249"/>
      <c r="NJA167" s="249"/>
      <c r="NJB167" s="249"/>
      <c r="NJC167" s="249"/>
      <c r="NJD167" s="249"/>
      <c r="NJE167" s="249"/>
      <c r="NJF167" s="249"/>
      <c r="NJG167" s="249"/>
      <c r="NJH167" s="249"/>
      <c r="NJI167" s="249"/>
      <c r="NJJ167" s="249"/>
      <c r="NJK167" s="249"/>
      <c r="NJL167" s="249"/>
      <c r="NJM167" s="249"/>
      <c r="NJN167" s="249"/>
      <c r="NJO167" s="249"/>
      <c r="NJP167" s="249"/>
      <c r="NJQ167" s="249"/>
      <c r="NJR167" s="249"/>
      <c r="NJS167" s="249"/>
      <c r="NJT167" s="249"/>
      <c r="NJU167" s="249"/>
      <c r="NJV167" s="249"/>
      <c r="NJW167" s="249"/>
      <c r="NJX167" s="249"/>
      <c r="NJY167" s="249"/>
      <c r="NJZ167" s="249"/>
      <c r="NKA167" s="249"/>
      <c r="NKB167" s="249"/>
      <c r="NKC167" s="249"/>
      <c r="NKD167" s="249"/>
      <c r="NKE167" s="249"/>
      <c r="NKF167" s="249"/>
      <c r="NKG167" s="249"/>
      <c r="NKH167" s="249"/>
      <c r="NKI167" s="249"/>
      <c r="NKJ167" s="249"/>
      <c r="NKK167" s="249"/>
      <c r="NKL167" s="249"/>
      <c r="NKM167" s="249"/>
      <c r="NKN167" s="249"/>
      <c r="NKO167" s="249"/>
      <c r="NKP167" s="249"/>
      <c r="NKQ167" s="249"/>
      <c r="NKR167" s="249"/>
      <c r="NKS167" s="249"/>
      <c r="NKT167" s="249"/>
      <c r="NKU167" s="249"/>
      <c r="NKV167" s="249"/>
      <c r="NKW167" s="249"/>
      <c r="NKX167" s="249"/>
      <c r="NKY167" s="249"/>
      <c r="NKZ167" s="249"/>
      <c r="NLA167" s="249"/>
      <c r="NLB167" s="249"/>
      <c r="NLC167" s="249"/>
      <c r="NLD167" s="249"/>
      <c r="NLE167" s="249"/>
      <c r="NLF167" s="249"/>
      <c r="NLG167" s="249"/>
      <c r="NLH167" s="249"/>
      <c r="NLI167" s="249"/>
      <c r="NLJ167" s="249"/>
      <c r="NLK167" s="249"/>
      <c r="NLL167" s="249"/>
      <c r="NLM167" s="249"/>
      <c r="NLN167" s="249"/>
      <c r="NLO167" s="249"/>
      <c r="NLP167" s="249"/>
      <c r="NLQ167" s="249"/>
      <c r="NLR167" s="249"/>
      <c r="NLS167" s="249"/>
      <c r="NLT167" s="249"/>
      <c r="NLU167" s="249"/>
      <c r="NLV167" s="249"/>
      <c r="NLW167" s="249"/>
      <c r="NLX167" s="249"/>
      <c r="NLY167" s="249"/>
      <c r="NLZ167" s="249"/>
      <c r="NMA167" s="249"/>
      <c r="NMB167" s="249"/>
      <c r="NMC167" s="249"/>
      <c r="NMD167" s="249"/>
      <c r="NME167" s="249"/>
      <c r="NMF167" s="249"/>
      <c r="NMG167" s="249"/>
      <c r="NMH167" s="249"/>
      <c r="NMI167" s="249"/>
      <c r="NMJ167" s="249"/>
      <c r="NMK167" s="249"/>
      <c r="NML167" s="249"/>
      <c r="NMM167" s="249"/>
      <c r="NMN167" s="249"/>
      <c r="NMO167" s="249"/>
      <c r="NMP167" s="249"/>
      <c r="NMQ167" s="249"/>
      <c r="NMR167" s="249"/>
      <c r="NMS167" s="249"/>
      <c r="NMT167" s="249"/>
      <c r="NMU167" s="249"/>
      <c r="NMV167" s="249"/>
      <c r="NMW167" s="249"/>
      <c r="NMX167" s="249"/>
      <c r="NMY167" s="249"/>
      <c r="NMZ167" s="249"/>
      <c r="NNA167" s="249"/>
      <c r="NNB167" s="249"/>
      <c r="NNC167" s="249"/>
      <c r="NND167" s="249"/>
      <c r="NNE167" s="249"/>
      <c r="NNF167" s="249"/>
      <c r="NNG167" s="249"/>
      <c r="NNH167" s="249"/>
      <c r="NNI167" s="249"/>
      <c r="NNJ167" s="249"/>
      <c r="NNK167" s="249"/>
      <c r="NNL167" s="249"/>
      <c r="NNM167" s="249"/>
      <c r="NNN167" s="249"/>
      <c r="NNO167" s="249"/>
      <c r="NNP167" s="249"/>
      <c r="NNQ167" s="249"/>
      <c r="NNR167" s="249"/>
      <c r="NNS167" s="249"/>
      <c r="NNT167" s="249"/>
      <c r="NNU167" s="249"/>
      <c r="NNV167" s="249"/>
      <c r="NNW167" s="249"/>
      <c r="NNX167" s="249"/>
      <c r="NNY167" s="249"/>
      <c r="NNZ167" s="249"/>
      <c r="NOA167" s="249"/>
      <c r="NOB167" s="249"/>
      <c r="NOC167" s="249"/>
      <c r="NOD167" s="249"/>
      <c r="NOE167" s="249"/>
      <c r="NOF167" s="249"/>
      <c r="NOG167" s="249"/>
      <c r="NOH167" s="249"/>
      <c r="NOI167" s="249"/>
      <c r="NOJ167" s="249"/>
      <c r="NOK167" s="249"/>
      <c r="NOL167" s="249"/>
      <c r="NOM167" s="249"/>
      <c r="NON167" s="249"/>
      <c r="NOO167" s="249"/>
      <c r="NOP167" s="249"/>
      <c r="NOQ167" s="249"/>
      <c r="NOR167" s="249"/>
      <c r="NOS167" s="249"/>
      <c r="NOT167" s="249"/>
      <c r="NOU167" s="249"/>
      <c r="NOV167" s="249"/>
      <c r="NOW167" s="249"/>
      <c r="NOX167" s="249"/>
      <c r="NOY167" s="249"/>
      <c r="NOZ167" s="249"/>
      <c r="NPA167" s="249"/>
      <c r="NPB167" s="249"/>
      <c r="NPC167" s="249"/>
      <c r="NPD167" s="249"/>
      <c r="NPE167" s="249"/>
      <c r="NPF167" s="249"/>
      <c r="NPG167" s="249"/>
      <c r="NPH167" s="249"/>
      <c r="NPI167" s="249"/>
      <c r="NPJ167" s="249"/>
      <c r="NPK167" s="249"/>
      <c r="NPL167" s="249"/>
      <c r="NPM167" s="249"/>
      <c r="NPN167" s="249"/>
      <c r="NPO167" s="249"/>
      <c r="NPP167" s="249"/>
      <c r="NPQ167" s="249"/>
      <c r="NPR167" s="249"/>
      <c r="NPS167" s="249"/>
      <c r="NPT167" s="249"/>
      <c r="NPU167" s="249"/>
      <c r="NPV167" s="249"/>
      <c r="NPW167" s="249"/>
      <c r="NPX167" s="249"/>
      <c r="NPY167" s="249"/>
      <c r="NPZ167" s="249"/>
      <c r="NQA167" s="249"/>
      <c r="NQB167" s="249"/>
      <c r="NQC167" s="249"/>
      <c r="NQD167" s="249"/>
      <c r="NQE167" s="249"/>
      <c r="NQF167" s="249"/>
      <c r="NQG167" s="249"/>
      <c r="NQH167" s="249"/>
      <c r="NQI167" s="249"/>
      <c r="NQJ167" s="249"/>
      <c r="NQK167" s="249"/>
      <c r="NQL167" s="249"/>
      <c r="NQM167" s="249"/>
      <c r="NQN167" s="249"/>
      <c r="NQO167" s="249"/>
      <c r="NQP167" s="249"/>
      <c r="NQQ167" s="249"/>
      <c r="NQR167" s="249"/>
      <c r="NQS167" s="249"/>
      <c r="NQT167" s="249"/>
      <c r="NQU167" s="249"/>
      <c r="NQV167" s="249"/>
      <c r="NQW167" s="249"/>
      <c r="NQX167" s="249"/>
      <c r="NQY167" s="249"/>
      <c r="NQZ167" s="249"/>
      <c r="NRA167" s="249"/>
      <c r="NRB167" s="249"/>
      <c r="NRC167" s="249"/>
      <c r="NRD167" s="249"/>
      <c r="NRE167" s="249"/>
      <c r="NRF167" s="249"/>
      <c r="NRG167" s="249"/>
      <c r="NRH167" s="249"/>
      <c r="NRI167" s="249"/>
      <c r="NRJ167" s="249"/>
      <c r="NRK167" s="249"/>
      <c r="NRL167" s="249"/>
      <c r="NRM167" s="249"/>
      <c r="NRN167" s="249"/>
      <c r="NRO167" s="249"/>
      <c r="NRP167" s="249"/>
      <c r="NRQ167" s="249"/>
      <c r="NRR167" s="249"/>
      <c r="NRS167" s="249"/>
      <c r="NRT167" s="249"/>
      <c r="NRU167" s="249"/>
      <c r="NRV167" s="249"/>
      <c r="NRW167" s="249"/>
      <c r="NRX167" s="249"/>
      <c r="NRY167" s="249"/>
      <c r="NRZ167" s="249"/>
      <c r="NSA167" s="249"/>
      <c r="NSB167" s="249"/>
      <c r="NSC167" s="249"/>
      <c r="NSD167" s="249"/>
      <c r="NSE167" s="249"/>
      <c r="NSF167" s="249"/>
      <c r="NSG167" s="249"/>
      <c r="NSH167" s="249"/>
      <c r="NSI167" s="249"/>
      <c r="NSJ167" s="249"/>
      <c r="NSK167" s="249"/>
      <c r="NSL167" s="249"/>
      <c r="NSM167" s="249"/>
      <c r="NSN167" s="249"/>
      <c r="NSO167" s="249"/>
      <c r="NSP167" s="249"/>
      <c r="NSQ167" s="249"/>
      <c r="NSR167" s="249"/>
      <c r="NSS167" s="249"/>
      <c r="NST167" s="249"/>
      <c r="NSU167" s="249"/>
      <c r="NSV167" s="249"/>
      <c r="NSW167" s="249"/>
      <c r="NSX167" s="249"/>
      <c r="NSY167" s="249"/>
      <c r="NSZ167" s="249"/>
      <c r="NTA167" s="249"/>
      <c r="NTB167" s="249"/>
      <c r="NTC167" s="249"/>
      <c r="NTD167" s="249"/>
      <c r="NTE167" s="249"/>
      <c r="NTF167" s="249"/>
      <c r="NTG167" s="249"/>
      <c r="NTH167" s="249"/>
      <c r="NTI167" s="249"/>
      <c r="NTJ167" s="249"/>
      <c r="NTK167" s="249"/>
      <c r="NTL167" s="249"/>
      <c r="NTM167" s="249"/>
      <c r="NTN167" s="249"/>
      <c r="NTO167" s="249"/>
      <c r="NTP167" s="249"/>
      <c r="NTQ167" s="249"/>
      <c r="NTR167" s="249"/>
      <c r="NTS167" s="249"/>
      <c r="NTT167" s="249"/>
      <c r="NTU167" s="249"/>
      <c r="NTV167" s="249"/>
      <c r="NTW167" s="249"/>
      <c r="NTX167" s="249"/>
      <c r="NTY167" s="249"/>
      <c r="NTZ167" s="249"/>
      <c r="NUA167" s="249"/>
      <c r="NUB167" s="249"/>
      <c r="NUC167" s="249"/>
      <c r="NUD167" s="249"/>
      <c r="NUE167" s="249"/>
      <c r="NUF167" s="249"/>
      <c r="NUG167" s="249"/>
      <c r="NUH167" s="249"/>
      <c r="NUI167" s="249"/>
      <c r="NUJ167" s="249"/>
      <c r="NUK167" s="249"/>
      <c r="NUL167" s="249"/>
      <c r="NUM167" s="249"/>
      <c r="NUN167" s="249"/>
      <c r="NUO167" s="249"/>
      <c r="NUP167" s="249"/>
      <c r="NUQ167" s="249"/>
      <c r="NUR167" s="249"/>
      <c r="NUS167" s="249"/>
      <c r="NUT167" s="249"/>
      <c r="NUU167" s="249"/>
      <c r="NUV167" s="249"/>
      <c r="NUW167" s="249"/>
      <c r="NUX167" s="249"/>
      <c r="NUY167" s="249"/>
      <c r="NUZ167" s="249"/>
      <c r="NVA167" s="249"/>
      <c r="NVB167" s="249"/>
      <c r="NVC167" s="249"/>
      <c r="NVD167" s="249"/>
      <c r="NVE167" s="249"/>
      <c r="NVF167" s="249"/>
      <c r="NVG167" s="249"/>
      <c r="NVH167" s="249"/>
      <c r="NVI167" s="249"/>
      <c r="NVJ167" s="249"/>
      <c r="NVK167" s="249"/>
      <c r="NVL167" s="249"/>
      <c r="NVM167" s="249"/>
      <c r="NVN167" s="249"/>
      <c r="NVO167" s="249"/>
      <c r="NVP167" s="249"/>
      <c r="NVQ167" s="249"/>
      <c r="NVR167" s="249"/>
      <c r="NVS167" s="249"/>
      <c r="NVT167" s="249"/>
      <c r="NVU167" s="249"/>
      <c r="NVV167" s="249"/>
      <c r="NVW167" s="249"/>
      <c r="NVX167" s="249"/>
      <c r="NVY167" s="249"/>
      <c r="NVZ167" s="249"/>
      <c r="NWA167" s="249"/>
      <c r="NWB167" s="249"/>
      <c r="NWC167" s="249"/>
      <c r="NWD167" s="249"/>
      <c r="NWE167" s="249"/>
      <c r="NWF167" s="249"/>
      <c r="NWG167" s="249"/>
      <c r="NWH167" s="249"/>
      <c r="NWI167" s="249"/>
      <c r="NWJ167" s="249"/>
      <c r="NWK167" s="249"/>
      <c r="NWL167" s="249"/>
      <c r="NWM167" s="249"/>
      <c r="NWN167" s="249"/>
      <c r="NWO167" s="249"/>
      <c r="NWP167" s="249"/>
      <c r="NWQ167" s="249"/>
      <c r="NWR167" s="249"/>
      <c r="NWS167" s="249"/>
      <c r="NWT167" s="249"/>
      <c r="NWU167" s="249"/>
      <c r="NWV167" s="249"/>
      <c r="NWW167" s="249"/>
      <c r="NWX167" s="249"/>
      <c r="NWY167" s="249"/>
      <c r="NWZ167" s="249"/>
      <c r="NXA167" s="249"/>
      <c r="NXB167" s="249"/>
      <c r="NXC167" s="249"/>
      <c r="NXD167" s="249"/>
      <c r="NXE167" s="249"/>
      <c r="NXF167" s="249"/>
      <c r="NXG167" s="249"/>
      <c r="NXH167" s="249"/>
      <c r="NXI167" s="249"/>
      <c r="NXJ167" s="249"/>
      <c r="NXK167" s="249"/>
      <c r="NXL167" s="249"/>
      <c r="NXM167" s="249"/>
      <c r="NXN167" s="249"/>
      <c r="NXO167" s="249"/>
      <c r="NXP167" s="249"/>
      <c r="NXQ167" s="249"/>
      <c r="NXR167" s="249"/>
      <c r="NXS167" s="249"/>
      <c r="NXT167" s="249"/>
      <c r="NXU167" s="249"/>
      <c r="NXV167" s="249"/>
      <c r="NXW167" s="249"/>
      <c r="NXX167" s="249"/>
      <c r="NXY167" s="249"/>
      <c r="NXZ167" s="249"/>
      <c r="NYA167" s="249"/>
      <c r="NYB167" s="249"/>
      <c r="NYC167" s="249"/>
      <c r="NYD167" s="249"/>
      <c r="NYE167" s="249"/>
      <c r="NYF167" s="249"/>
      <c r="NYG167" s="249"/>
      <c r="NYH167" s="249"/>
      <c r="NYI167" s="249"/>
      <c r="NYJ167" s="249"/>
      <c r="NYK167" s="249"/>
      <c r="NYL167" s="249"/>
      <c r="NYM167" s="249"/>
      <c r="NYN167" s="249"/>
      <c r="NYO167" s="249"/>
      <c r="NYP167" s="249"/>
      <c r="NYQ167" s="249"/>
      <c r="NYR167" s="249"/>
      <c r="NYS167" s="249"/>
      <c r="NYT167" s="249"/>
      <c r="NYU167" s="249"/>
      <c r="NYV167" s="249"/>
      <c r="NYW167" s="249"/>
      <c r="NYX167" s="249"/>
      <c r="NYY167" s="249"/>
      <c r="NYZ167" s="249"/>
      <c r="NZA167" s="249"/>
      <c r="NZB167" s="249"/>
      <c r="NZC167" s="249"/>
      <c r="NZD167" s="249"/>
      <c r="NZE167" s="249"/>
      <c r="NZF167" s="249"/>
      <c r="NZG167" s="249"/>
      <c r="NZH167" s="249"/>
      <c r="NZI167" s="249"/>
      <c r="NZJ167" s="249"/>
      <c r="NZK167" s="249"/>
      <c r="NZL167" s="249"/>
      <c r="NZM167" s="249"/>
      <c r="NZN167" s="249"/>
      <c r="NZO167" s="249"/>
      <c r="NZP167" s="249"/>
      <c r="NZQ167" s="249"/>
      <c r="NZR167" s="249"/>
      <c r="NZS167" s="249"/>
      <c r="NZT167" s="249"/>
      <c r="NZU167" s="249"/>
      <c r="NZV167" s="249"/>
      <c r="NZW167" s="249"/>
      <c r="NZX167" s="249"/>
      <c r="NZY167" s="249"/>
      <c r="NZZ167" s="249"/>
      <c r="OAA167" s="249"/>
      <c r="OAB167" s="249"/>
      <c r="OAC167" s="249"/>
      <c r="OAD167" s="249"/>
      <c r="OAE167" s="249"/>
      <c r="OAF167" s="249"/>
      <c r="OAG167" s="249"/>
      <c r="OAH167" s="249"/>
      <c r="OAI167" s="249"/>
      <c r="OAJ167" s="249"/>
      <c r="OAK167" s="249"/>
      <c r="OAL167" s="249"/>
      <c r="OAM167" s="249"/>
      <c r="OAN167" s="249"/>
      <c r="OAO167" s="249"/>
      <c r="OAP167" s="249"/>
      <c r="OAQ167" s="249"/>
      <c r="OAR167" s="249"/>
      <c r="OAS167" s="249"/>
      <c r="OAT167" s="249"/>
      <c r="OAU167" s="249"/>
      <c r="OAV167" s="249"/>
      <c r="OAW167" s="249"/>
      <c r="OAX167" s="249"/>
      <c r="OAY167" s="249"/>
      <c r="OAZ167" s="249"/>
      <c r="OBA167" s="249"/>
      <c r="OBB167" s="249"/>
      <c r="OBC167" s="249"/>
      <c r="OBD167" s="249"/>
      <c r="OBE167" s="249"/>
      <c r="OBF167" s="249"/>
      <c r="OBG167" s="249"/>
      <c r="OBH167" s="249"/>
      <c r="OBI167" s="249"/>
      <c r="OBJ167" s="249"/>
      <c r="OBK167" s="249"/>
      <c r="OBL167" s="249"/>
      <c r="OBM167" s="249"/>
      <c r="OBN167" s="249"/>
      <c r="OBO167" s="249"/>
      <c r="OBP167" s="249"/>
      <c r="OBQ167" s="249"/>
      <c r="OBR167" s="249"/>
      <c r="OBS167" s="249"/>
      <c r="OBT167" s="249"/>
      <c r="OBU167" s="249"/>
      <c r="OBV167" s="249"/>
      <c r="OBW167" s="249"/>
      <c r="OBX167" s="249"/>
      <c r="OBY167" s="249"/>
      <c r="OBZ167" s="249"/>
      <c r="OCA167" s="249"/>
      <c r="OCB167" s="249"/>
      <c r="OCC167" s="249"/>
      <c r="OCD167" s="249"/>
      <c r="OCE167" s="249"/>
      <c r="OCF167" s="249"/>
      <c r="OCG167" s="249"/>
      <c r="OCH167" s="249"/>
      <c r="OCI167" s="249"/>
      <c r="OCJ167" s="249"/>
      <c r="OCK167" s="249"/>
      <c r="OCL167" s="249"/>
      <c r="OCM167" s="249"/>
      <c r="OCN167" s="249"/>
      <c r="OCO167" s="249"/>
      <c r="OCP167" s="249"/>
      <c r="OCQ167" s="249"/>
      <c r="OCR167" s="249"/>
      <c r="OCS167" s="249"/>
      <c r="OCT167" s="249"/>
      <c r="OCU167" s="249"/>
      <c r="OCV167" s="249"/>
      <c r="OCW167" s="249"/>
      <c r="OCX167" s="249"/>
      <c r="OCY167" s="249"/>
      <c r="OCZ167" s="249"/>
      <c r="ODA167" s="249"/>
      <c r="ODB167" s="249"/>
      <c r="ODC167" s="249"/>
      <c r="ODD167" s="249"/>
      <c r="ODE167" s="249"/>
      <c r="ODF167" s="249"/>
      <c r="ODG167" s="249"/>
      <c r="ODH167" s="249"/>
      <c r="ODI167" s="249"/>
      <c r="ODJ167" s="249"/>
      <c r="ODK167" s="249"/>
      <c r="ODL167" s="249"/>
      <c r="ODM167" s="249"/>
      <c r="ODN167" s="249"/>
      <c r="ODO167" s="249"/>
      <c r="ODP167" s="249"/>
      <c r="ODQ167" s="249"/>
      <c r="ODR167" s="249"/>
      <c r="ODS167" s="249"/>
      <c r="ODT167" s="249"/>
      <c r="ODU167" s="249"/>
      <c r="ODV167" s="249"/>
      <c r="ODW167" s="249"/>
      <c r="ODX167" s="249"/>
      <c r="ODY167" s="249"/>
      <c r="ODZ167" s="249"/>
      <c r="OEA167" s="249"/>
      <c r="OEB167" s="249"/>
      <c r="OEC167" s="249"/>
      <c r="OED167" s="249"/>
      <c r="OEE167" s="249"/>
      <c r="OEF167" s="249"/>
      <c r="OEG167" s="249"/>
      <c r="OEH167" s="249"/>
      <c r="OEI167" s="249"/>
      <c r="OEJ167" s="249"/>
      <c r="OEK167" s="249"/>
      <c r="OEL167" s="249"/>
      <c r="OEM167" s="249"/>
      <c r="OEN167" s="249"/>
      <c r="OEO167" s="249"/>
      <c r="OEP167" s="249"/>
      <c r="OEQ167" s="249"/>
      <c r="OER167" s="249"/>
      <c r="OES167" s="249"/>
      <c r="OET167" s="249"/>
      <c r="OEU167" s="249"/>
      <c r="OEV167" s="249"/>
      <c r="OEW167" s="249"/>
      <c r="OEX167" s="249"/>
      <c r="OEY167" s="249"/>
      <c r="OEZ167" s="249"/>
      <c r="OFA167" s="249"/>
      <c r="OFB167" s="249"/>
      <c r="OFC167" s="249"/>
      <c r="OFD167" s="249"/>
      <c r="OFE167" s="249"/>
      <c r="OFF167" s="249"/>
      <c r="OFG167" s="249"/>
      <c r="OFH167" s="249"/>
      <c r="OFI167" s="249"/>
      <c r="OFJ167" s="249"/>
      <c r="OFK167" s="249"/>
      <c r="OFL167" s="249"/>
      <c r="OFM167" s="249"/>
      <c r="OFN167" s="249"/>
      <c r="OFO167" s="249"/>
      <c r="OFP167" s="249"/>
      <c r="OFQ167" s="249"/>
      <c r="OFR167" s="249"/>
      <c r="OFS167" s="249"/>
      <c r="OFT167" s="249"/>
      <c r="OFU167" s="249"/>
      <c r="OFV167" s="249"/>
      <c r="OFW167" s="249"/>
      <c r="OFX167" s="249"/>
      <c r="OFY167" s="249"/>
      <c r="OFZ167" s="249"/>
      <c r="OGA167" s="249"/>
      <c r="OGB167" s="249"/>
      <c r="OGC167" s="249"/>
      <c r="OGD167" s="249"/>
      <c r="OGE167" s="249"/>
      <c r="OGF167" s="249"/>
      <c r="OGG167" s="249"/>
      <c r="OGH167" s="249"/>
      <c r="OGI167" s="249"/>
      <c r="OGJ167" s="249"/>
      <c r="OGK167" s="249"/>
      <c r="OGL167" s="249"/>
      <c r="OGM167" s="249"/>
      <c r="OGN167" s="249"/>
      <c r="OGO167" s="249"/>
      <c r="OGP167" s="249"/>
      <c r="OGQ167" s="249"/>
      <c r="OGR167" s="249"/>
      <c r="OGS167" s="249"/>
      <c r="OGT167" s="249"/>
      <c r="OGU167" s="249"/>
      <c r="OGV167" s="249"/>
      <c r="OGW167" s="249"/>
      <c r="OGX167" s="249"/>
      <c r="OGY167" s="249"/>
      <c r="OGZ167" s="249"/>
      <c r="OHA167" s="249"/>
      <c r="OHB167" s="249"/>
      <c r="OHC167" s="249"/>
      <c r="OHD167" s="249"/>
      <c r="OHE167" s="249"/>
      <c r="OHF167" s="249"/>
      <c r="OHG167" s="249"/>
      <c r="OHH167" s="249"/>
      <c r="OHI167" s="249"/>
      <c r="OHJ167" s="249"/>
      <c r="OHK167" s="249"/>
      <c r="OHL167" s="249"/>
      <c r="OHM167" s="249"/>
      <c r="OHN167" s="249"/>
      <c r="OHO167" s="249"/>
      <c r="OHP167" s="249"/>
      <c r="OHQ167" s="249"/>
      <c r="OHR167" s="249"/>
      <c r="OHS167" s="249"/>
      <c r="OHT167" s="249"/>
      <c r="OHU167" s="249"/>
      <c r="OHV167" s="249"/>
      <c r="OHW167" s="249"/>
      <c r="OHX167" s="249"/>
      <c r="OHY167" s="249"/>
      <c r="OHZ167" s="249"/>
      <c r="OIA167" s="249"/>
      <c r="OIB167" s="249"/>
      <c r="OIC167" s="249"/>
      <c r="OID167" s="249"/>
      <c r="OIE167" s="249"/>
      <c r="OIF167" s="249"/>
      <c r="OIG167" s="249"/>
      <c r="OIH167" s="249"/>
      <c r="OII167" s="249"/>
      <c r="OIJ167" s="249"/>
      <c r="OIK167" s="249"/>
      <c r="OIL167" s="249"/>
      <c r="OIM167" s="249"/>
      <c r="OIN167" s="249"/>
      <c r="OIO167" s="249"/>
      <c r="OIP167" s="249"/>
      <c r="OIQ167" s="249"/>
      <c r="OIR167" s="249"/>
      <c r="OIS167" s="249"/>
      <c r="OIT167" s="249"/>
      <c r="OIU167" s="249"/>
      <c r="OIV167" s="249"/>
      <c r="OIW167" s="249"/>
      <c r="OIX167" s="249"/>
      <c r="OIY167" s="249"/>
      <c r="OIZ167" s="249"/>
      <c r="OJA167" s="249"/>
      <c r="OJB167" s="249"/>
      <c r="OJC167" s="249"/>
      <c r="OJD167" s="249"/>
      <c r="OJE167" s="249"/>
      <c r="OJF167" s="249"/>
      <c r="OJG167" s="249"/>
      <c r="OJH167" s="249"/>
      <c r="OJI167" s="249"/>
      <c r="OJJ167" s="249"/>
      <c r="OJK167" s="249"/>
      <c r="OJL167" s="249"/>
      <c r="OJM167" s="249"/>
      <c r="OJN167" s="249"/>
      <c r="OJO167" s="249"/>
      <c r="OJP167" s="249"/>
      <c r="OJQ167" s="249"/>
      <c r="OJR167" s="249"/>
      <c r="OJS167" s="249"/>
      <c r="OJT167" s="249"/>
      <c r="OJU167" s="249"/>
      <c r="OJV167" s="249"/>
      <c r="OJW167" s="249"/>
      <c r="OJX167" s="249"/>
      <c r="OJY167" s="249"/>
      <c r="OJZ167" s="249"/>
      <c r="OKA167" s="249"/>
      <c r="OKB167" s="249"/>
      <c r="OKC167" s="249"/>
      <c r="OKD167" s="249"/>
      <c r="OKE167" s="249"/>
      <c r="OKF167" s="249"/>
      <c r="OKG167" s="249"/>
      <c r="OKH167" s="249"/>
      <c r="OKI167" s="249"/>
      <c r="OKJ167" s="249"/>
      <c r="OKK167" s="249"/>
      <c r="OKL167" s="249"/>
      <c r="OKM167" s="249"/>
      <c r="OKN167" s="249"/>
      <c r="OKO167" s="249"/>
      <c r="OKP167" s="249"/>
      <c r="OKQ167" s="249"/>
      <c r="OKR167" s="249"/>
      <c r="OKS167" s="249"/>
      <c r="OKT167" s="249"/>
      <c r="OKU167" s="249"/>
      <c r="OKV167" s="249"/>
      <c r="OKW167" s="249"/>
      <c r="OKX167" s="249"/>
      <c r="OKY167" s="249"/>
      <c r="OKZ167" s="249"/>
      <c r="OLA167" s="249"/>
      <c r="OLB167" s="249"/>
      <c r="OLC167" s="249"/>
      <c r="OLD167" s="249"/>
      <c r="OLE167" s="249"/>
      <c r="OLF167" s="249"/>
      <c r="OLG167" s="249"/>
      <c r="OLH167" s="249"/>
      <c r="OLI167" s="249"/>
      <c r="OLJ167" s="249"/>
      <c r="OLK167" s="249"/>
      <c r="OLL167" s="249"/>
      <c r="OLM167" s="249"/>
      <c r="OLN167" s="249"/>
      <c r="OLO167" s="249"/>
      <c r="OLP167" s="249"/>
      <c r="OLQ167" s="249"/>
      <c r="OLR167" s="249"/>
      <c r="OLS167" s="249"/>
      <c r="OLT167" s="249"/>
      <c r="OLU167" s="249"/>
      <c r="OLV167" s="249"/>
      <c r="OLW167" s="249"/>
      <c r="OLX167" s="249"/>
      <c r="OLY167" s="249"/>
      <c r="OLZ167" s="249"/>
      <c r="OMA167" s="249"/>
      <c r="OMB167" s="249"/>
      <c r="OMC167" s="249"/>
      <c r="OMD167" s="249"/>
      <c r="OME167" s="249"/>
      <c r="OMF167" s="249"/>
      <c r="OMG167" s="249"/>
      <c r="OMH167" s="249"/>
      <c r="OMI167" s="249"/>
      <c r="OMJ167" s="249"/>
      <c r="OMK167" s="249"/>
      <c r="OML167" s="249"/>
      <c r="OMM167" s="249"/>
      <c r="OMN167" s="249"/>
      <c r="OMO167" s="249"/>
      <c r="OMP167" s="249"/>
      <c r="OMQ167" s="249"/>
      <c r="OMR167" s="249"/>
      <c r="OMS167" s="249"/>
      <c r="OMT167" s="249"/>
      <c r="OMU167" s="249"/>
      <c r="OMV167" s="249"/>
      <c r="OMW167" s="249"/>
      <c r="OMX167" s="249"/>
      <c r="OMY167" s="249"/>
      <c r="OMZ167" s="249"/>
      <c r="ONA167" s="249"/>
      <c r="ONB167" s="249"/>
      <c r="ONC167" s="249"/>
      <c r="OND167" s="249"/>
      <c r="ONE167" s="249"/>
      <c r="ONF167" s="249"/>
      <c r="ONG167" s="249"/>
      <c r="ONH167" s="249"/>
      <c r="ONI167" s="249"/>
      <c r="ONJ167" s="249"/>
      <c r="ONK167" s="249"/>
      <c r="ONL167" s="249"/>
      <c r="ONM167" s="249"/>
      <c r="ONN167" s="249"/>
      <c r="ONO167" s="249"/>
      <c r="ONP167" s="249"/>
      <c r="ONQ167" s="249"/>
      <c r="ONR167" s="249"/>
      <c r="ONS167" s="249"/>
      <c r="ONT167" s="249"/>
      <c r="ONU167" s="249"/>
      <c r="ONV167" s="249"/>
      <c r="ONW167" s="249"/>
      <c r="ONX167" s="249"/>
      <c r="ONY167" s="249"/>
      <c r="ONZ167" s="249"/>
      <c r="OOA167" s="249"/>
      <c r="OOB167" s="249"/>
      <c r="OOC167" s="249"/>
      <c r="OOD167" s="249"/>
      <c r="OOE167" s="249"/>
      <c r="OOF167" s="249"/>
      <c r="OOG167" s="249"/>
      <c r="OOH167" s="249"/>
      <c r="OOI167" s="249"/>
      <c r="OOJ167" s="249"/>
      <c r="OOK167" s="249"/>
      <c r="OOL167" s="249"/>
      <c r="OOM167" s="249"/>
      <c r="OON167" s="249"/>
      <c r="OOO167" s="249"/>
      <c r="OOP167" s="249"/>
      <c r="OOQ167" s="249"/>
      <c r="OOR167" s="249"/>
      <c r="OOS167" s="249"/>
      <c r="OOT167" s="249"/>
      <c r="OOU167" s="249"/>
      <c r="OOV167" s="249"/>
      <c r="OOW167" s="249"/>
      <c r="OOX167" s="249"/>
      <c r="OOY167" s="249"/>
      <c r="OOZ167" s="249"/>
      <c r="OPA167" s="249"/>
      <c r="OPB167" s="249"/>
      <c r="OPC167" s="249"/>
      <c r="OPD167" s="249"/>
      <c r="OPE167" s="249"/>
      <c r="OPF167" s="249"/>
      <c r="OPG167" s="249"/>
      <c r="OPH167" s="249"/>
      <c r="OPI167" s="249"/>
      <c r="OPJ167" s="249"/>
      <c r="OPK167" s="249"/>
      <c r="OPL167" s="249"/>
      <c r="OPM167" s="249"/>
      <c r="OPN167" s="249"/>
      <c r="OPO167" s="249"/>
      <c r="OPP167" s="249"/>
      <c r="OPQ167" s="249"/>
      <c r="OPR167" s="249"/>
      <c r="OPS167" s="249"/>
      <c r="OPT167" s="249"/>
      <c r="OPU167" s="249"/>
      <c r="OPV167" s="249"/>
      <c r="OPW167" s="249"/>
      <c r="OPX167" s="249"/>
      <c r="OPY167" s="249"/>
      <c r="OPZ167" s="249"/>
      <c r="OQA167" s="249"/>
      <c r="OQB167" s="249"/>
      <c r="OQC167" s="249"/>
      <c r="OQD167" s="249"/>
      <c r="OQE167" s="249"/>
      <c r="OQF167" s="249"/>
      <c r="OQG167" s="249"/>
      <c r="OQH167" s="249"/>
      <c r="OQI167" s="249"/>
      <c r="OQJ167" s="249"/>
      <c r="OQK167" s="249"/>
      <c r="OQL167" s="249"/>
      <c r="OQM167" s="249"/>
      <c r="OQN167" s="249"/>
      <c r="OQO167" s="249"/>
      <c r="OQP167" s="249"/>
      <c r="OQQ167" s="249"/>
      <c r="OQR167" s="249"/>
      <c r="OQS167" s="249"/>
      <c r="OQT167" s="249"/>
      <c r="OQU167" s="249"/>
      <c r="OQV167" s="249"/>
      <c r="OQW167" s="249"/>
      <c r="OQX167" s="249"/>
      <c r="OQY167" s="249"/>
      <c r="OQZ167" s="249"/>
      <c r="ORA167" s="249"/>
      <c r="ORB167" s="249"/>
      <c r="ORC167" s="249"/>
      <c r="ORD167" s="249"/>
      <c r="ORE167" s="249"/>
      <c r="ORF167" s="249"/>
      <c r="ORG167" s="249"/>
      <c r="ORH167" s="249"/>
      <c r="ORI167" s="249"/>
      <c r="ORJ167" s="249"/>
      <c r="ORK167" s="249"/>
      <c r="ORL167" s="249"/>
      <c r="ORM167" s="249"/>
      <c r="ORN167" s="249"/>
      <c r="ORO167" s="249"/>
      <c r="ORP167" s="249"/>
      <c r="ORQ167" s="249"/>
      <c r="ORR167" s="249"/>
      <c r="ORS167" s="249"/>
      <c r="ORT167" s="249"/>
      <c r="ORU167" s="249"/>
      <c r="ORV167" s="249"/>
      <c r="ORW167" s="249"/>
      <c r="ORX167" s="249"/>
      <c r="ORY167" s="249"/>
      <c r="ORZ167" s="249"/>
      <c r="OSA167" s="249"/>
      <c r="OSB167" s="249"/>
      <c r="OSC167" s="249"/>
      <c r="OSD167" s="249"/>
      <c r="OSE167" s="249"/>
      <c r="OSF167" s="249"/>
      <c r="OSG167" s="249"/>
      <c r="OSH167" s="249"/>
      <c r="OSI167" s="249"/>
      <c r="OSJ167" s="249"/>
      <c r="OSK167" s="249"/>
      <c r="OSL167" s="249"/>
      <c r="OSM167" s="249"/>
      <c r="OSN167" s="249"/>
      <c r="OSO167" s="249"/>
      <c r="OSP167" s="249"/>
      <c r="OSQ167" s="249"/>
      <c r="OSR167" s="249"/>
      <c r="OSS167" s="249"/>
      <c r="OST167" s="249"/>
      <c r="OSU167" s="249"/>
      <c r="OSV167" s="249"/>
      <c r="OSW167" s="249"/>
      <c r="OSX167" s="249"/>
      <c r="OSY167" s="249"/>
      <c r="OSZ167" s="249"/>
      <c r="OTA167" s="249"/>
      <c r="OTB167" s="249"/>
      <c r="OTC167" s="249"/>
      <c r="OTD167" s="249"/>
      <c r="OTE167" s="249"/>
      <c r="OTF167" s="249"/>
      <c r="OTG167" s="249"/>
      <c r="OTH167" s="249"/>
      <c r="OTI167" s="249"/>
      <c r="OTJ167" s="249"/>
      <c r="OTK167" s="249"/>
      <c r="OTL167" s="249"/>
      <c r="OTM167" s="249"/>
      <c r="OTN167" s="249"/>
      <c r="OTO167" s="249"/>
      <c r="OTP167" s="249"/>
      <c r="OTQ167" s="249"/>
      <c r="OTR167" s="249"/>
      <c r="OTS167" s="249"/>
      <c r="OTT167" s="249"/>
      <c r="OTU167" s="249"/>
      <c r="OTV167" s="249"/>
      <c r="OTW167" s="249"/>
      <c r="OTX167" s="249"/>
      <c r="OTY167" s="249"/>
      <c r="OTZ167" s="249"/>
      <c r="OUA167" s="249"/>
      <c r="OUB167" s="249"/>
      <c r="OUC167" s="249"/>
      <c r="OUD167" s="249"/>
      <c r="OUE167" s="249"/>
      <c r="OUF167" s="249"/>
      <c r="OUG167" s="249"/>
      <c r="OUH167" s="249"/>
      <c r="OUI167" s="249"/>
      <c r="OUJ167" s="249"/>
      <c r="OUK167" s="249"/>
      <c r="OUL167" s="249"/>
      <c r="OUM167" s="249"/>
      <c r="OUN167" s="249"/>
      <c r="OUO167" s="249"/>
      <c r="OUP167" s="249"/>
      <c r="OUQ167" s="249"/>
      <c r="OUR167" s="249"/>
      <c r="OUS167" s="249"/>
      <c r="OUT167" s="249"/>
      <c r="OUU167" s="249"/>
      <c r="OUV167" s="249"/>
      <c r="OUW167" s="249"/>
      <c r="OUX167" s="249"/>
      <c r="OUY167" s="249"/>
      <c r="OUZ167" s="249"/>
      <c r="OVA167" s="249"/>
      <c r="OVB167" s="249"/>
      <c r="OVC167" s="249"/>
      <c r="OVD167" s="249"/>
      <c r="OVE167" s="249"/>
      <c r="OVF167" s="249"/>
      <c r="OVG167" s="249"/>
      <c r="OVH167" s="249"/>
      <c r="OVI167" s="249"/>
      <c r="OVJ167" s="249"/>
      <c r="OVK167" s="249"/>
      <c r="OVL167" s="249"/>
      <c r="OVM167" s="249"/>
      <c r="OVN167" s="249"/>
      <c r="OVO167" s="249"/>
      <c r="OVP167" s="249"/>
      <c r="OVQ167" s="249"/>
      <c r="OVR167" s="249"/>
      <c r="OVS167" s="249"/>
      <c r="OVT167" s="249"/>
      <c r="OVU167" s="249"/>
      <c r="OVV167" s="249"/>
      <c r="OVW167" s="249"/>
      <c r="OVX167" s="249"/>
      <c r="OVY167" s="249"/>
      <c r="OVZ167" s="249"/>
      <c r="OWA167" s="249"/>
      <c r="OWB167" s="249"/>
      <c r="OWC167" s="249"/>
      <c r="OWD167" s="249"/>
      <c r="OWE167" s="249"/>
      <c r="OWF167" s="249"/>
      <c r="OWG167" s="249"/>
      <c r="OWH167" s="249"/>
      <c r="OWI167" s="249"/>
      <c r="OWJ167" s="249"/>
      <c r="OWK167" s="249"/>
      <c r="OWL167" s="249"/>
      <c r="OWM167" s="249"/>
      <c r="OWN167" s="249"/>
      <c r="OWO167" s="249"/>
      <c r="OWP167" s="249"/>
      <c r="OWQ167" s="249"/>
      <c r="OWR167" s="249"/>
      <c r="OWS167" s="249"/>
      <c r="OWT167" s="249"/>
      <c r="OWU167" s="249"/>
      <c r="OWV167" s="249"/>
      <c r="OWW167" s="249"/>
      <c r="OWX167" s="249"/>
      <c r="OWY167" s="249"/>
      <c r="OWZ167" s="249"/>
      <c r="OXA167" s="249"/>
      <c r="OXB167" s="249"/>
      <c r="OXC167" s="249"/>
      <c r="OXD167" s="249"/>
      <c r="OXE167" s="249"/>
      <c r="OXF167" s="249"/>
      <c r="OXG167" s="249"/>
      <c r="OXH167" s="249"/>
      <c r="OXI167" s="249"/>
      <c r="OXJ167" s="249"/>
      <c r="OXK167" s="249"/>
      <c r="OXL167" s="249"/>
      <c r="OXM167" s="249"/>
      <c r="OXN167" s="249"/>
      <c r="OXO167" s="249"/>
      <c r="OXP167" s="249"/>
      <c r="OXQ167" s="249"/>
      <c r="OXR167" s="249"/>
      <c r="OXS167" s="249"/>
      <c r="OXT167" s="249"/>
      <c r="OXU167" s="249"/>
      <c r="OXV167" s="249"/>
      <c r="OXW167" s="249"/>
      <c r="OXX167" s="249"/>
      <c r="OXY167" s="249"/>
      <c r="OXZ167" s="249"/>
      <c r="OYA167" s="249"/>
      <c r="OYB167" s="249"/>
      <c r="OYC167" s="249"/>
      <c r="OYD167" s="249"/>
      <c r="OYE167" s="249"/>
      <c r="OYF167" s="249"/>
      <c r="OYG167" s="249"/>
      <c r="OYH167" s="249"/>
      <c r="OYI167" s="249"/>
      <c r="OYJ167" s="249"/>
      <c r="OYK167" s="249"/>
      <c r="OYL167" s="249"/>
      <c r="OYM167" s="249"/>
      <c r="OYN167" s="249"/>
      <c r="OYO167" s="249"/>
      <c r="OYP167" s="249"/>
      <c r="OYQ167" s="249"/>
      <c r="OYR167" s="249"/>
      <c r="OYS167" s="249"/>
      <c r="OYT167" s="249"/>
      <c r="OYU167" s="249"/>
      <c r="OYV167" s="249"/>
      <c r="OYW167" s="249"/>
      <c r="OYX167" s="249"/>
      <c r="OYY167" s="249"/>
      <c r="OYZ167" s="249"/>
      <c r="OZA167" s="249"/>
      <c r="OZB167" s="249"/>
      <c r="OZC167" s="249"/>
      <c r="OZD167" s="249"/>
      <c r="OZE167" s="249"/>
      <c r="OZF167" s="249"/>
      <c r="OZG167" s="249"/>
      <c r="OZH167" s="249"/>
      <c r="OZI167" s="249"/>
      <c r="OZJ167" s="249"/>
      <c r="OZK167" s="249"/>
      <c r="OZL167" s="249"/>
      <c r="OZM167" s="249"/>
      <c r="OZN167" s="249"/>
      <c r="OZO167" s="249"/>
      <c r="OZP167" s="249"/>
      <c r="OZQ167" s="249"/>
      <c r="OZR167" s="249"/>
      <c r="OZS167" s="249"/>
      <c r="OZT167" s="249"/>
      <c r="OZU167" s="249"/>
      <c r="OZV167" s="249"/>
      <c r="OZW167" s="249"/>
      <c r="OZX167" s="249"/>
      <c r="OZY167" s="249"/>
      <c r="OZZ167" s="249"/>
      <c r="PAA167" s="249"/>
      <c r="PAB167" s="249"/>
      <c r="PAC167" s="249"/>
      <c r="PAD167" s="249"/>
      <c r="PAE167" s="249"/>
      <c r="PAF167" s="249"/>
      <c r="PAG167" s="249"/>
      <c r="PAH167" s="249"/>
      <c r="PAI167" s="249"/>
      <c r="PAJ167" s="249"/>
      <c r="PAK167" s="249"/>
      <c r="PAL167" s="249"/>
      <c r="PAM167" s="249"/>
      <c r="PAN167" s="249"/>
      <c r="PAO167" s="249"/>
      <c r="PAP167" s="249"/>
      <c r="PAQ167" s="249"/>
      <c r="PAR167" s="249"/>
      <c r="PAS167" s="249"/>
      <c r="PAT167" s="249"/>
      <c r="PAU167" s="249"/>
      <c r="PAV167" s="249"/>
      <c r="PAW167" s="249"/>
      <c r="PAX167" s="249"/>
      <c r="PAY167" s="249"/>
      <c r="PAZ167" s="249"/>
      <c r="PBA167" s="249"/>
      <c r="PBB167" s="249"/>
      <c r="PBC167" s="249"/>
      <c r="PBD167" s="249"/>
      <c r="PBE167" s="249"/>
      <c r="PBF167" s="249"/>
      <c r="PBG167" s="249"/>
      <c r="PBH167" s="249"/>
      <c r="PBI167" s="249"/>
      <c r="PBJ167" s="249"/>
      <c r="PBK167" s="249"/>
      <c r="PBL167" s="249"/>
      <c r="PBM167" s="249"/>
      <c r="PBN167" s="249"/>
      <c r="PBO167" s="249"/>
      <c r="PBP167" s="249"/>
      <c r="PBQ167" s="249"/>
      <c r="PBR167" s="249"/>
      <c r="PBS167" s="249"/>
      <c r="PBT167" s="249"/>
      <c r="PBU167" s="249"/>
      <c r="PBV167" s="249"/>
      <c r="PBW167" s="249"/>
      <c r="PBX167" s="249"/>
      <c r="PBY167" s="249"/>
      <c r="PBZ167" s="249"/>
      <c r="PCA167" s="249"/>
      <c r="PCB167" s="249"/>
      <c r="PCC167" s="249"/>
      <c r="PCD167" s="249"/>
      <c r="PCE167" s="249"/>
      <c r="PCF167" s="249"/>
      <c r="PCG167" s="249"/>
      <c r="PCH167" s="249"/>
      <c r="PCI167" s="249"/>
      <c r="PCJ167" s="249"/>
      <c r="PCK167" s="249"/>
      <c r="PCL167" s="249"/>
      <c r="PCM167" s="249"/>
      <c r="PCN167" s="249"/>
      <c r="PCO167" s="249"/>
      <c r="PCP167" s="249"/>
      <c r="PCQ167" s="249"/>
      <c r="PCR167" s="249"/>
      <c r="PCS167" s="249"/>
      <c r="PCT167" s="249"/>
      <c r="PCU167" s="249"/>
      <c r="PCV167" s="249"/>
      <c r="PCW167" s="249"/>
      <c r="PCX167" s="249"/>
      <c r="PCY167" s="249"/>
      <c r="PCZ167" s="249"/>
      <c r="PDA167" s="249"/>
      <c r="PDB167" s="249"/>
      <c r="PDC167" s="249"/>
      <c r="PDD167" s="249"/>
      <c r="PDE167" s="249"/>
      <c r="PDF167" s="249"/>
      <c r="PDG167" s="249"/>
      <c r="PDH167" s="249"/>
      <c r="PDI167" s="249"/>
      <c r="PDJ167" s="249"/>
      <c r="PDK167" s="249"/>
      <c r="PDL167" s="249"/>
      <c r="PDM167" s="249"/>
      <c r="PDN167" s="249"/>
      <c r="PDO167" s="249"/>
      <c r="PDP167" s="249"/>
      <c r="PDQ167" s="249"/>
      <c r="PDR167" s="249"/>
      <c r="PDS167" s="249"/>
      <c r="PDT167" s="249"/>
      <c r="PDU167" s="249"/>
      <c r="PDV167" s="249"/>
      <c r="PDW167" s="249"/>
      <c r="PDX167" s="249"/>
      <c r="PDY167" s="249"/>
      <c r="PDZ167" s="249"/>
      <c r="PEA167" s="249"/>
      <c r="PEB167" s="249"/>
      <c r="PEC167" s="249"/>
      <c r="PED167" s="249"/>
      <c r="PEE167" s="249"/>
      <c r="PEF167" s="249"/>
      <c r="PEG167" s="249"/>
      <c r="PEH167" s="249"/>
      <c r="PEI167" s="249"/>
      <c r="PEJ167" s="249"/>
      <c r="PEK167" s="249"/>
      <c r="PEL167" s="249"/>
      <c r="PEM167" s="249"/>
      <c r="PEN167" s="249"/>
      <c r="PEO167" s="249"/>
      <c r="PEP167" s="249"/>
      <c r="PEQ167" s="249"/>
      <c r="PER167" s="249"/>
      <c r="PES167" s="249"/>
      <c r="PET167" s="249"/>
      <c r="PEU167" s="249"/>
      <c r="PEV167" s="249"/>
      <c r="PEW167" s="249"/>
      <c r="PEX167" s="249"/>
      <c r="PEY167" s="249"/>
      <c r="PEZ167" s="249"/>
      <c r="PFA167" s="249"/>
      <c r="PFB167" s="249"/>
      <c r="PFC167" s="249"/>
      <c r="PFD167" s="249"/>
      <c r="PFE167" s="249"/>
      <c r="PFF167" s="249"/>
      <c r="PFG167" s="249"/>
      <c r="PFH167" s="249"/>
      <c r="PFI167" s="249"/>
      <c r="PFJ167" s="249"/>
      <c r="PFK167" s="249"/>
      <c r="PFL167" s="249"/>
      <c r="PFM167" s="249"/>
      <c r="PFN167" s="249"/>
      <c r="PFO167" s="249"/>
      <c r="PFP167" s="249"/>
      <c r="PFQ167" s="249"/>
      <c r="PFR167" s="249"/>
      <c r="PFS167" s="249"/>
      <c r="PFT167" s="249"/>
      <c r="PFU167" s="249"/>
      <c r="PFV167" s="249"/>
      <c r="PFW167" s="249"/>
      <c r="PFX167" s="249"/>
      <c r="PFY167" s="249"/>
      <c r="PFZ167" s="249"/>
      <c r="PGA167" s="249"/>
      <c r="PGB167" s="249"/>
      <c r="PGC167" s="249"/>
      <c r="PGD167" s="249"/>
      <c r="PGE167" s="249"/>
      <c r="PGF167" s="249"/>
      <c r="PGG167" s="249"/>
      <c r="PGH167" s="249"/>
      <c r="PGI167" s="249"/>
      <c r="PGJ167" s="249"/>
      <c r="PGK167" s="249"/>
      <c r="PGL167" s="249"/>
      <c r="PGM167" s="249"/>
      <c r="PGN167" s="249"/>
      <c r="PGO167" s="249"/>
      <c r="PGP167" s="249"/>
      <c r="PGQ167" s="249"/>
      <c r="PGR167" s="249"/>
      <c r="PGS167" s="249"/>
      <c r="PGT167" s="249"/>
      <c r="PGU167" s="249"/>
      <c r="PGV167" s="249"/>
      <c r="PGW167" s="249"/>
      <c r="PGX167" s="249"/>
      <c r="PGY167" s="249"/>
      <c r="PGZ167" s="249"/>
      <c r="PHA167" s="249"/>
      <c r="PHB167" s="249"/>
      <c r="PHC167" s="249"/>
      <c r="PHD167" s="249"/>
      <c r="PHE167" s="249"/>
      <c r="PHF167" s="249"/>
      <c r="PHG167" s="249"/>
      <c r="PHH167" s="249"/>
      <c r="PHI167" s="249"/>
      <c r="PHJ167" s="249"/>
      <c r="PHK167" s="249"/>
      <c r="PHL167" s="249"/>
      <c r="PHM167" s="249"/>
      <c r="PHN167" s="249"/>
      <c r="PHO167" s="249"/>
      <c r="PHP167" s="249"/>
      <c r="PHQ167" s="249"/>
      <c r="PHR167" s="249"/>
      <c r="PHS167" s="249"/>
      <c r="PHT167" s="249"/>
      <c r="PHU167" s="249"/>
      <c r="PHV167" s="249"/>
      <c r="PHW167" s="249"/>
      <c r="PHX167" s="249"/>
      <c r="PHY167" s="249"/>
      <c r="PHZ167" s="249"/>
      <c r="PIA167" s="249"/>
      <c r="PIB167" s="249"/>
      <c r="PIC167" s="249"/>
      <c r="PID167" s="249"/>
      <c r="PIE167" s="249"/>
      <c r="PIF167" s="249"/>
      <c r="PIG167" s="249"/>
      <c r="PIH167" s="249"/>
      <c r="PII167" s="249"/>
      <c r="PIJ167" s="249"/>
      <c r="PIK167" s="249"/>
      <c r="PIL167" s="249"/>
      <c r="PIM167" s="249"/>
      <c r="PIN167" s="249"/>
      <c r="PIO167" s="249"/>
      <c r="PIP167" s="249"/>
      <c r="PIQ167" s="249"/>
      <c r="PIR167" s="249"/>
      <c r="PIS167" s="249"/>
      <c r="PIT167" s="249"/>
      <c r="PIU167" s="249"/>
      <c r="PIV167" s="249"/>
      <c r="PIW167" s="249"/>
      <c r="PIX167" s="249"/>
      <c r="PIY167" s="249"/>
      <c r="PIZ167" s="249"/>
      <c r="PJA167" s="249"/>
      <c r="PJB167" s="249"/>
      <c r="PJC167" s="249"/>
      <c r="PJD167" s="249"/>
      <c r="PJE167" s="249"/>
      <c r="PJF167" s="249"/>
      <c r="PJG167" s="249"/>
      <c r="PJH167" s="249"/>
      <c r="PJI167" s="249"/>
      <c r="PJJ167" s="249"/>
      <c r="PJK167" s="249"/>
      <c r="PJL167" s="249"/>
      <c r="PJM167" s="249"/>
      <c r="PJN167" s="249"/>
      <c r="PJO167" s="249"/>
      <c r="PJP167" s="249"/>
      <c r="PJQ167" s="249"/>
      <c r="PJR167" s="249"/>
      <c r="PJS167" s="249"/>
      <c r="PJT167" s="249"/>
      <c r="PJU167" s="249"/>
      <c r="PJV167" s="249"/>
      <c r="PJW167" s="249"/>
      <c r="PJX167" s="249"/>
      <c r="PJY167" s="249"/>
      <c r="PJZ167" s="249"/>
      <c r="PKA167" s="249"/>
      <c r="PKB167" s="249"/>
      <c r="PKC167" s="249"/>
      <c r="PKD167" s="249"/>
      <c r="PKE167" s="249"/>
      <c r="PKF167" s="249"/>
      <c r="PKG167" s="249"/>
      <c r="PKH167" s="249"/>
      <c r="PKI167" s="249"/>
      <c r="PKJ167" s="249"/>
      <c r="PKK167" s="249"/>
      <c r="PKL167" s="249"/>
      <c r="PKM167" s="249"/>
      <c r="PKN167" s="249"/>
      <c r="PKO167" s="249"/>
      <c r="PKP167" s="249"/>
      <c r="PKQ167" s="249"/>
      <c r="PKR167" s="249"/>
      <c r="PKS167" s="249"/>
      <c r="PKT167" s="249"/>
      <c r="PKU167" s="249"/>
      <c r="PKV167" s="249"/>
      <c r="PKW167" s="249"/>
      <c r="PKX167" s="249"/>
      <c r="PKY167" s="249"/>
      <c r="PKZ167" s="249"/>
      <c r="PLA167" s="249"/>
      <c r="PLB167" s="249"/>
      <c r="PLC167" s="249"/>
      <c r="PLD167" s="249"/>
      <c r="PLE167" s="249"/>
      <c r="PLF167" s="249"/>
      <c r="PLG167" s="249"/>
      <c r="PLH167" s="249"/>
      <c r="PLI167" s="249"/>
      <c r="PLJ167" s="249"/>
      <c r="PLK167" s="249"/>
      <c r="PLL167" s="249"/>
      <c r="PLM167" s="249"/>
      <c r="PLN167" s="249"/>
      <c r="PLO167" s="249"/>
      <c r="PLP167" s="249"/>
      <c r="PLQ167" s="249"/>
      <c r="PLR167" s="249"/>
      <c r="PLS167" s="249"/>
      <c r="PLT167" s="249"/>
      <c r="PLU167" s="249"/>
      <c r="PLV167" s="249"/>
      <c r="PLW167" s="249"/>
      <c r="PLX167" s="249"/>
      <c r="PLY167" s="249"/>
      <c r="PLZ167" s="249"/>
      <c r="PMA167" s="249"/>
      <c r="PMB167" s="249"/>
      <c r="PMC167" s="249"/>
      <c r="PMD167" s="249"/>
      <c r="PME167" s="249"/>
      <c r="PMF167" s="249"/>
      <c r="PMG167" s="249"/>
      <c r="PMH167" s="249"/>
      <c r="PMI167" s="249"/>
      <c r="PMJ167" s="249"/>
      <c r="PMK167" s="249"/>
      <c r="PML167" s="249"/>
      <c r="PMM167" s="249"/>
      <c r="PMN167" s="249"/>
      <c r="PMO167" s="249"/>
      <c r="PMP167" s="249"/>
      <c r="PMQ167" s="249"/>
      <c r="PMR167" s="249"/>
      <c r="PMS167" s="249"/>
      <c r="PMT167" s="249"/>
      <c r="PMU167" s="249"/>
      <c r="PMV167" s="249"/>
      <c r="PMW167" s="249"/>
      <c r="PMX167" s="249"/>
      <c r="PMY167" s="249"/>
      <c r="PMZ167" s="249"/>
      <c r="PNA167" s="249"/>
      <c r="PNB167" s="249"/>
      <c r="PNC167" s="249"/>
      <c r="PND167" s="249"/>
      <c r="PNE167" s="249"/>
      <c r="PNF167" s="249"/>
      <c r="PNG167" s="249"/>
      <c r="PNH167" s="249"/>
      <c r="PNI167" s="249"/>
      <c r="PNJ167" s="249"/>
      <c r="PNK167" s="249"/>
      <c r="PNL167" s="249"/>
      <c r="PNM167" s="249"/>
      <c r="PNN167" s="249"/>
      <c r="PNO167" s="249"/>
      <c r="PNP167" s="249"/>
      <c r="PNQ167" s="249"/>
      <c r="PNR167" s="249"/>
      <c r="PNS167" s="249"/>
      <c r="PNT167" s="249"/>
      <c r="PNU167" s="249"/>
      <c r="PNV167" s="249"/>
      <c r="PNW167" s="249"/>
      <c r="PNX167" s="249"/>
      <c r="PNY167" s="249"/>
      <c r="PNZ167" s="249"/>
      <c r="POA167" s="249"/>
      <c r="POB167" s="249"/>
      <c r="POC167" s="249"/>
      <c r="POD167" s="249"/>
      <c r="POE167" s="249"/>
      <c r="POF167" s="249"/>
      <c r="POG167" s="249"/>
      <c r="POH167" s="249"/>
      <c r="POI167" s="249"/>
      <c r="POJ167" s="249"/>
      <c r="POK167" s="249"/>
      <c r="POL167" s="249"/>
      <c r="POM167" s="249"/>
      <c r="PON167" s="249"/>
      <c r="POO167" s="249"/>
      <c r="POP167" s="249"/>
      <c r="POQ167" s="249"/>
      <c r="POR167" s="249"/>
      <c r="POS167" s="249"/>
      <c r="POT167" s="249"/>
      <c r="POU167" s="249"/>
      <c r="POV167" s="249"/>
      <c r="POW167" s="249"/>
      <c r="POX167" s="249"/>
      <c r="POY167" s="249"/>
      <c r="POZ167" s="249"/>
      <c r="PPA167" s="249"/>
      <c r="PPB167" s="249"/>
      <c r="PPC167" s="249"/>
      <c r="PPD167" s="249"/>
      <c r="PPE167" s="249"/>
      <c r="PPF167" s="249"/>
      <c r="PPG167" s="249"/>
      <c r="PPH167" s="249"/>
      <c r="PPI167" s="249"/>
      <c r="PPJ167" s="249"/>
      <c r="PPK167" s="249"/>
      <c r="PPL167" s="249"/>
      <c r="PPM167" s="249"/>
      <c r="PPN167" s="249"/>
      <c r="PPO167" s="249"/>
      <c r="PPP167" s="249"/>
      <c r="PPQ167" s="249"/>
      <c r="PPR167" s="249"/>
      <c r="PPS167" s="249"/>
      <c r="PPT167" s="249"/>
      <c r="PPU167" s="249"/>
      <c r="PPV167" s="249"/>
      <c r="PPW167" s="249"/>
      <c r="PPX167" s="249"/>
      <c r="PPY167" s="249"/>
      <c r="PPZ167" s="249"/>
      <c r="PQA167" s="249"/>
      <c r="PQB167" s="249"/>
      <c r="PQC167" s="249"/>
      <c r="PQD167" s="249"/>
      <c r="PQE167" s="249"/>
      <c r="PQF167" s="249"/>
      <c r="PQG167" s="249"/>
      <c r="PQH167" s="249"/>
      <c r="PQI167" s="249"/>
      <c r="PQJ167" s="249"/>
      <c r="PQK167" s="249"/>
      <c r="PQL167" s="249"/>
      <c r="PQM167" s="249"/>
      <c r="PQN167" s="249"/>
      <c r="PQO167" s="249"/>
      <c r="PQP167" s="249"/>
      <c r="PQQ167" s="249"/>
      <c r="PQR167" s="249"/>
      <c r="PQS167" s="249"/>
      <c r="PQT167" s="249"/>
      <c r="PQU167" s="249"/>
      <c r="PQV167" s="249"/>
      <c r="PQW167" s="249"/>
      <c r="PQX167" s="249"/>
      <c r="PQY167" s="249"/>
      <c r="PQZ167" s="249"/>
      <c r="PRA167" s="249"/>
      <c r="PRB167" s="249"/>
      <c r="PRC167" s="249"/>
      <c r="PRD167" s="249"/>
      <c r="PRE167" s="249"/>
      <c r="PRF167" s="249"/>
      <c r="PRG167" s="249"/>
      <c r="PRH167" s="249"/>
      <c r="PRI167" s="249"/>
      <c r="PRJ167" s="249"/>
      <c r="PRK167" s="249"/>
      <c r="PRL167" s="249"/>
      <c r="PRM167" s="249"/>
      <c r="PRN167" s="249"/>
      <c r="PRO167" s="249"/>
      <c r="PRP167" s="249"/>
      <c r="PRQ167" s="249"/>
      <c r="PRR167" s="249"/>
      <c r="PRS167" s="249"/>
      <c r="PRT167" s="249"/>
      <c r="PRU167" s="249"/>
      <c r="PRV167" s="249"/>
      <c r="PRW167" s="249"/>
      <c r="PRX167" s="249"/>
      <c r="PRY167" s="249"/>
      <c r="PRZ167" s="249"/>
      <c r="PSA167" s="249"/>
      <c r="PSB167" s="249"/>
      <c r="PSC167" s="249"/>
      <c r="PSD167" s="249"/>
      <c r="PSE167" s="249"/>
      <c r="PSF167" s="249"/>
      <c r="PSG167" s="249"/>
      <c r="PSH167" s="249"/>
      <c r="PSI167" s="249"/>
      <c r="PSJ167" s="249"/>
      <c r="PSK167" s="249"/>
      <c r="PSL167" s="249"/>
      <c r="PSM167" s="249"/>
      <c r="PSN167" s="249"/>
      <c r="PSO167" s="249"/>
      <c r="PSP167" s="249"/>
      <c r="PSQ167" s="249"/>
      <c r="PSR167" s="249"/>
      <c r="PSS167" s="249"/>
      <c r="PST167" s="249"/>
      <c r="PSU167" s="249"/>
      <c r="PSV167" s="249"/>
      <c r="PSW167" s="249"/>
      <c r="PSX167" s="249"/>
      <c r="PSY167" s="249"/>
      <c r="PSZ167" s="249"/>
      <c r="PTA167" s="249"/>
      <c r="PTB167" s="249"/>
      <c r="PTC167" s="249"/>
      <c r="PTD167" s="249"/>
      <c r="PTE167" s="249"/>
      <c r="PTF167" s="249"/>
      <c r="PTG167" s="249"/>
      <c r="PTH167" s="249"/>
      <c r="PTI167" s="249"/>
      <c r="PTJ167" s="249"/>
      <c r="PTK167" s="249"/>
      <c r="PTL167" s="249"/>
      <c r="PTM167" s="249"/>
      <c r="PTN167" s="249"/>
      <c r="PTO167" s="249"/>
      <c r="PTP167" s="249"/>
      <c r="PTQ167" s="249"/>
      <c r="PTR167" s="249"/>
      <c r="PTS167" s="249"/>
      <c r="PTT167" s="249"/>
      <c r="PTU167" s="249"/>
      <c r="PTV167" s="249"/>
      <c r="PTW167" s="249"/>
      <c r="PTX167" s="249"/>
      <c r="PTY167" s="249"/>
      <c r="PTZ167" s="249"/>
      <c r="PUA167" s="249"/>
      <c r="PUB167" s="249"/>
      <c r="PUC167" s="249"/>
      <c r="PUD167" s="249"/>
      <c r="PUE167" s="249"/>
      <c r="PUF167" s="249"/>
      <c r="PUG167" s="249"/>
      <c r="PUH167" s="249"/>
      <c r="PUI167" s="249"/>
      <c r="PUJ167" s="249"/>
      <c r="PUK167" s="249"/>
      <c r="PUL167" s="249"/>
      <c r="PUM167" s="249"/>
      <c r="PUN167" s="249"/>
      <c r="PUO167" s="249"/>
      <c r="PUP167" s="249"/>
      <c r="PUQ167" s="249"/>
      <c r="PUR167" s="249"/>
      <c r="PUS167" s="249"/>
      <c r="PUT167" s="249"/>
      <c r="PUU167" s="249"/>
      <c r="PUV167" s="249"/>
      <c r="PUW167" s="249"/>
      <c r="PUX167" s="249"/>
      <c r="PUY167" s="249"/>
      <c r="PUZ167" s="249"/>
      <c r="PVA167" s="249"/>
      <c r="PVB167" s="249"/>
      <c r="PVC167" s="249"/>
      <c r="PVD167" s="249"/>
      <c r="PVE167" s="249"/>
      <c r="PVF167" s="249"/>
      <c r="PVG167" s="249"/>
      <c r="PVH167" s="249"/>
      <c r="PVI167" s="249"/>
      <c r="PVJ167" s="249"/>
      <c r="PVK167" s="249"/>
      <c r="PVL167" s="249"/>
      <c r="PVM167" s="249"/>
      <c r="PVN167" s="249"/>
      <c r="PVO167" s="249"/>
      <c r="PVP167" s="249"/>
      <c r="PVQ167" s="249"/>
      <c r="PVR167" s="249"/>
      <c r="PVS167" s="249"/>
      <c r="PVT167" s="249"/>
      <c r="PVU167" s="249"/>
      <c r="PVV167" s="249"/>
      <c r="PVW167" s="249"/>
      <c r="PVX167" s="249"/>
      <c r="PVY167" s="249"/>
      <c r="PVZ167" s="249"/>
      <c r="PWA167" s="249"/>
      <c r="PWB167" s="249"/>
      <c r="PWC167" s="249"/>
      <c r="PWD167" s="249"/>
      <c r="PWE167" s="249"/>
      <c r="PWF167" s="249"/>
      <c r="PWG167" s="249"/>
      <c r="PWH167" s="249"/>
      <c r="PWI167" s="249"/>
      <c r="PWJ167" s="249"/>
      <c r="PWK167" s="249"/>
      <c r="PWL167" s="249"/>
      <c r="PWM167" s="249"/>
      <c r="PWN167" s="249"/>
      <c r="PWO167" s="249"/>
      <c r="PWP167" s="249"/>
      <c r="PWQ167" s="249"/>
      <c r="PWR167" s="249"/>
      <c r="PWS167" s="249"/>
      <c r="PWT167" s="249"/>
      <c r="PWU167" s="249"/>
      <c r="PWV167" s="249"/>
      <c r="PWW167" s="249"/>
      <c r="PWX167" s="249"/>
      <c r="PWY167" s="249"/>
      <c r="PWZ167" s="249"/>
      <c r="PXA167" s="249"/>
      <c r="PXB167" s="249"/>
      <c r="PXC167" s="249"/>
      <c r="PXD167" s="249"/>
      <c r="PXE167" s="249"/>
      <c r="PXF167" s="249"/>
      <c r="PXG167" s="249"/>
      <c r="PXH167" s="249"/>
      <c r="PXI167" s="249"/>
      <c r="PXJ167" s="249"/>
      <c r="PXK167" s="249"/>
      <c r="PXL167" s="249"/>
      <c r="PXM167" s="249"/>
      <c r="PXN167" s="249"/>
      <c r="PXO167" s="249"/>
      <c r="PXP167" s="249"/>
      <c r="PXQ167" s="249"/>
      <c r="PXR167" s="249"/>
      <c r="PXS167" s="249"/>
      <c r="PXT167" s="249"/>
      <c r="PXU167" s="249"/>
      <c r="PXV167" s="249"/>
      <c r="PXW167" s="249"/>
      <c r="PXX167" s="249"/>
      <c r="PXY167" s="249"/>
      <c r="PXZ167" s="249"/>
      <c r="PYA167" s="249"/>
      <c r="PYB167" s="249"/>
      <c r="PYC167" s="249"/>
      <c r="PYD167" s="249"/>
      <c r="PYE167" s="249"/>
      <c r="PYF167" s="249"/>
      <c r="PYG167" s="249"/>
      <c r="PYH167" s="249"/>
      <c r="PYI167" s="249"/>
      <c r="PYJ167" s="249"/>
      <c r="PYK167" s="249"/>
      <c r="PYL167" s="249"/>
      <c r="PYM167" s="249"/>
      <c r="PYN167" s="249"/>
      <c r="PYO167" s="249"/>
      <c r="PYP167" s="249"/>
      <c r="PYQ167" s="249"/>
      <c r="PYR167" s="249"/>
      <c r="PYS167" s="249"/>
      <c r="PYT167" s="249"/>
      <c r="PYU167" s="249"/>
      <c r="PYV167" s="249"/>
      <c r="PYW167" s="249"/>
      <c r="PYX167" s="249"/>
      <c r="PYY167" s="249"/>
      <c r="PYZ167" s="249"/>
      <c r="PZA167" s="249"/>
      <c r="PZB167" s="249"/>
      <c r="PZC167" s="249"/>
      <c r="PZD167" s="249"/>
      <c r="PZE167" s="249"/>
      <c r="PZF167" s="249"/>
      <c r="PZG167" s="249"/>
      <c r="PZH167" s="249"/>
      <c r="PZI167" s="249"/>
      <c r="PZJ167" s="249"/>
      <c r="PZK167" s="249"/>
      <c r="PZL167" s="249"/>
      <c r="PZM167" s="249"/>
      <c r="PZN167" s="249"/>
      <c r="PZO167" s="249"/>
      <c r="PZP167" s="249"/>
      <c r="PZQ167" s="249"/>
      <c r="PZR167" s="249"/>
      <c r="PZS167" s="249"/>
      <c r="PZT167" s="249"/>
      <c r="PZU167" s="249"/>
      <c r="PZV167" s="249"/>
      <c r="PZW167" s="249"/>
      <c r="PZX167" s="249"/>
      <c r="PZY167" s="249"/>
      <c r="PZZ167" s="249"/>
      <c r="QAA167" s="249"/>
      <c r="QAB167" s="249"/>
      <c r="QAC167" s="249"/>
      <c r="QAD167" s="249"/>
      <c r="QAE167" s="249"/>
      <c r="QAF167" s="249"/>
      <c r="QAG167" s="249"/>
      <c r="QAH167" s="249"/>
      <c r="QAI167" s="249"/>
      <c r="QAJ167" s="249"/>
      <c r="QAK167" s="249"/>
      <c r="QAL167" s="249"/>
      <c r="QAM167" s="249"/>
      <c r="QAN167" s="249"/>
      <c r="QAO167" s="249"/>
      <c r="QAP167" s="249"/>
      <c r="QAQ167" s="249"/>
      <c r="QAR167" s="249"/>
      <c r="QAS167" s="249"/>
      <c r="QAT167" s="249"/>
      <c r="QAU167" s="249"/>
      <c r="QAV167" s="249"/>
      <c r="QAW167" s="249"/>
      <c r="QAX167" s="249"/>
      <c r="QAY167" s="249"/>
      <c r="QAZ167" s="249"/>
      <c r="QBA167" s="249"/>
      <c r="QBB167" s="249"/>
      <c r="QBC167" s="249"/>
      <c r="QBD167" s="249"/>
      <c r="QBE167" s="249"/>
      <c r="QBF167" s="249"/>
      <c r="QBG167" s="249"/>
      <c r="QBH167" s="249"/>
      <c r="QBI167" s="249"/>
      <c r="QBJ167" s="249"/>
      <c r="QBK167" s="249"/>
      <c r="QBL167" s="249"/>
      <c r="QBM167" s="249"/>
      <c r="QBN167" s="249"/>
      <c r="QBO167" s="249"/>
      <c r="QBP167" s="249"/>
      <c r="QBQ167" s="249"/>
      <c r="QBR167" s="249"/>
      <c r="QBS167" s="249"/>
      <c r="QBT167" s="249"/>
      <c r="QBU167" s="249"/>
      <c r="QBV167" s="249"/>
      <c r="QBW167" s="249"/>
      <c r="QBX167" s="249"/>
      <c r="QBY167" s="249"/>
      <c r="QBZ167" s="249"/>
      <c r="QCA167" s="249"/>
      <c r="QCB167" s="249"/>
      <c r="QCC167" s="249"/>
      <c r="QCD167" s="249"/>
      <c r="QCE167" s="249"/>
      <c r="QCF167" s="249"/>
      <c r="QCG167" s="249"/>
      <c r="QCH167" s="249"/>
      <c r="QCI167" s="249"/>
      <c r="QCJ167" s="249"/>
      <c r="QCK167" s="249"/>
      <c r="QCL167" s="249"/>
      <c r="QCM167" s="249"/>
      <c r="QCN167" s="249"/>
      <c r="QCO167" s="249"/>
      <c r="QCP167" s="249"/>
      <c r="QCQ167" s="249"/>
      <c r="QCR167" s="249"/>
      <c r="QCS167" s="249"/>
      <c r="QCT167" s="249"/>
      <c r="QCU167" s="249"/>
      <c r="QCV167" s="249"/>
      <c r="QCW167" s="249"/>
      <c r="QCX167" s="249"/>
      <c r="QCY167" s="249"/>
      <c r="QCZ167" s="249"/>
      <c r="QDA167" s="249"/>
      <c r="QDB167" s="249"/>
      <c r="QDC167" s="249"/>
      <c r="QDD167" s="249"/>
      <c r="QDE167" s="249"/>
      <c r="QDF167" s="249"/>
      <c r="QDG167" s="249"/>
      <c r="QDH167" s="249"/>
      <c r="QDI167" s="249"/>
      <c r="QDJ167" s="249"/>
      <c r="QDK167" s="249"/>
      <c r="QDL167" s="249"/>
      <c r="QDM167" s="249"/>
      <c r="QDN167" s="249"/>
      <c r="QDO167" s="249"/>
      <c r="QDP167" s="249"/>
      <c r="QDQ167" s="249"/>
      <c r="QDR167" s="249"/>
      <c r="QDS167" s="249"/>
      <c r="QDT167" s="249"/>
      <c r="QDU167" s="249"/>
      <c r="QDV167" s="249"/>
      <c r="QDW167" s="249"/>
      <c r="QDX167" s="249"/>
      <c r="QDY167" s="249"/>
      <c r="QDZ167" s="249"/>
      <c r="QEA167" s="249"/>
      <c r="QEB167" s="249"/>
      <c r="QEC167" s="249"/>
      <c r="QED167" s="249"/>
      <c r="QEE167" s="249"/>
      <c r="QEF167" s="249"/>
      <c r="QEG167" s="249"/>
      <c r="QEH167" s="249"/>
      <c r="QEI167" s="249"/>
      <c r="QEJ167" s="249"/>
      <c r="QEK167" s="249"/>
      <c r="QEL167" s="249"/>
      <c r="QEM167" s="249"/>
      <c r="QEN167" s="249"/>
      <c r="QEO167" s="249"/>
      <c r="QEP167" s="249"/>
      <c r="QEQ167" s="249"/>
      <c r="QER167" s="249"/>
      <c r="QES167" s="249"/>
      <c r="QET167" s="249"/>
      <c r="QEU167" s="249"/>
      <c r="QEV167" s="249"/>
      <c r="QEW167" s="249"/>
      <c r="QEX167" s="249"/>
      <c r="QEY167" s="249"/>
      <c r="QEZ167" s="249"/>
      <c r="QFA167" s="249"/>
      <c r="QFB167" s="249"/>
      <c r="QFC167" s="249"/>
      <c r="QFD167" s="249"/>
      <c r="QFE167" s="249"/>
      <c r="QFF167" s="249"/>
      <c r="QFG167" s="249"/>
      <c r="QFH167" s="249"/>
      <c r="QFI167" s="249"/>
      <c r="QFJ167" s="249"/>
      <c r="QFK167" s="249"/>
      <c r="QFL167" s="249"/>
      <c r="QFM167" s="249"/>
      <c r="QFN167" s="249"/>
      <c r="QFO167" s="249"/>
      <c r="QFP167" s="249"/>
      <c r="QFQ167" s="249"/>
      <c r="QFR167" s="249"/>
      <c r="QFS167" s="249"/>
      <c r="QFT167" s="249"/>
      <c r="QFU167" s="249"/>
      <c r="QFV167" s="249"/>
      <c r="QFW167" s="249"/>
      <c r="QFX167" s="249"/>
      <c r="QFY167" s="249"/>
      <c r="QFZ167" s="249"/>
      <c r="QGA167" s="249"/>
      <c r="QGB167" s="249"/>
      <c r="QGC167" s="249"/>
      <c r="QGD167" s="249"/>
      <c r="QGE167" s="249"/>
      <c r="QGF167" s="249"/>
      <c r="QGG167" s="249"/>
      <c r="QGH167" s="249"/>
      <c r="QGI167" s="249"/>
      <c r="QGJ167" s="249"/>
      <c r="QGK167" s="249"/>
      <c r="QGL167" s="249"/>
      <c r="QGM167" s="249"/>
      <c r="QGN167" s="249"/>
      <c r="QGO167" s="249"/>
      <c r="QGP167" s="249"/>
      <c r="QGQ167" s="249"/>
      <c r="QGR167" s="249"/>
      <c r="QGS167" s="249"/>
      <c r="QGT167" s="249"/>
      <c r="QGU167" s="249"/>
      <c r="QGV167" s="249"/>
      <c r="QGW167" s="249"/>
      <c r="QGX167" s="249"/>
      <c r="QGY167" s="249"/>
      <c r="QGZ167" s="249"/>
      <c r="QHA167" s="249"/>
      <c r="QHB167" s="249"/>
      <c r="QHC167" s="249"/>
      <c r="QHD167" s="249"/>
      <c r="QHE167" s="249"/>
      <c r="QHF167" s="249"/>
      <c r="QHG167" s="249"/>
      <c r="QHH167" s="249"/>
      <c r="QHI167" s="249"/>
      <c r="QHJ167" s="249"/>
      <c r="QHK167" s="249"/>
      <c r="QHL167" s="249"/>
      <c r="QHM167" s="249"/>
      <c r="QHN167" s="249"/>
      <c r="QHO167" s="249"/>
      <c r="QHP167" s="249"/>
      <c r="QHQ167" s="249"/>
      <c r="QHR167" s="249"/>
      <c r="QHS167" s="249"/>
      <c r="QHT167" s="249"/>
      <c r="QHU167" s="249"/>
      <c r="QHV167" s="249"/>
      <c r="QHW167" s="249"/>
      <c r="QHX167" s="249"/>
      <c r="QHY167" s="249"/>
      <c r="QHZ167" s="249"/>
      <c r="QIA167" s="249"/>
      <c r="QIB167" s="249"/>
      <c r="QIC167" s="249"/>
      <c r="QID167" s="249"/>
      <c r="QIE167" s="249"/>
      <c r="QIF167" s="249"/>
      <c r="QIG167" s="249"/>
      <c r="QIH167" s="249"/>
      <c r="QII167" s="249"/>
      <c r="QIJ167" s="249"/>
      <c r="QIK167" s="249"/>
      <c r="QIL167" s="249"/>
      <c r="QIM167" s="249"/>
      <c r="QIN167" s="249"/>
      <c r="QIO167" s="249"/>
      <c r="QIP167" s="249"/>
      <c r="QIQ167" s="249"/>
      <c r="QIR167" s="249"/>
      <c r="QIS167" s="249"/>
      <c r="QIT167" s="249"/>
      <c r="QIU167" s="249"/>
      <c r="QIV167" s="249"/>
      <c r="QIW167" s="249"/>
      <c r="QIX167" s="249"/>
      <c r="QIY167" s="249"/>
      <c r="QIZ167" s="249"/>
      <c r="QJA167" s="249"/>
      <c r="QJB167" s="249"/>
      <c r="QJC167" s="249"/>
      <c r="QJD167" s="249"/>
      <c r="QJE167" s="249"/>
      <c r="QJF167" s="249"/>
      <c r="QJG167" s="249"/>
      <c r="QJH167" s="249"/>
      <c r="QJI167" s="249"/>
      <c r="QJJ167" s="249"/>
      <c r="QJK167" s="249"/>
      <c r="QJL167" s="249"/>
      <c r="QJM167" s="249"/>
      <c r="QJN167" s="249"/>
      <c r="QJO167" s="249"/>
      <c r="QJP167" s="249"/>
      <c r="QJQ167" s="249"/>
      <c r="QJR167" s="249"/>
      <c r="QJS167" s="249"/>
      <c r="QJT167" s="249"/>
      <c r="QJU167" s="249"/>
      <c r="QJV167" s="249"/>
      <c r="QJW167" s="249"/>
      <c r="QJX167" s="249"/>
      <c r="QJY167" s="249"/>
      <c r="QJZ167" s="249"/>
      <c r="QKA167" s="249"/>
      <c r="QKB167" s="249"/>
      <c r="QKC167" s="249"/>
      <c r="QKD167" s="249"/>
      <c r="QKE167" s="249"/>
      <c r="QKF167" s="249"/>
      <c r="QKG167" s="249"/>
      <c r="QKH167" s="249"/>
      <c r="QKI167" s="249"/>
      <c r="QKJ167" s="249"/>
      <c r="QKK167" s="249"/>
      <c r="QKL167" s="249"/>
      <c r="QKM167" s="249"/>
      <c r="QKN167" s="249"/>
      <c r="QKO167" s="249"/>
      <c r="QKP167" s="249"/>
      <c r="QKQ167" s="249"/>
      <c r="QKR167" s="249"/>
      <c r="QKS167" s="249"/>
      <c r="QKT167" s="249"/>
      <c r="QKU167" s="249"/>
      <c r="QKV167" s="249"/>
      <c r="QKW167" s="249"/>
      <c r="QKX167" s="249"/>
      <c r="QKY167" s="249"/>
      <c r="QKZ167" s="249"/>
      <c r="QLA167" s="249"/>
      <c r="QLB167" s="249"/>
      <c r="QLC167" s="249"/>
      <c r="QLD167" s="249"/>
      <c r="QLE167" s="249"/>
      <c r="QLF167" s="249"/>
      <c r="QLG167" s="249"/>
      <c r="QLH167" s="249"/>
      <c r="QLI167" s="249"/>
      <c r="QLJ167" s="249"/>
      <c r="QLK167" s="249"/>
      <c r="QLL167" s="249"/>
      <c r="QLM167" s="249"/>
      <c r="QLN167" s="249"/>
      <c r="QLO167" s="249"/>
      <c r="QLP167" s="249"/>
      <c r="QLQ167" s="249"/>
      <c r="QLR167" s="249"/>
      <c r="QLS167" s="249"/>
      <c r="QLT167" s="249"/>
      <c r="QLU167" s="249"/>
      <c r="QLV167" s="249"/>
      <c r="QLW167" s="249"/>
      <c r="QLX167" s="249"/>
      <c r="QLY167" s="249"/>
      <c r="QLZ167" s="249"/>
      <c r="QMA167" s="249"/>
      <c r="QMB167" s="249"/>
      <c r="QMC167" s="249"/>
      <c r="QMD167" s="249"/>
      <c r="QME167" s="249"/>
      <c r="QMF167" s="249"/>
      <c r="QMG167" s="249"/>
      <c r="QMH167" s="249"/>
      <c r="QMI167" s="249"/>
      <c r="QMJ167" s="249"/>
      <c r="QMK167" s="249"/>
      <c r="QML167" s="249"/>
      <c r="QMM167" s="249"/>
      <c r="QMN167" s="249"/>
      <c r="QMO167" s="249"/>
      <c r="QMP167" s="249"/>
      <c r="QMQ167" s="249"/>
      <c r="QMR167" s="249"/>
      <c r="QMS167" s="249"/>
      <c r="QMT167" s="249"/>
      <c r="QMU167" s="249"/>
      <c r="QMV167" s="249"/>
      <c r="QMW167" s="249"/>
      <c r="QMX167" s="249"/>
      <c r="QMY167" s="249"/>
      <c r="QMZ167" s="249"/>
      <c r="QNA167" s="249"/>
      <c r="QNB167" s="249"/>
      <c r="QNC167" s="249"/>
      <c r="QND167" s="249"/>
      <c r="QNE167" s="249"/>
      <c r="QNF167" s="249"/>
      <c r="QNG167" s="249"/>
      <c r="QNH167" s="249"/>
      <c r="QNI167" s="249"/>
      <c r="QNJ167" s="249"/>
      <c r="QNK167" s="249"/>
      <c r="QNL167" s="249"/>
      <c r="QNM167" s="249"/>
      <c r="QNN167" s="249"/>
      <c r="QNO167" s="249"/>
      <c r="QNP167" s="249"/>
      <c r="QNQ167" s="249"/>
      <c r="QNR167" s="249"/>
      <c r="QNS167" s="249"/>
      <c r="QNT167" s="249"/>
      <c r="QNU167" s="249"/>
      <c r="QNV167" s="249"/>
      <c r="QNW167" s="249"/>
      <c r="QNX167" s="249"/>
      <c r="QNY167" s="249"/>
      <c r="QNZ167" s="249"/>
      <c r="QOA167" s="249"/>
      <c r="QOB167" s="249"/>
      <c r="QOC167" s="249"/>
      <c r="QOD167" s="249"/>
      <c r="QOE167" s="249"/>
      <c r="QOF167" s="249"/>
      <c r="QOG167" s="249"/>
      <c r="QOH167" s="249"/>
      <c r="QOI167" s="249"/>
      <c r="QOJ167" s="249"/>
      <c r="QOK167" s="249"/>
      <c r="QOL167" s="249"/>
      <c r="QOM167" s="249"/>
      <c r="QON167" s="249"/>
      <c r="QOO167" s="249"/>
      <c r="QOP167" s="249"/>
      <c r="QOQ167" s="249"/>
      <c r="QOR167" s="249"/>
      <c r="QOS167" s="249"/>
      <c r="QOT167" s="249"/>
      <c r="QOU167" s="249"/>
      <c r="QOV167" s="249"/>
      <c r="QOW167" s="249"/>
      <c r="QOX167" s="249"/>
      <c r="QOY167" s="249"/>
      <c r="QOZ167" s="249"/>
      <c r="QPA167" s="249"/>
      <c r="QPB167" s="249"/>
      <c r="QPC167" s="249"/>
      <c r="QPD167" s="249"/>
      <c r="QPE167" s="249"/>
      <c r="QPF167" s="249"/>
      <c r="QPG167" s="249"/>
      <c r="QPH167" s="249"/>
      <c r="QPI167" s="249"/>
      <c r="QPJ167" s="249"/>
      <c r="QPK167" s="249"/>
      <c r="QPL167" s="249"/>
      <c r="QPM167" s="249"/>
      <c r="QPN167" s="249"/>
      <c r="QPO167" s="249"/>
      <c r="QPP167" s="249"/>
      <c r="QPQ167" s="249"/>
      <c r="QPR167" s="249"/>
      <c r="QPS167" s="249"/>
      <c r="QPT167" s="249"/>
      <c r="QPU167" s="249"/>
      <c r="QPV167" s="249"/>
      <c r="QPW167" s="249"/>
      <c r="QPX167" s="249"/>
      <c r="QPY167" s="249"/>
      <c r="QPZ167" s="249"/>
      <c r="QQA167" s="249"/>
      <c r="QQB167" s="249"/>
      <c r="QQC167" s="249"/>
      <c r="QQD167" s="249"/>
      <c r="QQE167" s="249"/>
      <c r="QQF167" s="249"/>
      <c r="QQG167" s="249"/>
      <c r="QQH167" s="249"/>
      <c r="QQI167" s="249"/>
      <c r="QQJ167" s="249"/>
      <c r="QQK167" s="249"/>
      <c r="QQL167" s="249"/>
      <c r="QQM167" s="249"/>
      <c r="QQN167" s="249"/>
      <c r="QQO167" s="249"/>
      <c r="QQP167" s="249"/>
      <c r="QQQ167" s="249"/>
      <c r="QQR167" s="249"/>
      <c r="QQS167" s="249"/>
      <c r="QQT167" s="249"/>
      <c r="QQU167" s="249"/>
      <c r="QQV167" s="249"/>
      <c r="QQW167" s="249"/>
      <c r="QQX167" s="249"/>
      <c r="QQY167" s="249"/>
      <c r="QQZ167" s="249"/>
      <c r="QRA167" s="249"/>
      <c r="QRB167" s="249"/>
      <c r="QRC167" s="249"/>
      <c r="QRD167" s="249"/>
      <c r="QRE167" s="249"/>
      <c r="QRF167" s="249"/>
      <c r="QRG167" s="249"/>
      <c r="QRH167" s="249"/>
      <c r="QRI167" s="249"/>
      <c r="QRJ167" s="249"/>
      <c r="QRK167" s="249"/>
      <c r="QRL167" s="249"/>
      <c r="QRM167" s="249"/>
      <c r="QRN167" s="249"/>
      <c r="QRO167" s="249"/>
      <c r="QRP167" s="249"/>
      <c r="QRQ167" s="249"/>
      <c r="QRR167" s="249"/>
      <c r="QRS167" s="249"/>
      <c r="QRT167" s="249"/>
      <c r="QRU167" s="249"/>
      <c r="QRV167" s="249"/>
      <c r="QRW167" s="249"/>
      <c r="QRX167" s="249"/>
      <c r="QRY167" s="249"/>
      <c r="QRZ167" s="249"/>
      <c r="QSA167" s="249"/>
      <c r="QSB167" s="249"/>
      <c r="QSC167" s="249"/>
      <c r="QSD167" s="249"/>
      <c r="QSE167" s="249"/>
      <c r="QSF167" s="249"/>
      <c r="QSG167" s="249"/>
      <c r="QSH167" s="249"/>
      <c r="QSI167" s="249"/>
      <c r="QSJ167" s="249"/>
      <c r="QSK167" s="249"/>
      <c r="QSL167" s="249"/>
      <c r="QSM167" s="249"/>
      <c r="QSN167" s="249"/>
      <c r="QSO167" s="249"/>
      <c r="QSP167" s="249"/>
      <c r="QSQ167" s="249"/>
      <c r="QSR167" s="249"/>
      <c r="QSS167" s="249"/>
      <c r="QST167" s="249"/>
      <c r="QSU167" s="249"/>
      <c r="QSV167" s="249"/>
      <c r="QSW167" s="249"/>
      <c r="QSX167" s="249"/>
      <c r="QSY167" s="249"/>
      <c r="QSZ167" s="249"/>
      <c r="QTA167" s="249"/>
      <c r="QTB167" s="249"/>
      <c r="QTC167" s="249"/>
      <c r="QTD167" s="249"/>
      <c r="QTE167" s="249"/>
      <c r="QTF167" s="249"/>
      <c r="QTG167" s="249"/>
      <c r="QTH167" s="249"/>
      <c r="QTI167" s="249"/>
      <c r="QTJ167" s="249"/>
      <c r="QTK167" s="249"/>
      <c r="QTL167" s="249"/>
      <c r="QTM167" s="249"/>
      <c r="QTN167" s="249"/>
      <c r="QTO167" s="249"/>
      <c r="QTP167" s="249"/>
      <c r="QTQ167" s="249"/>
      <c r="QTR167" s="249"/>
      <c r="QTS167" s="249"/>
      <c r="QTT167" s="249"/>
      <c r="QTU167" s="249"/>
      <c r="QTV167" s="249"/>
      <c r="QTW167" s="249"/>
      <c r="QTX167" s="249"/>
      <c r="QTY167" s="249"/>
      <c r="QTZ167" s="249"/>
      <c r="QUA167" s="249"/>
      <c r="QUB167" s="249"/>
      <c r="QUC167" s="249"/>
      <c r="QUD167" s="249"/>
      <c r="QUE167" s="249"/>
      <c r="QUF167" s="249"/>
      <c r="QUG167" s="249"/>
      <c r="QUH167" s="249"/>
      <c r="QUI167" s="249"/>
      <c r="QUJ167" s="249"/>
      <c r="QUK167" s="249"/>
      <c r="QUL167" s="249"/>
      <c r="QUM167" s="249"/>
      <c r="QUN167" s="249"/>
      <c r="QUO167" s="249"/>
      <c r="QUP167" s="249"/>
      <c r="QUQ167" s="249"/>
      <c r="QUR167" s="249"/>
      <c r="QUS167" s="249"/>
      <c r="QUT167" s="249"/>
      <c r="QUU167" s="249"/>
      <c r="QUV167" s="249"/>
      <c r="QUW167" s="249"/>
      <c r="QUX167" s="249"/>
      <c r="QUY167" s="249"/>
      <c r="QUZ167" s="249"/>
      <c r="QVA167" s="249"/>
      <c r="QVB167" s="249"/>
      <c r="QVC167" s="249"/>
      <c r="QVD167" s="249"/>
      <c r="QVE167" s="249"/>
      <c r="QVF167" s="249"/>
      <c r="QVG167" s="249"/>
      <c r="QVH167" s="249"/>
      <c r="QVI167" s="249"/>
      <c r="QVJ167" s="249"/>
      <c r="QVK167" s="249"/>
      <c r="QVL167" s="249"/>
      <c r="QVM167" s="249"/>
      <c r="QVN167" s="249"/>
      <c r="QVO167" s="249"/>
      <c r="QVP167" s="249"/>
      <c r="QVQ167" s="249"/>
      <c r="QVR167" s="249"/>
      <c r="QVS167" s="249"/>
      <c r="QVT167" s="249"/>
      <c r="QVU167" s="249"/>
      <c r="QVV167" s="249"/>
      <c r="QVW167" s="249"/>
      <c r="QVX167" s="249"/>
      <c r="QVY167" s="249"/>
      <c r="QVZ167" s="249"/>
      <c r="QWA167" s="249"/>
      <c r="QWB167" s="249"/>
      <c r="QWC167" s="249"/>
      <c r="QWD167" s="249"/>
      <c r="QWE167" s="249"/>
      <c r="QWF167" s="249"/>
      <c r="QWG167" s="249"/>
      <c r="QWH167" s="249"/>
      <c r="QWI167" s="249"/>
      <c r="QWJ167" s="249"/>
      <c r="QWK167" s="249"/>
      <c r="QWL167" s="249"/>
      <c r="QWM167" s="249"/>
      <c r="QWN167" s="249"/>
      <c r="QWO167" s="249"/>
      <c r="QWP167" s="249"/>
      <c r="QWQ167" s="249"/>
      <c r="QWR167" s="249"/>
      <c r="QWS167" s="249"/>
      <c r="QWT167" s="249"/>
      <c r="QWU167" s="249"/>
      <c r="QWV167" s="249"/>
      <c r="QWW167" s="249"/>
      <c r="QWX167" s="249"/>
      <c r="QWY167" s="249"/>
      <c r="QWZ167" s="249"/>
      <c r="QXA167" s="249"/>
      <c r="QXB167" s="249"/>
      <c r="QXC167" s="249"/>
      <c r="QXD167" s="249"/>
      <c r="QXE167" s="249"/>
      <c r="QXF167" s="249"/>
      <c r="QXG167" s="249"/>
      <c r="QXH167" s="249"/>
      <c r="QXI167" s="249"/>
      <c r="QXJ167" s="249"/>
      <c r="QXK167" s="249"/>
      <c r="QXL167" s="249"/>
      <c r="QXM167" s="249"/>
      <c r="QXN167" s="249"/>
      <c r="QXO167" s="249"/>
      <c r="QXP167" s="249"/>
      <c r="QXQ167" s="249"/>
      <c r="QXR167" s="249"/>
      <c r="QXS167" s="249"/>
      <c r="QXT167" s="249"/>
      <c r="QXU167" s="249"/>
      <c r="QXV167" s="249"/>
      <c r="QXW167" s="249"/>
      <c r="QXX167" s="249"/>
      <c r="QXY167" s="249"/>
      <c r="QXZ167" s="249"/>
      <c r="QYA167" s="249"/>
      <c r="QYB167" s="249"/>
      <c r="QYC167" s="249"/>
      <c r="QYD167" s="249"/>
      <c r="QYE167" s="249"/>
      <c r="QYF167" s="249"/>
      <c r="QYG167" s="249"/>
      <c r="QYH167" s="249"/>
      <c r="QYI167" s="249"/>
      <c r="QYJ167" s="249"/>
      <c r="QYK167" s="249"/>
      <c r="QYL167" s="249"/>
      <c r="QYM167" s="249"/>
      <c r="QYN167" s="249"/>
      <c r="QYO167" s="249"/>
      <c r="QYP167" s="249"/>
      <c r="QYQ167" s="249"/>
      <c r="QYR167" s="249"/>
      <c r="QYS167" s="249"/>
      <c r="QYT167" s="249"/>
      <c r="QYU167" s="249"/>
      <c r="QYV167" s="249"/>
      <c r="QYW167" s="249"/>
      <c r="QYX167" s="249"/>
      <c r="QYY167" s="249"/>
      <c r="QYZ167" s="249"/>
      <c r="QZA167" s="249"/>
      <c r="QZB167" s="249"/>
      <c r="QZC167" s="249"/>
      <c r="QZD167" s="249"/>
      <c r="QZE167" s="249"/>
      <c r="QZF167" s="249"/>
      <c r="QZG167" s="249"/>
      <c r="QZH167" s="249"/>
      <c r="QZI167" s="249"/>
      <c r="QZJ167" s="249"/>
      <c r="QZK167" s="249"/>
      <c r="QZL167" s="249"/>
      <c r="QZM167" s="249"/>
      <c r="QZN167" s="249"/>
      <c r="QZO167" s="249"/>
      <c r="QZP167" s="249"/>
      <c r="QZQ167" s="249"/>
      <c r="QZR167" s="249"/>
      <c r="QZS167" s="249"/>
      <c r="QZT167" s="249"/>
      <c r="QZU167" s="249"/>
      <c r="QZV167" s="249"/>
      <c r="QZW167" s="249"/>
      <c r="QZX167" s="249"/>
      <c r="QZY167" s="249"/>
      <c r="QZZ167" s="249"/>
      <c r="RAA167" s="249"/>
      <c r="RAB167" s="249"/>
      <c r="RAC167" s="249"/>
      <c r="RAD167" s="249"/>
      <c r="RAE167" s="249"/>
      <c r="RAF167" s="249"/>
      <c r="RAG167" s="249"/>
      <c r="RAH167" s="249"/>
      <c r="RAI167" s="249"/>
      <c r="RAJ167" s="249"/>
      <c r="RAK167" s="249"/>
      <c r="RAL167" s="249"/>
      <c r="RAM167" s="249"/>
      <c r="RAN167" s="249"/>
      <c r="RAO167" s="249"/>
      <c r="RAP167" s="249"/>
      <c r="RAQ167" s="249"/>
      <c r="RAR167" s="249"/>
      <c r="RAS167" s="249"/>
      <c r="RAT167" s="249"/>
      <c r="RAU167" s="249"/>
      <c r="RAV167" s="249"/>
      <c r="RAW167" s="249"/>
      <c r="RAX167" s="249"/>
      <c r="RAY167" s="249"/>
      <c r="RAZ167" s="249"/>
      <c r="RBA167" s="249"/>
      <c r="RBB167" s="249"/>
      <c r="RBC167" s="249"/>
      <c r="RBD167" s="249"/>
      <c r="RBE167" s="249"/>
      <c r="RBF167" s="249"/>
      <c r="RBG167" s="249"/>
      <c r="RBH167" s="249"/>
      <c r="RBI167" s="249"/>
      <c r="RBJ167" s="249"/>
      <c r="RBK167" s="249"/>
      <c r="RBL167" s="249"/>
      <c r="RBM167" s="249"/>
      <c r="RBN167" s="249"/>
      <c r="RBO167" s="249"/>
      <c r="RBP167" s="249"/>
      <c r="RBQ167" s="249"/>
      <c r="RBR167" s="249"/>
      <c r="RBS167" s="249"/>
      <c r="RBT167" s="249"/>
      <c r="RBU167" s="249"/>
      <c r="RBV167" s="249"/>
      <c r="RBW167" s="249"/>
      <c r="RBX167" s="249"/>
      <c r="RBY167" s="249"/>
      <c r="RBZ167" s="249"/>
      <c r="RCA167" s="249"/>
      <c r="RCB167" s="249"/>
      <c r="RCC167" s="249"/>
      <c r="RCD167" s="249"/>
      <c r="RCE167" s="249"/>
      <c r="RCF167" s="249"/>
      <c r="RCG167" s="249"/>
      <c r="RCH167" s="249"/>
      <c r="RCI167" s="249"/>
      <c r="RCJ167" s="249"/>
      <c r="RCK167" s="249"/>
      <c r="RCL167" s="249"/>
      <c r="RCM167" s="249"/>
      <c r="RCN167" s="249"/>
      <c r="RCO167" s="249"/>
      <c r="RCP167" s="249"/>
      <c r="RCQ167" s="249"/>
      <c r="RCR167" s="249"/>
      <c r="RCS167" s="249"/>
      <c r="RCT167" s="249"/>
      <c r="RCU167" s="249"/>
      <c r="RCV167" s="249"/>
      <c r="RCW167" s="249"/>
      <c r="RCX167" s="249"/>
      <c r="RCY167" s="249"/>
      <c r="RCZ167" s="249"/>
      <c r="RDA167" s="249"/>
      <c r="RDB167" s="249"/>
      <c r="RDC167" s="249"/>
      <c r="RDD167" s="249"/>
      <c r="RDE167" s="249"/>
      <c r="RDF167" s="249"/>
      <c r="RDG167" s="249"/>
      <c r="RDH167" s="249"/>
      <c r="RDI167" s="249"/>
      <c r="RDJ167" s="249"/>
      <c r="RDK167" s="249"/>
      <c r="RDL167" s="249"/>
      <c r="RDM167" s="249"/>
      <c r="RDN167" s="249"/>
      <c r="RDO167" s="249"/>
      <c r="RDP167" s="249"/>
      <c r="RDQ167" s="249"/>
      <c r="RDR167" s="249"/>
      <c r="RDS167" s="249"/>
      <c r="RDT167" s="249"/>
      <c r="RDU167" s="249"/>
      <c r="RDV167" s="249"/>
      <c r="RDW167" s="249"/>
      <c r="RDX167" s="249"/>
      <c r="RDY167" s="249"/>
      <c r="RDZ167" s="249"/>
      <c r="REA167" s="249"/>
      <c r="REB167" s="249"/>
      <c r="REC167" s="249"/>
      <c r="RED167" s="249"/>
      <c r="REE167" s="249"/>
      <c r="REF167" s="249"/>
      <c r="REG167" s="249"/>
      <c r="REH167" s="249"/>
      <c r="REI167" s="249"/>
      <c r="REJ167" s="249"/>
      <c r="REK167" s="249"/>
      <c r="REL167" s="249"/>
      <c r="REM167" s="249"/>
      <c r="REN167" s="249"/>
      <c r="REO167" s="249"/>
      <c r="REP167" s="249"/>
      <c r="REQ167" s="249"/>
      <c r="RER167" s="249"/>
      <c r="RES167" s="249"/>
      <c r="RET167" s="249"/>
      <c r="REU167" s="249"/>
      <c r="REV167" s="249"/>
      <c r="REW167" s="249"/>
      <c r="REX167" s="249"/>
      <c r="REY167" s="249"/>
      <c r="REZ167" s="249"/>
      <c r="RFA167" s="249"/>
      <c r="RFB167" s="249"/>
      <c r="RFC167" s="249"/>
      <c r="RFD167" s="249"/>
      <c r="RFE167" s="249"/>
      <c r="RFF167" s="249"/>
      <c r="RFG167" s="249"/>
      <c r="RFH167" s="249"/>
      <c r="RFI167" s="249"/>
      <c r="RFJ167" s="249"/>
      <c r="RFK167" s="249"/>
      <c r="RFL167" s="249"/>
      <c r="RFM167" s="249"/>
      <c r="RFN167" s="249"/>
      <c r="RFO167" s="249"/>
      <c r="RFP167" s="249"/>
      <c r="RFQ167" s="249"/>
      <c r="RFR167" s="249"/>
      <c r="RFS167" s="249"/>
      <c r="RFT167" s="249"/>
      <c r="RFU167" s="249"/>
      <c r="RFV167" s="249"/>
      <c r="RFW167" s="249"/>
      <c r="RFX167" s="249"/>
      <c r="RFY167" s="249"/>
      <c r="RFZ167" s="249"/>
      <c r="RGA167" s="249"/>
      <c r="RGB167" s="249"/>
      <c r="RGC167" s="249"/>
      <c r="RGD167" s="249"/>
      <c r="RGE167" s="249"/>
      <c r="RGF167" s="249"/>
      <c r="RGG167" s="249"/>
      <c r="RGH167" s="249"/>
      <c r="RGI167" s="249"/>
      <c r="RGJ167" s="249"/>
      <c r="RGK167" s="249"/>
      <c r="RGL167" s="249"/>
      <c r="RGM167" s="249"/>
      <c r="RGN167" s="249"/>
      <c r="RGO167" s="249"/>
      <c r="RGP167" s="249"/>
      <c r="RGQ167" s="249"/>
      <c r="RGR167" s="249"/>
      <c r="RGS167" s="249"/>
      <c r="RGT167" s="249"/>
      <c r="RGU167" s="249"/>
      <c r="RGV167" s="249"/>
      <c r="RGW167" s="249"/>
      <c r="RGX167" s="249"/>
      <c r="RGY167" s="249"/>
      <c r="RGZ167" s="249"/>
      <c r="RHA167" s="249"/>
      <c r="RHB167" s="249"/>
      <c r="RHC167" s="249"/>
      <c r="RHD167" s="249"/>
      <c r="RHE167" s="249"/>
      <c r="RHF167" s="249"/>
      <c r="RHG167" s="249"/>
      <c r="RHH167" s="249"/>
      <c r="RHI167" s="249"/>
      <c r="RHJ167" s="249"/>
      <c r="RHK167" s="249"/>
      <c r="RHL167" s="249"/>
      <c r="RHM167" s="249"/>
      <c r="RHN167" s="249"/>
      <c r="RHO167" s="249"/>
      <c r="RHP167" s="249"/>
      <c r="RHQ167" s="249"/>
      <c r="RHR167" s="249"/>
      <c r="RHS167" s="249"/>
      <c r="RHT167" s="249"/>
      <c r="RHU167" s="249"/>
      <c r="RHV167" s="249"/>
      <c r="RHW167" s="249"/>
      <c r="RHX167" s="249"/>
      <c r="RHY167" s="249"/>
      <c r="RHZ167" s="249"/>
      <c r="RIA167" s="249"/>
      <c r="RIB167" s="249"/>
      <c r="RIC167" s="249"/>
      <c r="RID167" s="249"/>
      <c r="RIE167" s="249"/>
      <c r="RIF167" s="249"/>
      <c r="RIG167" s="249"/>
      <c r="RIH167" s="249"/>
      <c r="RII167" s="249"/>
      <c r="RIJ167" s="249"/>
      <c r="RIK167" s="249"/>
      <c r="RIL167" s="249"/>
      <c r="RIM167" s="249"/>
      <c r="RIN167" s="249"/>
      <c r="RIO167" s="249"/>
      <c r="RIP167" s="249"/>
      <c r="RIQ167" s="249"/>
      <c r="RIR167" s="249"/>
      <c r="RIS167" s="249"/>
      <c r="RIT167" s="249"/>
      <c r="RIU167" s="249"/>
      <c r="RIV167" s="249"/>
      <c r="RIW167" s="249"/>
      <c r="RIX167" s="249"/>
      <c r="RIY167" s="249"/>
      <c r="RIZ167" s="249"/>
      <c r="RJA167" s="249"/>
      <c r="RJB167" s="249"/>
      <c r="RJC167" s="249"/>
      <c r="RJD167" s="249"/>
      <c r="RJE167" s="249"/>
      <c r="RJF167" s="249"/>
      <c r="RJG167" s="249"/>
      <c r="RJH167" s="249"/>
      <c r="RJI167" s="249"/>
      <c r="RJJ167" s="249"/>
      <c r="RJK167" s="249"/>
      <c r="RJL167" s="249"/>
      <c r="RJM167" s="249"/>
      <c r="RJN167" s="249"/>
      <c r="RJO167" s="249"/>
      <c r="RJP167" s="249"/>
      <c r="RJQ167" s="249"/>
      <c r="RJR167" s="249"/>
      <c r="RJS167" s="249"/>
      <c r="RJT167" s="249"/>
      <c r="RJU167" s="249"/>
      <c r="RJV167" s="249"/>
      <c r="RJW167" s="249"/>
      <c r="RJX167" s="249"/>
      <c r="RJY167" s="249"/>
      <c r="RJZ167" s="249"/>
      <c r="RKA167" s="249"/>
      <c r="RKB167" s="249"/>
      <c r="RKC167" s="249"/>
      <c r="RKD167" s="249"/>
      <c r="RKE167" s="249"/>
      <c r="RKF167" s="249"/>
      <c r="RKG167" s="249"/>
      <c r="RKH167" s="249"/>
      <c r="RKI167" s="249"/>
      <c r="RKJ167" s="249"/>
      <c r="RKK167" s="249"/>
      <c r="RKL167" s="249"/>
      <c r="RKM167" s="249"/>
      <c r="RKN167" s="249"/>
      <c r="RKO167" s="249"/>
      <c r="RKP167" s="249"/>
      <c r="RKQ167" s="249"/>
      <c r="RKR167" s="249"/>
      <c r="RKS167" s="249"/>
      <c r="RKT167" s="249"/>
      <c r="RKU167" s="249"/>
      <c r="RKV167" s="249"/>
      <c r="RKW167" s="249"/>
      <c r="RKX167" s="249"/>
      <c r="RKY167" s="249"/>
      <c r="RKZ167" s="249"/>
      <c r="RLA167" s="249"/>
      <c r="RLB167" s="249"/>
      <c r="RLC167" s="249"/>
      <c r="RLD167" s="249"/>
      <c r="RLE167" s="249"/>
      <c r="RLF167" s="249"/>
      <c r="RLG167" s="249"/>
      <c r="RLH167" s="249"/>
      <c r="RLI167" s="249"/>
      <c r="RLJ167" s="249"/>
      <c r="RLK167" s="249"/>
      <c r="RLL167" s="249"/>
      <c r="RLM167" s="249"/>
      <c r="RLN167" s="249"/>
      <c r="RLO167" s="249"/>
      <c r="RLP167" s="249"/>
      <c r="RLQ167" s="249"/>
      <c r="RLR167" s="249"/>
      <c r="RLS167" s="249"/>
      <c r="RLT167" s="249"/>
      <c r="RLU167" s="249"/>
      <c r="RLV167" s="249"/>
      <c r="RLW167" s="249"/>
      <c r="RLX167" s="249"/>
      <c r="RLY167" s="249"/>
      <c r="RLZ167" s="249"/>
      <c r="RMA167" s="249"/>
      <c r="RMB167" s="249"/>
      <c r="RMC167" s="249"/>
      <c r="RMD167" s="249"/>
      <c r="RME167" s="249"/>
      <c r="RMF167" s="249"/>
      <c r="RMG167" s="249"/>
      <c r="RMH167" s="249"/>
      <c r="RMI167" s="249"/>
      <c r="RMJ167" s="249"/>
      <c r="RMK167" s="249"/>
      <c r="RML167" s="249"/>
      <c r="RMM167" s="249"/>
      <c r="RMN167" s="249"/>
      <c r="RMO167" s="249"/>
      <c r="RMP167" s="249"/>
      <c r="RMQ167" s="249"/>
      <c r="RMR167" s="249"/>
      <c r="RMS167" s="249"/>
      <c r="RMT167" s="249"/>
      <c r="RMU167" s="249"/>
      <c r="RMV167" s="249"/>
      <c r="RMW167" s="249"/>
      <c r="RMX167" s="249"/>
      <c r="RMY167" s="249"/>
      <c r="RMZ167" s="249"/>
      <c r="RNA167" s="249"/>
      <c r="RNB167" s="249"/>
      <c r="RNC167" s="249"/>
      <c r="RND167" s="249"/>
      <c r="RNE167" s="249"/>
      <c r="RNF167" s="249"/>
      <c r="RNG167" s="249"/>
      <c r="RNH167" s="249"/>
      <c r="RNI167" s="249"/>
      <c r="RNJ167" s="249"/>
      <c r="RNK167" s="249"/>
      <c r="RNL167" s="249"/>
      <c r="RNM167" s="249"/>
      <c r="RNN167" s="249"/>
      <c r="RNO167" s="249"/>
      <c r="RNP167" s="249"/>
      <c r="RNQ167" s="249"/>
      <c r="RNR167" s="249"/>
      <c r="RNS167" s="249"/>
      <c r="RNT167" s="249"/>
      <c r="RNU167" s="249"/>
      <c r="RNV167" s="249"/>
      <c r="RNW167" s="249"/>
      <c r="RNX167" s="249"/>
      <c r="RNY167" s="249"/>
      <c r="RNZ167" s="249"/>
      <c r="ROA167" s="249"/>
      <c r="ROB167" s="249"/>
      <c r="ROC167" s="249"/>
      <c r="ROD167" s="249"/>
      <c r="ROE167" s="249"/>
      <c r="ROF167" s="249"/>
      <c r="ROG167" s="249"/>
      <c r="ROH167" s="249"/>
      <c r="ROI167" s="249"/>
      <c r="ROJ167" s="249"/>
      <c r="ROK167" s="249"/>
      <c r="ROL167" s="249"/>
      <c r="ROM167" s="249"/>
      <c r="RON167" s="249"/>
      <c r="ROO167" s="249"/>
      <c r="ROP167" s="249"/>
      <c r="ROQ167" s="249"/>
      <c r="ROR167" s="249"/>
      <c r="ROS167" s="249"/>
      <c r="ROT167" s="249"/>
      <c r="ROU167" s="249"/>
      <c r="ROV167" s="249"/>
      <c r="ROW167" s="249"/>
      <c r="ROX167" s="249"/>
      <c r="ROY167" s="249"/>
      <c r="ROZ167" s="249"/>
      <c r="RPA167" s="249"/>
      <c r="RPB167" s="249"/>
      <c r="RPC167" s="249"/>
      <c r="RPD167" s="249"/>
      <c r="RPE167" s="249"/>
      <c r="RPF167" s="249"/>
      <c r="RPG167" s="249"/>
      <c r="RPH167" s="249"/>
      <c r="RPI167" s="249"/>
      <c r="RPJ167" s="249"/>
      <c r="RPK167" s="249"/>
      <c r="RPL167" s="249"/>
      <c r="RPM167" s="249"/>
      <c r="RPN167" s="249"/>
      <c r="RPO167" s="249"/>
      <c r="RPP167" s="249"/>
      <c r="RPQ167" s="249"/>
      <c r="RPR167" s="249"/>
      <c r="RPS167" s="249"/>
      <c r="RPT167" s="249"/>
      <c r="RPU167" s="249"/>
      <c r="RPV167" s="249"/>
      <c r="RPW167" s="249"/>
      <c r="RPX167" s="249"/>
      <c r="RPY167" s="249"/>
      <c r="RPZ167" s="249"/>
      <c r="RQA167" s="249"/>
      <c r="RQB167" s="249"/>
      <c r="RQC167" s="249"/>
      <c r="RQD167" s="249"/>
      <c r="RQE167" s="249"/>
      <c r="RQF167" s="249"/>
      <c r="RQG167" s="249"/>
      <c r="RQH167" s="249"/>
      <c r="RQI167" s="249"/>
      <c r="RQJ167" s="249"/>
      <c r="RQK167" s="249"/>
      <c r="RQL167" s="249"/>
      <c r="RQM167" s="249"/>
      <c r="RQN167" s="249"/>
      <c r="RQO167" s="249"/>
      <c r="RQP167" s="249"/>
      <c r="RQQ167" s="249"/>
      <c r="RQR167" s="249"/>
      <c r="RQS167" s="249"/>
      <c r="RQT167" s="249"/>
      <c r="RQU167" s="249"/>
      <c r="RQV167" s="249"/>
      <c r="RQW167" s="249"/>
      <c r="RQX167" s="249"/>
      <c r="RQY167" s="249"/>
      <c r="RQZ167" s="249"/>
      <c r="RRA167" s="249"/>
      <c r="RRB167" s="249"/>
      <c r="RRC167" s="249"/>
      <c r="RRD167" s="249"/>
      <c r="RRE167" s="249"/>
      <c r="RRF167" s="249"/>
      <c r="RRG167" s="249"/>
      <c r="RRH167" s="249"/>
      <c r="RRI167" s="249"/>
      <c r="RRJ167" s="249"/>
      <c r="RRK167" s="249"/>
      <c r="RRL167" s="249"/>
      <c r="RRM167" s="249"/>
      <c r="RRN167" s="249"/>
      <c r="RRO167" s="249"/>
      <c r="RRP167" s="249"/>
      <c r="RRQ167" s="249"/>
      <c r="RRR167" s="249"/>
      <c r="RRS167" s="249"/>
      <c r="RRT167" s="249"/>
      <c r="RRU167" s="249"/>
      <c r="RRV167" s="249"/>
      <c r="RRW167" s="249"/>
      <c r="RRX167" s="249"/>
      <c r="RRY167" s="249"/>
      <c r="RRZ167" s="249"/>
      <c r="RSA167" s="249"/>
      <c r="RSB167" s="249"/>
      <c r="RSC167" s="249"/>
      <c r="RSD167" s="249"/>
      <c r="RSE167" s="249"/>
      <c r="RSF167" s="249"/>
      <c r="RSG167" s="249"/>
      <c r="RSH167" s="249"/>
      <c r="RSI167" s="249"/>
      <c r="RSJ167" s="249"/>
      <c r="RSK167" s="249"/>
      <c r="RSL167" s="249"/>
      <c r="RSM167" s="249"/>
      <c r="RSN167" s="249"/>
      <c r="RSO167" s="249"/>
      <c r="RSP167" s="249"/>
      <c r="RSQ167" s="249"/>
      <c r="RSR167" s="249"/>
      <c r="RSS167" s="249"/>
      <c r="RST167" s="249"/>
      <c r="RSU167" s="249"/>
      <c r="RSV167" s="249"/>
      <c r="RSW167" s="249"/>
      <c r="RSX167" s="249"/>
      <c r="RSY167" s="249"/>
      <c r="RSZ167" s="249"/>
      <c r="RTA167" s="249"/>
      <c r="RTB167" s="249"/>
      <c r="RTC167" s="249"/>
      <c r="RTD167" s="249"/>
      <c r="RTE167" s="249"/>
      <c r="RTF167" s="249"/>
      <c r="RTG167" s="249"/>
      <c r="RTH167" s="249"/>
      <c r="RTI167" s="249"/>
      <c r="RTJ167" s="249"/>
      <c r="RTK167" s="249"/>
      <c r="RTL167" s="249"/>
      <c r="RTM167" s="249"/>
      <c r="RTN167" s="249"/>
      <c r="RTO167" s="249"/>
      <c r="RTP167" s="249"/>
      <c r="RTQ167" s="249"/>
      <c r="RTR167" s="249"/>
      <c r="RTS167" s="249"/>
      <c r="RTT167" s="249"/>
      <c r="RTU167" s="249"/>
      <c r="RTV167" s="249"/>
      <c r="RTW167" s="249"/>
      <c r="RTX167" s="249"/>
      <c r="RTY167" s="249"/>
      <c r="RTZ167" s="249"/>
      <c r="RUA167" s="249"/>
      <c r="RUB167" s="249"/>
      <c r="RUC167" s="249"/>
      <c r="RUD167" s="249"/>
      <c r="RUE167" s="249"/>
      <c r="RUF167" s="249"/>
      <c r="RUG167" s="249"/>
      <c r="RUH167" s="249"/>
      <c r="RUI167" s="249"/>
      <c r="RUJ167" s="249"/>
      <c r="RUK167" s="249"/>
      <c r="RUL167" s="249"/>
      <c r="RUM167" s="249"/>
      <c r="RUN167" s="249"/>
      <c r="RUO167" s="249"/>
      <c r="RUP167" s="249"/>
      <c r="RUQ167" s="249"/>
      <c r="RUR167" s="249"/>
      <c r="RUS167" s="249"/>
      <c r="RUT167" s="249"/>
      <c r="RUU167" s="249"/>
      <c r="RUV167" s="249"/>
      <c r="RUW167" s="249"/>
      <c r="RUX167" s="249"/>
      <c r="RUY167" s="249"/>
      <c r="RUZ167" s="249"/>
      <c r="RVA167" s="249"/>
      <c r="RVB167" s="249"/>
      <c r="RVC167" s="249"/>
      <c r="RVD167" s="249"/>
      <c r="RVE167" s="249"/>
      <c r="RVF167" s="249"/>
      <c r="RVG167" s="249"/>
      <c r="RVH167" s="249"/>
      <c r="RVI167" s="249"/>
      <c r="RVJ167" s="249"/>
      <c r="RVK167" s="249"/>
      <c r="RVL167" s="249"/>
      <c r="RVM167" s="249"/>
      <c r="RVN167" s="249"/>
      <c r="RVO167" s="249"/>
      <c r="RVP167" s="249"/>
      <c r="RVQ167" s="249"/>
      <c r="RVR167" s="249"/>
      <c r="RVS167" s="249"/>
      <c r="RVT167" s="249"/>
      <c r="RVU167" s="249"/>
      <c r="RVV167" s="249"/>
      <c r="RVW167" s="249"/>
      <c r="RVX167" s="249"/>
      <c r="RVY167" s="249"/>
      <c r="RVZ167" s="249"/>
      <c r="RWA167" s="249"/>
      <c r="RWB167" s="249"/>
      <c r="RWC167" s="249"/>
      <c r="RWD167" s="249"/>
      <c r="RWE167" s="249"/>
      <c r="RWF167" s="249"/>
      <c r="RWG167" s="249"/>
      <c r="RWH167" s="249"/>
      <c r="RWI167" s="249"/>
      <c r="RWJ167" s="249"/>
      <c r="RWK167" s="249"/>
      <c r="RWL167" s="249"/>
      <c r="RWM167" s="249"/>
      <c r="RWN167" s="249"/>
      <c r="RWO167" s="249"/>
      <c r="RWP167" s="249"/>
      <c r="RWQ167" s="249"/>
      <c r="RWR167" s="249"/>
      <c r="RWS167" s="249"/>
      <c r="RWT167" s="249"/>
      <c r="RWU167" s="249"/>
      <c r="RWV167" s="249"/>
      <c r="RWW167" s="249"/>
      <c r="RWX167" s="249"/>
      <c r="RWY167" s="249"/>
      <c r="RWZ167" s="249"/>
      <c r="RXA167" s="249"/>
      <c r="RXB167" s="249"/>
      <c r="RXC167" s="249"/>
      <c r="RXD167" s="249"/>
      <c r="RXE167" s="249"/>
      <c r="RXF167" s="249"/>
      <c r="RXG167" s="249"/>
      <c r="RXH167" s="249"/>
      <c r="RXI167" s="249"/>
      <c r="RXJ167" s="249"/>
      <c r="RXK167" s="249"/>
      <c r="RXL167" s="249"/>
      <c r="RXM167" s="249"/>
      <c r="RXN167" s="249"/>
      <c r="RXO167" s="249"/>
      <c r="RXP167" s="249"/>
      <c r="RXQ167" s="249"/>
      <c r="RXR167" s="249"/>
      <c r="RXS167" s="249"/>
      <c r="RXT167" s="249"/>
      <c r="RXU167" s="249"/>
      <c r="RXV167" s="249"/>
      <c r="RXW167" s="249"/>
      <c r="RXX167" s="249"/>
      <c r="RXY167" s="249"/>
      <c r="RXZ167" s="249"/>
      <c r="RYA167" s="249"/>
      <c r="RYB167" s="249"/>
      <c r="RYC167" s="249"/>
      <c r="RYD167" s="249"/>
      <c r="RYE167" s="249"/>
      <c r="RYF167" s="249"/>
      <c r="RYG167" s="249"/>
      <c r="RYH167" s="249"/>
      <c r="RYI167" s="249"/>
      <c r="RYJ167" s="249"/>
      <c r="RYK167" s="249"/>
      <c r="RYL167" s="249"/>
      <c r="RYM167" s="249"/>
      <c r="RYN167" s="249"/>
      <c r="RYO167" s="249"/>
      <c r="RYP167" s="249"/>
      <c r="RYQ167" s="249"/>
      <c r="RYR167" s="249"/>
      <c r="RYS167" s="249"/>
      <c r="RYT167" s="249"/>
      <c r="RYU167" s="249"/>
      <c r="RYV167" s="249"/>
      <c r="RYW167" s="249"/>
      <c r="RYX167" s="249"/>
      <c r="RYY167" s="249"/>
      <c r="RYZ167" s="249"/>
      <c r="RZA167" s="249"/>
      <c r="RZB167" s="249"/>
      <c r="RZC167" s="249"/>
      <c r="RZD167" s="249"/>
      <c r="RZE167" s="249"/>
      <c r="RZF167" s="249"/>
      <c r="RZG167" s="249"/>
      <c r="RZH167" s="249"/>
      <c r="RZI167" s="249"/>
      <c r="RZJ167" s="249"/>
      <c r="RZK167" s="249"/>
      <c r="RZL167" s="249"/>
      <c r="RZM167" s="249"/>
      <c r="RZN167" s="249"/>
      <c r="RZO167" s="249"/>
      <c r="RZP167" s="249"/>
      <c r="RZQ167" s="249"/>
      <c r="RZR167" s="249"/>
      <c r="RZS167" s="249"/>
      <c r="RZT167" s="249"/>
      <c r="RZU167" s="249"/>
      <c r="RZV167" s="249"/>
      <c r="RZW167" s="249"/>
      <c r="RZX167" s="249"/>
      <c r="RZY167" s="249"/>
      <c r="RZZ167" s="249"/>
      <c r="SAA167" s="249"/>
      <c r="SAB167" s="249"/>
      <c r="SAC167" s="249"/>
      <c r="SAD167" s="249"/>
      <c r="SAE167" s="249"/>
      <c r="SAF167" s="249"/>
      <c r="SAG167" s="249"/>
      <c r="SAH167" s="249"/>
      <c r="SAI167" s="249"/>
      <c r="SAJ167" s="249"/>
      <c r="SAK167" s="249"/>
      <c r="SAL167" s="249"/>
      <c r="SAM167" s="249"/>
      <c r="SAN167" s="249"/>
      <c r="SAO167" s="249"/>
      <c r="SAP167" s="249"/>
      <c r="SAQ167" s="249"/>
      <c r="SAR167" s="249"/>
      <c r="SAS167" s="249"/>
      <c r="SAT167" s="249"/>
      <c r="SAU167" s="249"/>
      <c r="SAV167" s="249"/>
      <c r="SAW167" s="249"/>
      <c r="SAX167" s="249"/>
      <c r="SAY167" s="249"/>
      <c r="SAZ167" s="249"/>
      <c r="SBA167" s="249"/>
      <c r="SBB167" s="249"/>
      <c r="SBC167" s="249"/>
      <c r="SBD167" s="249"/>
      <c r="SBE167" s="249"/>
      <c r="SBF167" s="249"/>
      <c r="SBG167" s="249"/>
      <c r="SBH167" s="249"/>
      <c r="SBI167" s="249"/>
      <c r="SBJ167" s="249"/>
      <c r="SBK167" s="249"/>
      <c r="SBL167" s="249"/>
      <c r="SBM167" s="249"/>
      <c r="SBN167" s="249"/>
      <c r="SBO167" s="249"/>
      <c r="SBP167" s="249"/>
      <c r="SBQ167" s="249"/>
      <c r="SBR167" s="249"/>
      <c r="SBS167" s="249"/>
      <c r="SBT167" s="249"/>
      <c r="SBU167" s="249"/>
      <c r="SBV167" s="249"/>
      <c r="SBW167" s="249"/>
      <c r="SBX167" s="249"/>
      <c r="SBY167" s="249"/>
      <c r="SBZ167" s="249"/>
      <c r="SCA167" s="249"/>
      <c r="SCB167" s="249"/>
      <c r="SCC167" s="249"/>
      <c r="SCD167" s="249"/>
      <c r="SCE167" s="249"/>
      <c r="SCF167" s="249"/>
      <c r="SCG167" s="249"/>
      <c r="SCH167" s="249"/>
      <c r="SCI167" s="249"/>
      <c r="SCJ167" s="249"/>
      <c r="SCK167" s="249"/>
      <c r="SCL167" s="249"/>
      <c r="SCM167" s="249"/>
      <c r="SCN167" s="249"/>
      <c r="SCO167" s="249"/>
      <c r="SCP167" s="249"/>
      <c r="SCQ167" s="249"/>
      <c r="SCR167" s="249"/>
      <c r="SCS167" s="249"/>
      <c r="SCT167" s="249"/>
      <c r="SCU167" s="249"/>
      <c r="SCV167" s="249"/>
      <c r="SCW167" s="249"/>
      <c r="SCX167" s="249"/>
      <c r="SCY167" s="249"/>
      <c r="SCZ167" s="249"/>
      <c r="SDA167" s="249"/>
      <c r="SDB167" s="249"/>
      <c r="SDC167" s="249"/>
      <c r="SDD167" s="249"/>
      <c r="SDE167" s="249"/>
      <c r="SDF167" s="249"/>
      <c r="SDG167" s="249"/>
      <c r="SDH167" s="249"/>
      <c r="SDI167" s="249"/>
      <c r="SDJ167" s="249"/>
      <c r="SDK167" s="249"/>
      <c r="SDL167" s="249"/>
      <c r="SDM167" s="249"/>
      <c r="SDN167" s="249"/>
      <c r="SDO167" s="249"/>
      <c r="SDP167" s="249"/>
      <c r="SDQ167" s="249"/>
      <c r="SDR167" s="249"/>
      <c r="SDS167" s="249"/>
      <c r="SDT167" s="249"/>
      <c r="SDU167" s="249"/>
      <c r="SDV167" s="249"/>
      <c r="SDW167" s="249"/>
      <c r="SDX167" s="249"/>
      <c r="SDY167" s="249"/>
      <c r="SDZ167" s="249"/>
      <c r="SEA167" s="249"/>
      <c r="SEB167" s="249"/>
      <c r="SEC167" s="249"/>
      <c r="SED167" s="249"/>
      <c r="SEE167" s="249"/>
      <c r="SEF167" s="249"/>
      <c r="SEG167" s="249"/>
      <c r="SEH167" s="249"/>
      <c r="SEI167" s="249"/>
      <c r="SEJ167" s="249"/>
      <c r="SEK167" s="249"/>
      <c r="SEL167" s="249"/>
      <c r="SEM167" s="249"/>
      <c r="SEN167" s="249"/>
      <c r="SEO167" s="249"/>
      <c r="SEP167" s="249"/>
      <c r="SEQ167" s="249"/>
      <c r="SER167" s="249"/>
      <c r="SES167" s="249"/>
      <c r="SET167" s="249"/>
      <c r="SEU167" s="249"/>
      <c r="SEV167" s="249"/>
      <c r="SEW167" s="249"/>
      <c r="SEX167" s="249"/>
      <c r="SEY167" s="249"/>
      <c r="SEZ167" s="249"/>
      <c r="SFA167" s="249"/>
      <c r="SFB167" s="249"/>
      <c r="SFC167" s="249"/>
      <c r="SFD167" s="249"/>
      <c r="SFE167" s="249"/>
      <c r="SFF167" s="249"/>
      <c r="SFG167" s="249"/>
      <c r="SFH167" s="249"/>
      <c r="SFI167" s="249"/>
      <c r="SFJ167" s="249"/>
      <c r="SFK167" s="249"/>
      <c r="SFL167" s="249"/>
      <c r="SFM167" s="249"/>
      <c r="SFN167" s="249"/>
      <c r="SFO167" s="249"/>
      <c r="SFP167" s="249"/>
      <c r="SFQ167" s="249"/>
      <c r="SFR167" s="249"/>
      <c r="SFS167" s="249"/>
      <c r="SFT167" s="249"/>
      <c r="SFU167" s="249"/>
      <c r="SFV167" s="249"/>
      <c r="SFW167" s="249"/>
      <c r="SFX167" s="249"/>
      <c r="SFY167" s="249"/>
      <c r="SFZ167" s="249"/>
      <c r="SGA167" s="249"/>
      <c r="SGB167" s="249"/>
      <c r="SGC167" s="249"/>
      <c r="SGD167" s="249"/>
      <c r="SGE167" s="249"/>
      <c r="SGF167" s="249"/>
      <c r="SGG167" s="249"/>
      <c r="SGH167" s="249"/>
      <c r="SGI167" s="249"/>
      <c r="SGJ167" s="249"/>
      <c r="SGK167" s="249"/>
      <c r="SGL167" s="249"/>
      <c r="SGM167" s="249"/>
      <c r="SGN167" s="249"/>
      <c r="SGO167" s="249"/>
      <c r="SGP167" s="249"/>
      <c r="SGQ167" s="249"/>
      <c r="SGR167" s="249"/>
      <c r="SGS167" s="249"/>
      <c r="SGT167" s="249"/>
      <c r="SGU167" s="249"/>
      <c r="SGV167" s="249"/>
      <c r="SGW167" s="249"/>
      <c r="SGX167" s="249"/>
      <c r="SGY167" s="249"/>
      <c r="SGZ167" s="249"/>
      <c r="SHA167" s="249"/>
      <c r="SHB167" s="249"/>
      <c r="SHC167" s="249"/>
      <c r="SHD167" s="249"/>
      <c r="SHE167" s="249"/>
      <c r="SHF167" s="249"/>
      <c r="SHG167" s="249"/>
      <c r="SHH167" s="249"/>
      <c r="SHI167" s="249"/>
      <c r="SHJ167" s="249"/>
      <c r="SHK167" s="249"/>
      <c r="SHL167" s="249"/>
      <c r="SHM167" s="249"/>
      <c r="SHN167" s="249"/>
      <c r="SHO167" s="249"/>
      <c r="SHP167" s="249"/>
      <c r="SHQ167" s="249"/>
      <c r="SHR167" s="249"/>
      <c r="SHS167" s="249"/>
      <c r="SHT167" s="249"/>
      <c r="SHU167" s="249"/>
      <c r="SHV167" s="249"/>
      <c r="SHW167" s="249"/>
      <c r="SHX167" s="249"/>
      <c r="SHY167" s="249"/>
      <c r="SHZ167" s="249"/>
      <c r="SIA167" s="249"/>
      <c r="SIB167" s="249"/>
      <c r="SIC167" s="249"/>
      <c r="SID167" s="249"/>
      <c r="SIE167" s="249"/>
      <c r="SIF167" s="249"/>
      <c r="SIG167" s="249"/>
      <c r="SIH167" s="249"/>
      <c r="SII167" s="249"/>
      <c r="SIJ167" s="249"/>
      <c r="SIK167" s="249"/>
      <c r="SIL167" s="249"/>
      <c r="SIM167" s="249"/>
      <c r="SIN167" s="249"/>
      <c r="SIO167" s="249"/>
      <c r="SIP167" s="249"/>
      <c r="SIQ167" s="249"/>
      <c r="SIR167" s="249"/>
      <c r="SIS167" s="249"/>
      <c r="SIT167" s="249"/>
      <c r="SIU167" s="249"/>
      <c r="SIV167" s="249"/>
      <c r="SIW167" s="249"/>
      <c r="SIX167" s="249"/>
      <c r="SIY167" s="249"/>
      <c r="SIZ167" s="249"/>
      <c r="SJA167" s="249"/>
      <c r="SJB167" s="249"/>
      <c r="SJC167" s="249"/>
      <c r="SJD167" s="249"/>
      <c r="SJE167" s="249"/>
      <c r="SJF167" s="249"/>
      <c r="SJG167" s="249"/>
      <c r="SJH167" s="249"/>
      <c r="SJI167" s="249"/>
      <c r="SJJ167" s="249"/>
      <c r="SJK167" s="249"/>
      <c r="SJL167" s="249"/>
      <c r="SJM167" s="249"/>
      <c r="SJN167" s="249"/>
      <c r="SJO167" s="249"/>
      <c r="SJP167" s="249"/>
      <c r="SJQ167" s="249"/>
      <c r="SJR167" s="249"/>
      <c r="SJS167" s="249"/>
      <c r="SJT167" s="249"/>
      <c r="SJU167" s="249"/>
      <c r="SJV167" s="249"/>
      <c r="SJW167" s="249"/>
      <c r="SJX167" s="249"/>
      <c r="SJY167" s="249"/>
      <c r="SJZ167" s="249"/>
      <c r="SKA167" s="249"/>
      <c r="SKB167" s="249"/>
      <c r="SKC167" s="249"/>
      <c r="SKD167" s="249"/>
      <c r="SKE167" s="249"/>
      <c r="SKF167" s="249"/>
      <c r="SKG167" s="249"/>
      <c r="SKH167" s="249"/>
      <c r="SKI167" s="249"/>
      <c r="SKJ167" s="249"/>
      <c r="SKK167" s="249"/>
      <c r="SKL167" s="249"/>
      <c r="SKM167" s="249"/>
      <c r="SKN167" s="249"/>
      <c r="SKO167" s="249"/>
      <c r="SKP167" s="249"/>
      <c r="SKQ167" s="249"/>
      <c r="SKR167" s="249"/>
      <c r="SKS167" s="249"/>
      <c r="SKT167" s="249"/>
      <c r="SKU167" s="249"/>
      <c r="SKV167" s="249"/>
      <c r="SKW167" s="249"/>
      <c r="SKX167" s="249"/>
      <c r="SKY167" s="249"/>
      <c r="SKZ167" s="249"/>
      <c r="SLA167" s="249"/>
      <c r="SLB167" s="249"/>
      <c r="SLC167" s="249"/>
      <c r="SLD167" s="249"/>
      <c r="SLE167" s="249"/>
      <c r="SLF167" s="249"/>
      <c r="SLG167" s="249"/>
      <c r="SLH167" s="249"/>
      <c r="SLI167" s="249"/>
      <c r="SLJ167" s="249"/>
      <c r="SLK167" s="249"/>
      <c r="SLL167" s="249"/>
      <c r="SLM167" s="249"/>
      <c r="SLN167" s="249"/>
      <c r="SLO167" s="249"/>
      <c r="SLP167" s="249"/>
      <c r="SLQ167" s="249"/>
      <c r="SLR167" s="249"/>
      <c r="SLS167" s="249"/>
      <c r="SLT167" s="249"/>
      <c r="SLU167" s="249"/>
      <c r="SLV167" s="249"/>
      <c r="SLW167" s="249"/>
      <c r="SLX167" s="249"/>
      <c r="SLY167" s="249"/>
      <c r="SLZ167" s="249"/>
      <c r="SMA167" s="249"/>
      <c r="SMB167" s="249"/>
      <c r="SMC167" s="249"/>
      <c r="SMD167" s="249"/>
      <c r="SME167" s="249"/>
      <c r="SMF167" s="249"/>
      <c r="SMG167" s="249"/>
      <c r="SMH167" s="249"/>
      <c r="SMI167" s="249"/>
      <c r="SMJ167" s="249"/>
      <c r="SMK167" s="249"/>
      <c r="SML167" s="249"/>
      <c r="SMM167" s="249"/>
      <c r="SMN167" s="249"/>
      <c r="SMO167" s="249"/>
      <c r="SMP167" s="249"/>
      <c r="SMQ167" s="249"/>
      <c r="SMR167" s="249"/>
      <c r="SMS167" s="249"/>
      <c r="SMT167" s="249"/>
      <c r="SMU167" s="249"/>
      <c r="SMV167" s="249"/>
      <c r="SMW167" s="249"/>
      <c r="SMX167" s="249"/>
      <c r="SMY167" s="249"/>
      <c r="SMZ167" s="249"/>
      <c r="SNA167" s="249"/>
      <c r="SNB167" s="249"/>
      <c r="SNC167" s="249"/>
      <c r="SND167" s="249"/>
      <c r="SNE167" s="249"/>
      <c r="SNF167" s="249"/>
      <c r="SNG167" s="249"/>
      <c r="SNH167" s="249"/>
      <c r="SNI167" s="249"/>
      <c r="SNJ167" s="249"/>
      <c r="SNK167" s="249"/>
      <c r="SNL167" s="249"/>
      <c r="SNM167" s="249"/>
      <c r="SNN167" s="249"/>
      <c r="SNO167" s="249"/>
      <c r="SNP167" s="249"/>
      <c r="SNQ167" s="249"/>
      <c r="SNR167" s="249"/>
      <c r="SNS167" s="249"/>
      <c r="SNT167" s="249"/>
      <c r="SNU167" s="249"/>
      <c r="SNV167" s="249"/>
      <c r="SNW167" s="249"/>
      <c r="SNX167" s="249"/>
      <c r="SNY167" s="249"/>
      <c r="SNZ167" s="249"/>
      <c r="SOA167" s="249"/>
      <c r="SOB167" s="249"/>
      <c r="SOC167" s="249"/>
      <c r="SOD167" s="249"/>
      <c r="SOE167" s="249"/>
      <c r="SOF167" s="249"/>
      <c r="SOG167" s="249"/>
      <c r="SOH167" s="249"/>
      <c r="SOI167" s="249"/>
      <c r="SOJ167" s="249"/>
      <c r="SOK167" s="249"/>
      <c r="SOL167" s="249"/>
      <c r="SOM167" s="249"/>
      <c r="SON167" s="249"/>
      <c r="SOO167" s="249"/>
      <c r="SOP167" s="249"/>
      <c r="SOQ167" s="249"/>
      <c r="SOR167" s="249"/>
      <c r="SOS167" s="249"/>
      <c r="SOT167" s="249"/>
      <c r="SOU167" s="249"/>
      <c r="SOV167" s="249"/>
      <c r="SOW167" s="249"/>
      <c r="SOX167" s="249"/>
      <c r="SOY167" s="249"/>
      <c r="SOZ167" s="249"/>
      <c r="SPA167" s="249"/>
      <c r="SPB167" s="249"/>
      <c r="SPC167" s="249"/>
      <c r="SPD167" s="249"/>
      <c r="SPE167" s="249"/>
      <c r="SPF167" s="249"/>
      <c r="SPG167" s="249"/>
      <c r="SPH167" s="249"/>
      <c r="SPI167" s="249"/>
      <c r="SPJ167" s="249"/>
      <c r="SPK167" s="249"/>
      <c r="SPL167" s="249"/>
      <c r="SPM167" s="249"/>
      <c r="SPN167" s="249"/>
      <c r="SPO167" s="249"/>
      <c r="SPP167" s="249"/>
      <c r="SPQ167" s="249"/>
      <c r="SPR167" s="249"/>
      <c r="SPS167" s="249"/>
      <c r="SPT167" s="249"/>
      <c r="SPU167" s="249"/>
      <c r="SPV167" s="249"/>
      <c r="SPW167" s="249"/>
      <c r="SPX167" s="249"/>
      <c r="SPY167" s="249"/>
      <c r="SPZ167" s="249"/>
      <c r="SQA167" s="249"/>
      <c r="SQB167" s="249"/>
      <c r="SQC167" s="249"/>
      <c r="SQD167" s="249"/>
      <c r="SQE167" s="249"/>
      <c r="SQF167" s="249"/>
      <c r="SQG167" s="249"/>
      <c r="SQH167" s="249"/>
      <c r="SQI167" s="249"/>
      <c r="SQJ167" s="249"/>
      <c r="SQK167" s="249"/>
      <c r="SQL167" s="249"/>
      <c r="SQM167" s="249"/>
      <c r="SQN167" s="249"/>
      <c r="SQO167" s="249"/>
      <c r="SQP167" s="249"/>
      <c r="SQQ167" s="249"/>
      <c r="SQR167" s="249"/>
      <c r="SQS167" s="249"/>
      <c r="SQT167" s="249"/>
      <c r="SQU167" s="249"/>
      <c r="SQV167" s="249"/>
      <c r="SQW167" s="249"/>
      <c r="SQX167" s="249"/>
      <c r="SQY167" s="249"/>
      <c r="SQZ167" s="249"/>
      <c r="SRA167" s="249"/>
      <c r="SRB167" s="249"/>
      <c r="SRC167" s="249"/>
      <c r="SRD167" s="249"/>
      <c r="SRE167" s="249"/>
      <c r="SRF167" s="249"/>
      <c r="SRG167" s="249"/>
      <c r="SRH167" s="249"/>
      <c r="SRI167" s="249"/>
      <c r="SRJ167" s="249"/>
      <c r="SRK167" s="249"/>
      <c r="SRL167" s="249"/>
      <c r="SRM167" s="249"/>
      <c r="SRN167" s="249"/>
      <c r="SRO167" s="249"/>
      <c r="SRP167" s="249"/>
      <c r="SRQ167" s="249"/>
      <c r="SRR167" s="249"/>
      <c r="SRS167" s="249"/>
      <c r="SRT167" s="249"/>
      <c r="SRU167" s="249"/>
      <c r="SRV167" s="249"/>
      <c r="SRW167" s="249"/>
      <c r="SRX167" s="249"/>
      <c r="SRY167" s="249"/>
      <c r="SRZ167" s="249"/>
      <c r="SSA167" s="249"/>
      <c r="SSB167" s="249"/>
      <c r="SSC167" s="249"/>
      <c r="SSD167" s="249"/>
      <c r="SSE167" s="249"/>
      <c r="SSF167" s="249"/>
      <c r="SSG167" s="249"/>
      <c r="SSH167" s="249"/>
      <c r="SSI167" s="249"/>
      <c r="SSJ167" s="249"/>
      <c r="SSK167" s="249"/>
      <c r="SSL167" s="249"/>
      <c r="SSM167" s="249"/>
      <c r="SSN167" s="249"/>
      <c r="SSO167" s="249"/>
      <c r="SSP167" s="249"/>
      <c r="SSQ167" s="249"/>
      <c r="SSR167" s="249"/>
      <c r="SSS167" s="249"/>
      <c r="SST167" s="249"/>
      <c r="SSU167" s="249"/>
      <c r="SSV167" s="249"/>
      <c r="SSW167" s="249"/>
      <c r="SSX167" s="249"/>
      <c r="SSY167" s="249"/>
      <c r="SSZ167" s="249"/>
      <c r="STA167" s="249"/>
      <c r="STB167" s="249"/>
      <c r="STC167" s="249"/>
      <c r="STD167" s="249"/>
      <c r="STE167" s="249"/>
      <c r="STF167" s="249"/>
      <c r="STG167" s="249"/>
      <c r="STH167" s="249"/>
      <c r="STI167" s="249"/>
      <c r="STJ167" s="249"/>
      <c r="STK167" s="249"/>
      <c r="STL167" s="249"/>
      <c r="STM167" s="249"/>
      <c r="STN167" s="249"/>
      <c r="STO167" s="249"/>
      <c r="STP167" s="249"/>
      <c r="STQ167" s="249"/>
      <c r="STR167" s="249"/>
      <c r="STS167" s="249"/>
      <c r="STT167" s="249"/>
      <c r="STU167" s="249"/>
      <c r="STV167" s="249"/>
      <c r="STW167" s="249"/>
      <c r="STX167" s="249"/>
      <c r="STY167" s="249"/>
      <c r="STZ167" s="249"/>
      <c r="SUA167" s="249"/>
      <c r="SUB167" s="249"/>
      <c r="SUC167" s="249"/>
      <c r="SUD167" s="249"/>
      <c r="SUE167" s="249"/>
      <c r="SUF167" s="249"/>
      <c r="SUG167" s="249"/>
      <c r="SUH167" s="249"/>
      <c r="SUI167" s="249"/>
      <c r="SUJ167" s="249"/>
      <c r="SUK167" s="249"/>
      <c r="SUL167" s="249"/>
      <c r="SUM167" s="249"/>
      <c r="SUN167" s="249"/>
      <c r="SUO167" s="249"/>
      <c r="SUP167" s="249"/>
      <c r="SUQ167" s="249"/>
      <c r="SUR167" s="249"/>
      <c r="SUS167" s="249"/>
      <c r="SUT167" s="249"/>
      <c r="SUU167" s="249"/>
      <c r="SUV167" s="249"/>
      <c r="SUW167" s="249"/>
      <c r="SUX167" s="249"/>
      <c r="SUY167" s="249"/>
      <c r="SUZ167" s="249"/>
      <c r="SVA167" s="249"/>
      <c r="SVB167" s="249"/>
      <c r="SVC167" s="249"/>
      <c r="SVD167" s="249"/>
      <c r="SVE167" s="249"/>
      <c r="SVF167" s="249"/>
      <c r="SVG167" s="249"/>
      <c r="SVH167" s="249"/>
      <c r="SVI167" s="249"/>
      <c r="SVJ167" s="249"/>
      <c r="SVK167" s="249"/>
      <c r="SVL167" s="249"/>
      <c r="SVM167" s="249"/>
      <c r="SVN167" s="249"/>
      <c r="SVO167" s="249"/>
      <c r="SVP167" s="249"/>
      <c r="SVQ167" s="249"/>
      <c r="SVR167" s="249"/>
      <c r="SVS167" s="249"/>
      <c r="SVT167" s="249"/>
      <c r="SVU167" s="249"/>
      <c r="SVV167" s="249"/>
      <c r="SVW167" s="249"/>
      <c r="SVX167" s="249"/>
      <c r="SVY167" s="249"/>
      <c r="SVZ167" s="249"/>
      <c r="SWA167" s="249"/>
      <c r="SWB167" s="249"/>
      <c r="SWC167" s="249"/>
      <c r="SWD167" s="249"/>
      <c r="SWE167" s="249"/>
      <c r="SWF167" s="249"/>
      <c r="SWG167" s="249"/>
      <c r="SWH167" s="249"/>
      <c r="SWI167" s="249"/>
      <c r="SWJ167" s="249"/>
      <c r="SWK167" s="249"/>
      <c r="SWL167" s="249"/>
      <c r="SWM167" s="249"/>
      <c r="SWN167" s="249"/>
      <c r="SWO167" s="249"/>
      <c r="SWP167" s="249"/>
      <c r="SWQ167" s="249"/>
      <c r="SWR167" s="249"/>
      <c r="SWS167" s="249"/>
      <c r="SWT167" s="249"/>
      <c r="SWU167" s="249"/>
      <c r="SWV167" s="249"/>
      <c r="SWW167" s="249"/>
      <c r="SWX167" s="249"/>
      <c r="SWY167" s="249"/>
      <c r="SWZ167" s="249"/>
      <c r="SXA167" s="249"/>
      <c r="SXB167" s="249"/>
      <c r="SXC167" s="249"/>
      <c r="SXD167" s="249"/>
      <c r="SXE167" s="249"/>
      <c r="SXF167" s="249"/>
      <c r="SXG167" s="249"/>
      <c r="SXH167" s="249"/>
      <c r="SXI167" s="249"/>
      <c r="SXJ167" s="249"/>
      <c r="SXK167" s="249"/>
      <c r="SXL167" s="249"/>
      <c r="SXM167" s="249"/>
      <c r="SXN167" s="249"/>
      <c r="SXO167" s="249"/>
      <c r="SXP167" s="249"/>
      <c r="SXQ167" s="249"/>
      <c r="SXR167" s="249"/>
      <c r="SXS167" s="249"/>
      <c r="SXT167" s="249"/>
      <c r="SXU167" s="249"/>
      <c r="SXV167" s="249"/>
      <c r="SXW167" s="249"/>
      <c r="SXX167" s="249"/>
      <c r="SXY167" s="249"/>
      <c r="SXZ167" s="249"/>
      <c r="SYA167" s="249"/>
      <c r="SYB167" s="249"/>
      <c r="SYC167" s="249"/>
      <c r="SYD167" s="249"/>
      <c r="SYE167" s="249"/>
      <c r="SYF167" s="249"/>
      <c r="SYG167" s="249"/>
      <c r="SYH167" s="249"/>
      <c r="SYI167" s="249"/>
      <c r="SYJ167" s="249"/>
      <c r="SYK167" s="249"/>
      <c r="SYL167" s="249"/>
      <c r="SYM167" s="249"/>
      <c r="SYN167" s="249"/>
      <c r="SYO167" s="249"/>
      <c r="SYP167" s="249"/>
      <c r="SYQ167" s="249"/>
      <c r="SYR167" s="249"/>
      <c r="SYS167" s="249"/>
      <c r="SYT167" s="249"/>
      <c r="SYU167" s="249"/>
      <c r="SYV167" s="249"/>
      <c r="SYW167" s="249"/>
      <c r="SYX167" s="249"/>
      <c r="SYY167" s="249"/>
      <c r="SYZ167" s="249"/>
      <c r="SZA167" s="249"/>
      <c r="SZB167" s="249"/>
      <c r="SZC167" s="249"/>
      <c r="SZD167" s="249"/>
      <c r="SZE167" s="249"/>
      <c r="SZF167" s="249"/>
      <c r="SZG167" s="249"/>
      <c r="SZH167" s="249"/>
      <c r="SZI167" s="249"/>
      <c r="SZJ167" s="249"/>
      <c r="SZK167" s="249"/>
      <c r="SZL167" s="249"/>
      <c r="SZM167" s="249"/>
      <c r="SZN167" s="249"/>
      <c r="SZO167" s="249"/>
      <c r="SZP167" s="249"/>
      <c r="SZQ167" s="249"/>
      <c r="SZR167" s="249"/>
      <c r="SZS167" s="249"/>
      <c r="SZT167" s="249"/>
      <c r="SZU167" s="249"/>
      <c r="SZV167" s="249"/>
      <c r="SZW167" s="249"/>
      <c r="SZX167" s="249"/>
      <c r="SZY167" s="249"/>
      <c r="SZZ167" s="249"/>
      <c r="TAA167" s="249"/>
      <c r="TAB167" s="249"/>
      <c r="TAC167" s="249"/>
      <c r="TAD167" s="249"/>
      <c r="TAE167" s="249"/>
      <c r="TAF167" s="249"/>
      <c r="TAG167" s="249"/>
      <c r="TAH167" s="249"/>
      <c r="TAI167" s="249"/>
      <c r="TAJ167" s="249"/>
      <c r="TAK167" s="249"/>
      <c r="TAL167" s="249"/>
      <c r="TAM167" s="249"/>
      <c r="TAN167" s="249"/>
      <c r="TAO167" s="249"/>
      <c r="TAP167" s="249"/>
      <c r="TAQ167" s="249"/>
      <c r="TAR167" s="249"/>
      <c r="TAS167" s="249"/>
      <c r="TAT167" s="249"/>
      <c r="TAU167" s="249"/>
      <c r="TAV167" s="249"/>
      <c r="TAW167" s="249"/>
      <c r="TAX167" s="249"/>
      <c r="TAY167" s="249"/>
      <c r="TAZ167" s="249"/>
      <c r="TBA167" s="249"/>
      <c r="TBB167" s="249"/>
      <c r="TBC167" s="249"/>
      <c r="TBD167" s="249"/>
      <c r="TBE167" s="249"/>
      <c r="TBF167" s="249"/>
      <c r="TBG167" s="249"/>
      <c r="TBH167" s="249"/>
      <c r="TBI167" s="249"/>
      <c r="TBJ167" s="249"/>
      <c r="TBK167" s="249"/>
      <c r="TBL167" s="249"/>
      <c r="TBM167" s="249"/>
      <c r="TBN167" s="249"/>
      <c r="TBO167" s="249"/>
      <c r="TBP167" s="249"/>
      <c r="TBQ167" s="249"/>
      <c r="TBR167" s="249"/>
      <c r="TBS167" s="249"/>
      <c r="TBT167" s="249"/>
      <c r="TBU167" s="249"/>
      <c r="TBV167" s="249"/>
      <c r="TBW167" s="249"/>
      <c r="TBX167" s="249"/>
      <c r="TBY167" s="249"/>
      <c r="TBZ167" s="249"/>
      <c r="TCA167" s="249"/>
      <c r="TCB167" s="249"/>
      <c r="TCC167" s="249"/>
      <c r="TCD167" s="249"/>
      <c r="TCE167" s="249"/>
      <c r="TCF167" s="249"/>
      <c r="TCG167" s="249"/>
      <c r="TCH167" s="249"/>
      <c r="TCI167" s="249"/>
      <c r="TCJ167" s="249"/>
      <c r="TCK167" s="249"/>
      <c r="TCL167" s="249"/>
      <c r="TCM167" s="249"/>
      <c r="TCN167" s="249"/>
      <c r="TCO167" s="249"/>
      <c r="TCP167" s="249"/>
      <c r="TCQ167" s="249"/>
      <c r="TCR167" s="249"/>
      <c r="TCS167" s="249"/>
      <c r="TCT167" s="249"/>
      <c r="TCU167" s="249"/>
      <c r="TCV167" s="249"/>
      <c r="TCW167" s="249"/>
      <c r="TCX167" s="249"/>
      <c r="TCY167" s="249"/>
      <c r="TCZ167" s="249"/>
      <c r="TDA167" s="249"/>
      <c r="TDB167" s="249"/>
      <c r="TDC167" s="249"/>
      <c r="TDD167" s="249"/>
      <c r="TDE167" s="249"/>
      <c r="TDF167" s="249"/>
      <c r="TDG167" s="249"/>
      <c r="TDH167" s="249"/>
      <c r="TDI167" s="249"/>
      <c r="TDJ167" s="249"/>
      <c r="TDK167" s="249"/>
      <c r="TDL167" s="249"/>
      <c r="TDM167" s="249"/>
      <c r="TDN167" s="249"/>
      <c r="TDO167" s="249"/>
      <c r="TDP167" s="249"/>
      <c r="TDQ167" s="249"/>
      <c r="TDR167" s="249"/>
      <c r="TDS167" s="249"/>
      <c r="TDT167" s="249"/>
      <c r="TDU167" s="249"/>
      <c r="TDV167" s="249"/>
      <c r="TDW167" s="249"/>
      <c r="TDX167" s="249"/>
      <c r="TDY167" s="249"/>
      <c r="TDZ167" s="249"/>
      <c r="TEA167" s="249"/>
      <c r="TEB167" s="249"/>
      <c r="TEC167" s="249"/>
      <c r="TED167" s="249"/>
      <c r="TEE167" s="249"/>
      <c r="TEF167" s="249"/>
      <c r="TEG167" s="249"/>
      <c r="TEH167" s="249"/>
      <c r="TEI167" s="249"/>
      <c r="TEJ167" s="249"/>
      <c r="TEK167" s="249"/>
      <c r="TEL167" s="249"/>
      <c r="TEM167" s="249"/>
      <c r="TEN167" s="249"/>
      <c r="TEO167" s="249"/>
      <c r="TEP167" s="249"/>
      <c r="TEQ167" s="249"/>
      <c r="TER167" s="249"/>
      <c r="TES167" s="249"/>
      <c r="TET167" s="249"/>
      <c r="TEU167" s="249"/>
      <c r="TEV167" s="249"/>
      <c r="TEW167" s="249"/>
      <c r="TEX167" s="249"/>
      <c r="TEY167" s="249"/>
      <c r="TEZ167" s="249"/>
      <c r="TFA167" s="249"/>
      <c r="TFB167" s="249"/>
      <c r="TFC167" s="249"/>
      <c r="TFD167" s="249"/>
      <c r="TFE167" s="249"/>
      <c r="TFF167" s="249"/>
      <c r="TFG167" s="249"/>
      <c r="TFH167" s="249"/>
      <c r="TFI167" s="249"/>
      <c r="TFJ167" s="249"/>
      <c r="TFK167" s="249"/>
      <c r="TFL167" s="249"/>
      <c r="TFM167" s="249"/>
      <c r="TFN167" s="249"/>
      <c r="TFO167" s="249"/>
      <c r="TFP167" s="249"/>
      <c r="TFQ167" s="249"/>
      <c r="TFR167" s="249"/>
      <c r="TFS167" s="249"/>
      <c r="TFT167" s="249"/>
      <c r="TFU167" s="249"/>
      <c r="TFV167" s="249"/>
      <c r="TFW167" s="249"/>
      <c r="TFX167" s="249"/>
      <c r="TFY167" s="249"/>
      <c r="TFZ167" s="249"/>
      <c r="TGA167" s="249"/>
      <c r="TGB167" s="249"/>
      <c r="TGC167" s="249"/>
      <c r="TGD167" s="249"/>
      <c r="TGE167" s="249"/>
      <c r="TGF167" s="249"/>
      <c r="TGG167" s="249"/>
      <c r="TGH167" s="249"/>
      <c r="TGI167" s="249"/>
      <c r="TGJ167" s="249"/>
      <c r="TGK167" s="249"/>
      <c r="TGL167" s="249"/>
      <c r="TGM167" s="249"/>
      <c r="TGN167" s="249"/>
      <c r="TGO167" s="249"/>
      <c r="TGP167" s="249"/>
      <c r="TGQ167" s="249"/>
      <c r="TGR167" s="249"/>
      <c r="TGS167" s="249"/>
      <c r="TGT167" s="249"/>
      <c r="TGU167" s="249"/>
      <c r="TGV167" s="249"/>
      <c r="TGW167" s="249"/>
      <c r="TGX167" s="249"/>
      <c r="TGY167" s="249"/>
      <c r="TGZ167" s="249"/>
      <c r="THA167" s="249"/>
      <c r="THB167" s="249"/>
      <c r="THC167" s="249"/>
      <c r="THD167" s="249"/>
      <c r="THE167" s="249"/>
      <c r="THF167" s="249"/>
      <c r="THG167" s="249"/>
      <c r="THH167" s="249"/>
      <c r="THI167" s="249"/>
      <c r="THJ167" s="249"/>
      <c r="THK167" s="249"/>
      <c r="THL167" s="249"/>
      <c r="THM167" s="249"/>
      <c r="THN167" s="249"/>
      <c r="THO167" s="249"/>
      <c r="THP167" s="249"/>
      <c r="THQ167" s="249"/>
      <c r="THR167" s="249"/>
      <c r="THS167" s="249"/>
      <c r="THT167" s="249"/>
      <c r="THU167" s="249"/>
      <c r="THV167" s="249"/>
      <c r="THW167" s="249"/>
      <c r="THX167" s="249"/>
      <c r="THY167" s="249"/>
      <c r="THZ167" s="249"/>
      <c r="TIA167" s="249"/>
      <c r="TIB167" s="249"/>
      <c r="TIC167" s="249"/>
      <c r="TID167" s="249"/>
      <c r="TIE167" s="249"/>
      <c r="TIF167" s="249"/>
      <c r="TIG167" s="249"/>
      <c r="TIH167" s="249"/>
      <c r="TII167" s="249"/>
      <c r="TIJ167" s="249"/>
      <c r="TIK167" s="249"/>
      <c r="TIL167" s="249"/>
      <c r="TIM167" s="249"/>
      <c r="TIN167" s="249"/>
      <c r="TIO167" s="249"/>
      <c r="TIP167" s="249"/>
      <c r="TIQ167" s="249"/>
      <c r="TIR167" s="249"/>
      <c r="TIS167" s="249"/>
      <c r="TIT167" s="249"/>
      <c r="TIU167" s="249"/>
      <c r="TIV167" s="249"/>
      <c r="TIW167" s="249"/>
      <c r="TIX167" s="249"/>
      <c r="TIY167" s="249"/>
      <c r="TIZ167" s="249"/>
      <c r="TJA167" s="249"/>
      <c r="TJB167" s="249"/>
      <c r="TJC167" s="249"/>
      <c r="TJD167" s="249"/>
      <c r="TJE167" s="249"/>
      <c r="TJF167" s="249"/>
      <c r="TJG167" s="249"/>
      <c r="TJH167" s="249"/>
      <c r="TJI167" s="249"/>
      <c r="TJJ167" s="249"/>
      <c r="TJK167" s="249"/>
      <c r="TJL167" s="249"/>
      <c r="TJM167" s="249"/>
      <c r="TJN167" s="249"/>
      <c r="TJO167" s="249"/>
      <c r="TJP167" s="249"/>
      <c r="TJQ167" s="249"/>
      <c r="TJR167" s="249"/>
      <c r="TJS167" s="249"/>
      <c r="TJT167" s="249"/>
      <c r="TJU167" s="249"/>
      <c r="TJV167" s="249"/>
      <c r="TJW167" s="249"/>
      <c r="TJX167" s="249"/>
      <c r="TJY167" s="249"/>
      <c r="TJZ167" s="249"/>
      <c r="TKA167" s="249"/>
      <c r="TKB167" s="249"/>
      <c r="TKC167" s="249"/>
      <c r="TKD167" s="249"/>
      <c r="TKE167" s="249"/>
      <c r="TKF167" s="249"/>
      <c r="TKG167" s="249"/>
      <c r="TKH167" s="249"/>
      <c r="TKI167" s="249"/>
      <c r="TKJ167" s="249"/>
      <c r="TKK167" s="249"/>
      <c r="TKL167" s="249"/>
      <c r="TKM167" s="249"/>
      <c r="TKN167" s="249"/>
      <c r="TKO167" s="249"/>
      <c r="TKP167" s="249"/>
      <c r="TKQ167" s="249"/>
      <c r="TKR167" s="249"/>
      <c r="TKS167" s="249"/>
      <c r="TKT167" s="249"/>
      <c r="TKU167" s="249"/>
      <c r="TKV167" s="249"/>
      <c r="TKW167" s="249"/>
      <c r="TKX167" s="249"/>
      <c r="TKY167" s="249"/>
      <c r="TKZ167" s="249"/>
      <c r="TLA167" s="249"/>
      <c r="TLB167" s="249"/>
      <c r="TLC167" s="249"/>
      <c r="TLD167" s="249"/>
      <c r="TLE167" s="249"/>
      <c r="TLF167" s="249"/>
      <c r="TLG167" s="249"/>
      <c r="TLH167" s="249"/>
      <c r="TLI167" s="249"/>
      <c r="TLJ167" s="249"/>
      <c r="TLK167" s="249"/>
      <c r="TLL167" s="249"/>
      <c r="TLM167" s="249"/>
      <c r="TLN167" s="249"/>
      <c r="TLO167" s="249"/>
      <c r="TLP167" s="249"/>
      <c r="TLQ167" s="249"/>
      <c r="TLR167" s="249"/>
      <c r="TLS167" s="249"/>
      <c r="TLT167" s="249"/>
      <c r="TLU167" s="249"/>
      <c r="TLV167" s="249"/>
      <c r="TLW167" s="249"/>
      <c r="TLX167" s="249"/>
      <c r="TLY167" s="249"/>
      <c r="TLZ167" s="249"/>
      <c r="TMA167" s="249"/>
      <c r="TMB167" s="249"/>
      <c r="TMC167" s="249"/>
      <c r="TMD167" s="249"/>
      <c r="TME167" s="249"/>
      <c r="TMF167" s="249"/>
      <c r="TMG167" s="249"/>
      <c r="TMH167" s="249"/>
      <c r="TMI167" s="249"/>
      <c r="TMJ167" s="249"/>
      <c r="TMK167" s="249"/>
      <c r="TML167" s="249"/>
      <c r="TMM167" s="249"/>
      <c r="TMN167" s="249"/>
      <c r="TMO167" s="249"/>
      <c r="TMP167" s="249"/>
      <c r="TMQ167" s="249"/>
      <c r="TMR167" s="249"/>
      <c r="TMS167" s="249"/>
      <c r="TMT167" s="249"/>
      <c r="TMU167" s="249"/>
      <c r="TMV167" s="249"/>
      <c r="TMW167" s="249"/>
      <c r="TMX167" s="249"/>
      <c r="TMY167" s="249"/>
      <c r="TMZ167" s="249"/>
      <c r="TNA167" s="249"/>
      <c r="TNB167" s="249"/>
      <c r="TNC167" s="249"/>
      <c r="TND167" s="249"/>
      <c r="TNE167" s="249"/>
      <c r="TNF167" s="249"/>
      <c r="TNG167" s="249"/>
      <c r="TNH167" s="249"/>
      <c r="TNI167" s="249"/>
      <c r="TNJ167" s="249"/>
      <c r="TNK167" s="249"/>
      <c r="TNL167" s="249"/>
      <c r="TNM167" s="249"/>
      <c r="TNN167" s="249"/>
      <c r="TNO167" s="249"/>
      <c r="TNP167" s="249"/>
      <c r="TNQ167" s="249"/>
      <c r="TNR167" s="249"/>
      <c r="TNS167" s="249"/>
      <c r="TNT167" s="249"/>
      <c r="TNU167" s="249"/>
      <c r="TNV167" s="249"/>
      <c r="TNW167" s="249"/>
      <c r="TNX167" s="249"/>
      <c r="TNY167" s="249"/>
      <c r="TNZ167" s="249"/>
      <c r="TOA167" s="249"/>
      <c r="TOB167" s="249"/>
      <c r="TOC167" s="249"/>
      <c r="TOD167" s="249"/>
      <c r="TOE167" s="249"/>
      <c r="TOF167" s="249"/>
      <c r="TOG167" s="249"/>
      <c r="TOH167" s="249"/>
      <c r="TOI167" s="249"/>
      <c r="TOJ167" s="249"/>
      <c r="TOK167" s="249"/>
      <c r="TOL167" s="249"/>
      <c r="TOM167" s="249"/>
      <c r="TON167" s="249"/>
      <c r="TOO167" s="249"/>
      <c r="TOP167" s="249"/>
      <c r="TOQ167" s="249"/>
      <c r="TOR167" s="249"/>
      <c r="TOS167" s="249"/>
      <c r="TOT167" s="249"/>
      <c r="TOU167" s="249"/>
      <c r="TOV167" s="249"/>
      <c r="TOW167" s="249"/>
      <c r="TOX167" s="249"/>
      <c r="TOY167" s="249"/>
      <c r="TOZ167" s="249"/>
      <c r="TPA167" s="249"/>
      <c r="TPB167" s="249"/>
      <c r="TPC167" s="249"/>
      <c r="TPD167" s="249"/>
      <c r="TPE167" s="249"/>
      <c r="TPF167" s="249"/>
      <c r="TPG167" s="249"/>
      <c r="TPH167" s="249"/>
      <c r="TPI167" s="249"/>
      <c r="TPJ167" s="249"/>
      <c r="TPK167" s="249"/>
      <c r="TPL167" s="249"/>
      <c r="TPM167" s="249"/>
      <c r="TPN167" s="249"/>
      <c r="TPO167" s="249"/>
      <c r="TPP167" s="249"/>
      <c r="TPQ167" s="249"/>
      <c r="TPR167" s="249"/>
      <c r="TPS167" s="249"/>
      <c r="TPT167" s="249"/>
      <c r="TPU167" s="249"/>
      <c r="TPV167" s="249"/>
      <c r="TPW167" s="249"/>
      <c r="TPX167" s="249"/>
      <c r="TPY167" s="249"/>
      <c r="TPZ167" s="249"/>
      <c r="TQA167" s="249"/>
      <c r="TQB167" s="249"/>
      <c r="TQC167" s="249"/>
      <c r="TQD167" s="249"/>
      <c r="TQE167" s="249"/>
      <c r="TQF167" s="249"/>
      <c r="TQG167" s="249"/>
      <c r="TQH167" s="249"/>
      <c r="TQI167" s="249"/>
      <c r="TQJ167" s="249"/>
      <c r="TQK167" s="249"/>
      <c r="TQL167" s="249"/>
      <c r="TQM167" s="249"/>
      <c r="TQN167" s="249"/>
      <c r="TQO167" s="249"/>
      <c r="TQP167" s="249"/>
      <c r="TQQ167" s="249"/>
      <c r="TQR167" s="249"/>
      <c r="TQS167" s="249"/>
      <c r="TQT167" s="249"/>
      <c r="TQU167" s="249"/>
      <c r="TQV167" s="249"/>
      <c r="TQW167" s="249"/>
      <c r="TQX167" s="249"/>
      <c r="TQY167" s="249"/>
      <c r="TQZ167" s="249"/>
      <c r="TRA167" s="249"/>
      <c r="TRB167" s="249"/>
      <c r="TRC167" s="249"/>
      <c r="TRD167" s="249"/>
      <c r="TRE167" s="249"/>
      <c r="TRF167" s="249"/>
      <c r="TRG167" s="249"/>
      <c r="TRH167" s="249"/>
      <c r="TRI167" s="249"/>
      <c r="TRJ167" s="249"/>
      <c r="TRK167" s="249"/>
      <c r="TRL167" s="249"/>
      <c r="TRM167" s="249"/>
      <c r="TRN167" s="249"/>
      <c r="TRO167" s="249"/>
      <c r="TRP167" s="249"/>
      <c r="TRQ167" s="249"/>
      <c r="TRR167" s="249"/>
      <c r="TRS167" s="249"/>
      <c r="TRT167" s="249"/>
      <c r="TRU167" s="249"/>
      <c r="TRV167" s="249"/>
      <c r="TRW167" s="249"/>
      <c r="TRX167" s="249"/>
      <c r="TRY167" s="249"/>
      <c r="TRZ167" s="249"/>
      <c r="TSA167" s="249"/>
      <c r="TSB167" s="249"/>
      <c r="TSC167" s="249"/>
      <c r="TSD167" s="249"/>
      <c r="TSE167" s="249"/>
      <c r="TSF167" s="249"/>
      <c r="TSG167" s="249"/>
      <c r="TSH167" s="249"/>
      <c r="TSI167" s="249"/>
      <c r="TSJ167" s="249"/>
      <c r="TSK167" s="249"/>
      <c r="TSL167" s="249"/>
      <c r="TSM167" s="249"/>
      <c r="TSN167" s="249"/>
      <c r="TSO167" s="249"/>
      <c r="TSP167" s="249"/>
      <c r="TSQ167" s="249"/>
      <c r="TSR167" s="249"/>
      <c r="TSS167" s="249"/>
      <c r="TST167" s="249"/>
      <c r="TSU167" s="249"/>
      <c r="TSV167" s="249"/>
      <c r="TSW167" s="249"/>
      <c r="TSX167" s="249"/>
      <c r="TSY167" s="249"/>
      <c r="TSZ167" s="249"/>
      <c r="TTA167" s="249"/>
      <c r="TTB167" s="249"/>
      <c r="TTC167" s="249"/>
      <c r="TTD167" s="249"/>
      <c r="TTE167" s="249"/>
      <c r="TTF167" s="249"/>
      <c r="TTG167" s="249"/>
      <c r="TTH167" s="249"/>
      <c r="TTI167" s="249"/>
      <c r="TTJ167" s="249"/>
      <c r="TTK167" s="249"/>
      <c r="TTL167" s="249"/>
      <c r="TTM167" s="249"/>
      <c r="TTN167" s="249"/>
      <c r="TTO167" s="249"/>
      <c r="TTP167" s="249"/>
      <c r="TTQ167" s="249"/>
      <c r="TTR167" s="249"/>
      <c r="TTS167" s="249"/>
      <c r="TTT167" s="249"/>
      <c r="TTU167" s="249"/>
      <c r="TTV167" s="249"/>
      <c r="TTW167" s="249"/>
      <c r="TTX167" s="249"/>
      <c r="TTY167" s="249"/>
      <c r="TTZ167" s="249"/>
      <c r="TUA167" s="249"/>
      <c r="TUB167" s="249"/>
      <c r="TUC167" s="249"/>
      <c r="TUD167" s="249"/>
      <c r="TUE167" s="249"/>
      <c r="TUF167" s="249"/>
      <c r="TUG167" s="249"/>
      <c r="TUH167" s="249"/>
      <c r="TUI167" s="249"/>
      <c r="TUJ167" s="249"/>
      <c r="TUK167" s="249"/>
      <c r="TUL167" s="249"/>
      <c r="TUM167" s="249"/>
      <c r="TUN167" s="249"/>
      <c r="TUO167" s="249"/>
      <c r="TUP167" s="249"/>
      <c r="TUQ167" s="249"/>
      <c r="TUR167" s="249"/>
      <c r="TUS167" s="249"/>
      <c r="TUT167" s="249"/>
      <c r="TUU167" s="249"/>
      <c r="TUV167" s="249"/>
      <c r="TUW167" s="249"/>
      <c r="TUX167" s="249"/>
      <c r="TUY167" s="249"/>
      <c r="TUZ167" s="249"/>
      <c r="TVA167" s="249"/>
      <c r="TVB167" s="249"/>
      <c r="TVC167" s="249"/>
      <c r="TVD167" s="249"/>
      <c r="TVE167" s="249"/>
      <c r="TVF167" s="249"/>
      <c r="TVG167" s="249"/>
      <c r="TVH167" s="249"/>
      <c r="TVI167" s="249"/>
      <c r="TVJ167" s="249"/>
      <c r="TVK167" s="249"/>
      <c r="TVL167" s="249"/>
      <c r="TVM167" s="249"/>
      <c r="TVN167" s="249"/>
      <c r="TVO167" s="249"/>
      <c r="TVP167" s="249"/>
      <c r="TVQ167" s="249"/>
      <c r="TVR167" s="249"/>
      <c r="TVS167" s="249"/>
      <c r="TVT167" s="249"/>
      <c r="TVU167" s="249"/>
      <c r="TVV167" s="249"/>
      <c r="TVW167" s="249"/>
      <c r="TVX167" s="249"/>
      <c r="TVY167" s="249"/>
      <c r="TVZ167" s="249"/>
      <c r="TWA167" s="249"/>
      <c r="TWB167" s="249"/>
      <c r="TWC167" s="249"/>
      <c r="TWD167" s="249"/>
      <c r="TWE167" s="249"/>
      <c r="TWF167" s="249"/>
      <c r="TWG167" s="249"/>
      <c r="TWH167" s="249"/>
      <c r="TWI167" s="249"/>
      <c r="TWJ167" s="249"/>
      <c r="TWK167" s="249"/>
      <c r="TWL167" s="249"/>
      <c r="TWM167" s="249"/>
      <c r="TWN167" s="249"/>
      <c r="TWO167" s="249"/>
      <c r="TWP167" s="249"/>
      <c r="TWQ167" s="249"/>
      <c r="TWR167" s="249"/>
      <c r="TWS167" s="249"/>
      <c r="TWT167" s="249"/>
      <c r="TWU167" s="249"/>
      <c r="TWV167" s="249"/>
      <c r="TWW167" s="249"/>
      <c r="TWX167" s="249"/>
      <c r="TWY167" s="249"/>
      <c r="TWZ167" s="249"/>
      <c r="TXA167" s="249"/>
      <c r="TXB167" s="249"/>
      <c r="TXC167" s="249"/>
      <c r="TXD167" s="249"/>
      <c r="TXE167" s="249"/>
      <c r="TXF167" s="249"/>
      <c r="TXG167" s="249"/>
      <c r="TXH167" s="249"/>
      <c r="TXI167" s="249"/>
      <c r="TXJ167" s="249"/>
      <c r="TXK167" s="249"/>
      <c r="TXL167" s="249"/>
      <c r="TXM167" s="249"/>
      <c r="TXN167" s="249"/>
      <c r="TXO167" s="249"/>
      <c r="TXP167" s="249"/>
      <c r="TXQ167" s="249"/>
      <c r="TXR167" s="249"/>
      <c r="TXS167" s="249"/>
      <c r="TXT167" s="249"/>
      <c r="TXU167" s="249"/>
      <c r="TXV167" s="249"/>
      <c r="TXW167" s="249"/>
      <c r="TXX167" s="249"/>
      <c r="TXY167" s="249"/>
      <c r="TXZ167" s="249"/>
      <c r="TYA167" s="249"/>
      <c r="TYB167" s="249"/>
      <c r="TYC167" s="249"/>
      <c r="TYD167" s="249"/>
      <c r="TYE167" s="249"/>
      <c r="TYF167" s="249"/>
      <c r="TYG167" s="249"/>
      <c r="TYH167" s="249"/>
      <c r="TYI167" s="249"/>
      <c r="TYJ167" s="249"/>
      <c r="TYK167" s="249"/>
      <c r="TYL167" s="249"/>
      <c r="TYM167" s="249"/>
      <c r="TYN167" s="249"/>
      <c r="TYO167" s="249"/>
      <c r="TYP167" s="249"/>
      <c r="TYQ167" s="249"/>
      <c r="TYR167" s="249"/>
      <c r="TYS167" s="249"/>
      <c r="TYT167" s="249"/>
      <c r="TYU167" s="249"/>
      <c r="TYV167" s="249"/>
      <c r="TYW167" s="249"/>
      <c r="TYX167" s="249"/>
      <c r="TYY167" s="249"/>
      <c r="TYZ167" s="249"/>
      <c r="TZA167" s="249"/>
      <c r="TZB167" s="249"/>
      <c r="TZC167" s="249"/>
      <c r="TZD167" s="249"/>
      <c r="TZE167" s="249"/>
      <c r="TZF167" s="249"/>
      <c r="TZG167" s="249"/>
      <c r="TZH167" s="249"/>
      <c r="TZI167" s="249"/>
      <c r="TZJ167" s="249"/>
      <c r="TZK167" s="249"/>
      <c r="TZL167" s="249"/>
      <c r="TZM167" s="249"/>
      <c r="TZN167" s="249"/>
      <c r="TZO167" s="249"/>
      <c r="TZP167" s="249"/>
      <c r="TZQ167" s="249"/>
      <c r="TZR167" s="249"/>
      <c r="TZS167" s="249"/>
      <c r="TZT167" s="249"/>
      <c r="TZU167" s="249"/>
      <c r="TZV167" s="249"/>
      <c r="TZW167" s="249"/>
      <c r="TZX167" s="249"/>
      <c r="TZY167" s="249"/>
      <c r="TZZ167" s="249"/>
      <c r="UAA167" s="249"/>
      <c r="UAB167" s="249"/>
      <c r="UAC167" s="249"/>
      <c r="UAD167" s="249"/>
      <c r="UAE167" s="249"/>
      <c r="UAF167" s="249"/>
      <c r="UAG167" s="249"/>
      <c r="UAH167" s="249"/>
      <c r="UAI167" s="249"/>
      <c r="UAJ167" s="249"/>
      <c r="UAK167" s="249"/>
      <c r="UAL167" s="249"/>
      <c r="UAM167" s="249"/>
      <c r="UAN167" s="249"/>
      <c r="UAO167" s="249"/>
      <c r="UAP167" s="249"/>
      <c r="UAQ167" s="249"/>
      <c r="UAR167" s="249"/>
      <c r="UAS167" s="249"/>
      <c r="UAT167" s="249"/>
      <c r="UAU167" s="249"/>
      <c r="UAV167" s="249"/>
      <c r="UAW167" s="249"/>
      <c r="UAX167" s="249"/>
      <c r="UAY167" s="249"/>
      <c r="UAZ167" s="249"/>
      <c r="UBA167" s="249"/>
      <c r="UBB167" s="249"/>
      <c r="UBC167" s="249"/>
      <c r="UBD167" s="249"/>
      <c r="UBE167" s="249"/>
      <c r="UBF167" s="249"/>
      <c r="UBG167" s="249"/>
      <c r="UBH167" s="249"/>
      <c r="UBI167" s="249"/>
      <c r="UBJ167" s="249"/>
      <c r="UBK167" s="249"/>
      <c r="UBL167" s="249"/>
      <c r="UBM167" s="249"/>
      <c r="UBN167" s="249"/>
      <c r="UBO167" s="249"/>
      <c r="UBP167" s="249"/>
      <c r="UBQ167" s="249"/>
      <c r="UBR167" s="249"/>
      <c r="UBS167" s="249"/>
      <c r="UBT167" s="249"/>
      <c r="UBU167" s="249"/>
      <c r="UBV167" s="249"/>
      <c r="UBW167" s="249"/>
      <c r="UBX167" s="249"/>
      <c r="UBY167" s="249"/>
      <c r="UBZ167" s="249"/>
      <c r="UCA167" s="249"/>
      <c r="UCB167" s="249"/>
      <c r="UCC167" s="249"/>
      <c r="UCD167" s="249"/>
      <c r="UCE167" s="249"/>
      <c r="UCF167" s="249"/>
      <c r="UCG167" s="249"/>
      <c r="UCH167" s="249"/>
      <c r="UCI167" s="249"/>
      <c r="UCJ167" s="249"/>
      <c r="UCK167" s="249"/>
      <c r="UCL167" s="249"/>
      <c r="UCM167" s="249"/>
      <c r="UCN167" s="249"/>
      <c r="UCO167" s="249"/>
      <c r="UCP167" s="249"/>
      <c r="UCQ167" s="249"/>
      <c r="UCR167" s="249"/>
      <c r="UCS167" s="249"/>
      <c r="UCT167" s="249"/>
      <c r="UCU167" s="249"/>
      <c r="UCV167" s="249"/>
      <c r="UCW167" s="249"/>
      <c r="UCX167" s="249"/>
      <c r="UCY167" s="249"/>
      <c r="UCZ167" s="249"/>
      <c r="UDA167" s="249"/>
      <c r="UDB167" s="249"/>
      <c r="UDC167" s="249"/>
      <c r="UDD167" s="249"/>
      <c r="UDE167" s="249"/>
      <c r="UDF167" s="249"/>
      <c r="UDG167" s="249"/>
      <c r="UDH167" s="249"/>
      <c r="UDI167" s="249"/>
      <c r="UDJ167" s="249"/>
      <c r="UDK167" s="249"/>
      <c r="UDL167" s="249"/>
      <c r="UDM167" s="249"/>
      <c r="UDN167" s="249"/>
      <c r="UDO167" s="249"/>
      <c r="UDP167" s="249"/>
      <c r="UDQ167" s="249"/>
      <c r="UDR167" s="249"/>
      <c r="UDS167" s="249"/>
      <c r="UDT167" s="249"/>
      <c r="UDU167" s="249"/>
      <c r="UDV167" s="249"/>
      <c r="UDW167" s="249"/>
      <c r="UDX167" s="249"/>
      <c r="UDY167" s="249"/>
      <c r="UDZ167" s="249"/>
      <c r="UEA167" s="249"/>
      <c r="UEB167" s="249"/>
      <c r="UEC167" s="249"/>
      <c r="UED167" s="249"/>
      <c r="UEE167" s="249"/>
      <c r="UEF167" s="249"/>
      <c r="UEG167" s="249"/>
      <c r="UEH167" s="249"/>
      <c r="UEI167" s="249"/>
      <c r="UEJ167" s="249"/>
      <c r="UEK167" s="249"/>
      <c r="UEL167" s="249"/>
      <c r="UEM167" s="249"/>
      <c r="UEN167" s="249"/>
      <c r="UEO167" s="249"/>
      <c r="UEP167" s="249"/>
      <c r="UEQ167" s="249"/>
      <c r="UER167" s="249"/>
      <c r="UES167" s="249"/>
      <c r="UET167" s="249"/>
      <c r="UEU167" s="249"/>
      <c r="UEV167" s="249"/>
      <c r="UEW167" s="249"/>
      <c r="UEX167" s="249"/>
      <c r="UEY167" s="249"/>
      <c r="UEZ167" s="249"/>
      <c r="UFA167" s="249"/>
      <c r="UFB167" s="249"/>
      <c r="UFC167" s="249"/>
      <c r="UFD167" s="249"/>
      <c r="UFE167" s="249"/>
      <c r="UFF167" s="249"/>
      <c r="UFG167" s="249"/>
      <c r="UFH167" s="249"/>
      <c r="UFI167" s="249"/>
      <c r="UFJ167" s="249"/>
      <c r="UFK167" s="249"/>
      <c r="UFL167" s="249"/>
      <c r="UFM167" s="249"/>
      <c r="UFN167" s="249"/>
      <c r="UFO167" s="249"/>
      <c r="UFP167" s="249"/>
      <c r="UFQ167" s="249"/>
      <c r="UFR167" s="249"/>
      <c r="UFS167" s="249"/>
      <c r="UFT167" s="249"/>
      <c r="UFU167" s="249"/>
      <c r="UFV167" s="249"/>
      <c r="UFW167" s="249"/>
      <c r="UFX167" s="249"/>
      <c r="UFY167" s="249"/>
      <c r="UFZ167" s="249"/>
      <c r="UGA167" s="249"/>
      <c r="UGB167" s="249"/>
      <c r="UGC167" s="249"/>
      <c r="UGD167" s="249"/>
      <c r="UGE167" s="249"/>
      <c r="UGF167" s="249"/>
      <c r="UGG167" s="249"/>
      <c r="UGH167" s="249"/>
      <c r="UGI167" s="249"/>
      <c r="UGJ167" s="249"/>
      <c r="UGK167" s="249"/>
      <c r="UGL167" s="249"/>
      <c r="UGM167" s="249"/>
      <c r="UGN167" s="249"/>
      <c r="UGO167" s="249"/>
      <c r="UGP167" s="249"/>
      <c r="UGQ167" s="249"/>
      <c r="UGR167" s="249"/>
      <c r="UGS167" s="249"/>
      <c r="UGT167" s="249"/>
      <c r="UGU167" s="249"/>
      <c r="UGV167" s="249"/>
      <c r="UGW167" s="249"/>
      <c r="UGX167" s="249"/>
      <c r="UGY167" s="249"/>
      <c r="UGZ167" s="249"/>
      <c r="UHA167" s="249"/>
      <c r="UHB167" s="249"/>
      <c r="UHC167" s="249"/>
      <c r="UHD167" s="249"/>
      <c r="UHE167" s="249"/>
      <c r="UHF167" s="249"/>
      <c r="UHG167" s="249"/>
      <c r="UHH167" s="249"/>
      <c r="UHI167" s="249"/>
      <c r="UHJ167" s="249"/>
      <c r="UHK167" s="249"/>
      <c r="UHL167" s="249"/>
      <c r="UHM167" s="249"/>
      <c r="UHN167" s="249"/>
      <c r="UHO167" s="249"/>
      <c r="UHP167" s="249"/>
      <c r="UHQ167" s="249"/>
      <c r="UHR167" s="249"/>
      <c r="UHS167" s="249"/>
      <c r="UHT167" s="249"/>
      <c r="UHU167" s="249"/>
      <c r="UHV167" s="249"/>
      <c r="UHW167" s="249"/>
      <c r="UHX167" s="249"/>
      <c r="UHY167" s="249"/>
      <c r="UHZ167" s="249"/>
      <c r="UIA167" s="249"/>
      <c r="UIB167" s="249"/>
      <c r="UIC167" s="249"/>
      <c r="UID167" s="249"/>
      <c r="UIE167" s="249"/>
      <c r="UIF167" s="249"/>
      <c r="UIG167" s="249"/>
      <c r="UIH167" s="249"/>
      <c r="UII167" s="249"/>
      <c r="UIJ167" s="249"/>
      <c r="UIK167" s="249"/>
      <c r="UIL167" s="249"/>
      <c r="UIM167" s="249"/>
      <c r="UIN167" s="249"/>
      <c r="UIO167" s="249"/>
      <c r="UIP167" s="249"/>
      <c r="UIQ167" s="249"/>
      <c r="UIR167" s="249"/>
      <c r="UIS167" s="249"/>
      <c r="UIT167" s="249"/>
      <c r="UIU167" s="249"/>
      <c r="UIV167" s="249"/>
      <c r="UIW167" s="249"/>
      <c r="UIX167" s="249"/>
      <c r="UIY167" s="249"/>
      <c r="UIZ167" s="249"/>
      <c r="UJA167" s="249"/>
      <c r="UJB167" s="249"/>
      <c r="UJC167" s="249"/>
      <c r="UJD167" s="249"/>
      <c r="UJE167" s="249"/>
      <c r="UJF167" s="249"/>
      <c r="UJG167" s="249"/>
      <c r="UJH167" s="249"/>
      <c r="UJI167" s="249"/>
      <c r="UJJ167" s="249"/>
      <c r="UJK167" s="249"/>
      <c r="UJL167" s="249"/>
      <c r="UJM167" s="249"/>
      <c r="UJN167" s="249"/>
      <c r="UJO167" s="249"/>
      <c r="UJP167" s="249"/>
      <c r="UJQ167" s="249"/>
      <c r="UJR167" s="249"/>
      <c r="UJS167" s="249"/>
      <c r="UJT167" s="249"/>
      <c r="UJU167" s="249"/>
      <c r="UJV167" s="249"/>
      <c r="UJW167" s="249"/>
      <c r="UJX167" s="249"/>
      <c r="UJY167" s="249"/>
      <c r="UJZ167" s="249"/>
      <c r="UKA167" s="249"/>
      <c r="UKB167" s="249"/>
      <c r="UKC167" s="249"/>
      <c r="UKD167" s="249"/>
      <c r="UKE167" s="249"/>
      <c r="UKF167" s="249"/>
      <c r="UKG167" s="249"/>
      <c r="UKH167" s="249"/>
      <c r="UKI167" s="249"/>
      <c r="UKJ167" s="249"/>
      <c r="UKK167" s="249"/>
      <c r="UKL167" s="249"/>
      <c r="UKM167" s="249"/>
      <c r="UKN167" s="249"/>
      <c r="UKO167" s="249"/>
      <c r="UKP167" s="249"/>
      <c r="UKQ167" s="249"/>
      <c r="UKR167" s="249"/>
      <c r="UKS167" s="249"/>
      <c r="UKT167" s="249"/>
      <c r="UKU167" s="249"/>
      <c r="UKV167" s="249"/>
      <c r="UKW167" s="249"/>
      <c r="UKX167" s="249"/>
      <c r="UKY167" s="249"/>
      <c r="UKZ167" s="249"/>
      <c r="ULA167" s="249"/>
      <c r="ULB167" s="249"/>
      <c r="ULC167" s="249"/>
      <c r="ULD167" s="249"/>
      <c r="ULE167" s="249"/>
      <c r="ULF167" s="249"/>
      <c r="ULG167" s="249"/>
      <c r="ULH167" s="249"/>
      <c r="ULI167" s="249"/>
      <c r="ULJ167" s="249"/>
      <c r="ULK167" s="249"/>
      <c r="ULL167" s="249"/>
      <c r="ULM167" s="249"/>
      <c r="ULN167" s="249"/>
      <c r="ULO167" s="249"/>
      <c r="ULP167" s="249"/>
      <c r="ULQ167" s="249"/>
      <c r="ULR167" s="249"/>
      <c r="ULS167" s="249"/>
      <c r="ULT167" s="249"/>
      <c r="ULU167" s="249"/>
      <c r="ULV167" s="249"/>
      <c r="ULW167" s="249"/>
      <c r="ULX167" s="249"/>
      <c r="ULY167" s="249"/>
      <c r="ULZ167" s="249"/>
      <c r="UMA167" s="249"/>
      <c r="UMB167" s="249"/>
      <c r="UMC167" s="249"/>
      <c r="UMD167" s="249"/>
      <c r="UME167" s="249"/>
      <c r="UMF167" s="249"/>
      <c r="UMG167" s="249"/>
      <c r="UMH167" s="249"/>
      <c r="UMI167" s="249"/>
      <c r="UMJ167" s="249"/>
      <c r="UMK167" s="249"/>
      <c r="UML167" s="249"/>
      <c r="UMM167" s="249"/>
      <c r="UMN167" s="249"/>
      <c r="UMO167" s="249"/>
      <c r="UMP167" s="249"/>
      <c r="UMQ167" s="249"/>
      <c r="UMR167" s="249"/>
      <c r="UMS167" s="249"/>
      <c r="UMT167" s="249"/>
      <c r="UMU167" s="249"/>
      <c r="UMV167" s="249"/>
      <c r="UMW167" s="249"/>
      <c r="UMX167" s="249"/>
      <c r="UMY167" s="249"/>
      <c r="UMZ167" s="249"/>
      <c r="UNA167" s="249"/>
      <c r="UNB167" s="249"/>
      <c r="UNC167" s="249"/>
      <c r="UND167" s="249"/>
      <c r="UNE167" s="249"/>
      <c r="UNF167" s="249"/>
      <c r="UNG167" s="249"/>
      <c r="UNH167" s="249"/>
      <c r="UNI167" s="249"/>
      <c r="UNJ167" s="249"/>
      <c r="UNK167" s="249"/>
      <c r="UNL167" s="249"/>
      <c r="UNM167" s="249"/>
      <c r="UNN167" s="249"/>
      <c r="UNO167" s="249"/>
      <c r="UNP167" s="249"/>
      <c r="UNQ167" s="249"/>
      <c r="UNR167" s="249"/>
      <c r="UNS167" s="249"/>
      <c r="UNT167" s="249"/>
      <c r="UNU167" s="249"/>
      <c r="UNV167" s="249"/>
      <c r="UNW167" s="249"/>
      <c r="UNX167" s="249"/>
      <c r="UNY167" s="249"/>
      <c r="UNZ167" s="249"/>
      <c r="UOA167" s="249"/>
      <c r="UOB167" s="249"/>
      <c r="UOC167" s="249"/>
      <c r="UOD167" s="249"/>
      <c r="UOE167" s="249"/>
      <c r="UOF167" s="249"/>
      <c r="UOG167" s="249"/>
      <c r="UOH167" s="249"/>
      <c r="UOI167" s="249"/>
      <c r="UOJ167" s="249"/>
      <c r="UOK167" s="249"/>
      <c r="UOL167" s="249"/>
      <c r="UOM167" s="249"/>
      <c r="UON167" s="249"/>
      <c r="UOO167" s="249"/>
      <c r="UOP167" s="249"/>
      <c r="UOQ167" s="249"/>
      <c r="UOR167" s="249"/>
      <c r="UOS167" s="249"/>
      <c r="UOT167" s="249"/>
      <c r="UOU167" s="249"/>
      <c r="UOV167" s="249"/>
      <c r="UOW167" s="249"/>
      <c r="UOX167" s="249"/>
      <c r="UOY167" s="249"/>
      <c r="UOZ167" s="249"/>
      <c r="UPA167" s="249"/>
      <c r="UPB167" s="249"/>
      <c r="UPC167" s="249"/>
      <c r="UPD167" s="249"/>
      <c r="UPE167" s="249"/>
      <c r="UPF167" s="249"/>
      <c r="UPG167" s="249"/>
      <c r="UPH167" s="249"/>
      <c r="UPI167" s="249"/>
      <c r="UPJ167" s="249"/>
      <c r="UPK167" s="249"/>
      <c r="UPL167" s="249"/>
      <c r="UPM167" s="249"/>
      <c r="UPN167" s="249"/>
      <c r="UPO167" s="249"/>
      <c r="UPP167" s="249"/>
      <c r="UPQ167" s="249"/>
      <c r="UPR167" s="249"/>
      <c r="UPS167" s="249"/>
      <c r="UPT167" s="249"/>
      <c r="UPU167" s="249"/>
      <c r="UPV167" s="249"/>
      <c r="UPW167" s="249"/>
      <c r="UPX167" s="249"/>
      <c r="UPY167" s="249"/>
      <c r="UPZ167" s="249"/>
      <c r="UQA167" s="249"/>
      <c r="UQB167" s="249"/>
      <c r="UQC167" s="249"/>
      <c r="UQD167" s="249"/>
      <c r="UQE167" s="249"/>
      <c r="UQF167" s="249"/>
      <c r="UQG167" s="249"/>
      <c r="UQH167" s="249"/>
      <c r="UQI167" s="249"/>
      <c r="UQJ167" s="249"/>
      <c r="UQK167" s="249"/>
      <c r="UQL167" s="249"/>
      <c r="UQM167" s="249"/>
      <c r="UQN167" s="249"/>
      <c r="UQO167" s="249"/>
      <c r="UQP167" s="249"/>
      <c r="UQQ167" s="249"/>
      <c r="UQR167" s="249"/>
      <c r="UQS167" s="249"/>
      <c r="UQT167" s="249"/>
      <c r="UQU167" s="249"/>
      <c r="UQV167" s="249"/>
      <c r="UQW167" s="249"/>
      <c r="UQX167" s="249"/>
      <c r="UQY167" s="249"/>
      <c r="UQZ167" s="249"/>
      <c r="URA167" s="249"/>
      <c r="URB167" s="249"/>
      <c r="URC167" s="249"/>
      <c r="URD167" s="249"/>
      <c r="URE167" s="249"/>
      <c r="URF167" s="249"/>
      <c r="URG167" s="249"/>
      <c r="URH167" s="249"/>
      <c r="URI167" s="249"/>
      <c r="URJ167" s="249"/>
      <c r="URK167" s="249"/>
      <c r="URL167" s="249"/>
      <c r="URM167" s="249"/>
      <c r="URN167" s="249"/>
      <c r="URO167" s="249"/>
      <c r="URP167" s="249"/>
      <c r="URQ167" s="249"/>
      <c r="URR167" s="249"/>
      <c r="URS167" s="249"/>
      <c r="URT167" s="249"/>
      <c r="URU167" s="249"/>
      <c r="URV167" s="249"/>
      <c r="URW167" s="249"/>
      <c r="URX167" s="249"/>
      <c r="URY167" s="249"/>
      <c r="URZ167" s="249"/>
      <c r="USA167" s="249"/>
      <c r="USB167" s="249"/>
      <c r="USC167" s="249"/>
      <c r="USD167" s="249"/>
      <c r="USE167" s="249"/>
      <c r="USF167" s="249"/>
      <c r="USG167" s="249"/>
      <c r="USH167" s="249"/>
      <c r="USI167" s="249"/>
      <c r="USJ167" s="249"/>
      <c r="USK167" s="249"/>
      <c r="USL167" s="249"/>
      <c r="USM167" s="249"/>
      <c r="USN167" s="249"/>
      <c r="USO167" s="249"/>
      <c r="USP167" s="249"/>
      <c r="USQ167" s="249"/>
      <c r="USR167" s="249"/>
      <c r="USS167" s="249"/>
      <c r="UST167" s="249"/>
      <c r="USU167" s="249"/>
      <c r="USV167" s="249"/>
      <c r="USW167" s="249"/>
      <c r="USX167" s="249"/>
      <c r="USY167" s="249"/>
      <c r="USZ167" s="249"/>
      <c r="UTA167" s="249"/>
      <c r="UTB167" s="249"/>
      <c r="UTC167" s="249"/>
      <c r="UTD167" s="249"/>
      <c r="UTE167" s="249"/>
      <c r="UTF167" s="249"/>
      <c r="UTG167" s="249"/>
      <c r="UTH167" s="249"/>
      <c r="UTI167" s="249"/>
      <c r="UTJ167" s="249"/>
      <c r="UTK167" s="249"/>
      <c r="UTL167" s="249"/>
      <c r="UTM167" s="249"/>
      <c r="UTN167" s="249"/>
      <c r="UTO167" s="249"/>
      <c r="UTP167" s="249"/>
      <c r="UTQ167" s="249"/>
      <c r="UTR167" s="249"/>
      <c r="UTS167" s="249"/>
      <c r="UTT167" s="249"/>
      <c r="UTU167" s="249"/>
      <c r="UTV167" s="249"/>
      <c r="UTW167" s="249"/>
      <c r="UTX167" s="249"/>
      <c r="UTY167" s="249"/>
      <c r="UTZ167" s="249"/>
      <c r="UUA167" s="249"/>
      <c r="UUB167" s="249"/>
      <c r="UUC167" s="249"/>
      <c r="UUD167" s="249"/>
      <c r="UUE167" s="249"/>
      <c r="UUF167" s="249"/>
      <c r="UUG167" s="249"/>
      <c r="UUH167" s="249"/>
      <c r="UUI167" s="249"/>
      <c r="UUJ167" s="249"/>
      <c r="UUK167" s="249"/>
      <c r="UUL167" s="249"/>
      <c r="UUM167" s="249"/>
      <c r="UUN167" s="249"/>
      <c r="UUO167" s="249"/>
      <c r="UUP167" s="249"/>
      <c r="UUQ167" s="249"/>
      <c r="UUR167" s="249"/>
      <c r="UUS167" s="249"/>
      <c r="UUT167" s="249"/>
      <c r="UUU167" s="249"/>
      <c r="UUV167" s="249"/>
      <c r="UUW167" s="249"/>
      <c r="UUX167" s="249"/>
      <c r="UUY167" s="249"/>
      <c r="UUZ167" s="249"/>
      <c r="UVA167" s="249"/>
      <c r="UVB167" s="249"/>
      <c r="UVC167" s="249"/>
      <c r="UVD167" s="249"/>
      <c r="UVE167" s="249"/>
      <c r="UVF167" s="249"/>
      <c r="UVG167" s="249"/>
      <c r="UVH167" s="249"/>
      <c r="UVI167" s="249"/>
      <c r="UVJ167" s="249"/>
      <c r="UVK167" s="249"/>
      <c r="UVL167" s="249"/>
      <c r="UVM167" s="249"/>
      <c r="UVN167" s="249"/>
      <c r="UVO167" s="249"/>
      <c r="UVP167" s="249"/>
      <c r="UVQ167" s="249"/>
      <c r="UVR167" s="249"/>
      <c r="UVS167" s="249"/>
      <c r="UVT167" s="249"/>
      <c r="UVU167" s="249"/>
      <c r="UVV167" s="249"/>
      <c r="UVW167" s="249"/>
      <c r="UVX167" s="249"/>
      <c r="UVY167" s="249"/>
      <c r="UVZ167" s="249"/>
      <c r="UWA167" s="249"/>
      <c r="UWB167" s="249"/>
      <c r="UWC167" s="249"/>
      <c r="UWD167" s="249"/>
      <c r="UWE167" s="249"/>
      <c r="UWF167" s="249"/>
      <c r="UWG167" s="249"/>
      <c r="UWH167" s="249"/>
      <c r="UWI167" s="249"/>
      <c r="UWJ167" s="249"/>
      <c r="UWK167" s="249"/>
      <c r="UWL167" s="249"/>
      <c r="UWM167" s="249"/>
      <c r="UWN167" s="249"/>
      <c r="UWO167" s="249"/>
      <c r="UWP167" s="249"/>
      <c r="UWQ167" s="249"/>
      <c r="UWR167" s="249"/>
      <c r="UWS167" s="249"/>
      <c r="UWT167" s="249"/>
      <c r="UWU167" s="249"/>
      <c r="UWV167" s="249"/>
      <c r="UWW167" s="249"/>
      <c r="UWX167" s="249"/>
      <c r="UWY167" s="249"/>
      <c r="UWZ167" s="249"/>
      <c r="UXA167" s="249"/>
      <c r="UXB167" s="249"/>
      <c r="UXC167" s="249"/>
      <c r="UXD167" s="249"/>
      <c r="UXE167" s="249"/>
      <c r="UXF167" s="249"/>
      <c r="UXG167" s="249"/>
      <c r="UXH167" s="249"/>
      <c r="UXI167" s="249"/>
      <c r="UXJ167" s="249"/>
      <c r="UXK167" s="249"/>
      <c r="UXL167" s="249"/>
      <c r="UXM167" s="249"/>
      <c r="UXN167" s="249"/>
      <c r="UXO167" s="249"/>
      <c r="UXP167" s="249"/>
      <c r="UXQ167" s="249"/>
      <c r="UXR167" s="249"/>
      <c r="UXS167" s="249"/>
      <c r="UXT167" s="249"/>
      <c r="UXU167" s="249"/>
      <c r="UXV167" s="249"/>
      <c r="UXW167" s="249"/>
      <c r="UXX167" s="249"/>
      <c r="UXY167" s="249"/>
      <c r="UXZ167" s="249"/>
      <c r="UYA167" s="249"/>
      <c r="UYB167" s="249"/>
      <c r="UYC167" s="249"/>
      <c r="UYD167" s="249"/>
      <c r="UYE167" s="249"/>
      <c r="UYF167" s="249"/>
      <c r="UYG167" s="249"/>
      <c r="UYH167" s="249"/>
      <c r="UYI167" s="249"/>
      <c r="UYJ167" s="249"/>
      <c r="UYK167" s="249"/>
      <c r="UYL167" s="249"/>
      <c r="UYM167" s="249"/>
      <c r="UYN167" s="249"/>
      <c r="UYO167" s="249"/>
      <c r="UYP167" s="249"/>
      <c r="UYQ167" s="249"/>
      <c r="UYR167" s="249"/>
      <c r="UYS167" s="249"/>
      <c r="UYT167" s="249"/>
      <c r="UYU167" s="249"/>
      <c r="UYV167" s="249"/>
      <c r="UYW167" s="249"/>
      <c r="UYX167" s="249"/>
      <c r="UYY167" s="249"/>
      <c r="UYZ167" s="249"/>
      <c r="UZA167" s="249"/>
      <c r="UZB167" s="249"/>
      <c r="UZC167" s="249"/>
      <c r="UZD167" s="249"/>
      <c r="UZE167" s="249"/>
      <c r="UZF167" s="249"/>
      <c r="UZG167" s="249"/>
      <c r="UZH167" s="249"/>
      <c r="UZI167" s="249"/>
      <c r="UZJ167" s="249"/>
      <c r="UZK167" s="249"/>
      <c r="UZL167" s="249"/>
      <c r="UZM167" s="249"/>
      <c r="UZN167" s="249"/>
      <c r="UZO167" s="249"/>
      <c r="UZP167" s="249"/>
      <c r="UZQ167" s="249"/>
      <c r="UZR167" s="249"/>
      <c r="UZS167" s="249"/>
      <c r="UZT167" s="249"/>
      <c r="UZU167" s="249"/>
      <c r="UZV167" s="249"/>
      <c r="UZW167" s="249"/>
      <c r="UZX167" s="249"/>
      <c r="UZY167" s="249"/>
      <c r="UZZ167" s="249"/>
      <c r="VAA167" s="249"/>
      <c r="VAB167" s="249"/>
      <c r="VAC167" s="249"/>
      <c r="VAD167" s="249"/>
      <c r="VAE167" s="249"/>
      <c r="VAF167" s="249"/>
      <c r="VAG167" s="249"/>
      <c r="VAH167" s="249"/>
      <c r="VAI167" s="249"/>
      <c r="VAJ167" s="249"/>
      <c r="VAK167" s="249"/>
      <c r="VAL167" s="249"/>
      <c r="VAM167" s="249"/>
      <c r="VAN167" s="249"/>
      <c r="VAO167" s="249"/>
      <c r="VAP167" s="249"/>
      <c r="VAQ167" s="249"/>
      <c r="VAR167" s="249"/>
      <c r="VAS167" s="249"/>
      <c r="VAT167" s="249"/>
      <c r="VAU167" s="249"/>
      <c r="VAV167" s="249"/>
      <c r="VAW167" s="249"/>
      <c r="VAX167" s="249"/>
      <c r="VAY167" s="249"/>
      <c r="VAZ167" s="249"/>
      <c r="VBA167" s="249"/>
      <c r="VBB167" s="249"/>
      <c r="VBC167" s="249"/>
      <c r="VBD167" s="249"/>
      <c r="VBE167" s="249"/>
      <c r="VBF167" s="249"/>
      <c r="VBG167" s="249"/>
      <c r="VBH167" s="249"/>
      <c r="VBI167" s="249"/>
      <c r="VBJ167" s="249"/>
      <c r="VBK167" s="249"/>
      <c r="VBL167" s="249"/>
      <c r="VBM167" s="249"/>
      <c r="VBN167" s="249"/>
      <c r="VBO167" s="249"/>
      <c r="VBP167" s="249"/>
      <c r="VBQ167" s="249"/>
      <c r="VBR167" s="249"/>
      <c r="VBS167" s="249"/>
      <c r="VBT167" s="249"/>
      <c r="VBU167" s="249"/>
      <c r="VBV167" s="249"/>
      <c r="VBW167" s="249"/>
      <c r="VBX167" s="249"/>
      <c r="VBY167" s="249"/>
      <c r="VBZ167" s="249"/>
      <c r="VCA167" s="249"/>
      <c r="VCB167" s="249"/>
      <c r="VCC167" s="249"/>
      <c r="VCD167" s="249"/>
      <c r="VCE167" s="249"/>
      <c r="VCF167" s="249"/>
      <c r="VCG167" s="249"/>
      <c r="VCH167" s="249"/>
      <c r="VCI167" s="249"/>
      <c r="VCJ167" s="249"/>
      <c r="VCK167" s="249"/>
      <c r="VCL167" s="249"/>
      <c r="VCM167" s="249"/>
      <c r="VCN167" s="249"/>
      <c r="VCO167" s="249"/>
      <c r="VCP167" s="249"/>
      <c r="VCQ167" s="249"/>
      <c r="VCR167" s="249"/>
      <c r="VCS167" s="249"/>
      <c r="VCT167" s="249"/>
      <c r="VCU167" s="249"/>
      <c r="VCV167" s="249"/>
      <c r="VCW167" s="249"/>
      <c r="VCX167" s="249"/>
      <c r="VCY167" s="249"/>
      <c r="VCZ167" s="249"/>
      <c r="VDA167" s="249"/>
      <c r="VDB167" s="249"/>
      <c r="VDC167" s="249"/>
      <c r="VDD167" s="249"/>
      <c r="VDE167" s="249"/>
      <c r="VDF167" s="249"/>
      <c r="VDG167" s="249"/>
      <c r="VDH167" s="249"/>
      <c r="VDI167" s="249"/>
      <c r="VDJ167" s="249"/>
      <c r="VDK167" s="249"/>
      <c r="VDL167" s="249"/>
      <c r="VDM167" s="249"/>
      <c r="VDN167" s="249"/>
      <c r="VDO167" s="249"/>
      <c r="VDP167" s="249"/>
      <c r="VDQ167" s="249"/>
      <c r="VDR167" s="249"/>
      <c r="VDS167" s="249"/>
      <c r="VDT167" s="249"/>
      <c r="VDU167" s="249"/>
      <c r="VDV167" s="249"/>
      <c r="VDW167" s="249"/>
      <c r="VDX167" s="249"/>
      <c r="VDY167" s="249"/>
      <c r="VDZ167" s="249"/>
      <c r="VEA167" s="249"/>
      <c r="VEB167" s="249"/>
      <c r="VEC167" s="249"/>
      <c r="VED167" s="249"/>
      <c r="VEE167" s="249"/>
      <c r="VEF167" s="249"/>
      <c r="VEG167" s="249"/>
      <c r="VEH167" s="249"/>
      <c r="VEI167" s="249"/>
      <c r="VEJ167" s="249"/>
      <c r="VEK167" s="249"/>
      <c r="VEL167" s="249"/>
      <c r="VEM167" s="249"/>
      <c r="VEN167" s="249"/>
      <c r="VEO167" s="249"/>
      <c r="VEP167" s="249"/>
      <c r="VEQ167" s="249"/>
      <c r="VER167" s="249"/>
      <c r="VES167" s="249"/>
      <c r="VET167" s="249"/>
      <c r="VEU167" s="249"/>
      <c r="VEV167" s="249"/>
      <c r="VEW167" s="249"/>
      <c r="VEX167" s="249"/>
      <c r="VEY167" s="249"/>
      <c r="VEZ167" s="249"/>
      <c r="VFA167" s="249"/>
      <c r="VFB167" s="249"/>
      <c r="VFC167" s="249"/>
      <c r="VFD167" s="249"/>
      <c r="VFE167" s="249"/>
      <c r="VFF167" s="249"/>
      <c r="VFG167" s="249"/>
      <c r="VFH167" s="249"/>
      <c r="VFI167" s="249"/>
      <c r="VFJ167" s="249"/>
      <c r="VFK167" s="249"/>
      <c r="VFL167" s="249"/>
      <c r="VFM167" s="249"/>
      <c r="VFN167" s="249"/>
      <c r="VFO167" s="249"/>
      <c r="VFP167" s="249"/>
      <c r="VFQ167" s="249"/>
      <c r="VFR167" s="249"/>
      <c r="VFS167" s="249"/>
      <c r="VFT167" s="249"/>
      <c r="VFU167" s="249"/>
      <c r="VFV167" s="249"/>
      <c r="VFW167" s="249"/>
      <c r="VFX167" s="249"/>
      <c r="VFY167" s="249"/>
      <c r="VFZ167" s="249"/>
      <c r="VGA167" s="249"/>
      <c r="VGB167" s="249"/>
      <c r="VGC167" s="249"/>
      <c r="VGD167" s="249"/>
      <c r="VGE167" s="249"/>
      <c r="VGF167" s="249"/>
      <c r="VGG167" s="249"/>
      <c r="VGH167" s="249"/>
      <c r="VGI167" s="249"/>
      <c r="VGJ167" s="249"/>
      <c r="VGK167" s="249"/>
      <c r="VGL167" s="249"/>
      <c r="VGM167" s="249"/>
      <c r="VGN167" s="249"/>
      <c r="VGO167" s="249"/>
      <c r="VGP167" s="249"/>
      <c r="VGQ167" s="249"/>
      <c r="VGR167" s="249"/>
      <c r="VGS167" s="249"/>
      <c r="VGT167" s="249"/>
      <c r="VGU167" s="249"/>
      <c r="VGV167" s="249"/>
      <c r="VGW167" s="249"/>
      <c r="VGX167" s="249"/>
      <c r="VGY167" s="249"/>
      <c r="VGZ167" s="249"/>
      <c r="VHA167" s="249"/>
      <c r="VHB167" s="249"/>
      <c r="VHC167" s="249"/>
      <c r="VHD167" s="249"/>
      <c r="VHE167" s="249"/>
      <c r="VHF167" s="249"/>
      <c r="VHG167" s="249"/>
      <c r="VHH167" s="249"/>
      <c r="VHI167" s="249"/>
      <c r="VHJ167" s="249"/>
      <c r="VHK167" s="249"/>
      <c r="VHL167" s="249"/>
      <c r="VHM167" s="249"/>
      <c r="VHN167" s="249"/>
      <c r="VHO167" s="249"/>
      <c r="VHP167" s="249"/>
      <c r="VHQ167" s="249"/>
      <c r="VHR167" s="249"/>
      <c r="VHS167" s="249"/>
      <c r="VHT167" s="249"/>
      <c r="VHU167" s="249"/>
      <c r="VHV167" s="249"/>
      <c r="VHW167" s="249"/>
      <c r="VHX167" s="249"/>
      <c r="VHY167" s="249"/>
      <c r="VHZ167" s="249"/>
      <c r="VIA167" s="249"/>
      <c r="VIB167" s="249"/>
      <c r="VIC167" s="249"/>
      <c r="VID167" s="249"/>
      <c r="VIE167" s="249"/>
      <c r="VIF167" s="249"/>
      <c r="VIG167" s="249"/>
      <c r="VIH167" s="249"/>
      <c r="VII167" s="249"/>
      <c r="VIJ167" s="249"/>
      <c r="VIK167" s="249"/>
      <c r="VIL167" s="249"/>
      <c r="VIM167" s="249"/>
      <c r="VIN167" s="249"/>
      <c r="VIO167" s="249"/>
      <c r="VIP167" s="249"/>
      <c r="VIQ167" s="249"/>
      <c r="VIR167" s="249"/>
      <c r="VIS167" s="249"/>
      <c r="VIT167" s="249"/>
      <c r="VIU167" s="249"/>
      <c r="VIV167" s="249"/>
      <c r="VIW167" s="249"/>
      <c r="VIX167" s="249"/>
      <c r="VIY167" s="249"/>
      <c r="VIZ167" s="249"/>
      <c r="VJA167" s="249"/>
      <c r="VJB167" s="249"/>
      <c r="VJC167" s="249"/>
      <c r="VJD167" s="249"/>
      <c r="VJE167" s="249"/>
      <c r="VJF167" s="249"/>
      <c r="VJG167" s="249"/>
      <c r="VJH167" s="249"/>
      <c r="VJI167" s="249"/>
      <c r="VJJ167" s="249"/>
      <c r="VJK167" s="249"/>
      <c r="VJL167" s="249"/>
      <c r="VJM167" s="249"/>
      <c r="VJN167" s="249"/>
      <c r="VJO167" s="249"/>
      <c r="VJP167" s="249"/>
      <c r="VJQ167" s="249"/>
      <c r="VJR167" s="249"/>
      <c r="VJS167" s="249"/>
      <c r="VJT167" s="249"/>
      <c r="VJU167" s="249"/>
      <c r="VJV167" s="249"/>
      <c r="VJW167" s="249"/>
      <c r="VJX167" s="249"/>
      <c r="VJY167" s="249"/>
      <c r="VJZ167" s="249"/>
      <c r="VKA167" s="249"/>
      <c r="VKB167" s="249"/>
      <c r="VKC167" s="249"/>
      <c r="VKD167" s="249"/>
      <c r="VKE167" s="249"/>
      <c r="VKF167" s="249"/>
      <c r="VKG167" s="249"/>
      <c r="VKH167" s="249"/>
      <c r="VKI167" s="249"/>
      <c r="VKJ167" s="249"/>
      <c r="VKK167" s="249"/>
      <c r="VKL167" s="249"/>
      <c r="VKM167" s="249"/>
      <c r="VKN167" s="249"/>
      <c r="VKO167" s="249"/>
      <c r="VKP167" s="249"/>
      <c r="VKQ167" s="249"/>
      <c r="VKR167" s="249"/>
      <c r="VKS167" s="249"/>
      <c r="VKT167" s="249"/>
      <c r="VKU167" s="249"/>
      <c r="VKV167" s="249"/>
      <c r="VKW167" s="249"/>
      <c r="VKX167" s="249"/>
      <c r="VKY167" s="249"/>
      <c r="VKZ167" s="249"/>
      <c r="VLA167" s="249"/>
      <c r="VLB167" s="249"/>
      <c r="VLC167" s="249"/>
      <c r="VLD167" s="249"/>
      <c r="VLE167" s="249"/>
      <c r="VLF167" s="249"/>
      <c r="VLG167" s="249"/>
      <c r="VLH167" s="249"/>
      <c r="VLI167" s="249"/>
      <c r="VLJ167" s="249"/>
      <c r="VLK167" s="249"/>
      <c r="VLL167" s="249"/>
      <c r="VLM167" s="249"/>
      <c r="VLN167" s="249"/>
      <c r="VLO167" s="249"/>
      <c r="VLP167" s="249"/>
      <c r="VLQ167" s="249"/>
      <c r="VLR167" s="249"/>
      <c r="VLS167" s="249"/>
      <c r="VLT167" s="249"/>
      <c r="VLU167" s="249"/>
      <c r="VLV167" s="249"/>
      <c r="VLW167" s="249"/>
      <c r="VLX167" s="249"/>
      <c r="VLY167" s="249"/>
      <c r="VLZ167" s="249"/>
      <c r="VMA167" s="249"/>
      <c r="VMB167" s="249"/>
      <c r="VMC167" s="249"/>
      <c r="VMD167" s="249"/>
      <c r="VME167" s="249"/>
      <c r="VMF167" s="249"/>
      <c r="VMG167" s="249"/>
      <c r="VMH167" s="249"/>
      <c r="VMI167" s="249"/>
      <c r="VMJ167" s="249"/>
      <c r="VMK167" s="249"/>
      <c r="VML167" s="249"/>
      <c r="VMM167" s="249"/>
      <c r="VMN167" s="249"/>
      <c r="VMO167" s="249"/>
      <c r="VMP167" s="249"/>
      <c r="VMQ167" s="249"/>
      <c r="VMR167" s="249"/>
      <c r="VMS167" s="249"/>
      <c r="VMT167" s="249"/>
      <c r="VMU167" s="249"/>
      <c r="VMV167" s="249"/>
      <c r="VMW167" s="249"/>
      <c r="VMX167" s="249"/>
      <c r="VMY167" s="249"/>
      <c r="VMZ167" s="249"/>
      <c r="VNA167" s="249"/>
      <c r="VNB167" s="249"/>
      <c r="VNC167" s="249"/>
      <c r="VND167" s="249"/>
      <c r="VNE167" s="249"/>
      <c r="VNF167" s="249"/>
      <c r="VNG167" s="249"/>
      <c r="VNH167" s="249"/>
      <c r="VNI167" s="249"/>
      <c r="VNJ167" s="249"/>
      <c r="VNK167" s="249"/>
      <c r="VNL167" s="249"/>
      <c r="VNM167" s="249"/>
      <c r="VNN167" s="249"/>
      <c r="VNO167" s="249"/>
      <c r="VNP167" s="249"/>
      <c r="VNQ167" s="249"/>
      <c r="VNR167" s="249"/>
      <c r="VNS167" s="249"/>
      <c r="VNT167" s="249"/>
      <c r="VNU167" s="249"/>
      <c r="VNV167" s="249"/>
      <c r="VNW167" s="249"/>
      <c r="VNX167" s="249"/>
      <c r="VNY167" s="249"/>
      <c r="VNZ167" s="249"/>
      <c r="VOA167" s="249"/>
      <c r="VOB167" s="249"/>
      <c r="VOC167" s="249"/>
      <c r="VOD167" s="249"/>
      <c r="VOE167" s="249"/>
      <c r="VOF167" s="249"/>
      <c r="VOG167" s="249"/>
      <c r="VOH167" s="249"/>
      <c r="VOI167" s="249"/>
      <c r="VOJ167" s="249"/>
      <c r="VOK167" s="249"/>
      <c r="VOL167" s="249"/>
      <c r="VOM167" s="249"/>
      <c r="VON167" s="249"/>
      <c r="VOO167" s="249"/>
      <c r="VOP167" s="249"/>
      <c r="VOQ167" s="249"/>
      <c r="VOR167" s="249"/>
      <c r="VOS167" s="249"/>
      <c r="VOT167" s="249"/>
      <c r="VOU167" s="249"/>
      <c r="VOV167" s="249"/>
      <c r="VOW167" s="249"/>
      <c r="VOX167" s="249"/>
      <c r="VOY167" s="249"/>
      <c r="VOZ167" s="249"/>
      <c r="VPA167" s="249"/>
      <c r="VPB167" s="249"/>
      <c r="VPC167" s="249"/>
      <c r="VPD167" s="249"/>
      <c r="VPE167" s="249"/>
      <c r="VPF167" s="249"/>
      <c r="VPG167" s="249"/>
      <c r="VPH167" s="249"/>
      <c r="VPI167" s="249"/>
      <c r="VPJ167" s="249"/>
      <c r="VPK167" s="249"/>
      <c r="VPL167" s="249"/>
      <c r="VPM167" s="249"/>
      <c r="VPN167" s="249"/>
      <c r="VPO167" s="249"/>
      <c r="VPP167" s="249"/>
      <c r="VPQ167" s="249"/>
      <c r="VPR167" s="249"/>
      <c r="VPS167" s="249"/>
      <c r="VPT167" s="249"/>
      <c r="VPU167" s="249"/>
      <c r="VPV167" s="249"/>
      <c r="VPW167" s="249"/>
      <c r="VPX167" s="249"/>
      <c r="VPY167" s="249"/>
      <c r="VPZ167" s="249"/>
      <c r="VQA167" s="249"/>
      <c r="VQB167" s="249"/>
      <c r="VQC167" s="249"/>
      <c r="VQD167" s="249"/>
      <c r="VQE167" s="249"/>
      <c r="VQF167" s="249"/>
      <c r="VQG167" s="249"/>
      <c r="VQH167" s="249"/>
      <c r="VQI167" s="249"/>
      <c r="VQJ167" s="249"/>
      <c r="VQK167" s="249"/>
      <c r="VQL167" s="249"/>
      <c r="VQM167" s="249"/>
      <c r="VQN167" s="249"/>
      <c r="VQO167" s="249"/>
      <c r="VQP167" s="249"/>
      <c r="VQQ167" s="249"/>
      <c r="VQR167" s="249"/>
      <c r="VQS167" s="249"/>
      <c r="VQT167" s="249"/>
      <c r="VQU167" s="249"/>
      <c r="VQV167" s="249"/>
      <c r="VQW167" s="249"/>
      <c r="VQX167" s="249"/>
      <c r="VQY167" s="249"/>
      <c r="VQZ167" s="249"/>
      <c r="VRA167" s="249"/>
      <c r="VRB167" s="249"/>
      <c r="VRC167" s="249"/>
      <c r="VRD167" s="249"/>
      <c r="VRE167" s="249"/>
      <c r="VRF167" s="249"/>
      <c r="VRG167" s="249"/>
      <c r="VRH167" s="249"/>
      <c r="VRI167" s="249"/>
      <c r="VRJ167" s="249"/>
      <c r="VRK167" s="249"/>
      <c r="VRL167" s="249"/>
      <c r="VRM167" s="249"/>
      <c r="VRN167" s="249"/>
      <c r="VRO167" s="249"/>
      <c r="VRP167" s="249"/>
      <c r="VRQ167" s="249"/>
      <c r="VRR167" s="249"/>
      <c r="VRS167" s="249"/>
      <c r="VRT167" s="249"/>
      <c r="VRU167" s="249"/>
      <c r="VRV167" s="249"/>
      <c r="VRW167" s="249"/>
      <c r="VRX167" s="249"/>
      <c r="VRY167" s="249"/>
      <c r="VRZ167" s="249"/>
      <c r="VSA167" s="249"/>
      <c r="VSB167" s="249"/>
      <c r="VSC167" s="249"/>
      <c r="VSD167" s="249"/>
      <c r="VSE167" s="249"/>
      <c r="VSF167" s="249"/>
      <c r="VSG167" s="249"/>
      <c r="VSH167" s="249"/>
      <c r="VSI167" s="249"/>
      <c r="VSJ167" s="249"/>
      <c r="VSK167" s="249"/>
      <c r="VSL167" s="249"/>
      <c r="VSM167" s="249"/>
      <c r="VSN167" s="249"/>
      <c r="VSO167" s="249"/>
      <c r="VSP167" s="249"/>
      <c r="VSQ167" s="249"/>
      <c r="VSR167" s="249"/>
      <c r="VSS167" s="249"/>
      <c r="VST167" s="249"/>
      <c r="VSU167" s="249"/>
      <c r="VSV167" s="249"/>
      <c r="VSW167" s="249"/>
      <c r="VSX167" s="249"/>
      <c r="VSY167" s="249"/>
      <c r="VSZ167" s="249"/>
      <c r="VTA167" s="249"/>
      <c r="VTB167" s="249"/>
      <c r="VTC167" s="249"/>
      <c r="VTD167" s="249"/>
      <c r="VTE167" s="249"/>
      <c r="VTF167" s="249"/>
      <c r="VTG167" s="249"/>
      <c r="VTH167" s="249"/>
      <c r="VTI167" s="249"/>
      <c r="VTJ167" s="249"/>
      <c r="VTK167" s="249"/>
      <c r="VTL167" s="249"/>
      <c r="VTM167" s="249"/>
      <c r="VTN167" s="249"/>
      <c r="VTO167" s="249"/>
      <c r="VTP167" s="249"/>
      <c r="VTQ167" s="249"/>
      <c r="VTR167" s="249"/>
      <c r="VTS167" s="249"/>
      <c r="VTT167" s="249"/>
      <c r="VTU167" s="249"/>
      <c r="VTV167" s="249"/>
      <c r="VTW167" s="249"/>
      <c r="VTX167" s="249"/>
      <c r="VTY167" s="249"/>
      <c r="VTZ167" s="249"/>
      <c r="VUA167" s="249"/>
      <c r="VUB167" s="249"/>
      <c r="VUC167" s="249"/>
      <c r="VUD167" s="249"/>
      <c r="VUE167" s="249"/>
      <c r="VUF167" s="249"/>
      <c r="VUG167" s="249"/>
      <c r="VUH167" s="249"/>
      <c r="VUI167" s="249"/>
      <c r="VUJ167" s="249"/>
      <c r="VUK167" s="249"/>
      <c r="VUL167" s="249"/>
      <c r="VUM167" s="249"/>
      <c r="VUN167" s="249"/>
      <c r="VUO167" s="249"/>
      <c r="VUP167" s="249"/>
      <c r="VUQ167" s="249"/>
      <c r="VUR167" s="249"/>
      <c r="VUS167" s="249"/>
      <c r="VUT167" s="249"/>
      <c r="VUU167" s="249"/>
      <c r="VUV167" s="249"/>
      <c r="VUW167" s="249"/>
      <c r="VUX167" s="249"/>
      <c r="VUY167" s="249"/>
      <c r="VUZ167" s="249"/>
      <c r="VVA167" s="249"/>
      <c r="VVB167" s="249"/>
      <c r="VVC167" s="249"/>
      <c r="VVD167" s="249"/>
      <c r="VVE167" s="249"/>
      <c r="VVF167" s="249"/>
      <c r="VVG167" s="249"/>
      <c r="VVH167" s="249"/>
      <c r="VVI167" s="249"/>
      <c r="VVJ167" s="249"/>
      <c r="VVK167" s="249"/>
      <c r="VVL167" s="249"/>
      <c r="VVM167" s="249"/>
      <c r="VVN167" s="249"/>
      <c r="VVO167" s="249"/>
      <c r="VVP167" s="249"/>
      <c r="VVQ167" s="249"/>
      <c r="VVR167" s="249"/>
      <c r="VVS167" s="249"/>
      <c r="VVT167" s="249"/>
      <c r="VVU167" s="249"/>
      <c r="VVV167" s="249"/>
      <c r="VVW167" s="249"/>
      <c r="VVX167" s="249"/>
      <c r="VVY167" s="249"/>
      <c r="VVZ167" s="249"/>
      <c r="VWA167" s="249"/>
      <c r="VWB167" s="249"/>
      <c r="VWC167" s="249"/>
      <c r="VWD167" s="249"/>
      <c r="VWE167" s="249"/>
      <c r="VWF167" s="249"/>
      <c r="VWG167" s="249"/>
      <c r="VWH167" s="249"/>
      <c r="VWI167" s="249"/>
      <c r="VWJ167" s="249"/>
      <c r="VWK167" s="249"/>
      <c r="VWL167" s="249"/>
      <c r="VWM167" s="249"/>
      <c r="VWN167" s="249"/>
      <c r="VWO167" s="249"/>
      <c r="VWP167" s="249"/>
      <c r="VWQ167" s="249"/>
      <c r="VWR167" s="249"/>
      <c r="VWS167" s="249"/>
      <c r="VWT167" s="249"/>
      <c r="VWU167" s="249"/>
      <c r="VWV167" s="249"/>
      <c r="VWW167" s="249"/>
      <c r="VWX167" s="249"/>
      <c r="VWY167" s="249"/>
      <c r="VWZ167" s="249"/>
      <c r="VXA167" s="249"/>
      <c r="VXB167" s="249"/>
      <c r="VXC167" s="249"/>
      <c r="VXD167" s="249"/>
      <c r="VXE167" s="249"/>
      <c r="VXF167" s="249"/>
      <c r="VXG167" s="249"/>
      <c r="VXH167" s="249"/>
      <c r="VXI167" s="249"/>
      <c r="VXJ167" s="249"/>
      <c r="VXK167" s="249"/>
      <c r="VXL167" s="249"/>
      <c r="VXM167" s="249"/>
      <c r="VXN167" s="249"/>
      <c r="VXO167" s="249"/>
      <c r="VXP167" s="249"/>
      <c r="VXQ167" s="249"/>
      <c r="VXR167" s="249"/>
      <c r="VXS167" s="249"/>
      <c r="VXT167" s="249"/>
      <c r="VXU167" s="249"/>
      <c r="VXV167" s="249"/>
      <c r="VXW167" s="249"/>
      <c r="VXX167" s="249"/>
      <c r="VXY167" s="249"/>
      <c r="VXZ167" s="249"/>
      <c r="VYA167" s="249"/>
      <c r="VYB167" s="249"/>
      <c r="VYC167" s="249"/>
      <c r="VYD167" s="249"/>
      <c r="VYE167" s="249"/>
      <c r="VYF167" s="249"/>
      <c r="VYG167" s="249"/>
      <c r="VYH167" s="249"/>
      <c r="VYI167" s="249"/>
      <c r="VYJ167" s="249"/>
      <c r="VYK167" s="249"/>
      <c r="VYL167" s="249"/>
      <c r="VYM167" s="249"/>
      <c r="VYN167" s="249"/>
      <c r="VYO167" s="249"/>
      <c r="VYP167" s="249"/>
      <c r="VYQ167" s="249"/>
      <c r="VYR167" s="249"/>
      <c r="VYS167" s="249"/>
      <c r="VYT167" s="249"/>
      <c r="VYU167" s="249"/>
      <c r="VYV167" s="249"/>
      <c r="VYW167" s="249"/>
      <c r="VYX167" s="249"/>
      <c r="VYY167" s="249"/>
      <c r="VYZ167" s="249"/>
      <c r="VZA167" s="249"/>
      <c r="VZB167" s="249"/>
      <c r="VZC167" s="249"/>
      <c r="VZD167" s="249"/>
      <c r="VZE167" s="249"/>
      <c r="VZF167" s="249"/>
      <c r="VZG167" s="249"/>
      <c r="VZH167" s="249"/>
      <c r="VZI167" s="249"/>
      <c r="VZJ167" s="249"/>
      <c r="VZK167" s="249"/>
      <c r="VZL167" s="249"/>
      <c r="VZM167" s="249"/>
      <c r="VZN167" s="249"/>
      <c r="VZO167" s="249"/>
      <c r="VZP167" s="249"/>
      <c r="VZQ167" s="249"/>
      <c r="VZR167" s="249"/>
      <c r="VZS167" s="249"/>
      <c r="VZT167" s="249"/>
      <c r="VZU167" s="249"/>
      <c r="VZV167" s="249"/>
      <c r="VZW167" s="249"/>
      <c r="VZX167" s="249"/>
      <c r="VZY167" s="249"/>
      <c r="VZZ167" s="249"/>
      <c r="WAA167" s="249"/>
      <c r="WAB167" s="249"/>
      <c r="WAC167" s="249"/>
      <c r="WAD167" s="249"/>
      <c r="WAE167" s="249"/>
      <c r="WAF167" s="249"/>
      <c r="WAG167" s="249"/>
      <c r="WAH167" s="249"/>
      <c r="WAI167" s="249"/>
      <c r="WAJ167" s="249"/>
      <c r="WAK167" s="249"/>
      <c r="WAL167" s="249"/>
      <c r="WAM167" s="249"/>
      <c r="WAN167" s="249"/>
      <c r="WAO167" s="249"/>
      <c r="WAP167" s="249"/>
      <c r="WAQ167" s="249"/>
      <c r="WAR167" s="249"/>
      <c r="WAS167" s="249"/>
      <c r="WAT167" s="249"/>
      <c r="WAU167" s="249"/>
      <c r="WAV167" s="249"/>
      <c r="WAW167" s="249"/>
      <c r="WAX167" s="249"/>
      <c r="WAY167" s="249"/>
      <c r="WAZ167" s="249"/>
      <c r="WBA167" s="249"/>
      <c r="WBB167" s="249"/>
      <c r="WBC167" s="249"/>
      <c r="WBD167" s="249"/>
      <c r="WBE167" s="249"/>
      <c r="WBF167" s="249"/>
      <c r="WBG167" s="249"/>
      <c r="WBH167" s="249"/>
      <c r="WBI167" s="249"/>
      <c r="WBJ167" s="249"/>
      <c r="WBK167" s="249"/>
      <c r="WBL167" s="249"/>
      <c r="WBM167" s="249"/>
      <c r="WBN167" s="249"/>
      <c r="WBO167" s="249"/>
      <c r="WBP167" s="249"/>
      <c r="WBQ167" s="249"/>
      <c r="WBR167" s="249"/>
      <c r="WBS167" s="249"/>
      <c r="WBT167" s="249"/>
      <c r="WBU167" s="249"/>
      <c r="WBV167" s="249"/>
      <c r="WBW167" s="249"/>
      <c r="WBX167" s="249"/>
      <c r="WBY167" s="249"/>
      <c r="WBZ167" s="249"/>
      <c r="WCA167" s="249"/>
      <c r="WCB167" s="249"/>
      <c r="WCC167" s="249"/>
      <c r="WCD167" s="249"/>
      <c r="WCE167" s="249"/>
      <c r="WCF167" s="249"/>
      <c r="WCG167" s="249"/>
      <c r="WCH167" s="249"/>
      <c r="WCI167" s="249"/>
      <c r="WCJ167" s="249"/>
      <c r="WCK167" s="249"/>
      <c r="WCL167" s="249"/>
      <c r="WCM167" s="249"/>
      <c r="WCN167" s="249"/>
      <c r="WCO167" s="249"/>
      <c r="WCP167" s="249"/>
      <c r="WCQ167" s="249"/>
      <c r="WCR167" s="249"/>
      <c r="WCS167" s="249"/>
      <c r="WCT167" s="249"/>
      <c r="WCU167" s="249"/>
      <c r="WCV167" s="249"/>
      <c r="WCW167" s="249"/>
      <c r="WCX167" s="249"/>
      <c r="WCY167" s="249"/>
      <c r="WCZ167" s="249"/>
      <c r="WDA167" s="249"/>
      <c r="WDB167" s="249"/>
      <c r="WDC167" s="249"/>
      <c r="WDD167" s="249"/>
      <c r="WDE167" s="249"/>
      <c r="WDF167" s="249"/>
      <c r="WDG167" s="249"/>
      <c r="WDH167" s="249"/>
      <c r="WDI167" s="249"/>
      <c r="WDJ167" s="249"/>
      <c r="WDK167" s="249"/>
      <c r="WDL167" s="249"/>
      <c r="WDM167" s="249"/>
      <c r="WDN167" s="249"/>
      <c r="WDO167" s="249"/>
      <c r="WDP167" s="249"/>
      <c r="WDQ167" s="249"/>
      <c r="WDR167" s="249"/>
      <c r="WDS167" s="249"/>
      <c r="WDT167" s="249"/>
      <c r="WDU167" s="249"/>
      <c r="WDV167" s="249"/>
      <c r="WDW167" s="249"/>
      <c r="WDX167" s="249"/>
      <c r="WDY167" s="249"/>
      <c r="WDZ167" s="249"/>
      <c r="WEA167" s="249"/>
      <c r="WEB167" s="249"/>
      <c r="WEC167" s="249"/>
      <c r="WED167" s="249"/>
      <c r="WEE167" s="249"/>
      <c r="WEF167" s="249"/>
      <c r="WEG167" s="249"/>
      <c r="WEH167" s="249"/>
      <c r="WEI167" s="249"/>
      <c r="WEJ167" s="249"/>
      <c r="WEK167" s="249"/>
      <c r="WEL167" s="249"/>
      <c r="WEM167" s="249"/>
      <c r="WEN167" s="249"/>
      <c r="WEO167" s="249"/>
      <c r="WEP167" s="249"/>
      <c r="WEQ167" s="249"/>
      <c r="WER167" s="249"/>
      <c r="WES167" s="249"/>
      <c r="WET167" s="249"/>
      <c r="WEU167" s="249"/>
      <c r="WEV167" s="249"/>
      <c r="WEW167" s="249"/>
      <c r="WEX167" s="249"/>
      <c r="WEY167" s="249"/>
      <c r="WEZ167" s="249"/>
      <c r="WFA167" s="249"/>
      <c r="WFB167" s="249"/>
      <c r="WFC167" s="249"/>
      <c r="WFD167" s="249"/>
      <c r="WFE167" s="249"/>
      <c r="WFF167" s="249"/>
      <c r="WFG167" s="249"/>
      <c r="WFH167" s="249"/>
      <c r="WFI167" s="249"/>
      <c r="WFJ167" s="249"/>
      <c r="WFK167" s="249"/>
      <c r="WFL167" s="249"/>
      <c r="WFM167" s="249"/>
      <c r="WFN167" s="249"/>
      <c r="WFO167" s="249"/>
      <c r="WFP167" s="249"/>
      <c r="WFQ167" s="249"/>
      <c r="WFR167" s="249"/>
      <c r="WFS167" s="249"/>
      <c r="WFT167" s="249"/>
      <c r="WFU167" s="249"/>
      <c r="WFV167" s="249"/>
      <c r="WFW167" s="249"/>
      <c r="WFX167" s="249"/>
      <c r="WFY167" s="249"/>
      <c r="WFZ167" s="249"/>
      <c r="WGA167" s="249"/>
      <c r="WGB167" s="249"/>
      <c r="WGC167" s="249"/>
      <c r="WGD167" s="249"/>
      <c r="WGE167" s="249"/>
      <c r="WGF167" s="249"/>
      <c r="WGG167" s="249"/>
      <c r="WGH167" s="249"/>
      <c r="WGI167" s="249"/>
      <c r="WGJ167" s="249"/>
      <c r="WGK167" s="249"/>
      <c r="WGL167" s="249"/>
      <c r="WGM167" s="249"/>
      <c r="WGN167" s="249"/>
      <c r="WGO167" s="249"/>
      <c r="WGP167" s="249"/>
      <c r="WGQ167" s="249"/>
      <c r="WGR167" s="249"/>
      <c r="WGS167" s="249"/>
      <c r="WGT167" s="249"/>
      <c r="WGU167" s="249"/>
      <c r="WGV167" s="249"/>
      <c r="WGW167" s="249"/>
      <c r="WGX167" s="249"/>
      <c r="WGY167" s="249"/>
      <c r="WGZ167" s="249"/>
      <c r="WHA167" s="249"/>
      <c r="WHB167" s="249"/>
      <c r="WHC167" s="249"/>
      <c r="WHD167" s="249"/>
      <c r="WHE167" s="249"/>
      <c r="WHF167" s="249"/>
      <c r="WHG167" s="249"/>
      <c r="WHH167" s="249"/>
      <c r="WHI167" s="249"/>
      <c r="WHJ167" s="249"/>
      <c r="WHK167" s="249"/>
      <c r="WHL167" s="249"/>
      <c r="WHM167" s="249"/>
      <c r="WHN167" s="249"/>
      <c r="WHO167" s="249"/>
      <c r="WHP167" s="249"/>
      <c r="WHQ167" s="249"/>
      <c r="WHR167" s="249"/>
      <c r="WHS167" s="249"/>
      <c r="WHT167" s="249"/>
      <c r="WHU167" s="249"/>
      <c r="WHV167" s="249"/>
      <c r="WHW167" s="249"/>
      <c r="WHX167" s="249"/>
      <c r="WHY167" s="249"/>
      <c r="WHZ167" s="249"/>
      <c r="WIA167" s="249"/>
      <c r="WIB167" s="249"/>
      <c r="WIC167" s="249"/>
      <c r="WID167" s="249"/>
      <c r="WIE167" s="249"/>
      <c r="WIF167" s="249"/>
      <c r="WIG167" s="249"/>
      <c r="WIH167" s="249"/>
      <c r="WII167" s="249"/>
      <c r="WIJ167" s="249"/>
      <c r="WIK167" s="249"/>
      <c r="WIL167" s="249"/>
      <c r="WIM167" s="249"/>
      <c r="WIN167" s="249"/>
      <c r="WIO167" s="249"/>
      <c r="WIP167" s="249"/>
      <c r="WIQ167" s="249"/>
      <c r="WIR167" s="249"/>
      <c r="WIS167" s="249"/>
      <c r="WIT167" s="249"/>
      <c r="WIU167" s="249"/>
      <c r="WIV167" s="249"/>
      <c r="WIW167" s="249"/>
      <c r="WIX167" s="249"/>
      <c r="WIY167" s="249"/>
      <c r="WIZ167" s="249"/>
      <c r="WJA167" s="249"/>
      <c r="WJB167" s="249"/>
      <c r="WJC167" s="249"/>
      <c r="WJD167" s="249"/>
      <c r="WJE167" s="249"/>
      <c r="WJF167" s="249"/>
      <c r="WJG167" s="249"/>
      <c r="WJH167" s="249"/>
      <c r="WJI167" s="249"/>
      <c r="WJJ167" s="249"/>
      <c r="WJK167" s="249"/>
      <c r="WJL167" s="249"/>
      <c r="WJM167" s="249"/>
      <c r="WJN167" s="249"/>
      <c r="WJO167" s="249"/>
      <c r="WJP167" s="249"/>
      <c r="WJQ167" s="249"/>
      <c r="WJR167" s="249"/>
      <c r="WJS167" s="249"/>
      <c r="WJT167" s="249"/>
      <c r="WJU167" s="249"/>
      <c r="WJV167" s="249"/>
      <c r="WJW167" s="249"/>
      <c r="WJX167" s="249"/>
      <c r="WJY167" s="249"/>
      <c r="WJZ167" s="249"/>
      <c r="WKA167" s="249"/>
      <c r="WKB167" s="249"/>
      <c r="WKC167" s="249"/>
      <c r="WKD167" s="249"/>
      <c r="WKE167" s="249"/>
      <c r="WKF167" s="249"/>
      <c r="WKG167" s="249"/>
      <c r="WKH167" s="249"/>
      <c r="WKI167" s="249"/>
      <c r="WKJ167" s="249"/>
      <c r="WKK167" s="249"/>
      <c r="WKL167" s="249"/>
      <c r="WKM167" s="249"/>
      <c r="WKN167" s="249"/>
      <c r="WKO167" s="249"/>
      <c r="WKP167" s="249"/>
      <c r="WKQ167" s="249"/>
      <c r="WKR167" s="249"/>
      <c r="WKS167" s="249"/>
      <c r="WKT167" s="249"/>
      <c r="WKU167" s="249"/>
      <c r="WKV167" s="249"/>
      <c r="WKW167" s="249"/>
      <c r="WKX167" s="249"/>
      <c r="WKY167" s="249"/>
      <c r="WKZ167" s="249"/>
      <c r="WLA167" s="249"/>
      <c r="WLB167" s="249"/>
      <c r="WLC167" s="249"/>
      <c r="WLD167" s="249"/>
      <c r="WLE167" s="249"/>
      <c r="WLF167" s="249"/>
      <c r="WLG167" s="249"/>
      <c r="WLH167" s="249"/>
      <c r="WLI167" s="249"/>
      <c r="WLJ167" s="249"/>
      <c r="WLK167" s="249"/>
      <c r="WLL167" s="249"/>
      <c r="WLM167" s="249"/>
      <c r="WLN167" s="249"/>
      <c r="WLO167" s="249"/>
      <c r="WLP167" s="249"/>
      <c r="WLQ167" s="249"/>
      <c r="WLR167" s="249"/>
      <c r="WLS167" s="249"/>
      <c r="WLT167" s="249"/>
      <c r="WLU167" s="249"/>
      <c r="WLV167" s="249"/>
      <c r="WLW167" s="249"/>
      <c r="WLX167" s="249"/>
      <c r="WLY167" s="249"/>
      <c r="WLZ167" s="249"/>
      <c r="WMA167" s="249"/>
      <c r="WMB167" s="249"/>
      <c r="WMC167" s="249"/>
      <c r="WMD167" s="249"/>
      <c r="WME167" s="249"/>
      <c r="WMF167" s="249"/>
      <c r="WMG167" s="249"/>
      <c r="WMH167" s="249"/>
      <c r="WMI167" s="249"/>
      <c r="WMJ167" s="249"/>
      <c r="WMK167" s="249"/>
      <c r="WML167" s="249"/>
      <c r="WMM167" s="249"/>
      <c r="WMN167" s="249"/>
      <c r="WMO167" s="249"/>
      <c r="WMP167" s="249"/>
      <c r="WMQ167" s="249"/>
      <c r="WMR167" s="249"/>
      <c r="WMS167" s="249"/>
      <c r="WMT167" s="249"/>
      <c r="WMU167" s="249"/>
      <c r="WMV167" s="249"/>
      <c r="WMW167" s="249"/>
      <c r="WMX167" s="249"/>
      <c r="WMY167" s="249"/>
      <c r="WMZ167" s="249"/>
      <c r="WNA167" s="249"/>
      <c r="WNB167" s="249"/>
      <c r="WNC167" s="249"/>
      <c r="WND167" s="249"/>
      <c r="WNE167" s="249"/>
      <c r="WNF167" s="249"/>
      <c r="WNG167" s="249"/>
      <c r="WNH167" s="249"/>
      <c r="WNI167" s="249"/>
      <c r="WNJ167" s="249"/>
      <c r="WNK167" s="249"/>
      <c r="WNL167" s="249"/>
      <c r="WNM167" s="249"/>
      <c r="WNN167" s="249"/>
      <c r="WNO167" s="249"/>
      <c r="WNP167" s="249"/>
      <c r="WNQ167" s="249"/>
      <c r="WNR167" s="249"/>
      <c r="WNS167" s="249"/>
      <c r="WNT167" s="249"/>
      <c r="WNU167" s="249"/>
      <c r="WNV167" s="249"/>
      <c r="WNW167" s="249"/>
      <c r="WNX167" s="249"/>
      <c r="WNY167" s="249"/>
      <c r="WNZ167" s="249"/>
      <c r="WOA167" s="249"/>
      <c r="WOB167" s="249"/>
      <c r="WOC167" s="249"/>
      <c r="WOD167" s="249"/>
      <c r="WOE167" s="249"/>
      <c r="WOF167" s="249"/>
      <c r="WOG167" s="249"/>
      <c r="WOH167" s="249"/>
      <c r="WOI167" s="249"/>
      <c r="WOJ167" s="249"/>
      <c r="WOK167" s="249"/>
      <c r="WOL167" s="249"/>
      <c r="WOM167" s="249"/>
      <c r="WON167" s="249"/>
      <c r="WOO167" s="249"/>
      <c r="WOP167" s="249"/>
      <c r="WOQ167" s="249"/>
      <c r="WOR167" s="249"/>
      <c r="WOS167" s="249"/>
      <c r="WOT167" s="249"/>
      <c r="WOU167" s="249"/>
      <c r="WOV167" s="249"/>
      <c r="WOW167" s="249"/>
      <c r="WOX167" s="249"/>
      <c r="WOY167" s="249"/>
      <c r="WOZ167" s="249"/>
      <c r="WPA167" s="249"/>
      <c r="WPB167" s="249"/>
      <c r="WPC167" s="249"/>
      <c r="WPD167" s="249"/>
      <c r="WPE167" s="249"/>
      <c r="WPF167" s="249"/>
      <c r="WPG167" s="249"/>
      <c r="WPH167" s="249"/>
      <c r="WPI167" s="249"/>
      <c r="WPJ167" s="249"/>
      <c r="WPK167" s="249"/>
      <c r="WPL167" s="249"/>
      <c r="WPM167" s="249"/>
      <c r="WPN167" s="249"/>
      <c r="WPO167" s="249"/>
      <c r="WPP167" s="249"/>
      <c r="WPQ167" s="249"/>
      <c r="WPR167" s="249"/>
      <c r="WPS167" s="249"/>
      <c r="WPT167" s="249"/>
      <c r="WPU167" s="249"/>
      <c r="WPV167" s="249"/>
      <c r="WPW167" s="249"/>
      <c r="WPX167" s="249"/>
      <c r="WPY167" s="249"/>
      <c r="WPZ167" s="249"/>
      <c r="WQA167" s="249"/>
      <c r="WQB167" s="249"/>
      <c r="WQC167" s="249"/>
      <c r="WQD167" s="249"/>
      <c r="WQE167" s="249"/>
      <c r="WQF167" s="249"/>
      <c r="WQG167" s="249"/>
      <c r="WQH167" s="249"/>
      <c r="WQI167" s="249"/>
      <c r="WQJ167" s="249"/>
      <c r="WQK167" s="249"/>
      <c r="WQL167" s="249"/>
      <c r="WQM167" s="249"/>
      <c r="WQN167" s="249"/>
      <c r="WQO167" s="249"/>
      <c r="WQP167" s="249"/>
      <c r="WQQ167" s="249"/>
      <c r="WQR167" s="249"/>
      <c r="WQS167" s="249"/>
      <c r="WQT167" s="249"/>
      <c r="WQU167" s="249"/>
      <c r="WQV167" s="249"/>
      <c r="WQW167" s="249"/>
      <c r="WQX167" s="249"/>
      <c r="WQY167" s="249"/>
      <c r="WQZ167" s="249"/>
      <c r="WRA167" s="249"/>
      <c r="WRB167" s="249"/>
      <c r="WRC167" s="249"/>
      <c r="WRD167" s="249"/>
      <c r="WRE167" s="249"/>
      <c r="WRF167" s="249"/>
      <c r="WRG167" s="249"/>
      <c r="WRH167" s="249"/>
      <c r="WRI167" s="249"/>
      <c r="WRJ167" s="249"/>
      <c r="WRK167" s="249"/>
      <c r="WRL167" s="249"/>
      <c r="WRM167" s="249"/>
      <c r="WRN167" s="249"/>
      <c r="WRO167" s="249"/>
      <c r="WRP167" s="249"/>
      <c r="WRQ167" s="249"/>
      <c r="WRR167" s="249"/>
      <c r="WRS167" s="249"/>
      <c r="WRT167" s="249"/>
      <c r="WRU167" s="249"/>
      <c r="WRV167" s="249"/>
      <c r="WRW167" s="249"/>
      <c r="WRX167" s="249"/>
      <c r="WRY167" s="249"/>
      <c r="WRZ167" s="249"/>
      <c r="WSA167" s="249"/>
      <c r="WSB167" s="249"/>
      <c r="WSC167" s="249"/>
      <c r="WSD167" s="249"/>
      <c r="WSE167" s="249"/>
      <c r="WSF167" s="249"/>
      <c r="WSG167" s="249"/>
      <c r="WSH167" s="249"/>
      <c r="WSI167" s="249"/>
      <c r="WSJ167" s="249"/>
      <c r="WSK167" s="249"/>
      <c r="WSL167" s="249"/>
      <c r="WSM167" s="249"/>
      <c r="WSN167" s="249"/>
      <c r="WSO167" s="249"/>
      <c r="WSP167" s="249"/>
      <c r="WSQ167" s="249"/>
      <c r="WSR167" s="249"/>
      <c r="WSS167" s="249"/>
      <c r="WST167" s="249"/>
      <c r="WSU167" s="249"/>
      <c r="WSV167" s="249"/>
      <c r="WSW167" s="249"/>
      <c r="WSX167" s="249"/>
      <c r="WSY167" s="249"/>
      <c r="WSZ167" s="249"/>
      <c r="WTA167" s="249"/>
      <c r="WTB167" s="249"/>
      <c r="WTC167" s="249"/>
      <c r="WTD167" s="249"/>
      <c r="WTE167" s="249"/>
      <c r="WTF167" s="249"/>
      <c r="WTG167" s="249"/>
      <c r="WTH167" s="249"/>
      <c r="WTI167" s="249"/>
      <c r="WTJ167" s="249"/>
      <c r="WTK167" s="249"/>
      <c r="WTL167" s="249"/>
      <c r="WTM167" s="249"/>
      <c r="WTN167" s="249"/>
      <c r="WTO167" s="249"/>
      <c r="WTP167" s="249"/>
      <c r="WTQ167" s="249"/>
      <c r="WTR167" s="249"/>
      <c r="WTS167" s="249"/>
      <c r="WTT167" s="249"/>
      <c r="WTU167" s="249"/>
      <c r="WTV167" s="249"/>
      <c r="WTW167" s="249"/>
      <c r="WTX167" s="249"/>
      <c r="WTY167" s="249"/>
      <c r="WTZ167" s="249"/>
      <c r="WUA167" s="249"/>
      <c r="WUB167" s="249"/>
      <c r="WUC167" s="249"/>
      <c r="WUD167" s="249"/>
      <c r="WUE167" s="249"/>
      <c r="WUF167" s="249"/>
      <c r="WUG167" s="249"/>
      <c r="WUH167" s="249"/>
      <c r="WUI167" s="249"/>
      <c r="WUJ167" s="249"/>
      <c r="WUK167" s="249"/>
      <c r="WUL167" s="249"/>
      <c r="WUM167" s="249"/>
      <c r="WUN167" s="249"/>
      <c r="WUO167" s="249"/>
      <c r="WUP167" s="249"/>
      <c r="WUQ167" s="249"/>
      <c r="WUR167" s="249"/>
      <c r="WUS167" s="249"/>
      <c r="WUT167" s="249"/>
      <c r="WUU167" s="249"/>
      <c r="WUV167" s="249"/>
      <c r="WUW167" s="249"/>
      <c r="WUX167" s="249"/>
      <c r="WUY167" s="249"/>
      <c r="WUZ167" s="249"/>
      <c r="WVA167" s="249"/>
      <c r="WVB167" s="249"/>
      <c r="WVC167" s="249"/>
      <c r="WVD167" s="249"/>
      <c r="WVE167" s="249"/>
      <c r="WVF167" s="249"/>
      <c r="WVG167" s="249"/>
      <c r="WVH167" s="249"/>
      <c r="WVI167" s="249"/>
      <c r="WVJ167" s="249"/>
      <c r="WVK167" s="249"/>
      <c r="WVL167" s="249"/>
      <c r="WVM167" s="249"/>
      <c r="WVN167" s="249"/>
      <c r="WVO167" s="249"/>
      <c r="WVP167" s="249"/>
      <c r="WVQ167" s="249"/>
      <c r="WVR167" s="249"/>
      <c r="WVS167" s="249"/>
      <c r="WVT167" s="249"/>
      <c r="WVU167" s="249"/>
      <c r="WVV167" s="249"/>
      <c r="WVW167" s="249"/>
      <c r="WVX167" s="249"/>
      <c r="WVY167" s="249"/>
      <c r="WVZ167" s="249"/>
      <c r="WWA167" s="249"/>
      <c r="WWB167" s="249"/>
      <c r="WWC167" s="249"/>
      <c r="WWD167" s="249"/>
      <c r="WWE167" s="249"/>
      <c r="WWF167" s="249"/>
      <c r="WWG167" s="249"/>
      <c r="WWH167" s="249"/>
      <c r="WWI167" s="249"/>
      <c r="WWJ167" s="249"/>
      <c r="WWK167" s="249"/>
      <c r="WWL167" s="249"/>
      <c r="WWM167" s="249"/>
      <c r="WWN167" s="249"/>
      <c r="WWO167" s="249"/>
      <c r="WWP167" s="249"/>
      <c r="WWQ167" s="249"/>
      <c r="WWR167" s="249"/>
      <c r="WWS167" s="249"/>
      <c r="WWT167" s="249"/>
      <c r="WWU167" s="249"/>
      <c r="WWV167" s="249"/>
      <c r="WWW167" s="249"/>
      <c r="WWX167" s="249"/>
      <c r="WWY167" s="249"/>
      <c r="WWZ167" s="249"/>
      <c r="WXA167" s="249"/>
      <c r="WXB167" s="249"/>
      <c r="WXC167" s="249"/>
      <c r="WXD167" s="249"/>
      <c r="WXE167" s="249"/>
      <c r="WXF167" s="249"/>
      <c r="WXG167" s="249"/>
      <c r="WXH167" s="249"/>
      <c r="WXI167" s="249"/>
      <c r="WXJ167" s="249"/>
      <c r="WXK167" s="249"/>
      <c r="WXL167" s="249"/>
      <c r="WXM167" s="249"/>
      <c r="WXN167" s="249"/>
      <c r="WXO167" s="249"/>
      <c r="WXP167" s="249"/>
      <c r="WXQ167" s="249"/>
      <c r="WXR167" s="249"/>
      <c r="WXS167" s="249"/>
      <c r="WXT167" s="249"/>
      <c r="WXU167" s="249"/>
      <c r="WXV167" s="249"/>
      <c r="WXW167" s="249"/>
      <c r="WXX167" s="249"/>
      <c r="WXY167" s="249"/>
      <c r="WXZ167" s="249"/>
      <c r="WYA167" s="249"/>
      <c r="WYB167" s="249"/>
      <c r="WYC167" s="249"/>
      <c r="WYD167" s="249"/>
      <c r="WYE167" s="249"/>
      <c r="WYF167" s="249"/>
      <c r="WYG167" s="249"/>
      <c r="WYH167" s="249"/>
      <c r="WYI167" s="249"/>
      <c r="WYJ167" s="249"/>
      <c r="WYK167" s="249"/>
      <c r="WYL167" s="249"/>
      <c r="WYM167" s="249"/>
      <c r="WYN167" s="249"/>
      <c r="WYO167" s="249"/>
      <c r="WYP167" s="249"/>
      <c r="WYQ167" s="249"/>
      <c r="WYR167" s="249"/>
      <c r="WYS167" s="249"/>
      <c r="WYT167" s="249"/>
      <c r="WYU167" s="249"/>
      <c r="WYV167" s="249"/>
      <c r="WYW167" s="249"/>
      <c r="WYX167" s="249"/>
      <c r="WYY167" s="249"/>
      <c r="WYZ167" s="249"/>
      <c r="WZA167" s="249"/>
      <c r="WZB167" s="249"/>
      <c r="WZC167" s="249"/>
      <c r="WZD167" s="249"/>
      <c r="WZE167" s="249"/>
      <c r="WZF167" s="249"/>
      <c r="WZG167" s="249"/>
      <c r="WZH167" s="249"/>
      <c r="WZI167" s="249"/>
      <c r="WZJ167" s="249"/>
      <c r="WZK167" s="249"/>
      <c r="WZL167" s="249"/>
      <c r="WZM167" s="249"/>
      <c r="WZN167" s="249"/>
      <c r="WZO167" s="249"/>
      <c r="WZP167" s="249"/>
      <c r="WZQ167" s="249"/>
      <c r="WZR167" s="249"/>
      <c r="WZS167" s="249"/>
      <c r="WZT167" s="249"/>
      <c r="WZU167" s="249"/>
      <c r="WZV167" s="249"/>
      <c r="WZW167" s="249"/>
      <c r="WZX167" s="249"/>
      <c r="WZY167" s="249"/>
      <c r="WZZ167" s="249"/>
      <c r="XAA167" s="249"/>
      <c r="XAB167" s="249"/>
      <c r="XAC167" s="249"/>
      <c r="XAD167" s="249"/>
      <c r="XAE167" s="249"/>
      <c r="XAF167" s="249"/>
      <c r="XAG167" s="249"/>
      <c r="XAH167" s="249"/>
      <c r="XAI167" s="249"/>
      <c r="XAJ167" s="249"/>
      <c r="XAK167" s="249"/>
      <c r="XAL167" s="249"/>
      <c r="XAM167" s="249"/>
      <c r="XAN167" s="249"/>
      <c r="XAO167" s="249"/>
      <c r="XAP167" s="249"/>
      <c r="XAQ167" s="249"/>
      <c r="XAR167" s="249"/>
      <c r="XAS167" s="249"/>
      <c r="XAT167" s="249"/>
      <c r="XAU167" s="249"/>
      <c r="XAV167" s="249"/>
      <c r="XAW167" s="249"/>
      <c r="XAX167" s="249"/>
      <c r="XAY167" s="249"/>
      <c r="XAZ167" s="249"/>
      <c r="XBA167" s="249"/>
      <c r="XBB167" s="249"/>
      <c r="XBC167" s="249"/>
      <c r="XBD167" s="249"/>
      <c r="XBE167" s="249"/>
      <c r="XBF167" s="249"/>
      <c r="XBG167" s="249"/>
      <c r="XBH167" s="249"/>
      <c r="XBI167" s="249"/>
      <c r="XBJ167" s="249"/>
      <c r="XBK167" s="249"/>
      <c r="XBL167" s="249"/>
      <c r="XBM167" s="249"/>
      <c r="XBN167" s="249"/>
      <c r="XBO167" s="249"/>
      <c r="XBP167" s="249"/>
      <c r="XBQ167" s="249"/>
      <c r="XBR167" s="249"/>
      <c r="XBS167" s="249"/>
      <c r="XBT167" s="249"/>
      <c r="XBU167" s="249"/>
      <c r="XBV167" s="249"/>
      <c r="XBW167" s="249"/>
      <c r="XBX167" s="249"/>
      <c r="XBY167" s="249"/>
      <c r="XBZ167" s="249"/>
      <c r="XCA167" s="249"/>
      <c r="XCB167" s="249"/>
      <c r="XCC167" s="249"/>
      <c r="XCD167" s="249"/>
      <c r="XCE167" s="249"/>
      <c r="XCF167" s="249"/>
      <c r="XCG167" s="249"/>
      <c r="XCH167" s="249"/>
      <c r="XCI167" s="249"/>
      <c r="XCJ167" s="249"/>
      <c r="XCK167" s="249"/>
      <c r="XCL167" s="249"/>
      <c r="XCM167" s="249"/>
      <c r="XCN167" s="249"/>
      <c r="XCO167" s="249"/>
      <c r="XCP167" s="249"/>
      <c r="XCQ167" s="249"/>
      <c r="XCR167" s="249"/>
      <c r="XCS167" s="249"/>
      <c r="XCT167" s="249"/>
      <c r="XCU167" s="249"/>
      <c r="XCV167" s="249"/>
      <c r="XCW167" s="249"/>
      <c r="XCX167" s="249"/>
      <c r="XCY167" s="249"/>
      <c r="XCZ167" s="249"/>
      <c r="XDA167" s="249"/>
      <c r="XDB167" s="249"/>
      <c r="XDC167" s="249"/>
      <c r="XDD167" s="249"/>
      <c r="XDE167" s="249"/>
      <c r="XDF167" s="249"/>
    </row>
    <row r="168" spans="1:16334" hidden="1" outlineLevel="1">
      <c r="B168" s="195" t="s">
        <v>310</v>
      </c>
      <c r="C168" s="195" t="s">
        <v>325</v>
      </c>
      <c r="D168" s="213"/>
      <c r="E168" s="212">
        <v>17000</v>
      </c>
      <c r="I168" s="212"/>
      <c r="J168" s="212"/>
      <c r="K168" s="212"/>
      <c r="L168" s="230">
        <f t="shared" si="106"/>
        <v>0</v>
      </c>
      <c r="M168" s="212"/>
      <c r="N168" s="212"/>
      <c r="O168" s="212">
        <f t="shared" ref="O168" si="116">$E$168*O169</f>
        <v>34000</v>
      </c>
      <c r="P168" s="212">
        <f t="shared" si="108"/>
        <v>34000</v>
      </c>
      <c r="Q168" s="212">
        <v>51000</v>
      </c>
      <c r="R168" s="212">
        <v>51000</v>
      </c>
      <c r="S168" s="278">
        <v>51000</v>
      </c>
      <c r="T168" s="212">
        <f t="shared" ref="T168" si="117">SUM(Q168:S168)</f>
        <v>153000</v>
      </c>
      <c r="U168" s="195">
        <v>5400</v>
      </c>
      <c r="V168" s="300">
        <v>51000</v>
      </c>
      <c r="W168" s="300">
        <v>51000</v>
      </c>
      <c r="X168" s="300">
        <v>51000</v>
      </c>
      <c r="Y168" s="278">
        <f t="shared" ref="Y168" si="118">SUM(V168:X168)</f>
        <v>153000</v>
      </c>
    </row>
    <row r="169" spans="1:16334" hidden="1" outlineLevel="1">
      <c r="D169" s="213"/>
      <c r="E169" s="212"/>
      <c r="I169" s="212"/>
      <c r="J169" s="212"/>
      <c r="K169" s="212"/>
      <c r="L169" s="230">
        <f t="shared" si="106"/>
        <v>0</v>
      </c>
      <c r="M169" s="212"/>
      <c r="N169" s="212"/>
      <c r="O169" s="251">
        <v>2</v>
      </c>
      <c r="P169" s="212">
        <f t="shared" si="108"/>
        <v>2</v>
      </c>
      <c r="Q169" s="212">
        <v>3</v>
      </c>
      <c r="R169" s="212">
        <v>3</v>
      </c>
      <c r="S169" s="278">
        <v>3</v>
      </c>
      <c r="T169" s="212"/>
      <c r="V169" s="317">
        <v>3</v>
      </c>
      <c r="W169" s="317">
        <v>3</v>
      </c>
      <c r="X169" s="317">
        <v>3</v>
      </c>
      <c r="Y169" s="278"/>
    </row>
    <row r="170" spans="1:16334" hidden="1" outlineLevel="1">
      <c r="B170" s="195" t="s">
        <v>326</v>
      </c>
      <c r="C170" s="195" t="s">
        <v>166</v>
      </c>
      <c r="D170" s="213"/>
      <c r="E170" s="212">
        <v>12000</v>
      </c>
      <c r="I170" s="212"/>
      <c r="J170" s="212"/>
      <c r="K170" s="212"/>
      <c r="L170" s="230">
        <f t="shared" si="106"/>
        <v>0</v>
      </c>
      <c r="M170" s="212"/>
      <c r="N170" s="212">
        <f t="shared" ref="N170:O170" si="119">$E$170*N171</f>
        <v>0</v>
      </c>
      <c r="O170" s="212">
        <f t="shared" si="119"/>
        <v>0</v>
      </c>
      <c r="P170" s="212">
        <f t="shared" si="108"/>
        <v>0</v>
      </c>
      <c r="Q170" s="212">
        <v>36000</v>
      </c>
      <c r="R170" s="212">
        <v>36000</v>
      </c>
      <c r="S170" s="278">
        <v>36000</v>
      </c>
      <c r="T170" s="212">
        <f t="shared" ref="T170" si="120">SUM(Q170:S170)</f>
        <v>108000</v>
      </c>
      <c r="U170" s="195">
        <v>5400</v>
      </c>
      <c r="V170" s="300">
        <v>36000</v>
      </c>
      <c r="W170" s="300">
        <v>36000</v>
      </c>
      <c r="X170" s="300">
        <v>36000</v>
      </c>
      <c r="Y170" s="278">
        <f t="shared" ref="Y170:Y172" si="121">SUM(V170:X170)</f>
        <v>108000</v>
      </c>
    </row>
    <row r="171" spans="1:16334" hidden="1" outlineLevel="1">
      <c r="D171" s="213"/>
      <c r="E171" s="212"/>
      <c r="I171" s="212"/>
      <c r="J171" s="212"/>
      <c r="K171" s="212"/>
      <c r="L171" s="230">
        <f t="shared" si="106"/>
        <v>0</v>
      </c>
      <c r="M171" s="212"/>
      <c r="N171" s="212"/>
      <c r="O171" s="212"/>
      <c r="P171" s="212">
        <f t="shared" si="108"/>
        <v>0</v>
      </c>
      <c r="Q171" s="212">
        <v>3</v>
      </c>
      <c r="R171" s="212">
        <v>3</v>
      </c>
      <c r="S171" s="278">
        <v>3</v>
      </c>
      <c r="T171" s="212"/>
      <c r="V171" s="317">
        <v>3</v>
      </c>
      <c r="W171" s="317">
        <v>3</v>
      </c>
      <c r="X171" s="317">
        <v>3</v>
      </c>
      <c r="Y171" s="278"/>
    </row>
    <row r="172" spans="1:16334" hidden="1" outlineLevel="1">
      <c r="B172" s="195" t="s">
        <v>327</v>
      </c>
      <c r="C172" s="195" t="s">
        <v>166</v>
      </c>
      <c r="D172" s="213"/>
      <c r="E172" s="212">
        <v>18000</v>
      </c>
      <c r="I172" s="212"/>
      <c r="J172" s="212"/>
      <c r="K172" s="212"/>
      <c r="L172" s="230">
        <f t="shared" si="106"/>
        <v>0</v>
      </c>
      <c r="M172" s="212"/>
      <c r="N172" s="212"/>
      <c r="O172" s="212"/>
      <c r="P172" s="212">
        <f t="shared" si="108"/>
        <v>0</v>
      </c>
      <c r="Q172" s="212"/>
      <c r="R172" s="212"/>
      <c r="T172" s="212"/>
      <c r="U172" s="195">
        <v>5400</v>
      </c>
      <c r="V172" s="300">
        <v>18000</v>
      </c>
      <c r="W172" s="300">
        <v>18000</v>
      </c>
      <c r="X172" s="300">
        <v>18000</v>
      </c>
      <c r="Y172" s="278">
        <f t="shared" si="121"/>
        <v>54000</v>
      </c>
    </row>
    <row r="173" spans="1:16334" hidden="1" outlineLevel="1">
      <c r="D173" s="213"/>
      <c r="E173" s="212"/>
      <c r="I173" s="212"/>
      <c r="J173" s="212"/>
      <c r="K173" s="212"/>
      <c r="L173" s="230">
        <f t="shared" si="106"/>
        <v>0</v>
      </c>
      <c r="M173" s="212"/>
      <c r="N173" s="212"/>
      <c r="O173" s="212"/>
      <c r="P173" s="212">
        <f t="shared" si="108"/>
        <v>0</v>
      </c>
      <c r="Q173" s="212"/>
      <c r="R173" s="212"/>
      <c r="T173" s="212"/>
      <c r="V173" s="317">
        <v>1</v>
      </c>
      <c r="W173" s="317">
        <v>1</v>
      </c>
      <c r="X173" s="317">
        <v>1</v>
      </c>
      <c r="Y173" s="278"/>
    </row>
    <row r="174" spans="1:16334" hidden="1" outlineLevel="1">
      <c r="B174" s="195" t="s">
        <v>328</v>
      </c>
      <c r="C174" s="195" t="s">
        <v>235</v>
      </c>
      <c r="D174" s="212"/>
      <c r="E174" s="212">
        <v>18000</v>
      </c>
      <c r="I174" s="212">
        <f t="shared" ref="I174:O174" si="122">$E$174*I175</f>
        <v>0</v>
      </c>
      <c r="J174" s="212">
        <f t="shared" si="122"/>
        <v>0</v>
      </c>
      <c r="K174" s="212">
        <f t="shared" si="122"/>
        <v>0</v>
      </c>
      <c r="L174" s="230">
        <f t="shared" si="106"/>
        <v>0</v>
      </c>
      <c r="M174" s="212">
        <f t="shared" si="122"/>
        <v>0</v>
      </c>
      <c r="N174" s="212">
        <f t="shared" si="122"/>
        <v>0</v>
      </c>
      <c r="O174" s="212">
        <f t="shared" si="122"/>
        <v>0</v>
      </c>
      <c r="P174" s="212">
        <f t="shared" si="108"/>
        <v>0</v>
      </c>
      <c r="Q174" s="212">
        <v>18000</v>
      </c>
      <c r="R174" s="212">
        <v>18000</v>
      </c>
      <c r="S174" s="278">
        <v>18000</v>
      </c>
      <c r="T174" s="212">
        <f t="shared" ref="T174" si="123">SUM(Q174:S174)</f>
        <v>54000</v>
      </c>
      <c r="U174" s="195">
        <v>5400</v>
      </c>
      <c r="V174" s="300">
        <v>36000</v>
      </c>
      <c r="W174" s="300">
        <v>36000</v>
      </c>
      <c r="X174" s="300">
        <v>36000</v>
      </c>
      <c r="Y174" s="278">
        <f t="shared" ref="Y174" si="124">SUM(V174:X174)</f>
        <v>108000</v>
      </c>
    </row>
    <row r="175" spans="1:16334" hidden="1" outlineLevel="1">
      <c r="B175" s="220"/>
      <c r="C175" s="220"/>
      <c r="D175" s="221"/>
      <c r="E175" s="222"/>
      <c r="I175" s="212"/>
      <c r="J175" s="212"/>
      <c r="K175" s="212"/>
      <c r="L175" s="230">
        <f t="shared" si="106"/>
        <v>0</v>
      </c>
      <c r="M175" s="212"/>
      <c r="N175" s="212"/>
      <c r="O175" s="212"/>
      <c r="P175" s="212">
        <f t="shared" si="108"/>
        <v>0</v>
      </c>
      <c r="Q175" s="195">
        <v>1</v>
      </c>
      <c r="R175" s="195">
        <v>1</v>
      </c>
      <c r="S175" s="278">
        <v>1</v>
      </c>
      <c r="V175" s="317">
        <v>2</v>
      </c>
      <c r="W175" s="317">
        <v>2</v>
      </c>
      <c r="X175" s="317">
        <v>2</v>
      </c>
      <c r="Y175" s="278"/>
    </row>
    <row r="176" spans="1:16334" hidden="1" outlineLevel="1">
      <c r="B176" s="195" t="s">
        <v>329</v>
      </c>
      <c r="C176" s="195" t="s">
        <v>235</v>
      </c>
      <c r="D176" s="212"/>
      <c r="E176" s="212">
        <v>12000</v>
      </c>
      <c r="I176" s="212">
        <f t="shared" ref="I176:O176" si="125">$E$176*I177</f>
        <v>0</v>
      </c>
      <c r="J176" s="212">
        <f t="shared" si="125"/>
        <v>0</v>
      </c>
      <c r="K176" s="212">
        <f t="shared" si="125"/>
        <v>0</v>
      </c>
      <c r="L176" s="230">
        <f t="shared" si="106"/>
        <v>0</v>
      </c>
      <c r="M176" s="212">
        <f t="shared" si="125"/>
        <v>0</v>
      </c>
      <c r="N176" s="212">
        <f t="shared" si="125"/>
        <v>0</v>
      </c>
      <c r="O176" s="212">
        <f t="shared" si="125"/>
        <v>0</v>
      </c>
      <c r="P176" s="212">
        <f t="shared" si="108"/>
        <v>0</v>
      </c>
      <c r="Q176" s="195">
        <v>0</v>
      </c>
      <c r="R176" s="195">
        <v>0</v>
      </c>
      <c r="S176" s="278">
        <v>0</v>
      </c>
      <c r="V176" s="300">
        <v>0</v>
      </c>
      <c r="W176" s="300">
        <v>0</v>
      </c>
      <c r="X176" s="300">
        <v>0</v>
      </c>
      <c r="Y176" s="278"/>
    </row>
    <row r="177" spans="2:25" hidden="1" outlineLevel="1">
      <c r="B177" s="220"/>
      <c r="C177" s="220"/>
      <c r="D177" s="221"/>
      <c r="E177" s="222"/>
      <c r="I177" s="212"/>
      <c r="J177" s="212"/>
      <c r="K177" s="212"/>
      <c r="L177" s="230">
        <f t="shared" si="106"/>
        <v>0</v>
      </c>
      <c r="M177" s="212"/>
      <c r="N177" s="212"/>
      <c r="O177" s="212"/>
      <c r="V177" s="317"/>
      <c r="W177" s="317"/>
      <c r="X177" s="317"/>
      <c r="Y177" s="278"/>
    </row>
    <row r="178" spans="2:25" hidden="1" outlineLevel="1">
      <c r="B178" s="195" t="s">
        <v>330</v>
      </c>
      <c r="C178" s="195" t="s">
        <v>235</v>
      </c>
      <c r="D178" s="212"/>
      <c r="E178" s="212">
        <v>17000</v>
      </c>
      <c r="I178" s="212"/>
      <c r="J178" s="212"/>
      <c r="K178" s="212"/>
      <c r="L178" s="230">
        <f t="shared" si="106"/>
        <v>0</v>
      </c>
      <c r="M178" s="212"/>
      <c r="N178" s="212"/>
      <c r="O178" s="212"/>
      <c r="Q178" s="212"/>
      <c r="R178" s="212"/>
      <c r="T178" s="212"/>
      <c r="U178" s="195">
        <v>5400</v>
      </c>
      <c r="V178" s="300">
        <v>17000</v>
      </c>
      <c r="W178" s="300">
        <v>17000</v>
      </c>
      <c r="X178" s="300">
        <v>17000</v>
      </c>
      <c r="Y178" s="278">
        <f t="shared" ref="Y178" si="126">SUM(V178:X178)</f>
        <v>51000</v>
      </c>
    </row>
    <row r="179" spans="2:25" hidden="1" outlineLevel="1">
      <c r="D179" s="212"/>
      <c r="E179" s="212"/>
      <c r="I179" s="212"/>
      <c r="J179" s="212"/>
      <c r="K179" s="212"/>
      <c r="L179" s="230">
        <f t="shared" si="106"/>
        <v>0</v>
      </c>
      <c r="M179" s="212"/>
      <c r="N179" s="212"/>
      <c r="O179" s="212"/>
      <c r="V179" s="317"/>
      <c r="W179" s="317"/>
      <c r="X179" s="317"/>
      <c r="Y179" s="278"/>
    </row>
    <row r="180" spans="2:25" hidden="1" outlineLevel="1">
      <c r="B180" s="252" t="s">
        <v>331</v>
      </c>
      <c r="D180" s="212"/>
      <c r="E180" s="212"/>
      <c r="I180" s="212">
        <f t="shared" ref="I180:R180" si="127">-I133</f>
        <v>29939.39393939394</v>
      </c>
      <c r="J180" s="212">
        <f t="shared" si="127"/>
        <v>29939.39393939394</v>
      </c>
      <c r="K180" s="212">
        <f t="shared" si="127"/>
        <v>29939.39393939394</v>
      </c>
      <c r="L180" s="212">
        <f t="shared" si="127"/>
        <v>89818.181818181823</v>
      </c>
      <c r="M180" s="212">
        <f t="shared" si="127"/>
        <v>29939.39393939394</v>
      </c>
      <c r="N180" s="212">
        <f t="shared" si="127"/>
        <v>29939.39393939394</v>
      </c>
      <c r="O180" s="212">
        <f t="shared" si="127"/>
        <v>29939.39393939394</v>
      </c>
      <c r="P180" s="212">
        <f t="shared" ref="P180" si="128">SUM(M180:O180)</f>
        <v>89818.181818181823</v>
      </c>
      <c r="Q180" s="212">
        <f t="shared" si="127"/>
        <v>29939.39393939394</v>
      </c>
      <c r="R180" s="212">
        <f t="shared" si="127"/>
        <v>29939.39393939394</v>
      </c>
      <c r="S180" s="212">
        <v>29939.39393939394</v>
      </c>
      <c r="T180" s="212">
        <f t="shared" ref="T180" si="129">SUM(Q180:S180)</f>
        <v>89818.181818181823</v>
      </c>
      <c r="U180" s="195">
        <v>5400</v>
      </c>
      <c r="V180" s="300">
        <v>29939.39393939394</v>
      </c>
      <c r="W180" s="300">
        <v>29939.39393939394</v>
      </c>
      <c r="X180" s="300">
        <v>29939.39393939394</v>
      </c>
      <c r="Y180" s="278">
        <f t="shared" ref="Y180" si="130">SUM(V180:X180)</f>
        <v>89818.181818181823</v>
      </c>
    </row>
    <row r="181" spans="2:25" hidden="1" outlineLevel="1">
      <c r="C181" s="206"/>
      <c r="D181" s="213"/>
      <c r="E181" s="206"/>
      <c r="F181" s="210"/>
      <c r="G181" s="206"/>
      <c r="L181" s="230">
        <f t="shared" si="106"/>
        <v>0</v>
      </c>
      <c r="Q181" s="230"/>
      <c r="R181" s="230"/>
      <c r="T181" s="230"/>
      <c r="V181" s="297">
        <v>1</v>
      </c>
      <c r="W181" s="297">
        <v>1</v>
      </c>
      <c r="X181" s="297">
        <v>1</v>
      </c>
    </row>
    <row r="182" spans="2:25" collapsed="1">
      <c r="B182" s="227" t="s">
        <v>175</v>
      </c>
      <c r="C182" s="227" t="s">
        <v>176</v>
      </c>
      <c r="D182" s="227" t="s">
        <v>177</v>
      </c>
      <c r="G182" s="195" t="s">
        <v>178</v>
      </c>
      <c r="I182" s="228">
        <f t="shared" ref="I182:O182" si="131">COUNTIF(I150:I165,"&gt;0")+I167+I169+I171+I173+I175+I177-0.2+I181</f>
        <v>6.8</v>
      </c>
      <c r="J182" s="228">
        <f t="shared" si="131"/>
        <v>7.8</v>
      </c>
      <c r="K182" s="228">
        <f t="shared" si="131"/>
        <v>8.8000000000000007</v>
      </c>
      <c r="L182" s="230">
        <f t="shared" si="106"/>
        <v>23.4</v>
      </c>
      <c r="M182" s="228">
        <f t="shared" si="131"/>
        <v>10.8</v>
      </c>
      <c r="N182" s="228">
        <f t="shared" si="131"/>
        <v>9.8000000000000007</v>
      </c>
      <c r="O182" s="228">
        <f t="shared" si="131"/>
        <v>10.8</v>
      </c>
      <c r="Q182" s="195">
        <v>18.8</v>
      </c>
      <c r="R182" s="195">
        <v>18.8</v>
      </c>
      <c r="V182" s="304">
        <v>23.8</v>
      </c>
      <c r="W182" s="304">
        <v>23.8</v>
      </c>
      <c r="X182" s="304">
        <v>23.8</v>
      </c>
    </row>
    <row r="183" spans="2:25" collapsed="1">
      <c r="E183" s="230"/>
      <c r="G183" s="195" t="s">
        <v>332</v>
      </c>
      <c r="I183" s="230">
        <f t="shared" ref="I183:Q183" si="132">SUBTOTAL(9,I149:I165)+I166+I168+I170+I172+I174+I176+I178+I180</f>
        <v>152380.30303030301</v>
      </c>
      <c r="J183" s="230">
        <f t="shared" si="132"/>
        <v>154448.48484848483</v>
      </c>
      <c r="K183" s="305">
        <f>SUBTOTAL(9,K149:K165)+K166+K168+K170+K172+K174+K176+K178+K180</f>
        <v>192519.77272727274</v>
      </c>
      <c r="L183" s="230">
        <f t="shared" si="106"/>
        <v>499348.56060606055</v>
      </c>
      <c r="M183" s="230">
        <f t="shared" si="132"/>
        <v>190564.84848484848</v>
      </c>
      <c r="N183" s="230">
        <f t="shared" si="132"/>
        <v>205562.12121212122</v>
      </c>
      <c r="O183" s="230">
        <f t="shared" si="132"/>
        <v>252890.07575757575</v>
      </c>
      <c r="P183" s="230">
        <f t="shared" si="132"/>
        <v>649017.04545454541</v>
      </c>
      <c r="Q183" s="230">
        <f t="shared" si="132"/>
        <v>358689.39393939392</v>
      </c>
      <c r="R183" s="230">
        <f>SUBTOTAL(9,R149:R165)+R166+R168+R170+R172+R174+R176+R178+R180</f>
        <v>358689.39393939392</v>
      </c>
      <c r="S183" s="230">
        <f>SUBTOTAL(9,S149:S165)+S166+S168+S170+S172+S174+S176+S178+S180</f>
        <v>397390.98484848486</v>
      </c>
      <c r="T183" s="258">
        <f>SUBTOTAL(9,T149:T165)+T166+T168+T170+T172+T174+T176+T178+T180</f>
        <v>1114769.7727272727</v>
      </c>
      <c r="V183" s="230">
        <f>SUBTOTAL(9,V149:V165)+V166+V168+V170+V172+V174+V176+V178+V180</f>
        <v>442507.57575757575</v>
      </c>
      <c r="W183" s="230">
        <f>SUBTOTAL(9,W149:W165)+W166+W168+W170+W172+W174+W176+W178+W180</f>
        <v>442507.57575757575</v>
      </c>
      <c r="X183" s="230">
        <f>SUBTOTAL(9,X149:X165)+X166+X168+X170+X172+X174+X176+X178+X180</f>
        <v>549390.98484848486</v>
      </c>
      <c r="Y183" s="321">
        <f>SUBTOTAL(9,Y149:Y165)+Y166+Y168+Y170+Y172+Y174+Y176+Y178+Y180</f>
        <v>1434406.1363636365</v>
      </c>
    </row>
    <row r="184" spans="2:25">
      <c r="B184" s="233" t="s">
        <v>333</v>
      </c>
      <c r="E184" s="230"/>
      <c r="I184" s="230"/>
      <c r="J184" s="230"/>
      <c r="K184" s="230"/>
      <c r="L184" s="230">
        <f t="shared" si="106"/>
        <v>0</v>
      </c>
      <c r="M184" s="230"/>
      <c r="N184" s="230"/>
      <c r="O184" s="230"/>
      <c r="Q184" s="212"/>
      <c r="R184" s="212"/>
      <c r="T184" s="212"/>
      <c r="V184" s="305"/>
      <c r="W184" s="305"/>
      <c r="X184" s="305"/>
    </row>
    <row r="185" spans="2:25" hidden="1" outlineLevel="1">
      <c r="B185" s="195" t="s">
        <v>181</v>
      </c>
      <c r="C185" s="195" t="s">
        <v>182</v>
      </c>
      <c r="D185" s="195"/>
      <c r="E185" s="230">
        <v>150</v>
      </c>
      <c r="F185" s="231"/>
      <c r="I185" s="212">
        <f t="shared" ref="I185:O185" si="133">$E$185*I182</f>
        <v>1020</v>
      </c>
      <c r="J185" s="212">
        <f t="shared" si="133"/>
        <v>1170</v>
      </c>
      <c r="K185" s="212">
        <f t="shared" si="133"/>
        <v>1320</v>
      </c>
      <c r="L185" s="230">
        <f t="shared" si="106"/>
        <v>3510</v>
      </c>
      <c r="M185" s="212">
        <f t="shared" si="133"/>
        <v>1620</v>
      </c>
      <c r="N185" s="212">
        <f t="shared" si="133"/>
        <v>1470</v>
      </c>
      <c r="O185" s="212">
        <f t="shared" si="133"/>
        <v>1620</v>
      </c>
      <c r="P185" s="212">
        <f t="shared" ref="P185:P194" si="134">SUM(M185:O185)</f>
        <v>4710</v>
      </c>
      <c r="Q185" s="212">
        <v>2820</v>
      </c>
      <c r="R185" s="212">
        <v>2820</v>
      </c>
      <c r="S185" s="278">
        <v>2970</v>
      </c>
      <c r="T185" s="212">
        <f t="shared" ref="T185:T187" si="135">SUM(Q185:S185)</f>
        <v>8610</v>
      </c>
      <c r="U185" s="255">
        <v>5416</v>
      </c>
      <c r="V185" s="300">
        <v>3570</v>
      </c>
      <c r="W185" s="300">
        <v>3570</v>
      </c>
      <c r="X185" s="300">
        <v>3570</v>
      </c>
      <c r="Y185" s="278">
        <f t="shared" ref="Y185:Y187" si="136">SUM(V185:X185)</f>
        <v>10710</v>
      </c>
    </row>
    <row r="186" spans="2:25" hidden="1" outlineLevel="1">
      <c r="B186" s="195" t="s">
        <v>184</v>
      </c>
      <c r="D186" s="195"/>
      <c r="E186" s="230">
        <v>500</v>
      </c>
      <c r="F186" s="231"/>
      <c r="I186" s="212">
        <f t="shared" ref="I186:O186" si="137">I182*$E186</f>
        <v>3400</v>
      </c>
      <c r="J186" s="212">
        <f t="shared" si="137"/>
        <v>3900</v>
      </c>
      <c r="K186" s="212">
        <f t="shared" si="137"/>
        <v>4400</v>
      </c>
      <c r="L186" s="230">
        <f t="shared" si="106"/>
        <v>11700</v>
      </c>
      <c r="M186" s="212">
        <f t="shared" si="137"/>
        <v>5400</v>
      </c>
      <c r="N186" s="212">
        <f t="shared" si="137"/>
        <v>4900</v>
      </c>
      <c r="O186" s="212">
        <f t="shared" si="137"/>
        <v>5400</v>
      </c>
      <c r="P186" s="212">
        <f t="shared" si="134"/>
        <v>15700</v>
      </c>
      <c r="Q186" s="212">
        <v>9400</v>
      </c>
      <c r="R186" s="212">
        <v>9400</v>
      </c>
      <c r="S186" s="278">
        <v>9900</v>
      </c>
      <c r="T186" s="212">
        <f t="shared" si="135"/>
        <v>28700</v>
      </c>
      <c r="U186" s="255">
        <v>5416</v>
      </c>
      <c r="V186" s="300">
        <v>11900</v>
      </c>
      <c r="W186" s="300">
        <v>11900</v>
      </c>
      <c r="X186" s="300">
        <v>11900</v>
      </c>
      <c r="Y186" s="278">
        <f t="shared" si="136"/>
        <v>35700</v>
      </c>
    </row>
    <row r="187" spans="2:25" hidden="1" outlineLevel="1">
      <c r="B187" s="195" t="s">
        <v>185</v>
      </c>
      <c r="C187" s="195" t="s">
        <v>334</v>
      </c>
      <c r="E187" s="230">
        <f>E140</f>
        <v>150</v>
      </c>
      <c r="F187" s="231"/>
      <c r="I187" s="212">
        <f t="shared" ref="I187:O187" si="138">I182*$E187</f>
        <v>1020</v>
      </c>
      <c r="J187" s="212">
        <f t="shared" si="138"/>
        <v>1170</v>
      </c>
      <c r="K187" s="212">
        <f t="shared" si="138"/>
        <v>1320</v>
      </c>
      <c r="L187" s="230">
        <f t="shared" si="106"/>
        <v>3510</v>
      </c>
      <c r="M187" s="212">
        <f t="shared" si="138"/>
        <v>1620</v>
      </c>
      <c r="N187" s="212">
        <f t="shared" si="138"/>
        <v>1470</v>
      </c>
      <c r="O187" s="212">
        <f t="shared" si="138"/>
        <v>1620</v>
      </c>
      <c r="P187" s="212">
        <f t="shared" si="134"/>
        <v>4710</v>
      </c>
      <c r="Q187" s="212">
        <v>2820</v>
      </c>
      <c r="R187" s="212">
        <v>2820</v>
      </c>
      <c r="S187" s="278">
        <v>2970</v>
      </c>
      <c r="T187" s="212">
        <f t="shared" si="135"/>
        <v>8610</v>
      </c>
      <c r="U187" s="255">
        <v>5416</v>
      </c>
      <c r="V187" s="300">
        <v>3570</v>
      </c>
      <c r="W187" s="300">
        <v>3570</v>
      </c>
      <c r="X187" s="300">
        <v>3570</v>
      </c>
      <c r="Y187" s="278">
        <f t="shared" si="136"/>
        <v>10710</v>
      </c>
    </row>
    <row r="188" spans="2:25" hidden="1" outlineLevel="1">
      <c r="B188" s="227" t="s">
        <v>175</v>
      </c>
      <c r="C188" s="227" t="s">
        <v>176</v>
      </c>
      <c r="D188" s="227" t="s">
        <v>177</v>
      </c>
      <c r="I188" s="228"/>
      <c r="J188" s="228"/>
      <c r="K188" s="228"/>
      <c r="L188" s="230">
        <f t="shared" si="106"/>
        <v>0</v>
      </c>
      <c r="M188" s="228"/>
      <c r="N188" s="228"/>
      <c r="O188" s="228"/>
      <c r="P188" s="212">
        <f t="shared" si="134"/>
        <v>0</v>
      </c>
      <c r="Q188" s="212"/>
      <c r="R188" s="212"/>
      <c r="T188" s="212"/>
      <c r="V188" s="304"/>
      <c r="W188" s="304"/>
      <c r="X188" s="304"/>
      <c r="Y188" s="278"/>
    </row>
    <row r="189" spans="2:25" hidden="1" outlineLevel="1">
      <c r="B189" s="195" t="s">
        <v>294</v>
      </c>
      <c r="E189" s="230">
        <v>0</v>
      </c>
      <c r="F189" s="231"/>
      <c r="I189" s="230">
        <v>3333</v>
      </c>
      <c r="J189" s="230">
        <f>I189</f>
        <v>3333</v>
      </c>
      <c r="K189" s="230">
        <f>J189+1</f>
        <v>3334</v>
      </c>
      <c r="L189" s="230">
        <f t="shared" si="106"/>
        <v>10000</v>
      </c>
      <c r="M189" s="230">
        <v>3333</v>
      </c>
      <c r="N189" s="230">
        <v>3333</v>
      </c>
      <c r="O189" s="230">
        <v>3334</v>
      </c>
      <c r="P189" s="212">
        <f t="shared" si="134"/>
        <v>10000</v>
      </c>
      <c r="Q189" s="212">
        <v>5000</v>
      </c>
      <c r="R189" s="212">
        <v>5000</v>
      </c>
      <c r="S189" s="278">
        <v>5000</v>
      </c>
      <c r="T189" s="212">
        <f t="shared" ref="T189:T193" si="139">SUM(Q189:S189)</f>
        <v>15000</v>
      </c>
      <c r="U189" s="255">
        <v>5416</v>
      </c>
      <c r="V189" s="305">
        <v>5000</v>
      </c>
      <c r="W189" s="305">
        <v>5000</v>
      </c>
      <c r="X189" s="305">
        <v>5000</v>
      </c>
      <c r="Y189" s="278">
        <f t="shared" ref="Y189:Y193" si="140">SUM(V189:X189)</f>
        <v>15000</v>
      </c>
    </row>
    <row r="190" spans="2:25" hidden="1" outlineLevel="1">
      <c r="B190" s="195" t="s">
        <v>335</v>
      </c>
      <c r="C190" s="195" t="s">
        <v>336</v>
      </c>
      <c r="E190" s="230"/>
      <c r="F190" s="231"/>
      <c r="I190" s="230">
        <f>35000/3</f>
        <v>11666.666666666666</v>
      </c>
      <c r="J190" s="230">
        <v>11667</v>
      </c>
      <c r="K190" s="230">
        <v>11666</v>
      </c>
      <c r="L190" s="230">
        <f t="shared" si="106"/>
        <v>34999.666666666664</v>
      </c>
      <c r="M190" s="230">
        <f>35000/3</f>
        <v>11666.666666666666</v>
      </c>
      <c r="N190" s="230">
        <v>11667</v>
      </c>
      <c r="O190" s="230">
        <v>11666</v>
      </c>
      <c r="P190" s="212">
        <f>SUM(M190:O190)</f>
        <v>34999.666666666664</v>
      </c>
      <c r="Q190" s="212">
        <v>16667</v>
      </c>
      <c r="R190" s="212">
        <v>16667</v>
      </c>
      <c r="S190" s="278">
        <v>16666</v>
      </c>
      <c r="T190" s="212">
        <f t="shared" si="139"/>
        <v>50000</v>
      </c>
      <c r="U190" s="255">
        <v>5410</v>
      </c>
      <c r="V190" s="305">
        <v>16667</v>
      </c>
      <c r="W190" s="305">
        <v>16667</v>
      </c>
      <c r="X190" s="305">
        <v>16666</v>
      </c>
      <c r="Y190" s="321">
        <f t="shared" si="140"/>
        <v>50000</v>
      </c>
    </row>
    <row r="191" spans="2:25" hidden="1" outlineLevel="1">
      <c r="B191" s="195" t="s">
        <v>337</v>
      </c>
      <c r="E191" s="230">
        <v>150000</v>
      </c>
      <c r="F191" s="230"/>
      <c r="G191" s="195" t="s">
        <v>338</v>
      </c>
      <c r="I191" s="230"/>
      <c r="J191" s="230"/>
      <c r="K191" s="230"/>
      <c r="L191" s="230">
        <f t="shared" si="106"/>
        <v>0</v>
      </c>
      <c r="M191" s="230"/>
      <c r="N191" s="230"/>
      <c r="O191" s="230"/>
      <c r="P191" s="212">
        <f t="shared" si="134"/>
        <v>0</v>
      </c>
      <c r="Q191" s="212">
        <v>3333</v>
      </c>
      <c r="R191" s="212">
        <v>3333</v>
      </c>
      <c r="S191" s="278">
        <v>3334</v>
      </c>
      <c r="T191" s="257">
        <f t="shared" si="139"/>
        <v>10000</v>
      </c>
      <c r="U191" s="195">
        <v>5417</v>
      </c>
      <c r="V191" s="305">
        <v>3333</v>
      </c>
      <c r="W191" s="305">
        <v>3333</v>
      </c>
      <c r="X191" s="305">
        <v>3334</v>
      </c>
      <c r="Y191" s="321">
        <f t="shared" si="140"/>
        <v>10000</v>
      </c>
    </row>
    <row r="192" spans="2:25" hidden="1" outlineLevel="1">
      <c r="B192" s="195" t="s">
        <v>339</v>
      </c>
      <c r="E192" s="230"/>
      <c r="F192" s="230"/>
      <c r="I192" s="230"/>
      <c r="J192" s="230"/>
      <c r="K192" s="230"/>
      <c r="L192" s="230">
        <f t="shared" si="106"/>
        <v>0</v>
      </c>
      <c r="M192" s="230"/>
      <c r="N192" s="230"/>
      <c r="O192" s="230">
        <f>3333</f>
        <v>3333</v>
      </c>
      <c r="P192" s="212">
        <f t="shared" si="134"/>
        <v>3333</v>
      </c>
      <c r="Q192" s="212">
        <v>3333</v>
      </c>
      <c r="R192" s="212">
        <v>3333</v>
      </c>
      <c r="S192" s="278">
        <v>3334</v>
      </c>
      <c r="T192" s="212">
        <f t="shared" si="139"/>
        <v>10000</v>
      </c>
      <c r="U192" s="255">
        <v>5410</v>
      </c>
      <c r="V192" s="305">
        <v>3333</v>
      </c>
      <c r="W192" s="305">
        <v>3333</v>
      </c>
      <c r="X192" s="305">
        <v>3334</v>
      </c>
      <c r="Y192" s="321">
        <f t="shared" si="140"/>
        <v>10000</v>
      </c>
    </row>
    <row r="193" spans="2:25" hidden="1" outlineLevel="1">
      <c r="B193" s="195" t="s">
        <v>340</v>
      </c>
      <c r="E193" s="230"/>
      <c r="F193" s="230"/>
      <c r="I193" s="230">
        <v>5000</v>
      </c>
      <c r="J193" s="230">
        <v>5000</v>
      </c>
      <c r="K193" s="230">
        <v>5000</v>
      </c>
      <c r="L193" s="230">
        <f t="shared" si="106"/>
        <v>15000</v>
      </c>
      <c r="M193" s="230">
        <v>5000</v>
      </c>
      <c r="N193" s="230">
        <v>5000</v>
      </c>
      <c r="O193" s="230">
        <v>5000</v>
      </c>
      <c r="P193" s="212">
        <f t="shared" si="134"/>
        <v>15000</v>
      </c>
      <c r="Q193" s="230">
        <v>5000</v>
      </c>
      <c r="R193" s="230">
        <v>5000</v>
      </c>
      <c r="S193" s="278">
        <v>5000</v>
      </c>
      <c r="T193" s="212">
        <f t="shared" si="139"/>
        <v>15000</v>
      </c>
      <c r="U193" s="255">
        <v>5416</v>
      </c>
      <c r="V193" s="305">
        <v>5000</v>
      </c>
      <c r="W193" s="305">
        <v>5000</v>
      </c>
      <c r="X193" s="305">
        <v>5000</v>
      </c>
      <c r="Y193" s="278">
        <f t="shared" si="140"/>
        <v>15000</v>
      </c>
    </row>
    <row r="194" spans="2:25" collapsed="1">
      <c r="B194" s="227" t="s">
        <v>175</v>
      </c>
      <c r="C194" s="227" t="s">
        <v>176</v>
      </c>
      <c r="D194" s="227" t="s">
        <v>177</v>
      </c>
      <c r="I194" s="228"/>
      <c r="J194" s="228"/>
      <c r="K194" s="228"/>
      <c r="L194" s="230">
        <f t="shared" si="106"/>
        <v>0</v>
      </c>
      <c r="M194" s="228"/>
      <c r="N194" s="228"/>
      <c r="O194" s="228"/>
      <c r="P194" s="212">
        <f t="shared" si="134"/>
        <v>0</v>
      </c>
      <c r="Q194" s="232"/>
      <c r="R194" s="232"/>
      <c r="S194" s="280"/>
      <c r="T194" s="232"/>
      <c r="V194" s="304"/>
      <c r="W194" s="304"/>
      <c r="X194" s="304"/>
      <c r="Y194" s="278"/>
    </row>
    <row r="195" spans="2:25" collapsed="1">
      <c r="E195" s="230"/>
      <c r="G195" s="195" t="s">
        <v>341</v>
      </c>
      <c r="I195" s="230">
        <f t="shared" ref="I195:T195" si="141">SUBTOTAL(9,I185:I193)</f>
        <v>25439.666666666664</v>
      </c>
      <c r="J195" s="230">
        <f t="shared" si="141"/>
        <v>26240</v>
      </c>
      <c r="K195" s="230">
        <f t="shared" si="141"/>
        <v>27040</v>
      </c>
      <c r="L195" s="230">
        <f t="shared" si="141"/>
        <v>78719.666666666657</v>
      </c>
      <c r="M195" s="230">
        <f t="shared" si="141"/>
        <v>28639.666666666664</v>
      </c>
      <c r="N195" s="230">
        <f t="shared" si="141"/>
        <v>27840</v>
      </c>
      <c r="O195" s="230">
        <f t="shared" si="141"/>
        <v>31973</v>
      </c>
      <c r="P195" s="230">
        <f t="shared" si="141"/>
        <v>88452.666666666657</v>
      </c>
      <c r="Q195" s="230">
        <f t="shared" si="141"/>
        <v>48373</v>
      </c>
      <c r="R195" s="230">
        <f t="shared" si="141"/>
        <v>48373</v>
      </c>
      <c r="S195" s="230">
        <f t="shared" si="141"/>
        <v>49174</v>
      </c>
      <c r="T195" s="230">
        <f t="shared" si="141"/>
        <v>145920</v>
      </c>
      <c r="V195" s="305">
        <v>52373</v>
      </c>
      <c r="W195" s="305">
        <v>52373</v>
      </c>
      <c r="X195" s="305">
        <v>52374</v>
      </c>
      <c r="Y195" s="278">
        <f t="shared" ref="Y195" si="142">SUBTOTAL(9,Y185:Y193)</f>
        <v>157120</v>
      </c>
    </row>
    <row r="196" spans="2:25">
      <c r="D196" s="200"/>
      <c r="E196" s="200"/>
      <c r="F196" s="200"/>
      <c r="G196" s="200"/>
      <c r="I196" s="232">
        <f t="shared" ref="I196:T196" si="143">I195+I183</f>
        <v>177819.96969696967</v>
      </c>
      <c r="J196" s="232">
        <f t="shared" si="143"/>
        <v>180688.48484848483</v>
      </c>
      <c r="K196" s="232">
        <f t="shared" si="143"/>
        <v>219559.77272727274</v>
      </c>
      <c r="L196" s="232">
        <f t="shared" si="143"/>
        <v>578068.22727272718</v>
      </c>
      <c r="M196" s="232">
        <f t="shared" si="143"/>
        <v>219204.51515151514</v>
      </c>
      <c r="N196" s="232">
        <f t="shared" si="143"/>
        <v>233402.12121212122</v>
      </c>
      <c r="O196" s="232">
        <f t="shared" si="143"/>
        <v>284863.07575757575</v>
      </c>
      <c r="P196" s="232">
        <f t="shared" si="143"/>
        <v>737469.71212121204</v>
      </c>
      <c r="Q196" s="232">
        <f t="shared" si="143"/>
        <v>407062.39393939392</v>
      </c>
      <c r="R196" s="232">
        <f t="shared" si="143"/>
        <v>407062.39393939392</v>
      </c>
      <c r="S196" s="232">
        <f t="shared" si="143"/>
        <v>446564.98484848486</v>
      </c>
      <c r="T196" s="232">
        <f t="shared" si="143"/>
        <v>1260689.7727272727</v>
      </c>
      <c r="V196" s="308">
        <v>494880.57575757575</v>
      </c>
      <c r="W196" s="308">
        <v>494880.57575757575</v>
      </c>
      <c r="X196" s="308">
        <v>601764.98484848486</v>
      </c>
      <c r="Y196" s="280">
        <f t="shared" ref="Y196" si="144">Y195+Y183</f>
        <v>1591526.1363636365</v>
      </c>
    </row>
    <row r="197" spans="2:25">
      <c r="L197" s="230">
        <f t="shared" si="106"/>
        <v>0</v>
      </c>
      <c r="Q197" s="212"/>
      <c r="R197" s="212"/>
      <c r="T197" s="212"/>
      <c r="V197" s="297"/>
      <c r="W197" s="297"/>
      <c r="X197" s="297"/>
    </row>
    <row r="198" spans="2:25">
      <c r="L198" s="230">
        <f t="shared" si="106"/>
        <v>0</v>
      </c>
      <c r="V198" s="297"/>
      <c r="W198" s="297"/>
      <c r="X198" s="297"/>
    </row>
    <row r="199" spans="2:25">
      <c r="I199" s="212">
        <f>I58+I77+I103+I145+I196</f>
        <v>464746.69999999995</v>
      </c>
      <c r="J199" s="212">
        <f t="shared" ref="J199:Q199" si="145">J58+J77+J103+J145+J196</f>
        <v>478478.85151515144</v>
      </c>
      <c r="K199" s="212">
        <f t="shared" si="145"/>
        <v>595648.73030303034</v>
      </c>
      <c r="L199" s="212">
        <f t="shared" si="145"/>
        <v>1538874.2818181817</v>
      </c>
      <c r="M199" s="212">
        <f t="shared" si="145"/>
        <v>736703.63939393929</v>
      </c>
      <c r="N199" s="212">
        <f t="shared" si="145"/>
        <v>744897.78504398826</v>
      </c>
      <c r="O199" s="212">
        <f t="shared" si="145"/>
        <v>854240.57878787862</v>
      </c>
      <c r="P199" s="212">
        <f t="shared" si="145"/>
        <v>2335842.0032258062</v>
      </c>
      <c r="Q199" s="212">
        <f t="shared" si="145"/>
        <v>1270909.9121212121</v>
      </c>
      <c r="R199" s="212">
        <f>R58+R77+R103+R145+R196</f>
        <v>1174089.8212121213</v>
      </c>
      <c r="S199" s="212">
        <f>S58+S77+S103+S145+S196</f>
        <v>1458779.9121212121</v>
      </c>
      <c r="T199" s="212">
        <f>T58+T77+T103+T145+T196</f>
        <v>3903779.6454545455</v>
      </c>
      <c r="V199" s="300">
        <v>1399365.0030303029</v>
      </c>
      <c r="W199" s="300">
        <v>1325365.0030303029</v>
      </c>
      <c r="X199" s="300">
        <v>2235778.9727272727</v>
      </c>
      <c r="Y199" s="278">
        <f>Y58+Y77+Y103+Y145+Y196</f>
        <v>4960508.9787878795</v>
      </c>
    </row>
    <row r="200" spans="2:25">
      <c r="I200" s="212"/>
      <c r="J200" s="212"/>
      <c r="K200" s="212"/>
      <c r="L200" s="212"/>
      <c r="M200" s="212"/>
      <c r="N200" s="212"/>
      <c r="O200" s="212"/>
    </row>
    <row r="201" spans="2:25">
      <c r="I201" s="212"/>
      <c r="J201" s="212"/>
      <c r="K201" s="212"/>
      <c r="L201" s="212">
        <f>L199+PL!G45</f>
        <v>435000</v>
      </c>
      <c r="M201" s="212"/>
      <c r="N201" s="212"/>
      <c r="O201" s="212"/>
    </row>
  </sheetData>
  <pageMargins left="0.7" right="0.7" top="0.75" bottom="0.75" header="0.3" footer="0.3"/>
  <pageSetup paperSize="9" scale="55" fitToHeight="3" orientation="portrait" horizontalDpi="300" verticalDpi="300" r:id="rId1"/>
  <rowBreaks count="1" manualBreakCount="1">
    <brk id="107" min="1" max="8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6">
    <pageSetUpPr fitToPage="1"/>
  </sheetPr>
  <dimension ref="A1:BB40"/>
  <sheetViews>
    <sheetView showGridLines="0" zoomScale="122" zoomScaleNormal="122" workbookViewId="0">
      <pane xSplit="3" ySplit="2" topLeftCell="T3" activePane="bottomRight" state="frozen"/>
      <selection pane="topRight" activeCell="H29" sqref="H29"/>
      <selection pane="bottomLeft" activeCell="H29" sqref="H29"/>
      <selection pane="bottomRight" activeCell="T5" sqref="T5:T29"/>
    </sheetView>
  </sheetViews>
  <sheetFormatPr baseColWidth="10" defaultColWidth="8.85546875" defaultRowHeight="14" outlineLevelCol="1"/>
  <cols>
    <col min="1" max="1" width="4.140625" style="46" bestFit="1" customWidth="1"/>
    <col min="2" max="2" width="31.42578125" style="4" customWidth="1"/>
    <col min="3" max="3" width="1.5703125" style="4" customWidth="1"/>
    <col min="4" max="4" width="11.42578125" style="4" customWidth="1"/>
    <col min="5" max="5" width="1.140625" style="4" customWidth="1"/>
    <col min="6" max="6" width="10" style="4" customWidth="1"/>
    <col min="7" max="7" width="1.140625" style="4" customWidth="1"/>
    <col min="8" max="8" width="10.140625" style="5" bestFit="1" customWidth="1"/>
    <col min="9" max="9" width="1.140625" style="4" customWidth="1"/>
    <col min="10" max="10" width="10.140625" style="5" hidden="1" customWidth="1" outlineLevel="1"/>
    <col min="11" max="11" width="1.140625" style="4" hidden="1" customWidth="1" outlineLevel="1"/>
    <col min="12" max="12" width="10.140625" style="4" hidden="1" customWidth="1" outlineLevel="1"/>
    <col min="13" max="13" width="1.140625" style="4" customWidth="1" collapsed="1"/>
    <col min="14" max="14" width="11.85546875" style="4" bestFit="1" customWidth="1"/>
    <col min="15" max="15" width="1.140625" style="4" customWidth="1"/>
    <col min="16" max="16" width="11.85546875" style="4" customWidth="1" outlineLevel="1"/>
    <col min="17" max="17" width="1.140625" style="4" customWidth="1" outlineLevel="1"/>
    <col min="18" max="18" width="11.85546875" style="4" customWidth="1" outlineLevel="1"/>
    <col min="19" max="19" width="1.140625" style="4" customWidth="1" outlineLevel="1"/>
    <col min="20" max="20" width="11.85546875" style="4" customWidth="1" outlineLevel="1"/>
    <col min="21" max="21" width="2" style="4" customWidth="1"/>
    <col min="22" max="23" width="12.28515625" style="4" customWidth="1"/>
    <col min="24" max="24" width="6.7109375" style="4" bestFit="1" customWidth="1"/>
    <col min="25" max="26" width="9.140625" style="4" hidden="1" customWidth="1"/>
    <col min="27" max="27" width="0" style="4" hidden="1" customWidth="1"/>
    <col min="28" max="28" width="9.140625" style="4" hidden="1" customWidth="1"/>
    <col min="29" max="30" width="0" style="4" hidden="1" customWidth="1"/>
    <col min="31" max="32" width="9.85546875" style="4" hidden="1" customWidth="1"/>
    <col min="33" max="33" width="0" style="4" hidden="1" customWidth="1"/>
    <col min="34" max="34" width="10.85546875" style="4" hidden="1" customWidth="1"/>
    <col min="35" max="46" width="0" style="4" hidden="1" customWidth="1"/>
    <col min="47" max="47" width="11.85546875" style="4" bestFit="1" customWidth="1"/>
    <col min="48" max="48" width="6.42578125" style="4" customWidth="1"/>
    <col min="49" max="49" width="17.140625" style="4" customWidth="1"/>
    <col min="50" max="50" width="11.42578125" style="4" bestFit="1" customWidth="1"/>
    <col min="51" max="16384" width="8.85546875" style="4"/>
  </cols>
  <sheetData>
    <row r="1" spans="1:54" s="6" customFormat="1" ht="18" thickBot="1">
      <c r="A1" s="45"/>
      <c r="B1" s="186" t="s">
        <v>342</v>
      </c>
      <c r="C1" s="186"/>
      <c r="E1" s="186"/>
      <c r="F1" s="186"/>
      <c r="G1" s="186"/>
      <c r="H1" s="270"/>
      <c r="I1" s="186"/>
      <c r="J1" s="270"/>
      <c r="K1" s="186"/>
      <c r="L1" s="186"/>
      <c r="M1" s="186"/>
      <c r="N1" s="186"/>
      <c r="O1" s="186"/>
      <c r="P1" s="186"/>
      <c r="Q1" s="186"/>
      <c r="R1" s="186"/>
      <c r="S1" s="186"/>
      <c r="T1" s="186"/>
      <c r="U1" s="186"/>
      <c r="V1" s="186"/>
      <c r="W1" s="186"/>
      <c r="X1" s="186"/>
      <c r="AH1" s="6" t="s">
        <v>343</v>
      </c>
    </row>
    <row r="2" spans="1:54" ht="32" thickBot="1">
      <c r="B2" s="186" t="s">
        <v>344</v>
      </c>
      <c r="C2" s="72"/>
      <c r="D2" s="343">
        <v>44166</v>
      </c>
      <c r="E2" s="275"/>
      <c r="F2" s="343">
        <v>44286</v>
      </c>
      <c r="G2" s="276"/>
      <c r="H2" s="343">
        <v>44377</v>
      </c>
      <c r="I2" s="276"/>
      <c r="J2" s="343">
        <v>44408</v>
      </c>
      <c r="K2" s="276"/>
      <c r="L2" s="343">
        <v>44439</v>
      </c>
      <c r="M2" s="276"/>
      <c r="N2" s="343">
        <v>44469</v>
      </c>
      <c r="O2" s="276"/>
      <c r="P2" s="343">
        <v>44500</v>
      </c>
      <c r="Q2" s="276"/>
      <c r="R2" s="343">
        <v>44530</v>
      </c>
      <c r="S2" s="276"/>
      <c r="T2" s="343">
        <v>44561</v>
      </c>
      <c r="AH2" s="368" t="s">
        <v>345</v>
      </c>
    </row>
    <row r="3" spans="1:54">
      <c r="D3" s="17" t="s">
        <v>15</v>
      </c>
      <c r="F3" s="17" t="s">
        <v>15</v>
      </c>
      <c r="H3" s="17" t="s">
        <v>15</v>
      </c>
      <c r="J3" s="17" t="s">
        <v>15</v>
      </c>
      <c r="L3" s="17" t="s">
        <v>15</v>
      </c>
      <c r="N3" s="17" t="s">
        <v>15</v>
      </c>
      <c r="P3" s="17" t="s">
        <v>15</v>
      </c>
      <c r="R3" s="17" t="s">
        <v>15</v>
      </c>
      <c r="T3" s="17" t="s">
        <v>15</v>
      </c>
      <c r="AD3" s="4" t="s">
        <v>346</v>
      </c>
      <c r="AH3" s="362" t="s">
        <v>15</v>
      </c>
    </row>
    <row r="4" spans="1:54" ht="15">
      <c r="B4" s="12" t="s">
        <v>347</v>
      </c>
      <c r="L4" s="13"/>
      <c r="N4" s="13"/>
      <c r="P4" s="13"/>
      <c r="R4" s="13"/>
      <c r="T4" s="13"/>
      <c r="AD4" s="297" t="s">
        <v>348</v>
      </c>
      <c r="AE4" s="430">
        <v>200000</v>
      </c>
      <c r="AF4" s="5">
        <f>+AE4/12</f>
        <v>16666.666666666668</v>
      </c>
      <c r="AH4" s="363"/>
      <c r="AZ4" s="471" t="s">
        <v>349</v>
      </c>
      <c r="BA4" s="18">
        <v>23407.52</v>
      </c>
      <c r="BB4" s="473" t="s">
        <v>350</v>
      </c>
    </row>
    <row r="5" spans="1:54" ht="16">
      <c r="A5" s="46">
        <v>11</v>
      </c>
      <c r="B5" s="4" t="s">
        <v>351</v>
      </c>
      <c r="D5" s="5">
        <v>3512559</v>
      </c>
      <c r="E5" s="122"/>
      <c r="F5" s="5">
        <v>2348478.96</v>
      </c>
      <c r="G5" s="122"/>
      <c r="H5" s="5">
        <v>20776272.390000001</v>
      </c>
      <c r="I5" s="122"/>
      <c r="J5" s="5">
        <v>25201966</v>
      </c>
      <c r="K5" s="122"/>
      <c r="L5" s="5">
        <v>24132936.399999999</v>
      </c>
      <c r="M5" s="122"/>
      <c r="N5" s="5">
        <v>23109419</v>
      </c>
      <c r="O5" s="122"/>
      <c r="P5" s="5">
        <v>21687740</v>
      </c>
      <c r="Q5" s="122"/>
      <c r="R5" s="5">
        <v>20219043</v>
      </c>
      <c r="S5" s="122"/>
      <c r="T5" s="5">
        <f>ROUND(SUMIF('HARKAVA '!$Z:$Z,BS!A5,'HARKAVA '!Y:Y),0)</f>
        <v>18893872</v>
      </c>
      <c r="U5" s="122"/>
      <c r="V5" s="5">
        <f>T5-R5</f>
        <v>-1325171</v>
      </c>
      <c r="W5" s="5"/>
      <c r="X5" s="122"/>
      <c r="Y5" s="40">
        <f>T5-P5</f>
        <v>-2793868</v>
      </c>
      <c r="Z5" s="40">
        <f>T5-H5</f>
        <v>-1882400.3900000006</v>
      </c>
      <c r="AB5" s="40"/>
      <c r="AD5" s="429" t="s">
        <v>352</v>
      </c>
      <c r="AE5" s="430">
        <v>200000</v>
      </c>
      <c r="AF5" s="5">
        <f>+AE5</f>
        <v>200000</v>
      </c>
      <c r="AH5" s="364">
        <v>20316014</v>
      </c>
      <c r="AZ5" s="471" t="s">
        <v>353</v>
      </c>
      <c r="BA5" s="18">
        <v>36515.74</v>
      </c>
      <c r="BB5" s="473" t="s">
        <v>350</v>
      </c>
    </row>
    <row r="6" spans="1:54" ht="16">
      <c r="A6" s="46">
        <v>13</v>
      </c>
      <c r="B6" s="4" t="s">
        <v>20</v>
      </c>
      <c r="D6" s="5">
        <v>54215</v>
      </c>
      <c r="F6" s="5">
        <v>52993.52</v>
      </c>
      <c r="H6" s="5">
        <v>53742.45</v>
      </c>
      <c r="J6" s="5">
        <v>54024</v>
      </c>
      <c r="L6" s="5">
        <v>377999.80999999994</v>
      </c>
      <c r="N6" s="5">
        <v>375176</v>
      </c>
      <c r="P6" s="5">
        <v>383233</v>
      </c>
      <c r="R6" s="5">
        <v>402110</v>
      </c>
      <c r="T6" s="5">
        <f>ROUND(SUMIF('HARKAVA '!$Z:$Z,BS!A6,'HARKAVA '!Y:Y),0)</f>
        <v>408108</v>
      </c>
      <c r="V6" s="5">
        <f>T6-R6</f>
        <v>5998</v>
      </c>
      <c r="W6" s="5"/>
      <c r="Y6" s="40">
        <f>T6-P6</f>
        <v>24875</v>
      </c>
      <c r="Z6" s="40">
        <f>T6-H6</f>
        <v>354365.55</v>
      </c>
      <c r="AB6" s="40"/>
      <c r="AC6" s="40"/>
      <c r="AD6" s="429" t="s">
        <v>354</v>
      </c>
      <c r="AE6" s="431">
        <v>120000</v>
      </c>
      <c r="AF6" s="5">
        <f>+AE6/12</f>
        <v>10000</v>
      </c>
      <c r="AH6" s="364">
        <v>375176</v>
      </c>
      <c r="AZ6" s="471" t="s">
        <v>355</v>
      </c>
      <c r="BA6" s="18">
        <v>26918.65</v>
      </c>
      <c r="BB6" s="473" t="s">
        <v>350</v>
      </c>
    </row>
    <row r="7" spans="1:54" ht="16">
      <c r="A7" s="46">
        <v>14</v>
      </c>
      <c r="B7" s="4" t="s">
        <v>356</v>
      </c>
      <c r="D7" s="5">
        <v>969856</v>
      </c>
      <c r="F7" s="5">
        <v>693731.96</v>
      </c>
      <c r="H7" s="5">
        <v>663746.06999999995</v>
      </c>
      <c r="J7" s="5">
        <v>836533</v>
      </c>
      <c r="L7" s="5">
        <v>906544.34</v>
      </c>
      <c r="N7" s="5">
        <v>831623</v>
      </c>
      <c r="P7" s="5">
        <v>756843</v>
      </c>
      <c r="R7" s="5">
        <v>483353</v>
      </c>
      <c r="T7" s="5">
        <f>ROUND(SUMIF('HARKAVA '!$Z:$Z,BS!A7,'HARKAVA '!Y:Y),0)</f>
        <v>745155</v>
      </c>
      <c r="U7" s="144"/>
      <c r="V7" s="5">
        <f>T7-R7</f>
        <v>261802</v>
      </c>
      <c r="W7" s="5"/>
      <c r="X7" s="144"/>
      <c r="Y7" s="40">
        <f>T7-P7</f>
        <v>-11688</v>
      </c>
      <c r="Z7" s="40">
        <f>T7-H7</f>
        <v>81408.930000000051</v>
      </c>
      <c r="AA7" s="2" t="s">
        <v>357</v>
      </c>
      <c r="AD7" s="429" t="s">
        <v>358</v>
      </c>
      <c r="AE7" s="431">
        <v>225000</v>
      </c>
      <c r="AF7" s="5">
        <f>+AE7/4</f>
        <v>56250</v>
      </c>
      <c r="AH7" s="365">
        <v>1075000</v>
      </c>
      <c r="AZ7" s="471" t="s">
        <v>359</v>
      </c>
      <c r="BA7" s="18">
        <v>44450</v>
      </c>
      <c r="BB7" s="473" t="s">
        <v>350</v>
      </c>
    </row>
    <row r="8" spans="1:54" ht="16">
      <c r="A8" s="46">
        <v>16</v>
      </c>
      <c r="B8" s="4" t="s">
        <v>360</v>
      </c>
      <c r="D8" s="106">
        <v>169203</v>
      </c>
      <c r="F8" s="106">
        <v>241731.46999999994</v>
      </c>
      <c r="H8" s="106">
        <v>330311.47999999981</v>
      </c>
      <c r="J8" s="106">
        <v>282949</v>
      </c>
      <c r="L8" s="106">
        <v>680044.84999999986</v>
      </c>
      <c r="N8" s="106">
        <v>747250</v>
      </c>
      <c r="P8" s="106">
        <v>877851</v>
      </c>
      <c r="R8" s="106">
        <v>1680347</v>
      </c>
      <c r="T8" s="106">
        <f>ROUND(SUMIF('HARKAVA '!$Z:$Z,BS!A8,'HARKAVA '!Y:Y),0)-1</f>
        <v>1760880</v>
      </c>
      <c r="V8" s="5">
        <f>T8-R8</f>
        <v>80533</v>
      </c>
      <c r="W8" s="5"/>
      <c r="Y8" s="388">
        <f>T8-P8</f>
        <v>883029</v>
      </c>
      <c r="Z8" s="40">
        <f>T8-H8</f>
        <v>1430568.5200000003</v>
      </c>
      <c r="AA8" s="2" t="s">
        <v>361</v>
      </c>
      <c r="AB8" s="40"/>
      <c r="AD8" s="429" t="s">
        <v>362</v>
      </c>
      <c r="AE8" s="431">
        <v>360000</v>
      </c>
      <c r="AF8" s="5">
        <f>+AE8/4</f>
        <v>90000</v>
      </c>
      <c r="AH8" s="364">
        <v>1000000</v>
      </c>
      <c r="AZ8" s="471" t="s">
        <v>363</v>
      </c>
      <c r="BA8" s="18">
        <v>39100</v>
      </c>
      <c r="BB8" s="473" t="s">
        <v>350</v>
      </c>
    </row>
    <row r="9" spans="1:54">
      <c r="B9" s="4" t="s">
        <v>364</v>
      </c>
      <c r="C9" s="12"/>
      <c r="D9" s="106">
        <f>SUM(D5:D8)</f>
        <v>4705833</v>
      </c>
      <c r="F9" s="106">
        <f>SUM(F5:F8)</f>
        <v>3336935.9099999997</v>
      </c>
      <c r="H9" s="106">
        <f>SUM(H5:H8)</f>
        <v>21824072.390000001</v>
      </c>
      <c r="J9" s="106">
        <f>SUM(J5:J8)</f>
        <v>26375472</v>
      </c>
      <c r="L9" s="106">
        <v>26097524.399999999</v>
      </c>
      <c r="N9" s="106">
        <v>25063468</v>
      </c>
      <c r="P9" s="106">
        <f>+SUM(P5:P8)</f>
        <v>23705667</v>
      </c>
      <c r="R9" s="106">
        <v>22784853</v>
      </c>
      <c r="T9" s="106">
        <f>SUM(T5:T8)</f>
        <v>21808015</v>
      </c>
      <c r="V9" s="5"/>
      <c r="W9" s="5"/>
      <c r="Y9" s="106">
        <f>SUM(Y6:Y8)</f>
        <v>896216</v>
      </c>
      <c r="Z9" s="9"/>
      <c r="AD9" s="4" t="s">
        <v>362</v>
      </c>
      <c r="AE9" s="5">
        <v>120000</v>
      </c>
      <c r="AF9" s="5">
        <f>+AE9</f>
        <v>120000</v>
      </c>
      <c r="AH9" s="366">
        <v>22766190</v>
      </c>
      <c r="AU9" s="475" t="s">
        <v>25</v>
      </c>
      <c r="AV9" s="480">
        <v>-57</v>
      </c>
      <c r="AW9" s="473" t="s">
        <v>365</v>
      </c>
      <c r="AZ9" s="471" t="s">
        <v>352</v>
      </c>
      <c r="BA9" s="18">
        <v>139500</v>
      </c>
      <c r="BB9" s="473" t="s">
        <v>350</v>
      </c>
    </row>
    <row r="10" spans="1:54">
      <c r="B10" s="12"/>
      <c r="C10" s="12"/>
      <c r="D10" s="15"/>
      <c r="L10" s="15"/>
      <c r="N10" s="15"/>
      <c r="P10" s="15"/>
      <c r="R10" s="15"/>
      <c r="T10" s="15"/>
      <c r="V10" s="5"/>
      <c r="W10" s="5"/>
      <c r="AD10" s="4" t="s">
        <v>366</v>
      </c>
      <c r="AE10" s="5">
        <v>139500</v>
      </c>
      <c r="AF10" s="5">
        <f>+AE10</f>
        <v>139500</v>
      </c>
      <c r="AH10" s="364"/>
      <c r="AU10" s="475" t="s">
        <v>367</v>
      </c>
      <c r="AV10" s="479">
        <v>100</v>
      </c>
      <c r="AW10" s="473" t="s">
        <v>368</v>
      </c>
      <c r="AZ10" s="471" t="s">
        <v>369</v>
      </c>
      <c r="BA10" s="18">
        <v>120000</v>
      </c>
      <c r="BB10" s="473" t="s">
        <v>350</v>
      </c>
    </row>
    <row r="11" spans="1:54">
      <c r="C11" s="12"/>
      <c r="D11" s="5"/>
      <c r="L11" s="5"/>
      <c r="N11" s="5"/>
      <c r="P11" s="5"/>
      <c r="R11" s="5"/>
      <c r="T11" s="5"/>
      <c r="V11" s="5"/>
      <c r="W11" s="5"/>
      <c r="AD11" s="4" t="s">
        <v>370</v>
      </c>
      <c r="AE11" s="432">
        <f>+SUM(AE4:AE10)</f>
        <v>1364500</v>
      </c>
      <c r="AF11" s="433">
        <f>+SUM(AF4:AF10)</f>
        <v>632416.66666666663</v>
      </c>
      <c r="AH11" s="364"/>
      <c r="AU11" s="476" t="s">
        <v>30</v>
      </c>
      <c r="AV11" s="483">
        <f>AX19/1000</f>
        <v>15.293800374625484</v>
      </c>
      <c r="AW11" s="473" t="s">
        <v>371</v>
      </c>
      <c r="AZ11" s="471" t="s">
        <v>372</v>
      </c>
      <c r="BA11" s="18">
        <v>-120000</v>
      </c>
      <c r="BB11" s="473" t="s">
        <v>373</v>
      </c>
    </row>
    <row r="12" spans="1:54">
      <c r="A12" s="46">
        <v>31</v>
      </c>
      <c r="B12" s="4" t="s">
        <v>374</v>
      </c>
      <c r="C12" s="12"/>
      <c r="D12" s="9">
        <v>112251.68000000001</v>
      </c>
      <c r="F12" s="9">
        <v>138031</v>
      </c>
      <c r="H12" s="9">
        <v>175053.38000000003</v>
      </c>
      <c r="J12" s="9">
        <v>192701</v>
      </c>
      <c r="L12" s="9">
        <v>191982.97000000003</v>
      </c>
      <c r="N12" s="9">
        <v>193056</v>
      </c>
      <c r="P12" s="9">
        <v>709629</v>
      </c>
      <c r="R12" s="9">
        <v>1184212</v>
      </c>
      <c r="T12" s="9">
        <f>ROUND(SUMIF('HARKAVA '!$Z:$Z,BS!$A$12,'HARKAVA '!Y:Y),0)</f>
        <v>1391131</v>
      </c>
      <c r="V12" s="5">
        <f>T12-R12</f>
        <v>206919</v>
      </c>
      <c r="W12" s="5"/>
      <c r="Y12" s="40">
        <f>T12-P12</f>
        <v>681502</v>
      </c>
      <c r="Z12" s="40">
        <f>T12-H12</f>
        <v>1216077.6199999999</v>
      </c>
      <c r="AA12" s="2" t="s">
        <v>375</v>
      </c>
      <c r="AB12" s="40"/>
      <c r="AF12" s="5"/>
      <c r="AH12" s="364">
        <v>211056</v>
      </c>
      <c r="AU12" s="473"/>
      <c r="AV12" s="488">
        <f>SUM(AV9:AV11)</f>
        <v>58.293800374625484</v>
      </c>
      <c r="AW12" s="481"/>
      <c r="AX12" s="473"/>
      <c r="AZ12" s="2" t="s">
        <v>376</v>
      </c>
      <c r="BA12" s="18">
        <f>119038.28-101414</f>
        <v>17624.28</v>
      </c>
    </row>
    <row r="13" spans="1:54">
      <c r="C13" s="12"/>
      <c r="D13" s="9"/>
      <c r="L13" s="9"/>
      <c r="N13" s="9"/>
      <c r="P13" s="9"/>
      <c r="R13" s="9"/>
      <c r="T13" s="9"/>
      <c r="V13" s="5"/>
      <c r="W13" s="5"/>
      <c r="AD13" s="4" t="s">
        <v>377</v>
      </c>
      <c r="AF13" s="5">
        <f>+T7</f>
        <v>745155</v>
      </c>
      <c r="AH13" s="364"/>
      <c r="AU13" s="473"/>
      <c r="AZ13" s="471" t="s">
        <v>378</v>
      </c>
      <c r="BA13" s="472">
        <f>157709-223552</f>
        <v>-65843</v>
      </c>
    </row>
    <row r="14" spans="1:54">
      <c r="D14" s="5"/>
      <c r="L14" s="5"/>
      <c r="N14" s="5"/>
      <c r="P14" s="5"/>
      <c r="R14" s="5"/>
      <c r="T14" s="5"/>
      <c r="V14" s="5"/>
      <c r="W14" s="473" t="s">
        <v>379</v>
      </c>
      <c r="AD14" s="4" t="s">
        <v>380</v>
      </c>
      <c r="AF14" s="5">
        <v>-200000</v>
      </c>
      <c r="AH14" s="364"/>
      <c r="AU14" s="484">
        <v>25</v>
      </c>
      <c r="AW14" s="482" t="s">
        <v>381</v>
      </c>
      <c r="AX14" s="473">
        <v>3.11</v>
      </c>
      <c r="AZ14" s="471"/>
      <c r="BA14" s="489">
        <f>SUM(BA4:BA13)</f>
        <v>261673.19000000006</v>
      </c>
    </row>
    <row r="15" spans="1:54" ht="15" thickBot="1">
      <c r="B15" s="12" t="s">
        <v>382</v>
      </c>
      <c r="D15" s="14">
        <f>D9+D12</f>
        <v>4818084.68</v>
      </c>
      <c r="F15" s="14">
        <f>F9+F12</f>
        <v>3474966.9099999997</v>
      </c>
      <c r="H15" s="14">
        <f>H9+H12</f>
        <v>21999125.77</v>
      </c>
      <c r="J15" s="14">
        <f>J9+J12</f>
        <v>26568173</v>
      </c>
      <c r="L15" s="14">
        <v>26289506.369999997</v>
      </c>
      <c r="N15" s="14">
        <v>25256524</v>
      </c>
      <c r="P15" s="14">
        <f>+SUM(P9+P12)</f>
        <v>24415296</v>
      </c>
      <c r="R15" s="14">
        <v>23969065</v>
      </c>
      <c r="T15" s="14">
        <f>T9+T12</f>
        <v>23199146</v>
      </c>
      <c r="V15" s="5"/>
      <c r="W15" s="473" t="s">
        <v>383</v>
      </c>
      <c r="AD15" s="4" t="s">
        <v>384</v>
      </c>
      <c r="AF15" s="433">
        <f>+AF11+AF13+AF14</f>
        <v>1177571.6666666665</v>
      </c>
      <c r="AH15" s="367">
        <v>22977246</v>
      </c>
      <c r="AU15" s="484">
        <v>153</v>
      </c>
      <c r="AW15" s="482" t="s">
        <v>385</v>
      </c>
      <c r="AX15" s="473">
        <v>3.1619999999999999</v>
      </c>
    </row>
    <row r="16" spans="1:54" ht="15" thickTop="1">
      <c r="D16" s="5"/>
      <c r="L16" s="5"/>
      <c r="N16" s="5"/>
      <c r="P16" s="5"/>
      <c r="R16" s="5"/>
      <c r="T16" s="5"/>
      <c r="V16" s="5"/>
      <c r="W16" s="473" t="s">
        <v>375</v>
      </c>
      <c r="AH16" s="364"/>
      <c r="AU16" s="485">
        <v>40</v>
      </c>
      <c r="AW16" s="473"/>
      <c r="AX16" s="477">
        <f>'TB Mitiga LTD'!E12</f>
        <v>2892240</v>
      </c>
    </row>
    <row r="17" spans="1:50">
      <c r="B17" s="12" t="s">
        <v>386</v>
      </c>
      <c r="D17" s="40"/>
      <c r="L17" s="40"/>
      <c r="N17" s="40"/>
      <c r="P17" s="40"/>
      <c r="R17" s="40"/>
      <c r="T17" s="40"/>
      <c r="V17" s="5"/>
      <c r="W17" s="5"/>
      <c r="AH17" s="364"/>
      <c r="AU17" s="487">
        <f>SUM(AU14:AU16)</f>
        <v>218</v>
      </c>
      <c r="AW17" s="473"/>
      <c r="AX17" s="477">
        <f>AX16/AX14</f>
        <v>929980.70739549841</v>
      </c>
    </row>
    <row r="18" spans="1:50">
      <c r="A18" s="46">
        <v>34</v>
      </c>
      <c r="B18" s="4" t="s">
        <v>42</v>
      </c>
      <c r="D18" s="5">
        <v>110116.14</v>
      </c>
      <c r="F18" s="5">
        <v>212308.19999999998</v>
      </c>
      <c r="H18" s="9">
        <f>195794.2+1</f>
        <v>195795.20000000001</v>
      </c>
      <c r="J18" s="5">
        <v>151604</v>
      </c>
      <c r="L18" s="5">
        <v>314764.55</v>
      </c>
      <c r="N18" s="5">
        <v>150220</v>
      </c>
      <c r="P18" s="5">
        <v>312207</v>
      </c>
      <c r="R18" s="5">
        <v>241126</v>
      </c>
      <c r="T18" s="5">
        <f>-ROUND(SUMIF('HARKAVA '!$Z:$Z,BS!A18,'HARKAVA '!Y:Y),0)</f>
        <v>672609</v>
      </c>
      <c r="V18" s="5">
        <f>T18-R18</f>
        <v>431483</v>
      </c>
      <c r="W18" s="5"/>
      <c r="Y18" s="40">
        <f>T18-P18</f>
        <v>360402</v>
      </c>
      <c r="Z18" s="40">
        <f>T18-H18</f>
        <v>476813.8</v>
      </c>
      <c r="AB18" s="40"/>
      <c r="AD18" s="4" t="s">
        <v>387</v>
      </c>
      <c r="AH18" s="364">
        <v>200000</v>
      </c>
      <c r="AU18" s="473"/>
      <c r="AW18" s="484"/>
      <c r="AX18" s="478">
        <f>AX16/AX15</f>
        <v>914686.90702087292</v>
      </c>
    </row>
    <row r="19" spans="1:50">
      <c r="A19" s="46">
        <v>38</v>
      </c>
      <c r="B19" s="4" t="s">
        <v>388</v>
      </c>
      <c r="D19" s="5">
        <v>69750</v>
      </c>
      <c r="F19" s="5">
        <v>61445</v>
      </c>
      <c r="H19" s="9">
        <v>40865</v>
      </c>
      <c r="J19" s="5">
        <v>349711</v>
      </c>
      <c r="L19" s="5">
        <v>453473</v>
      </c>
      <c r="N19" s="5">
        <v>396938</v>
      </c>
      <c r="P19" s="5">
        <v>352455</v>
      </c>
      <c r="R19" s="5">
        <v>386902</v>
      </c>
      <c r="T19" s="5">
        <f>-ROUND(SUMIF('HARKAVA '!$Z:$Z,BS!A19,'HARKAVA '!Y:Y),0)</f>
        <v>553209</v>
      </c>
      <c r="V19" s="5">
        <f>T19-R19</f>
        <v>166307</v>
      </c>
      <c r="W19" s="5"/>
      <c r="Y19" s="40">
        <f>T19-P19</f>
        <v>200754</v>
      </c>
      <c r="Z19" s="40">
        <f>T19-H19</f>
        <v>512344</v>
      </c>
      <c r="AB19" s="40"/>
      <c r="AD19" s="4" t="s">
        <v>377</v>
      </c>
      <c r="AF19" s="40">
        <f>+T19</f>
        <v>553209</v>
      </c>
      <c r="AH19" s="364">
        <v>1071938</v>
      </c>
      <c r="AW19" s="484"/>
      <c r="AX19" s="477">
        <f>AX17-AX18</f>
        <v>15293.800374625484</v>
      </c>
    </row>
    <row r="20" spans="1:50">
      <c r="A20" s="46">
        <v>36</v>
      </c>
      <c r="B20" s="4" t="s">
        <v>389</v>
      </c>
      <c r="D20" s="5">
        <f>739458.23-D19</f>
        <v>669708.23</v>
      </c>
      <c r="F20" s="5">
        <f>515709.95-F19</f>
        <v>454264.95</v>
      </c>
      <c r="H20" s="9">
        <v>791187.11</v>
      </c>
      <c r="J20" s="5">
        <v>705406</v>
      </c>
      <c r="L20" s="5">
        <v>878894.60000000009</v>
      </c>
      <c r="N20" s="5">
        <v>902309</v>
      </c>
      <c r="P20" s="5">
        <v>1047125</v>
      </c>
      <c r="R20" s="5">
        <v>1017767</v>
      </c>
      <c r="T20" s="5">
        <f>-ROUND(SUMIF('HARKAVA '!$Z:$Z,BS!A20,'HARKAVA '!Y:Y),0)</f>
        <v>1751994</v>
      </c>
      <c r="V20" s="5">
        <f>T20-R20</f>
        <v>734227</v>
      </c>
      <c r="W20" s="473" t="s">
        <v>390</v>
      </c>
      <c r="Y20" s="40">
        <f>T20-P20</f>
        <v>704869</v>
      </c>
      <c r="Z20" s="40">
        <f>T20-H20</f>
        <v>960806.89</v>
      </c>
      <c r="AB20" s="40"/>
      <c r="AD20" s="4" t="s">
        <v>391</v>
      </c>
      <c r="AF20" s="40">
        <f>+AF11</f>
        <v>632416.66666666663</v>
      </c>
      <c r="AH20" s="364">
        <v>1550000</v>
      </c>
      <c r="AW20" s="486"/>
    </row>
    <row r="21" spans="1:50">
      <c r="B21" s="4" t="s">
        <v>392</v>
      </c>
      <c r="D21" s="8">
        <f>SUM(D18:D20)</f>
        <v>849574.37</v>
      </c>
      <c r="F21" s="8">
        <f>SUM(F18:F20)</f>
        <v>728018.14999999991</v>
      </c>
      <c r="H21" s="16">
        <f>SUM(H18:H20)</f>
        <v>1027847.31</v>
      </c>
      <c r="J21" s="16">
        <f>SUM(J18:J20)</f>
        <v>1206721</v>
      </c>
      <c r="L21" s="8">
        <v>1647132.1500000001</v>
      </c>
      <c r="N21" s="8">
        <v>1449467</v>
      </c>
      <c r="P21" s="8">
        <f>+SUM(P18:P20)</f>
        <v>1711787</v>
      </c>
      <c r="R21" s="8">
        <v>1645795</v>
      </c>
      <c r="T21" s="8">
        <f>SUM(T18:T20)</f>
        <v>2977812</v>
      </c>
      <c r="V21" s="9"/>
      <c r="W21" s="9"/>
      <c r="Y21" s="8">
        <f>SUM(Y18:Y20)</f>
        <v>1266025</v>
      </c>
      <c r="Z21" s="40"/>
      <c r="AD21" s="4" t="s">
        <v>393</v>
      </c>
      <c r="AF21" s="5" t="e">
        <f>-PL!#REF!</f>
        <v>#REF!</v>
      </c>
      <c r="AH21" s="366">
        <v>2821938</v>
      </c>
      <c r="AV21" s="473">
        <f>180+33+34</f>
        <v>247</v>
      </c>
      <c r="AW21" s="473" t="s">
        <v>394</v>
      </c>
      <c r="AX21" s="473"/>
    </row>
    <row r="22" spans="1:50">
      <c r="H22" s="9"/>
      <c r="J22" s="4"/>
      <c r="T22" s="40"/>
      <c r="V22" s="9"/>
      <c r="W22" s="9"/>
      <c r="AD22" s="4" t="s">
        <v>384</v>
      </c>
      <c r="AF22" s="433" t="e">
        <f>+SUM(AF19:AF21)</f>
        <v>#REF!</v>
      </c>
      <c r="AH22" s="363"/>
      <c r="AU22" s="473"/>
      <c r="AV22" s="473">
        <v>75</v>
      </c>
      <c r="AW22" s="473" t="s">
        <v>395</v>
      </c>
      <c r="AX22" s="473"/>
    </row>
    <row r="23" spans="1:50">
      <c r="A23" s="46">
        <v>46</v>
      </c>
      <c r="B23" s="4" t="s">
        <v>396</v>
      </c>
      <c r="H23" s="9"/>
      <c r="J23" s="4"/>
      <c r="R23" s="5">
        <v>781784</v>
      </c>
      <c r="T23" s="5">
        <f>-ROUND(SUMIF('HARKAVA '!$Z:$Z,BS!A23,'HARKAVA '!Y:Y),0)</f>
        <v>794855</v>
      </c>
      <c r="V23" s="5">
        <f>T23-R23</f>
        <v>13071</v>
      </c>
      <c r="W23" s="473" t="s">
        <v>371</v>
      </c>
      <c r="AH23" s="363"/>
      <c r="AV23" s="490">
        <v>28</v>
      </c>
      <c r="AW23" s="473" t="s">
        <v>397</v>
      </c>
    </row>
    <row r="24" spans="1:50" ht="17">
      <c r="B24" s="7"/>
      <c r="D24" s="55"/>
      <c r="H24" s="9"/>
      <c r="J24" s="55"/>
      <c r="L24" s="55"/>
      <c r="N24" s="55"/>
      <c r="P24" s="55"/>
      <c r="R24" s="55"/>
      <c r="T24" s="55"/>
      <c r="V24" s="9"/>
      <c r="AH24" s="364"/>
      <c r="AV24" s="491">
        <f>SUM(AV21:AV23)</f>
        <v>350</v>
      </c>
      <c r="AW24" s="473"/>
    </row>
    <row r="25" spans="1:50">
      <c r="B25" s="12" t="s">
        <v>398</v>
      </c>
      <c r="H25" s="9"/>
      <c r="J25" s="4"/>
      <c r="T25" s="40"/>
      <c r="V25" s="9"/>
      <c r="AD25" s="4" t="s">
        <v>399</v>
      </c>
    </row>
    <row r="26" spans="1:50">
      <c r="A26" s="46">
        <v>49</v>
      </c>
      <c r="B26" s="4" t="s">
        <v>400</v>
      </c>
      <c r="D26" s="5">
        <v>7449838.0299999993</v>
      </c>
      <c r="F26" s="5">
        <v>7449838.0299999993</v>
      </c>
      <c r="H26" s="5">
        <v>27414943.119999997</v>
      </c>
      <c r="J26" s="5">
        <v>32414943</v>
      </c>
      <c r="L26" s="5">
        <v>32417373.119999997</v>
      </c>
      <c r="N26" s="5">
        <v>32427768</v>
      </c>
      <c r="P26" s="5">
        <v>32427768</v>
      </c>
      <c r="R26" s="5">
        <v>32427772</v>
      </c>
      <c r="T26" s="5">
        <f>-ROUND(SUMIF('HARKAVA '!$Z:$Z,BS!A26,'HARKAVA '!Y:Y),0)</f>
        <v>32465026</v>
      </c>
      <c r="V26" s="5">
        <f>T26-R26</f>
        <v>37254</v>
      </c>
      <c r="W26" s="5"/>
      <c r="Y26" s="40">
        <f>T26-P26</f>
        <v>37258</v>
      </c>
      <c r="Z26" s="40">
        <f>T26-H26</f>
        <v>5050082.8800000027</v>
      </c>
      <c r="AB26" s="40"/>
      <c r="AD26" s="4" t="s">
        <v>401</v>
      </c>
      <c r="AF26" s="40">
        <f>+T20</f>
        <v>1751994</v>
      </c>
      <c r="AH26" s="434">
        <v>32427768</v>
      </c>
      <c r="AU26" s="477">
        <v>2472000</v>
      </c>
      <c r="AV26" s="477">
        <f>AU26/AX14</f>
        <v>794855.30546623794</v>
      </c>
    </row>
    <row r="27" spans="1:50">
      <c r="A27" s="46">
        <v>49.5</v>
      </c>
      <c r="B27" s="4" t="s">
        <v>402</v>
      </c>
      <c r="D27" s="5">
        <v>61989</v>
      </c>
      <c r="F27" s="5">
        <v>89881</v>
      </c>
      <c r="H27" s="5">
        <v>102779</v>
      </c>
      <c r="J27" s="5">
        <v>109577</v>
      </c>
      <c r="L27" s="5">
        <v>110802</v>
      </c>
      <c r="N27" s="5">
        <v>113852</v>
      </c>
      <c r="P27" s="5">
        <v>117071</v>
      </c>
      <c r="R27" s="5">
        <v>119551</v>
      </c>
      <c r="T27" s="5">
        <f>-ROUND(SUMIF('HARKAVA '!$Z:$Z,BS!A27,'HARKAVA '!Y:Y),0)</f>
        <v>104421</v>
      </c>
      <c r="V27" s="5">
        <f>T27-R27</f>
        <v>-15130</v>
      </c>
      <c r="W27" s="5"/>
      <c r="Y27" s="40">
        <f>T27-P27</f>
        <v>-12650</v>
      </c>
      <c r="Z27" s="40">
        <f>T27-H27</f>
        <v>1642</v>
      </c>
      <c r="AD27" s="4" t="s">
        <v>403</v>
      </c>
      <c r="AF27" s="5">
        <v>200000</v>
      </c>
      <c r="AH27" s="365">
        <v>128853</v>
      </c>
      <c r="AU27" s="9"/>
      <c r="AV27" s="478">
        <f>AU26/AX15</f>
        <v>781783.68121442129</v>
      </c>
    </row>
    <row r="28" spans="1:50">
      <c r="A28" s="46">
        <v>51</v>
      </c>
      <c r="B28" s="4" t="s">
        <v>404</v>
      </c>
      <c r="D28" s="108">
        <v>-3543316.3099999996</v>
      </c>
      <c r="E28" s="39"/>
      <c r="F28" s="108">
        <v>-4792770.1100000003</v>
      </c>
      <c r="G28" s="39"/>
      <c r="H28" s="108">
        <v>-6546443.6600000001</v>
      </c>
      <c r="I28" s="39"/>
      <c r="J28" s="108">
        <v>-7163068</v>
      </c>
      <c r="K28" s="39"/>
      <c r="L28" s="108">
        <v>-7885800.0466666669</v>
      </c>
      <c r="M28" s="39"/>
      <c r="N28" s="108">
        <v>-8734563</v>
      </c>
      <c r="O28" s="39"/>
      <c r="P28" s="108">
        <v>-9841330</v>
      </c>
      <c r="Q28" s="39"/>
      <c r="R28" s="108">
        <v>-11005837</v>
      </c>
      <c r="S28" s="39"/>
      <c r="T28" s="106">
        <f>-ROUND(SUMIF('HARKAVA '!$Z:$Z,BS!A28,'HARKAVA '!Y:Y),0)</f>
        <v>-13186755</v>
      </c>
      <c r="U28" s="39"/>
      <c r="V28" s="5">
        <f>T28-R28</f>
        <v>-2180918</v>
      </c>
      <c r="W28" s="5"/>
      <c r="X28" s="39"/>
      <c r="Y28" s="40">
        <f>T28-P28</f>
        <v>-3345425</v>
      </c>
      <c r="Z28" s="40">
        <f>T28-H28</f>
        <v>-6640311.3399999999</v>
      </c>
      <c r="AA28" s="40" t="e">
        <f>#REF!-T28</f>
        <v>#REF!</v>
      </c>
      <c r="AB28" s="40" t="e">
        <f>+#REF!-D28</f>
        <v>#REF!</v>
      </c>
      <c r="AD28" s="4" t="s">
        <v>405</v>
      </c>
      <c r="AF28" s="5">
        <f>+PL!BB53</f>
        <v>502650</v>
      </c>
      <c r="AH28" s="365">
        <v>-12401313</v>
      </c>
      <c r="AU28" s="9"/>
      <c r="AV28" s="477">
        <f>AV26-AV27</f>
        <v>13071.624251816655</v>
      </c>
    </row>
    <row r="29" spans="1:50">
      <c r="B29" s="4" t="s">
        <v>406</v>
      </c>
      <c r="D29" s="16">
        <f>SUM(D26:D28)</f>
        <v>3968510.7199999997</v>
      </c>
      <c r="F29" s="16">
        <f>SUM(F26:F28)</f>
        <v>2746948.919999999</v>
      </c>
      <c r="H29" s="16">
        <f>SUM(H26:H28)</f>
        <v>20971278.459999997</v>
      </c>
      <c r="J29" s="16">
        <f>SUM(J26:J28)</f>
        <v>25361452</v>
      </c>
      <c r="L29" s="16">
        <v>24642375.07333333</v>
      </c>
      <c r="N29" s="16">
        <v>23807057</v>
      </c>
      <c r="P29" s="16">
        <v>22703509</v>
      </c>
      <c r="R29" s="16">
        <v>21541486</v>
      </c>
      <c r="T29" s="16">
        <f>SUM(T26:T28)</f>
        <v>19382692</v>
      </c>
      <c r="Y29" s="16">
        <f>SUM(Y26:Y28)</f>
        <v>-3320817</v>
      </c>
      <c r="Z29" s="9"/>
      <c r="AD29" s="4" t="s">
        <v>407</v>
      </c>
      <c r="AF29" s="432">
        <f>+SUM(AF26:AF28)</f>
        <v>2454644</v>
      </c>
      <c r="AH29" s="436">
        <v>20155308</v>
      </c>
    </row>
    <row r="30" spans="1:50" ht="33.75" customHeight="1" thickBot="1">
      <c r="B30" s="143" t="s">
        <v>408</v>
      </c>
      <c r="D30" s="10">
        <f>D21+D29</f>
        <v>4818085.09</v>
      </c>
      <c r="F30" s="10">
        <f>F21+F29</f>
        <v>3474967.0699999989</v>
      </c>
      <c r="H30" s="14">
        <f>H21+H29</f>
        <v>21999125.769999996</v>
      </c>
      <c r="J30" s="14">
        <f>J21+J29</f>
        <v>26568173</v>
      </c>
      <c r="L30" s="10">
        <v>26289506.223333329</v>
      </c>
      <c r="N30" s="10">
        <v>25256524</v>
      </c>
      <c r="P30" s="10">
        <v>24415296</v>
      </c>
      <c r="R30" s="10">
        <v>23969065</v>
      </c>
      <c r="T30" s="10">
        <f>T21+T29+T23</f>
        <v>23155359</v>
      </c>
      <c r="AH30" s="435">
        <v>22977246</v>
      </c>
    </row>
    <row r="31" spans="1:50" ht="15" thickTop="1"/>
    <row r="32" spans="1:50">
      <c r="D32" s="335">
        <f>+D15-D30</f>
        <v>-0.41000000014901161</v>
      </c>
      <c r="E32" s="109"/>
      <c r="F32" s="335">
        <f>+F15-F30</f>
        <v>-0.15999999921768904</v>
      </c>
      <c r="G32" s="109"/>
      <c r="H32" s="335">
        <f>+H15-H30</f>
        <v>0</v>
      </c>
      <c r="I32" s="335">
        <f>+I15-I30</f>
        <v>0</v>
      </c>
      <c r="J32" s="271"/>
      <c r="K32" s="109"/>
      <c r="L32" s="107">
        <v>0.14666666835546494</v>
      </c>
      <c r="M32" s="109"/>
      <c r="N32" s="335">
        <v>0</v>
      </c>
      <c r="O32" s="109"/>
      <c r="P32" s="335">
        <v>0</v>
      </c>
      <c r="Q32" s="109"/>
      <c r="R32" s="335">
        <v>0</v>
      </c>
      <c r="S32" s="109"/>
      <c r="T32" s="335">
        <f>+T15-T30</f>
        <v>43787</v>
      </c>
      <c r="U32" s="109"/>
      <c r="V32" s="109"/>
      <c r="W32" s="109"/>
      <c r="X32" s="109"/>
      <c r="AB32" s="40" t="e">
        <f>+AB28-PL!AQ45</f>
        <v>#REF!</v>
      </c>
    </row>
    <row r="33" spans="1:24">
      <c r="D33" s="335"/>
      <c r="E33" s="109"/>
      <c r="F33" s="335"/>
      <c r="G33" s="109"/>
      <c r="H33" s="335"/>
      <c r="I33" s="335"/>
      <c r="J33" s="271"/>
      <c r="K33" s="109"/>
      <c r="L33" s="107"/>
      <c r="M33" s="109"/>
      <c r="N33" s="335"/>
      <c r="O33" s="109"/>
      <c r="P33" s="335"/>
      <c r="Q33" s="109"/>
      <c r="R33" s="335"/>
      <c r="S33" s="109"/>
      <c r="T33" s="335"/>
      <c r="U33" s="109"/>
      <c r="V33" s="109"/>
      <c r="W33" s="109"/>
      <c r="X33" s="109"/>
    </row>
    <row r="34" spans="1:24">
      <c r="D34" s="335"/>
      <c r="E34" s="109"/>
      <c r="F34" s="335"/>
      <c r="G34" s="109"/>
      <c r="H34" s="335"/>
      <c r="I34" s="335"/>
      <c r="J34" s="271"/>
      <c r="K34" s="109"/>
      <c r="L34" s="107"/>
      <c r="M34" s="109"/>
      <c r="N34" s="335"/>
      <c r="O34" s="109"/>
      <c r="P34" s="335"/>
      <c r="Q34" s="109"/>
      <c r="R34" s="335"/>
      <c r="S34" s="109"/>
      <c r="T34" s="335"/>
      <c r="U34" s="109"/>
      <c r="V34" s="109"/>
      <c r="W34" s="109"/>
      <c r="X34" s="109"/>
    </row>
    <row r="35" spans="1:24">
      <c r="D35" s="335"/>
      <c r="E35" s="109"/>
      <c r="F35" s="335"/>
      <c r="G35" s="109"/>
      <c r="H35" s="335"/>
      <c r="I35" s="335"/>
      <c r="J35" s="271"/>
      <c r="K35" s="109"/>
      <c r="L35" s="107"/>
      <c r="M35" s="109"/>
      <c r="N35" s="335"/>
      <c r="O35" s="109"/>
      <c r="P35" s="335"/>
      <c r="Q35" s="109"/>
      <c r="R35" s="335"/>
      <c r="S35" s="109"/>
      <c r="T35" s="335"/>
      <c r="U35" s="109"/>
      <c r="V35" s="109"/>
      <c r="W35" s="109"/>
      <c r="X35" s="109"/>
    </row>
    <row r="36" spans="1:24">
      <c r="D36" s="335"/>
      <c r="E36" s="109"/>
      <c r="F36" s="335"/>
      <c r="G36" s="109"/>
      <c r="H36" s="335"/>
      <c r="I36" s="335"/>
      <c r="J36" s="271"/>
      <c r="K36" s="109"/>
      <c r="L36" s="107"/>
      <c r="M36" s="109"/>
      <c r="N36" s="335"/>
      <c r="O36" s="109"/>
      <c r="P36" s="335"/>
      <c r="Q36" s="109"/>
      <c r="R36" s="335"/>
      <c r="S36" s="109"/>
      <c r="T36" s="335"/>
      <c r="U36" s="109"/>
      <c r="V36" s="109"/>
      <c r="W36" s="109"/>
      <c r="X36" s="109"/>
    </row>
    <row r="37" spans="1:24" s="109" customFormat="1">
      <c r="A37" s="46"/>
      <c r="B37" s="4"/>
      <c r="C37" s="4"/>
      <c r="D37" s="4"/>
      <c r="E37" s="4"/>
      <c r="F37" s="333">
        <f>+F28-D28</f>
        <v>-1249453.8000000007</v>
      </c>
      <c r="G37" s="4"/>
      <c r="H37" s="333">
        <f>+H28-F28</f>
        <v>-1753673.5499999998</v>
      </c>
      <c r="I37" s="4"/>
      <c r="J37" s="5"/>
      <c r="K37" s="4"/>
      <c r="L37" s="4"/>
      <c r="M37" s="4"/>
      <c r="N37" s="333">
        <v>-2188119.34</v>
      </c>
      <c r="O37" s="4"/>
      <c r="P37" s="333">
        <f>+P28-N28</f>
        <v>-1106767</v>
      </c>
      <c r="Q37" s="4"/>
      <c r="R37" s="333">
        <v>-1164507</v>
      </c>
      <c r="S37" s="4"/>
      <c r="T37" s="333">
        <f>+T28-R28</f>
        <v>-2180918</v>
      </c>
      <c r="U37" s="4"/>
    </row>
    <row r="38" spans="1:24" s="109" customFormat="1">
      <c r="A38" s="46"/>
      <c r="B38" s="4"/>
      <c r="C38" s="4"/>
      <c r="D38" s="4"/>
      <c r="F38" s="352">
        <f>+PL!F45</f>
        <v>-1227985.57</v>
      </c>
      <c r="H38" s="352">
        <f>+PL!I45</f>
        <v>-1775141.452</v>
      </c>
      <c r="J38" s="271"/>
      <c r="L38" s="107">
        <v>1.1466666683554601</v>
      </c>
      <c r="N38" s="335">
        <v>-2188119.2080000001</v>
      </c>
      <c r="P38" s="335">
        <f>PL!AB45</f>
        <v>-1106766.9877777779</v>
      </c>
      <c r="R38" s="335">
        <v>-1164507.2922479613</v>
      </c>
      <c r="T38" s="335">
        <f>+PL!AJ45</f>
        <v>-2137130.1460178397</v>
      </c>
      <c r="U38" s="334"/>
    </row>
    <row r="39" spans="1:24" s="109" customFormat="1">
      <c r="A39" s="46"/>
      <c r="B39" s="4"/>
      <c r="C39" s="4"/>
      <c r="D39" s="4"/>
      <c r="E39" s="4"/>
      <c r="F39" s="353">
        <f>-F37+F38</f>
        <v>21468.23000000068</v>
      </c>
      <c r="G39" s="4"/>
      <c r="H39" s="353">
        <f>-H37+H38</f>
        <v>-21467.902000000235</v>
      </c>
      <c r="I39" s="4"/>
      <c r="J39" s="5"/>
      <c r="K39" s="4"/>
      <c r="L39" s="4"/>
      <c r="M39" s="4"/>
      <c r="N39" s="353">
        <v>0.13199999975040555</v>
      </c>
      <c r="O39" s="4"/>
      <c r="P39" s="353">
        <f>-P37+P38</f>
        <v>1.2222222052514553E-2</v>
      </c>
      <c r="Q39" s="4"/>
      <c r="R39" s="353">
        <v>-0.29224796127527952</v>
      </c>
      <c r="S39" s="4"/>
      <c r="T39" s="353">
        <f>-T37+T38</f>
        <v>43787.853982160334</v>
      </c>
      <c r="U39" s="4"/>
    </row>
    <row r="40" spans="1:24">
      <c r="E40" s="109"/>
      <c r="F40" s="109"/>
      <c r="G40" s="109"/>
      <c r="H40" s="271"/>
      <c r="I40" s="109"/>
      <c r="J40" s="271"/>
      <c r="K40" s="109"/>
      <c r="L40" s="107">
        <v>2.1466666683554601</v>
      </c>
      <c r="M40" s="109"/>
      <c r="N40" s="107">
        <v>2585057.2080000001</v>
      </c>
      <c r="O40" s="109"/>
      <c r="P40" s="107">
        <v>352455</v>
      </c>
      <c r="Q40" s="109"/>
      <c r="R40" s="107">
        <v>1551409.2922479613</v>
      </c>
      <c r="S40" s="109"/>
      <c r="T40" s="107">
        <f>T19-T38</f>
        <v>2690339.1460178397</v>
      </c>
      <c r="U40" s="109"/>
      <c r="V40" s="109"/>
      <c r="W40" s="109"/>
      <c r="X40" s="109"/>
    </row>
  </sheetData>
  <pageMargins left="0.7" right="0.7" top="0.75" bottom="0.75" header="0.3" footer="0.3"/>
  <pageSetup scale="12" orientation="portrait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7">
    <pageSetUpPr fitToPage="1"/>
  </sheetPr>
  <dimension ref="A1:CK67"/>
  <sheetViews>
    <sheetView showGridLines="0" zoomScaleNormal="100" workbookViewId="0">
      <pane xSplit="2" ySplit="3" topLeftCell="W29" activePane="bottomRight" state="frozen"/>
      <selection pane="topRight" activeCell="H29" sqref="H29"/>
      <selection pane="bottomLeft" activeCell="H29" sqref="H29"/>
      <selection pane="bottomRight" activeCell="AQ1" sqref="AQ1:AQ1048576"/>
    </sheetView>
  </sheetViews>
  <sheetFormatPr baseColWidth="10" defaultColWidth="8.85546875" defaultRowHeight="16" outlineLevelRow="1" outlineLevelCol="1"/>
  <cols>
    <col min="1" max="1" width="1.5703125" style="253" customWidth="1"/>
    <col min="2" max="2" width="29.7109375" style="2" customWidth="1"/>
    <col min="3" max="3" width="2.42578125" style="2" customWidth="1"/>
    <col min="4" max="4" width="9.42578125" style="2" customWidth="1"/>
    <col min="5" max="5" width="1" style="2" customWidth="1"/>
    <col min="6" max="7" width="8.85546875" style="2" customWidth="1"/>
    <col min="8" max="8" width="1.85546875" style="2" customWidth="1"/>
    <col min="9" max="9" width="8.85546875" style="2" customWidth="1"/>
    <col min="10" max="10" width="10.5703125" style="2" bestFit="1" customWidth="1"/>
    <col min="11" max="11" width="1.140625" style="2" customWidth="1"/>
    <col min="12" max="12" width="8.85546875" style="2" hidden="1" customWidth="1" outlineLevel="1"/>
    <col min="13" max="13" width="1" style="2" hidden="1" customWidth="1" outlineLevel="1"/>
    <col min="14" max="14" width="8.85546875" style="2" hidden="1" customWidth="1" outlineLevel="1"/>
    <col min="15" max="15" width="1.7109375" style="2" hidden="1" customWidth="1" outlineLevel="1"/>
    <col min="16" max="16" width="8.5703125" style="2" hidden="1" customWidth="1" outlineLevel="1"/>
    <col min="17" max="17" width="1.140625" style="2" hidden="1" customWidth="1" outlineLevel="1"/>
    <col min="18" max="18" width="8.42578125" style="2" hidden="1" customWidth="1" outlineLevel="1"/>
    <col min="19" max="19" width="1.140625" style="2" hidden="1" customWidth="1" outlineLevel="1"/>
    <col min="20" max="20" width="8.5703125" style="2" hidden="1" customWidth="1" outlineLevel="1"/>
    <col min="21" max="21" width="1.140625" style="2" hidden="1" customWidth="1" outlineLevel="1"/>
    <col min="22" max="22" width="10.42578125" style="2" hidden="1" customWidth="1" outlineLevel="1"/>
    <col min="23" max="23" width="1.140625" style="2" customWidth="1" collapsed="1"/>
    <col min="24" max="24" width="1.140625" style="2" customWidth="1"/>
    <col min="25" max="25" width="10.28515625" style="2" customWidth="1"/>
    <col min="26" max="26" width="10.140625" style="2" customWidth="1"/>
    <col min="27" max="27" width="1.7109375" style="2" customWidth="1"/>
    <col min="28" max="28" width="9.140625" style="2" customWidth="1" outlineLevel="1"/>
    <col min="29" max="29" width="1.140625" style="2" customWidth="1" outlineLevel="1"/>
    <col min="30" max="30" width="10.42578125" style="2" customWidth="1" outlineLevel="1"/>
    <col min="31" max="31" width="2.140625" style="2" customWidth="1" outlineLevel="1"/>
    <col min="32" max="32" width="9.140625" style="2" customWidth="1" outlineLevel="1"/>
    <col min="33" max="33" width="1.140625" style="2" customWidth="1" outlineLevel="1"/>
    <col min="34" max="34" width="10.42578125" style="2" customWidth="1" outlineLevel="1"/>
    <col min="35" max="35" width="2.7109375" style="2" customWidth="1" outlineLevel="1"/>
    <col min="36" max="36" width="10.28515625" style="2" customWidth="1" outlineLevel="1"/>
    <col min="37" max="37" width="1.140625" style="2" customWidth="1" outlineLevel="1"/>
    <col min="38" max="38" width="10.42578125" style="2" customWidth="1" outlineLevel="1"/>
    <col min="39" max="39" width="6.28515625" style="2" customWidth="1" outlineLevel="1"/>
    <col min="40" max="40" width="10" style="2" customWidth="1"/>
    <col min="41" max="41" width="10.5703125" style="2" bestFit="1" customWidth="1"/>
    <col min="42" max="42" width="2.140625" style="2" customWidth="1"/>
    <col min="43" max="43" width="10.28515625" style="2" customWidth="1"/>
    <col min="44" max="44" width="11.28515625" style="2" bestFit="1" customWidth="1"/>
    <col min="45" max="45" width="11.140625" style="2" customWidth="1"/>
    <col min="46" max="46" width="8.85546875" style="437" customWidth="1"/>
    <col min="47" max="47" width="14.140625" hidden="1" customWidth="1"/>
    <col min="48" max="48" width="8.85546875" style="2" customWidth="1"/>
    <col min="49" max="49" width="15.7109375" style="2" bestFit="1" customWidth="1"/>
    <col min="50" max="50" width="32.28515625" style="473" customWidth="1"/>
    <col min="51" max="51" width="9.5703125" style="473" customWidth="1"/>
    <col min="52" max="60" width="8.85546875" style="2" customWidth="1"/>
    <col min="61" max="61" width="8.85546875" style="193" customWidth="1"/>
    <col min="62" max="62" width="17.140625" style="193" customWidth="1"/>
    <col min="63" max="63" width="12" style="193" customWidth="1"/>
    <col min="64" max="64" width="8.85546875" style="193" customWidth="1"/>
    <col min="65" max="65" width="9.5703125" style="193" customWidth="1"/>
    <col min="66" max="68" width="8.85546875" style="193" customWidth="1"/>
    <col min="69" max="69" width="9.5703125" style="2" customWidth="1"/>
    <col min="70" max="70" width="12" style="2" customWidth="1"/>
    <col min="71" max="75" width="8.85546875" style="2" customWidth="1"/>
    <col min="76" max="76" width="2.42578125" style="2" customWidth="1"/>
    <col min="77" max="78" width="8.85546875" style="2" customWidth="1"/>
    <col min="79" max="79" width="3" style="2" customWidth="1"/>
    <col min="80" max="81" width="8.85546875" style="2" customWidth="1"/>
    <col min="82" max="82" width="3" style="2" customWidth="1"/>
    <col min="83" max="84" width="8.85546875" style="2" customWidth="1"/>
    <col min="85" max="85" width="3.140625" style="2" customWidth="1"/>
    <col min="86" max="88" width="8.85546875" style="2" customWidth="1"/>
    <col min="89" max="89" width="21.5703125" style="2" customWidth="1"/>
    <col min="90" max="92" width="8.85546875" style="2" customWidth="1"/>
    <col min="93" max="16384" width="8.85546875" style="2"/>
  </cols>
  <sheetData>
    <row r="1" spans="1:88" ht="18" thickBot="1">
      <c r="B1" s="187" t="s">
        <v>3</v>
      </c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6"/>
      <c r="O1" s="186"/>
      <c r="P1" s="186"/>
      <c r="Q1" s="186"/>
      <c r="R1" s="186"/>
      <c r="S1" s="186"/>
      <c r="T1" s="186"/>
      <c r="U1" s="186"/>
      <c r="V1" s="186"/>
      <c r="W1" s="186"/>
      <c r="X1" s="186"/>
      <c r="Y1" s="186"/>
      <c r="Z1" s="186"/>
      <c r="AA1" s="186"/>
      <c r="AB1" s="186"/>
      <c r="AC1" s="186"/>
      <c r="AD1" s="186"/>
      <c r="AE1" s="186"/>
      <c r="AF1" s="186"/>
      <c r="AG1" s="186"/>
      <c r="AH1" s="186"/>
      <c r="AI1" s="186"/>
      <c r="AJ1" s="186"/>
      <c r="AK1" s="186"/>
      <c r="AL1" s="186"/>
      <c r="AM1" s="186"/>
      <c r="AN1" s="186"/>
      <c r="AO1" s="186"/>
      <c r="AP1" s="186"/>
      <c r="AQ1" s="186"/>
      <c r="AR1" s="186"/>
      <c r="AS1" s="186"/>
      <c r="AT1" s="468"/>
      <c r="AV1" s="186"/>
      <c r="AW1" s="186"/>
      <c r="AX1" s="492"/>
      <c r="AY1" s="492"/>
      <c r="AZ1" s="186"/>
      <c r="BA1" s="418" t="s">
        <v>409</v>
      </c>
      <c r="BB1" s="186"/>
      <c r="BC1" s="186"/>
      <c r="BD1" s="186"/>
      <c r="BE1" s="186"/>
      <c r="BF1" s="417"/>
      <c r="BG1" s="417"/>
      <c r="BH1" s="417"/>
      <c r="BI1" s="418" t="s">
        <v>410</v>
      </c>
      <c r="BK1" s="378"/>
      <c r="BL1" s="378"/>
      <c r="BM1" s="378"/>
      <c r="BN1" s="378"/>
      <c r="BO1" s="378"/>
      <c r="BP1" s="378"/>
      <c r="BQ1" s="186"/>
      <c r="BR1" s="186"/>
      <c r="BS1" s="186"/>
      <c r="BT1" s="186"/>
      <c r="BU1" s="186"/>
      <c r="BV1" s="186"/>
      <c r="BW1" s="186"/>
      <c r="BX1" s="186"/>
      <c r="BY1" s="186"/>
      <c r="BZ1" s="186"/>
      <c r="CA1" s="186"/>
      <c r="CB1" s="186"/>
      <c r="CC1" s="186"/>
      <c r="CD1" s="186"/>
      <c r="CE1" s="186"/>
      <c r="CF1" s="186"/>
      <c r="CG1" s="186"/>
      <c r="CH1" s="186"/>
      <c r="CI1" s="186"/>
    </row>
    <row r="2" spans="1:88" s="191" customFormat="1" ht="31.5" customHeight="1" thickBot="1">
      <c r="A2" s="254"/>
      <c r="B2" s="12" t="s">
        <v>411</v>
      </c>
      <c r="D2" s="338">
        <v>2020</v>
      </c>
      <c r="E2" s="187"/>
      <c r="F2" s="536" t="s">
        <v>412</v>
      </c>
      <c r="G2" s="537"/>
      <c r="H2" s="187"/>
      <c r="I2" s="536" t="s">
        <v>413</v>
      </c>
      <c r="J2" s="537"/>
      <c r="K2" s="187"/>
      <c r="L2" s="540">
        <v>44378</v>
      </c>
      <c r="M2" s="540"/>
      <c r="N2" s="540"/>
      <c r="O2" s="336"/>
      <c r="P2" s="540">
        <v>44409</v>
      </c>
      <c r="Q2" s="540"/>
      <c r="R2" s="540"/>
      <c r="S2" s="337"/>
      <c r="T2" s="540">
        <v>44440</v>
      </c>
      <c r="U2" s="540"/>
      <c r="V2" s="540"/>
      <c r="W2" s="187"/>
      <c r="X2" s="337"/>
      <c r="Y2" s="538" t="s">
        <v>414</v>
      </c>
      <c r="Z2" s="539"/>
      <c r="AA2" s="348"/>
      <c r="AB2" s="540">
        <v>44500</v>
      </c>
      <c r="AC2" s="540"/>
      <c r="AD2" s="540"/>
      <c r="AE2" s="336"/>
      <c r="AF2" s="540">
        <v>44530</v>
      </c>
      <c r="AG2" s="540"/>
      <c r="AH2" s="540"/>
      <c r="AI2" s="348"/>
      <c r="AJ2" s="540">
        <v>44561</v>
      </c>
      <c r="AK2" s="540"/>
      <c r="AL2" s="540"/>
      <c r="AM2" s="336"/>
      <c r="AN2" s="538" t="s">
        <v>415</v>
      </c>
      <c r="AO2" s="539"/>
      <c r="AP2" s="187"/>
      <c r="AQ2" s="541" t="s">
        <v>416</v>
      </c>
      <c r="AR2" s="542"/>
      <c r="AS2" s="543"/>
      <c r="AT2" s="469" t="s">
        <v>417</v>
      </c>
      <c r="AU2" s="423" t="s">
        <v>418</v>
      </c>
      <c r="AV2" s="192"/>
      <c r="AW2" s="192"/>
      <c r="AX2" s="493"/>
      <c r="AY2" s="493"/>
      <c r="AZ2" s="192"/>
      <c r="BA2" s="192"/>
      <c r="BB2" s="192"/>
      <c r="BC2" s="192"/>
      <c r="BD2" s="192"/>
      <c r="BE2" s="192"/>
      <c r="BF2" s="192"/>
      <c r="BG2" s="192"/>
      <c r="BH2" s="192"/>
      <c r="BI2" s="379" t="s">
        <v>419</v>
      </c>
      <c r="BJ2" s="379"/>
      <c r="BK2" s="379"/>
      <c r="BL2" s="379"/>
      <c r="BM2" s="379"/>
      <c r="BN2" s="379"/>
      <c r="BO2" s="379"/>
      <c r="BP2" s="379"/>
      <c r="BQ2" s="192"/>
      <c r="BR2" s="192"/>
      <c r="BS2" s="192"/>
      <c r="BT2" s="192"/>
      <c r="BU2" s="192"/>
      <c r="BV2" s="192"/>
      <c r="BW2" s="338">
        <v>2020</v>
      </c>
      <c r="BX2" s="192"/>
      <c r="BY2" s="536" t="s">
        <v>420</v>
      </c>
      <c r="BZ2" s="537"/>
      <c r="CA2" s="187"/>
      <c r="CB2" s="536" t="s">
        <v>421</v>
      </c>
      <c r="CC2" s="537"/>
      <c r="CD2" s="336"/>
      <c r="CE2" s="538" t="s">
        <v>422</v>
      </c>
      <c r="CF2" s="539"/>
      <c r="CG2" s="348"/>
      <c r="CH2" s="538" t="s">
        <v>423</v>
      </c>
      <c r="CI2" s="539"/>
    </row>
    <row r="3" spans="1:88" s="191" customFormat="1" ht="29">
      <c r="A3" s="254"/>
      <c r="D3" s="260" t="s">
        <v>424</v>
      </c>
      <c r="E3" s="186"/>
      <c r="F3" s="260" t="s">
        <v>424</v>
      </c>
      <c r="G3" s="260" t="s">
        <v>425</v>
      </c>
      <c r="H3" s="186"/>
      <c r="I3" s="260" t="s">
        <v>424</v>
      </c>
      <c r="J3" s="260" t="s">
        <v>425</v>
      </c>
      <c r="K3" s="186"/>
      <c r="L3" s="260" t="s">
        <v>424</v>
      </c>
      <c r="M3" s="192"/>
      <c r="N3" s="260" t="s">
        <v>425</v>
      </c>
      <c r="O3" s="192"/>
      <c r="P3" s="260" t="s">
        <v>424</v>
      </c>
      <c r="Q3" s="192"/>
      <c r="R3" s="260" t="s">
        <v>425</v>
      </c>
      <c r="T3" s="260" t="s">
        <v>424</v>
      </c>
      <c r="U3" s="192"/>
      <c r="V3" s="260" t="s">
        <v>425</v>
      </c>
      <c r="W3" s="186"/>
      <c r="Y3" s="260" t="s">
        <v>424</v>
      </c>
      <c r="Z3" s="260" t="s">
        <v>425</v>
      </c>
      <c r="AA3" s="260"/>
      <c r="AB3" s="260" t="s">
        <v>424</v>
      </c>
      <c r="AC3" s="192"/>
      <c r="AD3" s="260" t="s">
        <v>425</v>
      </c>
      <c r="AE3" s="260"/>
      <c r="AF3" s="260" t="s">
        <v>424</v>
      </c>
      <c r="AG3" s="192"/>
      <c r="AH3" s="260" t="s">
        <v>425</v>
      </c>
      <c r="AI3" s="260"/>
      <c r="AJ3" s="260" t="s">
        <v>424</v>
      </c>
      <c r="AK3" s="192"/>
      <c r="AL3" s="260" t="s">
        <v>425</v>
      </c>
      <c r="AM3" s="192"/>
      <c r="AN3" s="324" t="s">
        <v>424</v>
      </c>
      <c r="AO3" s="192" t="s">
        <v>425</v>
      </c>
      <c r="AP3" s="186"/>
      <c r="AQ3" s="324" t="str">
        <f>+AN3</f>
        <v>Actual</v>
      </c>
      <c r="AR3" s="192" t="s">
        <v>425</v>
      </c>
      <c r="AS3" s="192" t="s">
        <v>426</v>
      </c>
      <c r="AT3" s="469" t="s">
        <v>427</v>
      </c>
      <c r="AU3" s="424" t="s">
        <v>428</v>
      </c>
      <c r="AV3" s="192"/>
      <c r="AW3" s="192"/>
      <c r="AX3" s="493"/>
      <c r="AY3" s="493"/>
      <c r="AZ3" s="192"/>
      <c r="BA3" s="192"/>
      <c r="BB3" s="192"/>
      <c r="BC3" s="192"/>
      <c r="BD3" s="192"/>
      <c r="BE3" s="192"/>
      <c r="BF3" s="192"/>
      <c r="BG3" s="192"/>
      <c r="BH3" s="192"/>
      <c r="BI3" s="379" t="s">
        <v>429</v>
      </c>
      <c r="BJ3" s="379"/>
      <c r="BK3" s="379" t="s">
        <v>430</v>
      </c>
      <c r="BL3" s="379"/>
      <c r="BM3" s="379"/>
      <c r="BN3" s="379"/>
      <c r="BO3" s="379"/>
      <c r="BP3" s="379"/>
      <c r="BQ3" s="192"/>
      <c r="BR3" s="192"/>
      <c r="BS3" s="192"/>
      <c r="BT3" s="192"/>
      <c r="BU3" s="192"/>
      <c r="BV3" s="192"/>
      <c r="BW3" s="260" t="s">
        <v>424</v>
      </c>
      <c r="BX3" s="192"/>
      <c r="BY3" s="260" t="s">
        <v>424</v>
      </c>
      <c r="BZ3" s="260" t="s">
        <v>425</v>
      </c>
      <c r="CA3" s="186"/>
      <c r="CB3" s="260" t="s">
        <v>424</v>
      </c>
      <c r="CC3" s="260" t="s">
        <v>425</v>
      </c>
      <c r="CD3" s="192"/>
      <c r="CE3" s="260" t="s">
        <v>424</v>
      </c>
      <c r="CF3" s="260" t="s">
        <v>425</v>
      </c>
      <c r="CG3" s="260"/>
      <c r="CH3" s="260" t="s">
        <v>424</v>
      </c>
      <c r="CI3" s="260" t="s">
        <v>425</v>
      </c>
    </row>
    <row r="4" spans="1:88" ht="17">
      <c r="D4" s="66" t="s">
        <v>15</v>
      </c>
      <c r="E4" s="186"/>
      <c r="F4" s="66" t="s">
        <v>15</v>
      </c>
      <c r="G4" s="66" t="s">
        <v>15</v>
      </c>
      <c r="H4" s="186"/>
      <c r="I4" s="66" t="s">
        <v>15</v>
      </c>
      <c r="J4" s="66" t="s">
        <v>15</v>
      </c>
      <c r="K4" s="186"/>
      <c r="L4" s="66" t="s">
        <v>15</v>
      </c>
      <c r="M4" s="326"/>
      <c r="N4" s="66" t="s">
        <v>15</v>
      </c>
      <c r="O4" s="66"/>
      <c r="P4" s="66" t="s">
        <v>15</v>
      </c>
      <c r="Q4" s="326"/>
      <c r="R4" s="66" t="s">
        <v>15</v>
      </c>
      <c r="S4" s="326"/>
      <c r="T4" s="66" t="s">
        <v>15</v>
      </c>
      <c r="U4" s="326"/>
      <c r="V4" s="66" t="s">
        <v>15</v>
      </c>
      <c r="W4" s="186"/>
      <c r="X4" s="326"/>
      <c r="Y4" s="66" t="s">
        <v>15</v>
      </c>
      <c r="Z4" s="66" t="s">
        <v>15</v>
      </c>
      <c r="AA4" s="66"/>
      <c r="AB4" s="66" t="s">
        <v>15</v>
      </c>
      <c r="AC4" s="326"/>
      <c r="AD4" s="66" t="s">
        <v>15</v>
      </c>
      <c r="AE4" s="66"/>
      <c r="AF4" s="66" t="s">
        <v>15</v>
      </c>
      <c r="AG4" s="326"/>
      <c r="AH4" s="66" t="s">
        <v>15</v>
      </c>
      <c r="AI4" s="66"/>
      <c r="AJ4" s="66" t="s">
        <v>15</v>
      </c>
      <c r="AK4" s="326"/>
      <c r="AL4" s="66" t="s">
        <v>15</v>
      </c>
      <c r="AM4" s="66"/>
      <c r="AN4" s="293" t="s">
        <v>15</v>
      </c>
      <c r="AO4" s="66" t="s">
        <v>15</v>
      </c>
      <c r="AP4" s="186"/>
      <c r="AQ4" s="293" t="s">
        <v>15</v>
      </c>
      <c r="AR4" s="66" t="s">
        <v>15</v>
      </c>
      <c r="AS4" s="66" t="s">
        <v>15</v>
      </c>
      <c r="AT4" s="470"/>
      <c r="AU4" s="425" t="s">
        <v>15</v>
      </c>
      <c r="AV4" s="79"/>
      <c r="AW4" s="79"/>
      <c r="AX4" s="494" t="s">
        <v>431</v>
      </c>
      <c r="AY4" s="480">
        <v>-6632</v>
      </c>
      <c r="AZ4" s="49"/>
      <c r="BA4" s="49" t="s">
        <v>432</v>
      </c>
      <c r="BB4" s="79"/>
      <c r="BC4" s="79"/>
      <c r="BD4" s="79"/>
      <c r="BE4" s="79"/>
      <c r="BF4" s="79"/>
      <c r="BG4" s="79"/>
      <c r="BH4" s="79"/>
      <c r="BI4" s="384"/>
      <c r="BJ4" s="384"/>
      <c r="BK4" s="393" t="s">
        <v>433</v>
      </c>
      <c r="BL4" s="393" t="s">
        <v>434</v>
      </c>
      <c r="BM4" s="394">
        <v>244000</v>
      </c>
      <c r="BN4" s="395"/>
      <c r="BO4" s="384"/>
      <c r="BP4" s="384"/>
      <c r="BQ4" s="79"/>
      <c r="BR4" s="79"/>
      <c r="BS4" s="79"/>
      <c r="BT4" s="79"/>
      <c r="BU4" s="79"/>
      <c r="BV4" s="79"/>
      <c r="BW4" s="66" t="s">
        <v>15</v>
      </c>
      <c r="BX4" s="79"/>
      <c r="BY4" s="66" t="s">
        <v>15</v>
      </c>
      <c r="BZ4" s="66" t="s">
        <v>15</v>
      </c>
      <c r="CA4" s="186"/>
      <c r="CB4" s="66" t="s">
        <v>15</v>
      </c>
      <c r="CC4" s="66" t="s">
        <v>15</v>
      </c>
      <c r="CD4" s="79"/>
      <c r="CE4" s="66" t="s">
        <v>15</v>
      </c>
      <c r="CF4" s="66" t="s">
        <v>15</v>
      </c>
      <c r="CG4" s="66"/>
      <c r="CH4" s="66" t="s">
        <v>15</v>
      </c>
      <c r="CI4" s="66" t="s">
        <v>15</v>
      </c>
    </row>
    <row r="5" spans="1:88">
      <c r="A5" s="253">
        <v>5200</v>
      </c>
      <c r="B5" s="2" t="s">
        <v>435</v>
      </c>
      <c r="D5" s="9">
        <v>1520346.9899999998</v>
      </c>
      <c r="E5" s="13"/>
      <c r="F5" s="9">
        <v>366288.87</v>
      </c>
      <c r="G5" s="9">
        <v>435000</v>
      </c>
      <c r="H5" s="13"/>
      <c r="I5" s="9">
        <v>413530.31999999995</v>
      </c>
      <c r="J5" s="9">
        <v>725000</v>
      </c>
      <c r="K5" s="13"/>
      <c r="L5" s="9">
        <v>100457.04000000015</v>
      </c>
      <c r="M5" s="4"/>
      <c r="N5" s="9">
        <v>383333</v>
      </c>
      <c r="O5" s="9"/>
      <c r="P5" s="9">
        <v>94439.829999999842</v>
      </c>
      <c r="Q5" s="4"/>
      <c r="R5" s="9">
        <v>383333</v>
      </c>
      <c r="S5" s="4"/>
      <c r="T5" s="9">
        <v>176457.00000000012</v>
      </c>
      <c r="U5" s="4"/>
      <c r="V5" s="438">
        <v>383333</v>
      </c>
      <c r="W5" s="13"/>
      <c r="X5" s="4"/>
      <c r="Y5" s="9">
        <f>L5+P5+T5</f>
        <v>371353.87000000011</v>
      </c>
      <c r="Z5" s="9">
        <f>N5+R5+V5</f>
        <v>1149999</v>
      </c>
      <c r="AA5" s="9"/>
      <c r="AB5" s="9">
        <v>110451.37999999989</v>
      </c>
      <c r="AC5" s="4"/>
      <c r="AD5" s="438">
        <v>508333.33333333331</v>
      </c>
      <c r="AE5" s="438"/>
      <c r="AF5" s="9">
        <v>149267.8600000001</v>
      </c>
      <c r="AG5" s="4"/>
      <c r="AH5" s="438">
        <v>508333.33333333331</v>
      </c>
      <c r="AI5" s="9"/>
      <c r="AJ5" s="9">
        <f>CH5-I5-F5-L5-P5-T5-AB5-AF5</f>
        <v>210180.5900000002</v>
      </c>
      <c r="AK5" s="4"/>
      <c r="AL5" s="438">
        <f>1525000/3</f>
        <v>508333.33333333331</v>
      </c>
      <c r="AM5" s="438"/>
      <c r="AN5" s="364">
        <f>+AB5+AF5+AJ5</f>
        <v>469899.83000000019</v>
      </c>
      <c r="AO5" s="137">
        <f>508333*3+1</f>
        <v>1525000</v>
      </c>
      <c r="AP5" s="13"/>
      <c r="AQ5" s="364">
        <f>+F5+I5+Y5+AN5</f>
        <v>1621072.8900000001</v>
      </c>
      <c r="AR5" s="40">
        <f>+G5+J5+Z5+AO5+1</f>
        <v>3835000</v>
      </c>
      <c r="AS5" s="439">
        <f>+AQ5-AR5</f>
        <v>-2213927.11</v>
      </c>
      <c r="AT5" s="292"/>
      <c r="AU5" s="425">
        <v>400000</v>
      </c>
      <c r="AV5" s="121"/>
      <c r="AW5" s="121"/>
      <c r="AX5" s="494" t="s">
        <v>436</v>
      </c>
      <c r="AY5" s="480">
        <v>8409</v>
      </c>
      <c r="AZ5" s="121"/>
      <c r="BA5" s="121"/>
      <c r="BB5" s="121"/>
      <c r="BC5" s="121"/>
      <c r="BD5" s="121"/>
      <c r="BE5" s="121"/>
      <c r="BF5" s="121"/>
      <c r="BG5" s="121"/>
      <c r="BH5" s="121"/>
      <c r="BI5" s="380"/>
      <c r="BJ5" s="380">
        <f>AJ5+Y5+I5+F5</f>
        <v>1361353.6500000004</v>
      </c>
      <c r="BL5" s="193" t="s">
        <v>437</v>
      </c>
      <c r="BM5" s="383">
        <f>18400+9625</f>
        <v>28025</v>
      </c>
      <c r="BN5" s="380" t="s">
        <v>438</v>
      </c>
      <c r="BO5" s="380"/>
      <c r="BP5" s="380"/>
      <c r="BQ5" s="121"/>
      <c r="BR5" s="371"/>
      <c r="BS5" s="372"/>
      <c r="BT5" s="371"/>
      <c r="BU5" s="371"/>
      <c r="BV5" s="371"/>
      <c r="BW5" s="349">
        <f>+D5</f>
        <v>1520346.9899999998</v>
      </c>
      <c r="BX5" s="121"/>
      <c r="BY5" s="349">
        <f>+F5</f>
        <v>366288.87</v>
      </c>
      <c r="BZ5" s="349">
        <f>+G5</f>
        <v>435000</v>
      </c>
      <c r="CA5" s="121"/>
      <c r="CB5" s="349">
        <f>+I5</f>
        <v>413530.31999999995</v>
      </c>
      <c r="CC5" s="349">
        <f>+J5</f>
        <v>725000</v>
      </c>
      <c r="CD5" s="349"/>
      <c r="CE5" s="349">
        <f>+Y5</f>
        <v>371353.87000000011</v>
      </c>
      <c r="CF5" s="349">
        <f>+Z5</f>
        <v>1149999</v>
      </c>
      <c r="CG5" s="121"/>
      <c r="CH5" s="349">
        <f>-SUMIF('HARKAVA '!$Z:$Z,PL!A5,'HARKAVA '!Y:Y)</f>
        <v>1621072.8900000001</v>
      </c>
      <c r="CI5" s="349">
        <f>G5+J5+Z5+AD5+AL5</f>
        <v>3326665.666666667</v>
      </c>
    </row>
    <row r="6" spans="1:88">
      <c r="D6" s="9"/>
      <c r="E6" s="13"/>
      <c r="F6" s="9"/>
      <c r="G6" s="9"/>
      <c r="H6" s="13"/>
      <c r="I6" s="9"/>
      <c r="J6" s="9"/>
      <c r="K6" s="13"/>
      <c r="L6" s="9"/>
      <c r="M6" s="4"/>
      <c r="N6" s="9"/>
      <c r="O6" s="9"/>
      <c r="P6" s="9"/>
      <c r="Q6" s="4"/>
      <c r="R6" s="9"/>
      <c r="S6" s="4"/>
      <c r="T6" s="9"/>
      <c r="U6" s="4"/>
      <c r="V6" s="438"/>
      <c r="W6" s="13"/>
      <c r="X6" s="4"/>
      <c r="Y6" s="9"/>
      <c r="Z6" s="9"/>
      <c r="AA6" s="9"/>
      <c r="AB6" s="9"/>
      <c r="AC6" s="4"/>
      <c r="AD6" s="438"/>
      <c r="AE6" s="438"/>
      <c r="AF6" s="9"/>
      <c r="AG6" s="4"/>
      <c r="AH6" s="438"/>
      <c r="AI6" s="9"/>
      <c r="AJ6" s="9"/>
      <c r="AK6" s="4"/>
      <c r="AL6" s="438"/>
      <c r="AM6" s="438"/>
      <c r="AN6" s="364"/>
      <c r="AO6" s="137"/>
      <c r="AP6" s="13"/>
      <c r="AQ6" s="364"/>
      <c r="AR6" s="40"/>
      <c r="AS6" s="438"/>
      <c r="AT6" s="292"/>
      <c r="AU6" s="425"/>
      <c r="AV6" s="121"/>
      <c r="AW6" s="121"/>
      <c r="AX6" s="496" t="s">
        <v>439</v>
      </c>
      <c r="AY6" s="480">
        <v>8000</v>
      </c>
      <c r="AZ6" s="121"/>
      <c r="BA6" s="121"/>
      <c r="BB6" s="121"/>
      <c r="BC6" s="121"/>
      <c r="BD6" s="121"/>
      <c r="BE6" s="121"/>
      <c r="BF6" s="121"/>
      <c r="BG6" s="121"/>
      <c r="BH6" s="121"/>
      <c r="BI6" s="380"/>
      <c r="BJ6" s="380">
        <v>1410891.0783333334</v>
      </c>
      <c r="BL6" s="193" t="s">
        <v>440</v>
      </c>
      <c r="BM6" s="383">
        <v>47000</v>
      </c>
      <c r="BN6" s="380" t="s">
        <v>441</v>
      </c>
      <c r="BO6" s="380"/>
      <c r="BP6" s="380"/>
      <c r="BQ6" s="121"/>
      <c r="BR6" s="371"/>
      <c r="BS6" s="372"/>
      <c r="BT6" s="371"/>
      <c r="BU6" s="371"/>
      <c r="BV6" s="371"/>
      <c r="BW6" s="349"/>
      <c r="BX6" s="121"/>
      <c r="BY6" s="349"/>
      <c r="BZ6" s="349"/>
      <c r="CA6" s="121"/>
      <c r="CB6" s="349"/>
      <c r="CC6" s="349"/>
      <c r="CD6" s="349"/>
      <c r="CE6" s="349"/>
      <c r="CF6" s="349"/>
      <c r="CG6" s="121"/>
      <c r="CH6" s="349"/>
      <c r="CI6" s="349"/>
    </row>
    <row r="7" spans="1:88">
      <c r="B7" s="112" t="s">
        <v>442</v>
      </c>
      <c r="C7" s="112"/>
      <c r="D7" s="9"/>
      <c r="E7" s="13"/>
      <c r="F7" s="4"/>
      <c r="G7" s="4"/>
      <c r="H7" s="13"/>
      <c r="I7" s="4"/>
      <c r="J7" s="4"/>
      <c r="K7" s="13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13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363"/>
      <c r="AO7" s="4"/>
      <c r="AP7" s="13"/>
      <c r="AQ7" s="363"/>
      <c r="AR7" s="4"/>
      <c r="AS7" s="4"/>
      <c r="AU7" s="425"/>
      <c r="AX7" s="497" t="s">
        <v>443</v>
      </c>
      <c r="AY7" s="480">
        <v>-65500</v>
      </c>
      <c r="BJ7" s="381">
        <f>BJ6-BJ5</f>
        <v>49537.428333332995</v>
      </c>
      <c r="BL7" s="193" t="s">
        <v>444</v>
      </c>
      <c r="BM7" s="383">
        <f>36000+45000</f>
        <v>81000</v>
      </c>
      <c r="BN7" s="383" t="s">
        <v>445</v>
      </c>
      <c r="BR7" s="371"/>
      <c r="BS7" s="372"/>
      <c r="BT7" s="371"/>
      <c r="BU7" s="371"/>
      <c r="BV7" s="371"/>
      <c r="BW7" s="349"/>
      <c r="BY7" s="349"/>
      <c r="BZ7" s="349"/>
      <c r="CB7" s="349"/>
      <c r="CC7" s="349"/>
      <c r="CD7" s="349"/>
      <c r="CE7" s="349"/>
      <c r="CF7" s="349"/>
      <c r="CH7" s="349"/>
      <c r="CI7" s="349"/>
    </row>
    <row r="8" spans="1:88" ht="19" outlineLevel="1">
      <c r="A8" s="253">
        <v>5300</v>
      </c>
      <c r="B8" s="2" t="s">
        <v>446</v>
      </c>
      <c r="D8" s="9">
        <v>911168.1179999999</v>
      </c>
      <c r="E8" s="13"/>
      <c r="F8" s="40">
        <v>263015.29000000004</v>
      </c>
      <c r="G8" s="40">
        <f>SUMIF(budget!U:U,PL!A8,budget!L:L)</f>
        <v>277413.63636363629</v>
      </c>
      <c r="H8" s="13"/>
      <c r="I8" s="40">
        <f>259423</f>
        <v>259423</v>
      </c>
      <c r="J8" s="40">
        <f>SUMIF(budget!U:U,PL!A8,budget!P:P)</f>
        <v>595733.33333333349</v>
      </c>
      <c r="K8" s="13"/>
      <c r="L8" s="40">
        <v>123092.47999999975</v>
      </c>
      <c r="M8" s="40"/>
      <c r="N8" s="40">
        <v>263618.18181818182</v>
      </c>
      <c r="O8" s="40"/>
      <c r="P8" s="40">
        <v>107026.40000000037</v>
      </c>
      <c r="Q8" s="4"/>
      <c r="R8" s="40">
        <v>279375.75757575757</v>
      </c>
      <c r="S8" s="4"/>
      <c r="T8" s="40">
        <v>49995.729999999981</v>
      </c>
      <c r="U8" s="4"/>
      <c r="V8" s="40">
        <f>SUMIF(budget!U:U,PL!A8,budget!S:S)</f>
        <v>279375.75757575757</v>
      </c>
      <c r="W8" s="13"/>
      <c r="X8" s="4"/>
      <c r="Y8" s="40">
        <f>L8+P8+T8</f>
        <v>280114.6100000001</v>
      </c>
      <c r="Z8" s="40">
        <f>N8+R8+V8</f>
        <v>822369.69696969702</v>
      </c>
      <c r="AA8" s="40"/>
      <c r="AB8" s="40">
        <v>74016.459999999963</v>
      </c>
      <c r="AC8" s="4"/>
      <c r="AD8" s="40">
        <v>324375.75757575757</v>
      </c>
      <c r="AE8" s="40"/>
      <c r="AF8" s="40">
        <v>122229.31000000006</v>
      </c>
      <c r="AG8" s="4"/>
      <c r="AH8" s="40">
        <v>324375.75757575757</v>
      </c>
      <c r="AI8" s="40"/>
      <c r="AJ8" s="40">
        <f>CH8-I8-F8-L8-P8-T8-AB8-AF8</f>
        <v>218497.1399999999</v>
      </c>
      <c r="AK8" s="4"/>
      <c r="AL8" s="40">
        <f>SUMIF(budget!U:U,PL!A8,budget!X:X)</f>
        <v>553112.27272727271</v>
      </c>
      <c r="AM8" s="40"/>
      <c r="AN8" s="364">
        <f>+AB8+AF8+AJ8</f>
        <v>414742.90999999992</v>
      </c>
      <c r="AO8" s="137">
        <f>SUMIF(budget!U:U,PL!A8,budget!Y:Y)</f>
        <v>1201863.7878787878</v>
      </c>
      <c r="AP8" s="13"/>
      <c r="AQ8" s="364">
        <f t="shared" ref="AQ8:AR11" si="0">+F8+I8+Y8+AN8</f>
        <v>1217295.81</v>
      </c>
      <c r="AR8" s="40">
        <f t="shared" si="0"/>
        <v>2897380.4545454546</v>
      </c>
      <c r="AS8" s="439">
        <f>+AR8-AQ8</f>
        <v>1680084.6445454545</v>
      </c>
      <c r="AT8" s="292">
        <f>+AJ8/AF8</f>
        <v>1.7876002081661084</v>
      </c>
      <c r="AU8" s="425">
        <v>344000</v>
      </c>
      <c r="AV8" s="370">
        <f>AJ8-AF8</f>
        <v>96267.829999999842</v>
      </c>
      <c r="AW8" s="370"/>
      <c r="AX8" s="496" t="s">
        <v>447</v>
      </c>
      <c r="AY8" s="480">
        <v>12000</v>
      </c>
      <c r="BA8" s="370">
        <f>+AJ8</f>
        <v>218497.1399999999</v>
      </c>
      <c r="BB8" s="370" t="s">
        <v>448</v>
      </c>
      <c r="BC8" s="370"/>
      <c r="BD8" s="370"/>
      <c r="BE8" s="370"/>
      <c r="BF8" s="370"/>
      <c r="BG8" s="370"/>
      <c r="BH8" s="370"/>
      <c r="BI8" s="332">
        <v>1.05</v>
      </c>
      <c r="BJ8" s="396"/>
      <c r="BM8" s="397">
        <f>+SUM(BM4:BM7)</f>
        <v>400025</v>
      </c>
      <c r="BN8" s="332"/>
      <c r="BO8" s="332"/>
      <c r="BP8" s="332"/>
      <c r="BQ8" s="292"/>
      <c r="BR8" s="371"/>
      <c r="BS8" s="373"/>
      <c r="BT8" s="371"/>
      <c r="BU8" s="371"/>
      <c r="BV8" s="371"/>
      <c r="BW8" s="349">
        <f>+D8</f>
        <v>911168.1179999999</v>
      </c>
      <c r="BX8" s="292"/>
      <c r="BY8" s="349">
        <f t="shared" ref="BY8:BZ12" si="1">+F8</f>
        <v>263015.29000000004</v>
      </c>
      <c r="BZ8" s="349">
        <f t="shared" si="1"/>
        <v>277413.63636363629</v>
      </c>
      <c r="CA8" s="292"/>
      <c r="CB8" s="349">
        <f t="shared" ref="CB8:CC12" si="2">+I8</f>
        <v>259423</v>
      </c>
      <c r="CC8" s="349">
        <f t="shared" si="2"/>
        <v>595733.33333333349</v>
      </c>
      <c r="CD8" s="349"/>
      <c r="CE8" s="349">
        <f t="shared" ref="CE8:CF12" si="3">+Y8</f>
        <v>280114.6100000001</v>
      </c>
      <c r="CF8" s="349">
        <f t="shared" si="3"/>
        <v>822369.69696969702</v>
      </c>
      <c r="CG8" s="292"/>
      <c r="CH8" s="349">
        <f>SUMIF('HARKAVA '!$Z:$Z,PL!A8,'HARKAVA '!Y:Y)</f>
        <v>1217295.81</v>
      </c>
      <c r="CI8" s="349">
        <f>G8+J8+Z8+AD8+AL8</f>
        <v>2573004.6969696973</v>
      </c>
      <c r="CJ8" s="113" t="s">
        <v>449</v>
      </c>
    </row>
    <row r="9" spans="1:88" ht="21.75" customHeight="1" outlineLevel="1">
      <c r="A9" s="253">
        <v>5311</v>
      </c>
      <c r="B9" s="2" t="s">
        <v>450</v>
      </c>
      <c r="D9" s="9">
        <v>45511</v>
      </c>
      <c r="E9" s="13"/>
      <c r="F9" s="40">
        <v>7976.08</v>
      </c>
      <c r="G9" s="40">
        <f>SUMIF(budget!U:U,PL!A9,budget!L:L)</f>
        <v>0</v>
      </c>
      <c r="H9" s="13"/>
      <c r="I9" s="40">
        <v>31725.229999999996</v>
      </c>
      <c r="J9" s="40">
        <v>0</v>
      </c>
      <c r="K9" s="13"/>
      <c r="L9" s="40">
        <v>1785.0000000000018</v>
      </c>
      <c r="M9" s="40"/>
      <c r="N9" s="40">
        <v>0</v>
      </c>
      <c r="O9" s="40"/>
      <c r="P9" s="40">
        <v>665</v>
      </c>
      <c r="Q9" s="4"/>
      <c r="R9" s="40">
        <v>0</v>
      </c>
      <c r="S9" s="4"/>
      <c r="T9" s="440">
        <v>-14961.599999999999</v>
      </c>
      <c r="U9" s="4"/>
      <c r="V9" s="40">
        <f>SUMIF(budget!U:U,PL!A9,budget!S:S)</f>
        <v>0</v>
      </c>
      <c r="W9" s="13"/>
      <c r="X9" s="4"/>
      <c r="Y9" s="440">
        <f>L9+P9+T9</f>
        <v>-12511.599999999997</v>
      </c>
      <c r="Z9" s="40">
        <f>N9+R9+V9</f>
        <v>0</v>
      </c>
      <c r="AA9" s="40"/>
      <c r="AB9" s="440">
        <v>7989.32</v>
      </c>
      <c r="AC9" s="4"/>
      <c r="AD9" s="40">
        <v>0</v>
      </c>
      <c r="AE9" s="40"/>
      <c r="AF9" s="440">
        <v>-9636</v>
      </c>
      <c r="AG9" s="4"/>
      <c r="AH9" s="40">
        <v>0</v>
      </c>
      <c r="AI9" s="40"/>
      <c r="AJ9" s="440">
        <f>CH9-I9-F9-L9-P9-T9-AB9-AF9</f>
        <v>-3178.9796870296632</v>
      </c>
      <c r="AK9" s="4"/>
      <c r="AL9" s="40">
        <f>SUMIF(budget!U:U,PL!A9,budget!X:X)</f>
        <v>0</v>
      </c>
      <c r="AM9" s="40"/>
      <c r="AN9" s="364">
        <f>+AB9+AF9+AJ9</f>
        <v>-4825.6596870296635</v>
      </c>
      <c r="AO9" s="137">
        <f>SUMIF(budget!U:U,PL!A9,budget!Y:Y)</f>
        <v>0</v>
      </c>
      <c r="AP9" s="13"/>
      <c r="AQ9" s="364">
        <f t="shared" si="0"/>
        <v>22364.050312970336</v>
      </c>
      <c r="AR9" s="40">
        <f t="shared" si="0"/>
        <v>0</v>
      </c>
      <c r="AS9" s="439">
        <f>+AR9-AQ9</f>
        <v>-22364.050312970336</v>
      </c>
      <c r="AT9" s="292">
        <f>+AJ9/AF9</f>
        <v>0.32990656776978655</v>
      </c>
      <c r="AU9" s="425">
        <v>7000</v>
      </c>
      <c r="AV9" s="370">
        <f>AJ9-AF9</f>
        <v>6457.0203129703368</v>
      </c>
      <c r="AW9" s="370"/>
      <c r="AX9" s="496" t="s">
        <v>451</v>
      </c>
      <c r="AY9" s="480">
        <f>54167*0.5+45833*0.5</f>
        <v>50000</v>
      </c>
      <c r="AZ9" s="370"/>
      <c r="BA9" s="18">
        <f>56000/2</f>
        <v>28000</v>
      </c>
      <c r="BB9" s="2" t="s">
        <v>452</v>
      </c>
      <c r="BC9" s="370"/>
      <c r="BD9" s="370"/>
      <c r="BE9" s="370"/>
      <c r="BF9" s="370"/>
      <c r="BG9" s="370"/>
      <c r="BH9" s="370"/>
      <c r="BI9" s="332">
        <f>+AT9</f>
        <v>0.32990656776978655</v>
      </c>
      <c r="BJ9" s="396"/>
      <c r="BK9" s="193" t="s">
        <v>453</v>
      </c>
      <c r="BN9" s="332"/>
      <c r="BO9" s="332"/>
      <c r="BP9" s="332"/>
      <c r="BQ9" s="292"/>
      <c r="BS9" s="374"/>
      <c r="BW9" s="349">
        <f>+D9</f>
        <v>45511</v>
      </c>
      <c r="BX9" s="292"/>
      <c r="BY9" s="349">
        <f t="shared" si="1"/>
        <v>7976.08</v>
      </c>
      <c r="BZ9" s="349">
        <f t="shared" si="1"/>
        <v>0</v>
      </c>
      <c r="CA9" s="292"/>
      <c r="CB9" s="349">
        <f t="shared" si="2"/>
        <v>31725.229999999996</v>
      </c>
      <c r="CC9" s="349">
        <f t="shared" si="2"/>
        <v>0</v>
      </c>
      <c r="CD9" s="349"/>
      <c r="CE9" s="349">
        <f t="shared" si="3"/>
        <v>-12511.599999999997</v>
      </c>
      <c r="CF9" s="349">
        <f t="shared" si="3"/>
        <v>0</v>
      </c>
      <c r="CG9" s="292"/>
      <c r="CH9" s="349">
        <f>SUMIF('HARKAVA '!$Z:$Z,PL!A9,'HARKAVA '!Y:Y)</f>
        <v>22364.050312970336</v>
      </c>
      <c r="CI9" s="349">
        <f>G9+J9+Z9+AD9+AL9</f>
        <v>0</v>
      </c>
    </row>
    <row r="10" spans="1:88" outlineLevel="1">
      <c r="A10" s="253">
        <v>5320</v>
      </c>
      <c r="B10" s="2" t="s">
        <v>454</v>
      </c>
      <c r="D10" s="9">
        <v>194234.05</v>
      </c>
      <c r="E10" s="13"/>
      <c r="F10" s="40">
        <v>33082.22</v>
      </c>
      <c r="G10" s="40">
        <f>SUMIF(budget!U:U,PL!A10,budget!L:L)</f>
        <v>10000</v>
      </c>
      <c r="H10" s="13"/>
      <c r="I10" s="40">
        <v>55133.819999999992</v>
      </c>
      <c r="J10" s="40">
        <f>SUMIF(budget!U:U,PL!A10,budget!P:P)</f>
        <v>10000</v>
      </c>
      <c r="K10" s="13"/>
      <c r="L10" s="40">
        <v>2622.2400000000052</v>
      </c>
      <c r="M10" s="40"/>
      <c r="N10" s="40">
        <v>5000</v>
      </c>
      <c r="O10" s="40"/>
      <c r="P10" s="40">
        <v>2933.9000000000087</v>
      </c>
      <c r="Q10" s="4"/>
      <c r="R10" s="40">
        <v>5000</v>
      </c>
      <c r="S10" s="4"/>
      <c r="T10" s="40">
        <v>6201.589999999982</v>
      </c>
      <c r="U10" s="4"/>
      <c r="V10" s="40">
        <f>SUMIF(budget!U:U,PL!A10,budget!S:S)</f>
        <v>5000</v>
      </c>
      <c r="W10" s="13"/>
      <c r="X10" s="4"/>
      <c r="Y10" s="40">
        <f>L10+P10+T10</f>
        <v>11757.729999999996</v>
      </c>
      <c r="Z10" s="40">
        <f>N10+R10+V10</f>
        <v>15000</v>
      </c>
      <c r="AA10" s="40"/>
      <c r="AB10" s="40">
        <v>2323.7000000000116</v>
      </c>
      <c r="AC10" s="4"/>
      <c r="AD10" s="40">
        <v>5000</v>
      </c>
      <c r="AE10" s="40"/>
      <c r="AF10" s="40">
        <v>1589.1399999999994</v>
      </c>
      <c r="AG10" s="4"/>
      <c r="AH10" s="40">
        <v>5000</v>
      </c>
      <c r="AI10" s="40"/>
      <c r="AJ10" s="40">
        <f>CH10-I10-F10-L10-P10-T10-AB10-AF10</f>
        <v>11863.875</v>
      </c>
      <c r="AK10" s="4"/>
      <c r="AL10" s="40">
        <f>SUMIF(budget!U:U,PL!A10,budget!X:X)</f>
        <v>5000</v>
      </c>
      <c r="AM10" s="40"/>
      <c r="AN10" s="364">
        <f>+AB10+AF10+AJ10</f>
        <v>15776.715000000011</v>
      </c>
      <c r="AO10" s="137">
        <f>SUMIF(budget!U:U,PL!A10,budget!Y:Y)</f>
        <v>15000</v>
      </c>
      <c r="AP10" s="13"/>
      <c r="AQ10" s="364">
        <f t="shared" si="0"/>
        <v>115750.485</v>
      </c>
      <c r="AR10" s="40">
        <f t="shared" si="0"/>
        <v>50000</v>
      </c>
      <c r="AS10" s="439">
        <f>+AR10-AQ10</f>
        <v>-65750.485000000001</v>
      </c>
      <c r="AT10" s="292">
        <f>+AJ10/AF10</f>
        <v>7.4655945983362093</v>
      </c>
      <c r="AU10" s="425">
        <v>4000</v>
      </c>
      <c r="AV10" s="370">
        <f>AJ10-AF10</f>
        <v>10274.735000000001</v>
      </c>
      <c r="AW10" s="370"/>
      <c r="AX10" s="496" t="s">
        <v>455</v>
      </c>
      <c r="AY10" s="480">
        <f>12000+32000+42000</f>
        <v>86000</v>
      </c>
      <c r="AZ10" s="370"/>
      <c r="BA10" s="416">
        <f>+BB48*0.5</f>
        <v>47150</v>
      </c>
      <c r="BB10" s="370" t="s">
        <v>456</v>
      </c>
      <c r="BC10" s="370"/>
      <c r="BD10" s="370"/>
      <c r="BE10" s="370"/>
      <c r="BF10" s="370"/>
      <c r="BG10" s="370"/>
      <c r="BH10" s="370"/>
      <c r="BI10" s="332">
        <f>+AT10</f>
        <v>7.4655945983362093</v>
      </c>
      <c r="BJ10" s="396"/>
      <c r="BK10" s="193" t="s">
        <v>457</v>
      </c>
      <c r="BN10" s="332"/>
      <c r="BO10" s="332"/>
      <c r="BP10" s="332"/>
      <c r="BQ10" s="292"/>
      <c r="BR10" s="375"/>
      <c r="BS10" s="18"/>
      <c r="BW10" s="349">
        <f>+D10</f>
        <v>194234.05</v>
      </c>
      <c r="BX10" s="292"/>
      <c r="BY10" s="349">
        <f t="shared" si="1"/>
        <v>33082.22</v>
      </c>
      <c r="BZ10" s="349">
        <f t="shared" si="1"/>
        <v>10000</v>
      </c>
      <c r="CA10" s="292"/>
      <c r="CB10" s="349">
        <f t="shared" si="2"/>
        <v>55133.819999999992</v>
      </c>
      <c r="CC10" s="349">
        <f t="shared" si="2"/>
        <v>10000</v>
      </c>
      <c r="CD10" s="349"/>
      <c r="CE10" s="349">
        <f t="shared" si="3"/>
        <v>11757.729999999996</v>
      </c>
      <c r="CF10" s="349">
        <f t="shared" si="3"/>
        <v>15000</v>
      </c>
      <c r="CG10" s="292"/>
      <c r="CH10" s="349">
        <f>SUMIF('HARKAVA '!$Z:$Z,PL!A10,'HARKAVA '!Y:Y)</f>
        <v>115750.485</v>
      </c>
      <c r="CI10" s="349">
        <f>G10+J10+Z10+AD10+AL10</f>
        <v>45000</v>
      </c>
    </row>
    <row r="11" spans="1:88" ht="40" outlineLevel="1">
      <c r="A11" s="253">
        <v>5330</v>
      </c>
      <c r="B11" s="2" t="s">
        <v>458</v>
      </c>
      <c r="D11" s="9">
        <v>50334.45</v>
      </c>
      <c r="E11" s="13"/>
      <c r="F11" s="40">
        <v>50190.239999999998</v>
      </c>
      <c r="G11" s="40">
        <f>SUMIF(budget!U:U,PL!A11,budget!L:L)</f>
        <v>28400</v>
      </c>
      <c r="H11" s="13"/>
      <c r="I11" s="40">
        <v>51165.918571428549</v>
      </c>
      <c r="J11" s="40">
        <f>SUMIF(budget!U:U,PL!A11,budget!P:P)</f>
        <v>38000</v>
      </c>
      <c r="K11" s="13"/>
      <c r="L11" s="40">
        <v>21384.060000000049</v>
      </c>
      <c r="M11" s="40"/>
      <c r="N11" s="40">
        <v>20267</v>
      </c>
      <c r="O11" s="40"/>
      <c r="P11" s="40">
        <v>21819.160000000033</v>
      </c>
      <c r="Q11" s="4"/>
      <c r="R11" s="40">
        <v>21067</v>
      </c>
      <c r="S11" s="4"/>
      <c r="T11" s="40">
        <v>42216.121428571387</v>
      </c>
      <c r="U11" s="4"/>
      <c r="V11" s="40">
        <f>SUMIF(budget!U:U,PL!A11,budget!S:S)</f>
        <v>21066</v>
      </c>
      <c r="W11" s="13"/>
      <c r="X11" s="4"/>
      <c r="Y11" s="40">
        <f>L11+P11+T11</f>
        <v>85419.341428571468</v>
      </c>
      <c r="Z11" s="40">
        <f>N11+R11+V11</f>
        <v>62400</v>
      </c>
      <c r="AA11" s="40"/>
      <c r="AB11" s="40">
        <v>32891.783083737908</v>
      </c>
      <c r="AC11" s="4"/>
      <c r="AD11" s="40">
        <v>25133</v>
      </c>
      <c r="AE11" s="40"/>
      <c r="AF11" s="40">
        <v>38043.963582928736</v>
      </c>
      <c r="AG11" s="4"/>
      <c r="AH11" s="40">
        <v>25133</v>
      </c>
      <c r="AI11" s="40"/>
      <c r="AJ11" s="40">
        <f>CH11-I11-F11-L11-P11-T11-AB11-AF11</f>
        <v>-1283.7231960174104</v>
      </c>
      <c r="AK11" s="4"/>
      <c r="AL11" s="40">
        <f>SUMIF(budget!U:U,PL!A11,budget!X:X)</f>
        <v>25134</v>
      </c>
      <c r="AM11" s="40"/>
      <c r="AN11" s="364">
        <f>+AB11+AF11+AJ11</f>
        <v>69652.023470649234</v>
      </c>
      <c r="AO11" s="137">
        <f>SUMIF(budget!U:U,PL!A11,budget!Y:Y)</f>
        <v>75400</v>
      </c>
      <c r="AP11" s="13"/>
      <c r="AQ11" s="364">
        <f t="shared" si="0"/>
        <v>256427.52347064923</v>
      </c>
      <c r="AR11" s="40">
        <f t="shared" si="0"/>
        <v>204200</v>
      </c>
      <c r="AS11" s="439">
        <f>+AR11-AQ11</f>
        <v>-52227.523470649234</v>
      </c>
      <c r="AT11" s="292">
        <f>+AJ11/AF11</f>
        <v>-3.374315068983634E-2</v>
      </c>
      <c r="AU11" s="425">
        <v>43000</v>
      </c>
      <c r="AV11" s="370">
        <f>AJ11-AF11</f>
        <v>-39327.686778946147</v>
      </c>
      <c r="AW11" s="514" t="s">
        <v>459</v>
      </c>
      <c r="AX11" s="496" t="s">
        <v>460</v>
      </c>
      <c r="AY11" s="505">
        <v>-68329</v>
      </c>
      <c r="AZ11" s="370"/>
      <c r="BA11" s="422">
        <f>+BA8+BA10+BA9</f>
        <v>293647.1399999999</v>
      </c>
      <c r="BB11" s="370"/>
      <c r="BC11" s="370"/>
      <c r="BD11" s="370"/>
      <c r="BE11" s="370"/>
      <c r="BF11" s="370"/>
      <c r="BG11" s="370"/>
      <c r="BH11" s="370"/>
      <c r="BI11" s="332">
        <v>0.5</v>
      </c>
      <c r="BJ11" s="396"/>
      <c r="BK11" s="193" t="s">
        <v>461</v>
      </c>
      <c r="BN11" s="332"/>
      <c r="BO11" s="332"/>
      <c r="BP11" s="332"/>
      <c r="BQ11" s="292"/>
      <c r="BS11" s="374"/>
      <c r="BW11" s="349">
        <f>+D11</f>
        <v>50334.45</v>
      </c>
      <c r="BX11" s="292"/>
      <c r="BY11" s="349">
        <f t="shared" si="1"/>
        <v>50190.239999999998</v>
      </c>
      <c r="BZ11" s="349">
        <f t="shared" si="1"/>
        <v>28400</v>
      </c>
      <c r="CA11" s="292"/>
      <c r="CB11" s="349">
        <f t="shared" si="2"/>
        <v>51165.918571428549</v>
      </c>
      <c r="CC11" s="349">
        <f t="shared" si="2"/>
        <v>38000</v>
      </c>
      <c r="CD11" s="349"/>
      <c r="CE11" s="349">
        <f t="shared" si="3"/>
        <v>85419.341428571468</v>
      </c>
      <c r="CF11" s="349">
        <f t="shared" si="3"/>
        <v>62400</v>
      </c>
      <c r="CG11" s="292"/>
      <c r="CH11" s="349">
        <f>SUMIF('HARKAVA '!$Z:$Z,PL!A11,'HARKAVA '!Y:Y)</f>
        <v>256427.52347064923</v>
      </c>
      <c r="CI11" s="349">
        <f>G11+J11+Z11+AD11+AL11</f>
        <v>179067</v>
      </c>
      <c r="CJ11" s="2" t="s">
        <v>462</v>
      </c>
    </row>
    <row r="12" spans="1:88">
      <c r="B12" s="56"/>
      <c r="C12" s="56"/>
      <c r="D12" s="433">
        <f>SUM(D8:D11)</f>
        <v>1201247.6179999998</v>
      </c>
      <c r="E12" s="13"/>
      <c r="F12" s="433">
        <f>SUM(F8:F11)</f>
        <v>354263.83000000007</v>
      </c>
      <c r="G12" s="433">
        <f>SUM(G8:G11)</f>
        <v>315813.63636363629</v>
      </c>
      <c r="H12" s="13"/>
      <c r="I12" s="433">
        <f>SUM(I8:I11)</f>
        <v>397447.96857142856</v>
      </c>
      <c r="J12" s="433">
        <f>SUM(J8:J11)</f>
        <v>643733.33333333349</v>
      </c>
      <c r="K12" s="13"/>
      <c r="L12" s="433">
        <f>SUM(L8:L11)</f>
        <v>148883.7799999998</v>
      </c>
      <c r="M12" s="433"/>
      <c r="N12" s="433">
        <f>SUM(N8:N11)</f>
        <v>288885.18181818182</v>
      </c>
      <c r="O12" s="433"/>
      <c r="P12" s="433">
        <f>SUM(P8:P11)</f>
        <v>132444.46000000043</v>
      </c>
      <c r="Q12" s="441"/>
      <c r="R12" s="433">
        <v>305442.75757575757</v>
      </c>
      <c r="S12" s="441"/>
      <c r="T12" s="433">
        <f>SUM(T8:T11)</f>
        <v>83451.841428571352</v>
      </c>
      <c r="U12" s="441"/>
      <c r="V12" s="442">
        <f>SUM(V8:V11)</f>
        <v>305441.75757575757</v>
      </c>
      <c r="W12" s="13"/>
      <c r="X12" s="441"/>
      <c r="Y12" s="433">
        <f>SUM(Y8:Y11)</f>
        <v>364780.0814285716</v>
      </c>
      <c r="Z12" s="433">
        <f>SUM(Z8:Z11)</f>
        <v>899769.69696969702</v>
      </c>
      <c r="AA12" s="433"/>
      <c r="AB12" s="442">
        <v>117221.2630837379</v>
      </c>
      <c r="AC12" s="441"/>
      <c r="AD12" s="442">
        <v>354508.75757575757</v>
      </c>
      <c r="AE12" s="442"/>
      <c r="AF12" s="442">
        <v>152226.4135829288</v>
      </c>
      <c r="AG12" s="441"/>
      <c r="AH12" s="442">
        <v>354508.75757575757</v>
      </c>
      <c r="AI12" s="433"/>
      <c r="AJ12" s="442">
        <f>SUM(AJ8:AJ11)</f>
        <v>225898.31211695282</v>
      </c>
      <c r="AK12" s="441"/>
      <c r="AL12" s="442">
        <f>SUM(AL8:AL11)</f>
        <v>583246.27272727271</v>
      </c>
      <c r="AM12" s="442"/>
      <c r="AN12" s="443">
        <f>+SUM(AN8:AN11)</f>
        <v>495345.98878361948</v>
      </c>
      <c r="AO12" s="432">
        <f>+SUM(AO8:AO11)</f>
        <v>1292263.7878787878</v>
      </c>
      <c r="AP12" s="13"/>
      <c r="AQ12" s="443">
        <f>+SUM(AQ8:AQ11)</f>
        <v>1611837.8687836197</v>
      </c>
      <c r="AR12" s="432">
        <f>+SUM(AR8:AR11)</f>
        <v>3151580.4545454546</v>
      </c>
      <c r="AS12" s="444">
        <f>+SUM(AS8:AS11)</f>
        <v>1539742.5857618349</v>
      </c>
      <c r="AT12" s="292">
        <f>+AJ12/AF12</f>
        <v>1.4839626501079564</v>
      </c>
      <c r="AU12" s="428">
        <v>398000</v>
      </c>
      <c r="AV12" s="370">
        <f>AJ12-AF12</f>
        <v>73671.898534024018</v>
      </c>
      <c r="AW12" s="370"/>
      <c r="AX12" s="498"/>
      <c r="AY12" s="499">
        <f>SUM(AY4:AY11)</f>
        <v>23948</v>
      </c>
      <c r="AZ12" s="370"/>
      <c r="BA12" s="370"/>
      <c r="BB12" s="370"/>
      <c r="BC12" s="370"/>
      <c r="BD12" s="370"/>
      <c r="BE12" s="370"/>
      <c r="BF12" s="370"/>
      <c r="BG12" s="370"/>
      <c r="BH12" s="370"/>
      <c r="BI12" s="332">
        <f>+AT12</f>
        <v>1.4839626501079564</v>
      </c>
      <c r="BJ12" s="396"/>
      <c r="BK12" s="193" t="s">
        <v>463</v>
      </c>
      <c r="BN12" s="332"/>
      <c r="BO12" s="332"/>
      <c r="BP12" s="332"/>
      <c r="BQ12" s="292"/>
      <c r="BR12" s="292"/>
      <c r="BS12" s="292"/>
      <c r="BT12" s="292"/>
      <c r="BU12" s="292"/>
      <c r="BV12" s="292"/>
      <c r="BW12" s="350">
        <f>+D12</f>
        <v>1201247.6179999998</v>
      </c>
      <c r="BX12" s="292"/>
      <c r="BY12" s="350">
        <f t="shared" si="1"/>
        <v>354263.83000000007</v>
      </c>
      <c r="BZ12" s="350">
        <f t="shared" si="1"/>
        <v>315813.63636363629</v>
      </c>
      <c r="CA12" s="292"/>
      <c r="CB12" s="350">
        <f t="shared" si="2"/>
        <v>397447.96857142856</v>
      </c>
      <c r="CC12" s="350">
        <f t="shared" si="2"/>
        <v>643733.33333333349</v>
      </c>
      <c r="CD12" s="349"/>
      <c r="CE12" s="350">
        <f t="shared" si="3"/>
        <v>364780.0814285716</v>
      </c>
      <c r="CF12" s="350">
        <f t="shared" si="3"/>
        <v>899769.69696969702</v>
      </c>
      <c r="CG12" s="292"/>
      <c r="CH12" s="350">
        <f>SUM(CH8:CH11)</f>
        <v>1611837.8687836197</v>
      </c>
      <c r="CI12" s="350">
        <f>SUM(CI8:CI11)</f>
        <v>2797071.6969696973</v>
      </c>
    </row>
    <row r="13" spans="1:88" ht="6" customHeight="1">
      <c r="B13" s="56"/>
      <c r="C13" s="56"/>
      <c r="D13" s="9"/>
      <c r="E13" s="13"/>
      <c r="F13" s="4"/>
      <c r="G13" s="4"/>
      <c r="H13" s="13"/>
      <c r="I13" s="4"/>
      <c r="J13" s="4"/>
      <c r="K13" s="13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13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363"/>
      <c r="AO13" s="137"/>
      <c r="AP13" s="13"/>
      <c r="AQ13" s="363"/>
      <c r="AR13" s="4"/>
      <c r="AS13" s="4"/>
      <c r="AU13" s="425"/>
      <c r="BK13" s="193" t="s">
        <v>464</v>
      </c>
      <c r="BW13" s="349"/>
      <c r="BY13" s="349"/>
      <c r="BZ13" s="349"/>
      <c r="CB13" s="349"/>
      <c r="CC13" s="349"/>
      <c r="CD13" s="349"/>
      <c r="CE13" s="349"/>
      <c r="CF13" s="349"/>
      <c r="CH13" s="349"/>
      <c r="CI13" s="349"/>
    </row>
    <row r="14" spans="1:88">
      <c r="B14" s="56" t="s">
        <v>465</v>
      </c>
      <c r="C14" s="56"/>
      <c r="D14" s="440">
        <f>D5-D12</f>
        <v>319099.37199999997</v>
      </c>
      <c r="E14" s="13"/>
      <c r="F14" s="440">
        <f>F5-F12</f>
        <v>12025.039999999921</v>
      </c>
      <c r="G14" s="440">
        <f>G5-G12</f>
        <v>119186.36363636371</v>
      </c>
      <c r="H14" s="13"/>
      <c r="I14" s="440">
        <f>I5-I12</f>
        <v>16082.35142857139</v>
      </c>
      <c r="J14" s="440">
        <f>J5-J12</f>
        <v>81266.666666666511</v>
      </c>
      <c r="K14" s="13"/>
      <c r="L14" s="440">
        <f>L5-L12</f>
        <v>-48426.739999999641</v>
      </c>
      <c r="M14" s="440"/>
      <c r="N14" s="440">
        <f>N5-N12</f>
        <v>94447.818181818177</v>
      </c>
      <c r="O14" s="440"/>
      <c r="P14" s="440">
        <f>P5-P12</f>
        <v>-38004.630000000587</v>
      </c>
      <c r="Q14" s="4"/>
      <c r="R14" s="440">
        <v>77890.242424242431</v>
      </c>
      <c r="S14" s="4"/>
      <c r="T14" s="440">
        <f>T5-T12</f>
        <v>93005.158571428765</v>
      </c>
      <c r="U14" s="4"/>
      <c r="V14" s="445">
        <f>V5-V12</f>
        <v>77891.242424242431</v>
      </c>
      <c r="W14" s="13"/>
      <c r="X14" s="4"/>
      <c r="Y14" s="440">
        <f>Y5-Y12</f>
        <v>6573.7885714285076</v>
      </c>
      <c r="Z14" s="440">
        <f>Z5-Z12</f>
        <v>250229.30303030298</v>
      </c>
      <c r="AA14" s="440"/>
      <c r="AB14" s="445">
        <v>-6769.8830837380083</v>
      </c>
      <c r="AC14" s="4"/>
      <c r="AD14" s="445">
        <v>153824.57575757575</v>
      </c>
      <c r="AE14" s="445"/>
      <c r="AF14" s="445">
        <v>-2958.5535829286964</v>
      </c>
      <c r="AG14" s="4"/>
      <c r="AH14" s="445">
        <v>153824.57575757575</v>
      </c>
      <c r="AI14" s="440"/>
      <c r="AJ14" s="445">
        <f>AJ5-AJ12</f>
        <v>-15717.722116952616</v>
      </c>
      <c r="AK14" s="4"/>
      <c r="AL14" s="445">
        <f>AL5-AL12</f>
        <v>-74912.939393939392</v>
      </c>
      <c r="AM14" s="445"/>
      <c r="AN14" s="446">
        <f>AN5-AN12</f>
        <v>-25446.158783619292</v>
      </c>
      <c r="AO14" s="440">
        <f>AO5-AO12</f>
        <v>232736.21212121216</v>
      </c>
      <c r="AP14" s="13"/>
      <c r="AQ14" s="364">
        <f>+F14+I14+Y14+AN14</f>
        <v>9235.0212163805263</v>
      </c>
      <c r="AR14" s="440">
        <f>AR5-AR12</f>
        <v>683419.54545454541</v>
      </c>
      <c r="AS14" s="439">
        <f>+AQ14-AR14</f>
        <v>-674184.52423816489</v>
      </c>
      <c r="AT14" s="292"/>
      <c r="AU14" s="425">
        <v>2000</v>
      </c>
      <c r="AV14" s="261"/>
      <c r="AW14" s="261"/>
      <c r="AX14" s="500"/>
      <c r="AY14" s="500"/>
      <c r="AZ14" s="261"/>
      <c r="BA14" s="261"/>
      <c r="BB14" s="261"/>
      <c r="BC14" s="261"/>
      <c r="BD14" s="261"/>
      <c r="BE14" s="261"/>
      <c r="BF14" s="261"/>
      <c r="BG14" s="261"/>
      <c r="BH14" s="261"/>
      <c r="BI14" s="382"/>
      <c r="BJ14" s="382"/>
      <c r="BN14" s="382"/>
      <c r="BO14" s="382"/>
      <c r="BP14" s="382"/>
      <c r="BQ14" s="261"/>
      <c r="BR14" s="261"/>
      <c r="BS14" s="261"/>
      <c r="BT14" s="261"/>
      <c r="BU14" s="261"/>
      <c r="BV14" s="261"/>
      <c r="BW14" s="349">
        <f>+D14</f>
        <v>319099.37199999997</v>
      </c>
      <c r="BX14" s="261"/>
      <c r="BY14" s="349">
        <f>+F14</f>
        <v>12025.039999999921</v>
      </c>
      <c r="BZ14" s="349">
        <f>+G14</f>
        <v>119186.36363636371</v>
      </c>
      <c r="CA14" s="261"/>
      <c r="CB14" s="349">
        <f>+I14</f>
        <v>16082.35142857139</v>
      </c>
      <c r="CC14" s="349">
        <f>+J14</f>
        <v>81266.666666666511</v>
      </c>
      <c r="CD14" s="349"/>
      <c r="CE14" s="349">
        <f>+Y14</f>
        <v>6573.7885714285076</v>
      </c>
      <c r="CF14" s="349">
        <f>+Z14</f>
        <v>250229.30303030298</v>
      </c>
      <c r="CG14" s="261"/>
      <c r="CH14" s="349">
        <f>CH5-CH12</f>
        <v>9235.0212163804099</v>
      </c>
      <c r="CI14" s="349">
        <f>CI5-CI12</f>
        <v>529593.96969696973</v>
      </c>
    </row>
    <row r="15" spans="1:88" ht="13.5" customHeight="1">
      <c r="B15" s="56"/>
      <c r="C15" s="56"/>
      <c r="D15" s="440"/>
      <c r="E15" s="13"/>
      <c r="F15" s="524">
        <f>F14/F5</f>
        <v>3.2829389547107783E-2</v>
      </c>
      <c r="G15" s="440"/>
      <c r="H15" s="13"/>
      <c r="I15" s="524">
        <f>I14/I5</f>
        <v>3.8890380343988784E-2</v>
      </c>
      <c r="J15" s="440"/>
      <c r="K15" s="13"/>
      <c r="L15" s="440"/>
      <c r="M15" s="440"/>
      <c r="N15" s="440"/>
      <c r="O15" s="440"/>
      <c r="P15" s="440"/>
      <c r="Q15" s="4"/>
      <c r="R15" s="440"/>
      <c r="S15" s="4"/>
      <c r="T15" s="440"/>
      <c r="U15" s="4"/>
      <c r="V15" s="445"/>
      <c r="W15" s="13"/>
      <c r="X15" s="4"/>
      <c r="Y15" s="524">
        <f>Y14/Y5</f>
        <v>1.7702221795691819E-2</v>
      </c>
      <c r="Z15" s="440"/>
      <c r="AA15" s="440"/>
      <c r="AB15" s="445"/>
      <c r="AC15" s="4"/>
      <c r="AD15" s="445"/>
      <c r="AE15" s="445"/>
      <c r="AF15" s="445"/>
      <c r="AG15" s="4"/>
      <c r="AH15" s="445"/>
      <c r="AI15" s="440"/>
      <c r="AJ15" s="445"/>
      <c r="AK15" s="4"/>
      <c r="AL15" s="445"/>
      <c r="AM15" s="445"/>
      <c r="AN15" s="524">
        <f>AN14/AN5</f>
        <v>-5.4152304723368981E-2</v>
      </c>
      <c r="AO15" s="440"/>
      <c r="AP15" s="13"/>
      <c r="AQ15" s="524">
        <f>AQ14/AQ5</f>
        <v>5.6968574783707142E-3</v>
      </c>
      <c r="AR15" s="440"/>
      <c r="AS15" s="445"/>
      <c r="AT15" s="292"/>
      <c r="AU15" s="425"/>
      <c r="AV15" s="261"/>
      <c r="AW15" s="261"/>
      <c r="AX15" s="500"/>
      <c r="AY15" s="500"/>
      <c r="AZ15" s="261"/>
      <c r="BA15" s="261"/>
      <c r="BB15" s="261"/>
      <c r="BC15" s="261"/>
      <c r="BD15" s="261"/>
      <c r="BE15" s="261"/>
      <c r="BF15" s="261"/>
      <c r="BG15" s="261"/>
      <c r="BH15" s="261"/>
      <c r="BI15" s="382"/>
      <c r="BJ15" s="382"/>
      <c r="BN15" s="382"/>
      <c r="BO15" s="382"/>
      <c r="BP15" s="382"/>
      <c r="BQ15" s="261"/>
      <c r="BR15" s="261"/>
      <c r="BS15" s="261"/>
      <c r="BT15" s="261"/>
      <c r="BU15" s="261"/>
      <c r="BV15" s="261"/>
      <c r="BW15" s="349"/>
      <c r="BX15" s="261"/>
      <c r="BY15" s="349"/>
      <c r="BZ15" s="349"/>
      <c r="CA15" s="261"/>
      <c r="CB15" s="349"/>
      <c r="CC15" s="349"/>
      <c r="CD15" s="349"/>
      <c r="CE15" s="349"/>
      <c r="CF15" s="349"/>
      <c r="CG15" s="261"/>
      <c r="CH15" s="349"/>
      <c r="CI15" s="349"/>
    </row>
    <row r="16" spans="1:88">
      <c r="B16" s="112" t="s">
        <v>466</v>
      </c>
      <c r="C16" s="112"/>
      <c r="D16" s="9"/>
      <c r="E16" s="13"/>
      <c r="F16" s="4"/>
      <c r="G16" s="4"/>
      <c r="H16" s="13"/>
      <c r="I16" s="4"/>
      <c r="J16" s="4"/>
      <c r="K16" s="13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13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363"/>
      <c r="AO16" s="137"/>
      <c r="AP16" s="13"/>
      <c r="AQ16" s="363"/>
      <c r="AR16" s="4"/>
      <c r="AS16" s="4"/>
      <c r="AU16" s="425"/>
      <c r="BW16" s="349"/>
      <c r="BY16" s="349"/>
      <c r="BZ16" s="349"/>
      <c r="CB16" s="349"/>
      <c r="CC16" s="349"/>
      <c r="CD16" s="349"/>
      <c r="CE16" s="349"/>
      <c r="CF16" s="349"/>
      <c r="CH16" s="349"/>
      <c r="CI16" s="349"/>
    </row>
    <row r="17" spans="1:88" outlineLevel="1">
      <c r="A17" s="253">
        <v>5500</v>
      </c>
      <c r="B17" s="2" t="s">
        <v>446</v>
      </c>
      <c r="D17" s="9">
        <v>463751.83</v>
      </c>
      <c r="E17" s="13"/>
      <c r="F17" s="40">
        <v>165477.99000000002</v>
      </c>
      <c r="G17" s="40">
        <f>SUMIF(budget!U:U,PL!A17,budget!L:L)</f>
        <v>207847</v>
      </c>
      <c r="H17" s="13"/>
      <c r="I17" s="40">
        <v>163810.85</v>
      </c>
      <c r="J17" s="40">
        <f>SUMIF(budget!U:U,PL!A17,budget!P:P)</f>
        <v>261385.90322580645</v>
      </c>
      <c r="K17" s="13"/>
      <c r="L17" s="40">
        <v>68209.070000000007</v>
      </c>
      <c r="M17" s="40"/>
      <c r="N17" s="40">
        <v>139729.16666666669</v>
      </c>
      <c r="O17" s="40"/>
      <c r="P17" s="40">
        <v>67984.369999999908</v>
      </c>
      <c r="Q17" s="4"/>
      <c r="R17" s="40">
        <v>139729.16666666669</v>
      </c>
      <c r="S17" s="4"/>
      <c r="T17" s="40">
        <v>90951.490000000107</v>
      </c>
      <c r="U17" s="4"/>
      <c r="V17" s="40">
        <f>SUMIF(budget!U:U,PL!A17,budget!S:S)</f>
        <v>390916.66666666669</v>
      </c>
      <c r="W17" s="13"/>
      <c r="X17" s="4"/>
      <c r="Y17" s="40">
        <f>L17+P17+T17</f>
        <v>227144.93000000002</v>
      </c>
      <c r="Z17" s="40">
        <f>N17+R17+V17</f>
        <v>670375</v>
      </c>
      <c r="AA17" s="40"/>
      <c r="AB17" s="40">
        <v>223000.02000000002</v>
      </c>
      <c r="AC17" s="4"/>
      <c r="AD17" s="40">
        <v>158229.16666666669</v>
      </c>
      <c r="AE17" s="40"/>
      <c r="AF17" s="40">
        <v>81746.309999999939</v>
      </c>
      <c r="AG17" s="4"/>
      <c r="AH17" s="40">
        <v>158229.16666666669</v>
      </c>
      <c r="AI17" s="40"/>
      <c r="AJ17" s="40">
        <f>CH17-I17-F17-L17-P17-T17-AB17-AF17</f>
        <v>346277.44999999995</v>
      </c>
      <c r="AK17" s="4"/>
      <c r="AL17" s="40">
        <f>SUMIF(budget!U:U,PL!A17,budget!X:X)</f>
        <v>534141.66666666674</v>
      </c>
      <c r="AM17" s="40"/>
      <c r="AN17" s="364">
        <f>+AB17+AF17+AJ17</f>
        <v>651023.77999999991</v>
      </c>
      <c r="AO17" s="137">
        <f>SUMIF(budget!U:U,PL!A17,budget!Y:Y)</f>
        <v>850600</v>
      </c>
      <c r="AP17" s="13"/>
      <c r="AQ17" s="364">
        <f t="shared" ref="AQ17:AR21" si="4">+F17+I17+Y17+AN17</f>
        <v>1207457.5499999998</v>
      </c>
      <c r="AR17" s="40">
        <f t="shared" si="4"/>
        <v>1990207.9032258065</v>
      </c>
      <c r="AS17" s="438"/>
      <c r="AT17" s="292">
        <f>+AJ17/AF17</f>
        <v>4.2360009889131414</v>
      </c>
      <c r="AU17" s="425">
        <v>609750</v>
      </c>
      <c r="AV17" s="370">
        <f t="shared" ref="AV17:AV22" si="5">AJ17-AF17</f>
        <v>264531.14</v>
      </c>
      <c r="AW17" s="370"/>
      <c r="AX17" s="496" t="s">
        <v>455</v>
      </c>
      <c r="AY17" s="477">
        <f>17000+230000</f>
        <v>247000</v>
      </c>
      <c r="AZ17" s="370"/>
      <c r="BA17" s="370">
        <v>80000</v>
      </c>
      <c r="BB17" s="370" t="s">
        <v>467</v>
      </c>
      <c r="BC17" s="370"/>
      <c r="BD17" s="370"/>
      <c r="BE17" s="370"/>
      <c r="BF17" s="370"/>
      <c r="BG17" s="370"/>
      <c r="BH17" s="370"/>
      <c r="BI17" s="332">
        <v>1.7</v>
      </c>
      <c r="BJ17" s="396" t="s">
        <v>468</v>
      </c>
      <c r="BK17" s="193" t="s">
        <v>469</v>
      </c>
      <c r="BN17" s="332"/>
      <c r="BO17" s="332"/>
      <c r="BP17" s="332"/>
      <c r="BR17" s="292"/>
      <c r="BS17" s="292"/>
      <c r="BT17" s="292"/>
      <c r="BU17" s="292"/>
      <c r="BV17" s="292"/>
      <c r="BW17" s="349">
        <f t="shared" ref="BW17:BW22" si="6">+D17</f>
        <v>463751.83</v>
      </c>
      <c r="BX17" s="292"/>
      <c r="BY17" s="349">
        <f t="shared" ref="BY17:BZ22" si="7">+F17</f>
        <v>165477.99000000002</v>
      </c>
      <c r="BZ17" s="349">
        <f t="shared" si="7"/>
        <v>207847</v>
      </c>
      <c r="CA17" s="292"/>
      <c r="CB17" s="349">
        <f t="shared" ref="CB17:CC22" si="8">+I17</f>
        <v>163810.85</v>
      </c>
      <c r="CC17" s="349">
        <f t="shared" si="8"/>
        <v>261385.90322580645</v>
      </c>
      <c r="CD17" s="349"/>
      <c r="CE17" s="349">
        <f t="shared" ref="CE17:CF22" si="9">+Y17</f>
        <v>227144.93000000002</v>
      </c>
      <c r="CF17" s="349">
        <f t="shared" si="9"/>
        <v>670375</v>
      </c>
      <c r="CG17" s="292"/>
      <c r="CH17" s="349">
        <f>SUMIF('HARKAVA '!$Z:$Z,PL!A17,'HARKAVA '!Y:Y)</f>
        <v>1207457.5499999998</v>
      </c>
      <c r="CI17" s="349">
        <f>G17+J17+Z17+AD17+AL17</f>
        <v>1831978.73655914</v>
      </c>
      <c r="CJ17" s="145"/>
    </row>
    <row r="18" spans="1:88" outlineLevel="1">
      <c r="A18" s="253">
        <v>5505</v>
      </c>
      <c r="B18" s="2" t="s">
        <v>450</v>
      </c>
      <c r="D18" s="9">
        <v>5653.56</v>
      </c>
      <c r="E18" s="13"/>
      <c r="F18" s="40">
        <v>11792</v>
      </c>
      <c r="G18" s="40">
        <v>0</v>
      </c>
      <c r="H18" s="13"/>
      <c r="I18" s="40">
        <v>20003.400000000001</v>
      </c>
      <c r="J18" s="40">
        <v>0</v>
      </c>
      <c r="K18" s="13"/>
      <c r="L18" s="40">
        <v>1892</v>
      </c>
      <c r="M18" s="40"/>
      <c r="N18" s="40">
        <v>0</v>
      </c>
      <c r="O18" s="40"/>
      <c r="P18" s="40">
        <v>-453</v>
      </c>
      <c r="Q18" s="4"/>
      <c r="R18" s="40">
        <v>0</v>
      </c>
      <c r="S18" s="4"/>
      <c r="T18" s="40">
        <v>21648.129999999997</v>
      </c>
      <c r="U18" s="4"/>
      <c r="V18" s="40">
        <f>SUMIF(budget!U:U,PL!A18,budget!S:S)</f>
        <v>0</v>
      </c>
      <c r="W18" s="13"/>
      <c r="X18" s="4"/>
      <c r="Y18" s="40">
        <f>L18+P18+T18</f>
        <v>23087.129999999997</v>
      </c>
      <c r="Z18" s="40">
        <f>N18+R18+V18</f>
        <v>0</v>
      </c>
      <c r="AA18" s="40"/>
      <c r="AB18" s="40">
        <v>-6455.32</v>
      </c>
      <c r="AC18" s="4"/>
      <c r="AD18" s="40">
        <v>0</v>
      </c>
      <c r="AE18" s="40"/>
      <c r="AF18" s="40">
        <v>-8042</v>
      </c>
      <c r="AG18" s="4"/>
      <c r="AH18" s="40">
        <v>0</v>
      </c>
      <c r="AI18" s="40"/>
      <c r="AJ18" s="40">
        <f>CH18-I18-F18-L18-P18-T18-AB18-AF18</f>
        <v>-26199.791546276807</v>
      </c>
      <c r="AK18" s="4"/>
      <c r="AL18" s="40">
        <f>SUMIF(budget!U:U,PL!A18,budget!X:X)</f>
        <v>0</v>
      </c>
      <c r="AM18" s="40"/>
      <c r="AN18" s="364">
        <f>+AB18+AF18+AJ18</f>
        <v>-40697.111546276807</v>
      </c>
      <c r="AO18" s="137">
        <f>SUMIF(budget!U:U,PL!A18,budget!Y:Y)</f>
        <v>0</v>
      </c>
      <c r="AP18" s="13"/>
      <c r="AQ18" s="364">
        <f t="shared" si="4"/>
        <v>14185.418453723192</v>
      </c>
      <c r="AR18" s="40">
        <f t="shared" si="4"/>
        <v>0</v>
      </c>
      <c r="AS18" s="438"/>
      <c r="AT18" s="292">
        <f>+AJ18/AF18</f>
        <v>3.2578701251276807</v>
      </c>
      <c r="AU18" s="425">
        <v>-7000</v>
      </c>
      <c r="AV18" s="370">
        <f t="shared" si="5"/>
        <v>-18157.791546276807</v>
      </c>
      <c r="AW18" s="370"/>
      <c r="AX18" s="496" t="s">
        <v>470</v>
      </c>
      <c r="AY18" s="477">
        <f>13000</f>
        <v>13000</v>
      </c>
      <c r="AZ18" s="370"/>
      <c r="BA18" s="370">
        <f>+BB49+BB50</f>
        <v>68150</v>
      </c>
      <c r="BB18" s="370" t="s">
        <v>471</v>
      </c>
      <c r="BC18" s="370"/>
      <c r="BD18" s="370"/>
      <c r="BE18" s="370"/>
      <c r="BF18" s="370"/>
      <c r="BG18" s="370"/>
      <c r="BH18" s="370"/>
      <c r="BI18" s="332">
        <f>+AT18</f>
        <v>3.2578701251276807</v>
      </c>
      <c r="BJ18" s="396"/>
      <c r="BK18" s="193" t="s">
        <v>472</v>
      </c>
      <c r="BN18" s="332"/>
      <c r="BO18" s="332"/>
      <c r="BP18" s="332"/>
      <c r="BR18" s="292"/>
      <c r="BS18" s="292"/>
      <c r="BT18" s="292"/>
      <c r="BU18" s="292"/>
      <c r="BV18" s="292"/>
      <c r="BW18" s="349">
        <f t="shared" si="6"/>
        <v>5653.56</v>
      </c>
      <c r="BX18" s="292"/>
      <c r="BY18" s="349">
        <f t="shared" si="7"/>
        <v>11792</v>
      </c>
      <c r="BZ18" s="349">
        <f t="shared" si="7"/>
        <v>0</v>
      </c>
      <c r="CA18" s="292"/>
      <c r="CB18" s="349">
        <f t="shared" si="8"/>
        <v>20003.400000000001</v>
      </c>
      <c r="CC18" s="349">
        <f t="shared" si="8"/>
        <v>0</v>
      </c>
      <c r="CD18" s="349"/>
      <c r="CE18" s="349">
        <f t="shared" si="9"/>
        <v>23087.129999999997</v>
      </c>
      <c r="CF18" s="349">
        <f t="shared" si="9"/>
        <v>0</v>
      </c>
      <c r="CG18" s="292"/>
      <c r="CH18" s="349">
        <f>SUMIF('HARKAVA '!$Z:$Z,PL!A18,'HARKAVA '!Y:Y)</f>
        <v>14185.41845372319</v>
      </c>
      <c r="CI18" s="349">
        <f>G18+J18+Z18+AD18+AL18</f>
        <v>0</v>
      </c>
      <c r="CJ18" s="145"/>
    </row>
    <row r="19" spans="1:88" outlineLevel="1">
      <c r="A19" s="253">
        <v>5510</v>
      </c>
      <c r="B19" s="2" t="s">
        <v>473</v>
      </c>
      <c r="D19" s="9">
        <v>93419.56</v>
      </c>
      <c r="E19" s="13"/>
      <c r="F19" s="40">
        <v>43953.47</v>
      </c>
      <c r="G19" s="40">
        <f>SUMIF(budget!U:U,PL!A19,budget!L:L)</f>
        <v>60000</v>
      </c>
      <c r="H19" s="13"/>
      <c r="I19" s="40">
        <v>42632.53</v>
      </c>
      <c r="J19" s="40">
        <f>SUMIF(budget!U:U,PL!A19,budget!P:P)</f>
        <v>100000</v>
      </c>
      <c r="K19" s="13"/>
      <c r="L19" s="40">
        <f>10886.76+17000</f>
        <v>27886.760000000002</v>
      </c>
      <c r="M19" s="40"/>
      <c r="N19" s="40">
        <v>53000</v>
      </c>
      <c r="O19" s="40"/>
      <c r="P19" s="40">
        <v>3753.0200000000041</v>
      </c>
      <c r="Q19" s="4"/>
      <c r="R19" s="40">
        <v>53000</v>
      </c>
      <c r="S19" s="4"/>
      <c r="T19" s="40">
        <v>51784.830000000009</v>
      </c>
      <c r="U19" s="4"/>
      <c r="V19" s="40">
        <f>SUMIF(budget!U:U,PL!A19,budget!S:S)</f>
        <v>55000</v>
      </c>
      <c r="W19" s="13"/>
      <c r="X19" s="4"/>
      <c r="Y19" s="40">
        <f>L19+P19+T19</f>
        <v>83424.610000000015</v>
      </c>
      <c r="Z19" s="40">
        <f>N19+R19+V19</f>
        <v>161000</v>
      </c>
      <c r="AA19" s="40"/>
      <c r="AB19" s="40">
        <v>22084.739999999983</v>
      </c>
      <c r="AC19" s="4"/>
      <c r="AD19" s="40">
        <v>56666.666666666664</v>
      </c>
      <c r="AE19" s="40"/>
      <c r="AF19" s="40">
        <v>30959.389999999985</v>
      </c>
      <c r="AG19" s="4"/>
      <c r="AH19" s="40">
        <v>56666.666666666664</v>
      </c>
      <c r="AI19" s="40"/>
      <c r="AJ19" s="40">
        <f>CH19-I19-F19-L19-P19-T19-AB19-AF19</f>
        <v>65263.329999999987</v>
      </c>
      <c r="AK19" s="4"/>
      <c r="AL19" s="40">
        <f>SUMIF(budget!U:U,PL!A19,budget!X:X)</f>
        <v>56666.666666666664</v>
      </c>
      <c r="AM19" s="40"/>
      <c r="AN19" s="364">
        <f>+AB19+AF19+AJ19</f>
        <v>118307.45999999996</v>
      </c>
      <c r="AO19" s="137">
        <f>SUMIF(budget!U:U,PL!A19,budget!Y:Y)</f>
        <v>170000</v>
      </c>
      <c r="AP19" s="13"/>
      <c r="AQ19" s="364">
        <f t="shared" si="4"/>
        <v>288318.06999999995</v>
      </c>
      <c r="AR19" s="40">
        <f t="shared" si="4"/>
        <v>491000</v>
      </c>
      <c r="AS19" s="438"/>
      <c r="AT19" s="292">
        <f>+AJ19/AF19</f>
        <v>2.1080302292777739</v>
      </c>
      <c r="AU19" s="425">
        <v>100000</v>
      </c>
      <c r="AV19" s="370">
        <f t="shared" si="5"/>
        <v>34303.94</v>
      </c>
      <c r="AW19" s="370" t="s">
        <v>474</v>
      </c>
      <c r="AX19" s="496" t="s">
        <v>475</v>
      </c>
      <c r="AY19" s="478">
        <v>4124</v>
      </c>
      <c r="AZ19" s="370"/>
      <c r="BA19" s="370">
        <v>186400</v>
      </c>
      <c r="BB19" s="370" t="s">
        <v>476</v>
      </c>
      <c r="BC19" s="370"/>
      <c r="BD19" s="370"/>
      <c r="BE19" s="370"/>
      <c r="BF19" s="370"/>
      <c r="BG19" s="370"/>
      <c r="BH19" s="370"/>
      <c r="BI19" s="332">
        <v>1.2</v>
      </c>
      <c r="BJ19" s="396" t="s">
        <v>477</v>
      </c>
      <c r="BK19" s="193" t="s">
        <v>478</v>
      </c>
      <c r="BN19" s="332"/>
      <c r="BO19" s="332"/>
      <c r="BP19" s="332"/>
      <c r="BR19" s="292"/>
      <c r="BS19" s="292"/>
      <c r="BT19" s="292"/>
      <c r="BU19" s="292"/>
      <c r="BV19" s="292"/>
      <c r="BW19" s="349">
        <f t="shared" si="6"/>
        <v>93419.56</v>
      </c>
      <c r="BX19" s="292"/>
      <c r="BY19" s="349">
        <f t="shared" si="7"/>
        <v>43953.47</v>
      </c>
      <c r="BZ19" s="349">
        <f t="shared" si="7"/>
        <v>60000</v>
      </c>
      <c r="CA19" s="292"/>
      <c r="CB19" s="349">
        <f t="shared" si="8"/>
        <v>42632.53</v>
      </c>
      <c r="CC19" s="349">
        <f t="shared" si="8"/>
        <v>100000</v>
      </c>
      <c r="CD19" s="349"/>
      <c r="CE19" s="349">
        <f t="shared" si="9"/>
        <v>83424.610000000015</v>
      </c>
      <c r="CF19" s="349">
        <f t="shared" si="9"/>
        <v>161000</v>
      </c>
      <c r="CG19" s="292"/>
      <c r="CH19" s="349">
        <f>SUMIF('HARKAVA '!$Z:$Z,PL!A19,'HARKAVA '!Y:Y)</f>
        <v>288318.07</v>
      </c>
      <c r="CI19" s="349">
        <f>G19+J19+Z19+AD19+AL19</f>
        <v>434333.33333333337</v>
      </c>
      <c r="CJ19" s="146" t="s">
        <v>479</v>
      </c>
    </row>
    <row r="20" spans="1:88" ht="42" customHeight="1" outlineLevel="1">
      <c r="A20" s="253">
        <v>5540</v>
      </c>
      <c r="B20" s="2" t="s">
        <v>480</v>
      </c>
      <c r="D20" s="9"/>
      <c r="E20" s="13"/>
      <c r="F20" s="40"/>
      <c r="G20" s="40"/>
      <c r="H20" s="13"/>
      <c r="I20" s="40"/>
      <c r="J20" s="40"/>
      <c r="K20" s="13"/>
      <c r="L20" s="40"/>
      <c r="M20" s="40"/>
      <c r="N20" s="40">
        <v>5000</v>
      </c>
      <c r="O20" s="40"/>
      <c r="P20" s="40">
        <v>0</v>
      </c>
      <c r="Q20" s="4"/>
      <c r="R20" s="40">
        <v>5000</v>
      </c>
      <c r="S20" s="4"/>
      <c r="T20" s="40">
        <v>436.84</v>
      </c>
      <c r="U20" s="4"/>
      <c r="V20" s="40">
        <f>SUMIF(budget!U:U,PL!A20,budget!S:S)</f>
        <v>5000</v>
      </c>
      <c r="W20" s="13"/>
      <c r="X20" s="4"/>
      <c r="Y20" s="40">
        <f>L20+P20+T20</f>
        <v>436.84</v>
      </c>
      <c r="Z20" s="40">
        <f>N20+R20+V20</f>
        <v>15000</v>
      </c>
      <c r="AA20" s="40"/>
      <c r="AB20" s="40">
        <v>-260.25</v>
      </c>
      <c r="AC20" s="4"/>
      <c r="AD20" s="40">
        <v>5000</v>
      </c>
      <c r="AE20" s="40"/>
      <c r="AF20" s="40">
        <v>3923.6000000000004</v>
      </c>
      <c r="AG20" s="4"/>
      <c r="AH20" s="40">
        <v>5000</v>
      </c>
      <c r="AI20" s="40"/>
      <c r="AJ20" s="40">
        <f>CH20-I20-F20-L20-P20-T20-AB20-AF20</f>
        <v>11723.541269841271</v>
      </c>
      <c r="AK20" s="4"/>
      <c r="AL20" s="40">
        <f>SUMIF(budget!U:U,PL!A20,budget!X:X)</f>
        <v>5000</v>
      </c>
      <c r="AM20" s="40"/>
      <c r="AN20" s="364">
        <f>+AB20+AF20+AJ20</f>
        <v>15386.891269841271</v>
      </c>
      <c r="AO20" s="137">
        <f>SUMIF(budget!U:U,PL!A20,budget!Y:Y)</f>
        <v>15000</v>
      </c>
      <c r="AP20" s="13"/>
      <c r="AQ20" s="364">
        <f t="shared" si="4"/>
        <v>15823.731269841272</v>
      </c>
      <c r="AR20" s="40">
        <f t="shared" si="4"/>
        <v>30000</v>
      </c>
      <c r="AS20" s="438"/>
      <c r="AT20" s="292"/>
      <c r="AU20" s="425" t="s">
        <v>481</v>
      </c>
      <c r="AV20" s="370">
        <f t="shared" si="5"/>
        <v>7799.9412698412707</v>
      </c>
      <c r="AW20" s="514" t="s">
        <v>482</v>
      </c>
      <c r="AX20" s="501"/>
      <c r="AY20" s="506">
        <f>SUM(AY17:AY19)</f>
        <v>264124</v>
      </c>
      <c r="AZ20" s="370"/>
      <c r="BA20" s="422">
        <f>+SUM(BA17:BA19)</f>
        <v>334550</v>
      </c>
      <c r="BB20" s="370"/>
      <c r="BC20" s="370"/>
      <c r="BD20" s="370"/>
      <c r="BE20" s="370"/>
      <c r="BF20" s="370"/>
      <c r="BG20" s="370"/>
      <c r="BH20" s="370"/>
      <c r="BI20" s="332">
        <f>+AT20</f>
        <v>0</v>
      </c>
      <c r="BJ20" s="396"/>
      <c r="BK20" s="193" t="s">
        <v>483</v>
      </c>
      <c r="BN20" s="332"/>
      <c r="BO20" s="332"/>
      <c r="BP20" s="332"/>
      <c r="BR20" s="292"/>
      <c r="BS20" s="292"/>
      <c r="BT20" s="292"/>
      <c r="BU20" s="292"/>
      <c r="BV20" s="292"/>
      <c r="BW20" s="349">
        <f t="shared" si="6"/>
        <v>0</v>
      </c>
      <c r="BX20" s="292"/>
      <c r="BY20" s="349">
        <f t="shared" si="7"/>
        <v>0</v>
      </c>
      <c r="BZ20" s="349">
        <f t="shared" si="7"/>
        <v>0</v>
      </c>
      <c r="CA20" s="292"/>
      <c r="CB20" s="349">
        <f t="shared" si="8"/>
        <v>0</v>
      </c>
      <c r="CC20" s="349">
        <f t="shared" si="8"/>
        <v>0</v>
      </c>
      <c r="CD20" s="349"/>
      <c r="CE20" s="349">
        <f t="shared" si="9"/>
        <v>436.84</v>
      </c>
      <c r="CF20" s="349">
        <f t="shared" si="9"/>
        <v>15000</v>
      </c>
      <c r="CG20" s="292"/>
      <c r="CH20" s="349">
        <f>SUMIF('HARKAVA '!$Z:$Z,PL!A20,'HARKAVA '!Y:Y)</f>
        <v>15823.731269841272</v>
      </c>
      <c r="CI20" s="349">
        <f>G20+J20+Z20+AD20+AL20</f>
        <v>25000</v>
      </c>
      <c r="CJ20" s="146"/>
    </row>
    <row r="21" spans="1:88" ht="27" outlineLevel="1">
      <c r="A21" s="253">
        <v>5550</v>
      </c>
      <c r="B21" s="2" t="s">
        <v>458</v>
      </c>
      <c r="D21" s="9">
        <v>4552.13</v>
      </c>
      <c r="E21" s="13"/>
      <c r="F21" s="40">
        <v>1662.8600000000001</v>
      </c>
      <c r="G21" s="40">
        <f>SUMIF(budget!U:U,PL!A21,budget!L:L)</f>
        <v>7200</v>
      </c>
      <c r="H21" s="13"/>
      <c r="I21" s="40">
        <v>-1368.5500000000002</v>
      </c>
      <c r="J21" s="40">
        <f>SUMIF(budget!U:U,PL!A21,budget!P:P)</f>
        <v>8000</v>
      </c>
      <c r="K21" s="13"/>
      <c r="L21" s="40">
        <v>0</v>
      </c>
      <c r="M21" s="40"/>
      <c r="N21" s="40">
        <v>6400</v>
      </c>
      <c r="O21" s="40"/>
      <c r="P21" s="40">
        <v>1398.6799999999998</v>
      </c>
      <c r="Q21" s="4"/>
      <c r="R21" s="40">
        <v>6400</v>
      </c>
      <c r="S21" s="4"/>
      <c r="T21" s="40">
        <v>-896.1899999999996</v>
      </c>
      <c r="U21" s="4"/>
      <c r="V21" s="40">
        <f>SUMIF(budget!U:U,PL!A21,budget!S:S)</f>
        <v>6400</v>
      </c>
      <c r="W21" s="13"/>
      <c r="X21" s="4"/>
      <c r="Y21" s="40">
        <f>L21+P21+T21</f>
        <v>502.49000000000024</v>
      </c>
      <c r="Z21" s="40">
        <f>N21+R21+V21</f>
        <v>19200</v>
      </c>
      <c r="AA21" s="40"/>
      <c r="AB21" s="40">
        <v>1856</v>
      </c>
      <c r="AC21" s="4"/>
      <c r="AD21" s="40">
        <v>8000</v>
      </c>
      <c r="AE21" s="40"/>
      <c r="AF21" s="40">
        <v>282.80000000000018</v>
      </c>
      <c r="AG21" s="4"/>
      <c r="AH21" s="40">
        <v>8000</v>
      </c>
      <c r="AI21" s="40"/>
      <c r="AJ21" s="40">
        <f>CH21-I21-F21-L21-P21-T21-AB21-AF21</f>
        <v>22303.519365079363</v>
      </c>
      <c r="AK21" s="4"/>
      <c r="AL21" s="40">
        <f>SUMIF(budget!U:U,PL!A21,budget!X:X)</f>
        <v>8000</v>
      </c>
      <c r="AM21" s="40"/>
      <c r="AN21" s="364">
        <f>+AB21+AF21+AJ21</f>
        <v>24442.319365079362</v>
      </c>
      <c r="AO21" s="137">
        <f>SUMIF(budget!U:U,PL!A21,budget!Y:Y)</f>
        <v>24000</v>
      </c>
      <c r="AP21" s="13"/>
      <c r="AQ21" s="364">
        <f t="shared" si="4"/>
        <v>25239.119365079361</v>
      </c>
      <c r="AR21" s="40">
        <f t="shared" si="4"/>
        <v>58400</v>
      </c>
      <c r="AS21" s="438"/>
      <c r="AT21" s="292">
        <f>+AJ21/AF21</f>
        <v>78.86675871668794</v>
      </c>
      <c r="AU21" s="425">
        <v>-1000</v>
      </c>
      <c r="AV21" s="370">
        <f t="shared" si="5"/>
        <v>22020.719365079363</v>
      </c>
      <c r="AW21" s="514" t="s">
        <v>484</v>
      </c>
      <c r="AX21" s="501"/>
      <c r="AY21" s="501"/>
      <c r="AZ21" s="370"/>
      <c r="BA21" s="370"/>
      <c r="BB21" s="370"/>
      <c r="BC21" s="370"/>
      <c r="BD21" s="370"/>
      <c r="BE21" s="370"/>
      <c r="BF21" s="370"/>
      <c r="BG21" s="370"/>
      <c r="BH21" s="370"/>
      <c r="BI21" s="332">
        <f>+AT21</f>
        <v>78.86675871668794</v>
      </c>
      <c r="BJ21" s="396"/>
      <c r="BK21" s="193" t="s">
        <v>485</v>
      </c>
      <c r="BN21" s="332"/>
      <c r="BO21" s="332"/>
      <c r="BP21" s="332"/>
      <c r="BR21" s="292"/>
      <c r="BS21" s="292"/>
      <c r="BT21" s="292"/>
      <c r="BU21" s="292"/>
      <c r="BV21" s="292"/>
      <c r="BW21" s="349">
        <f t="shared" si="6"/>
        <v>4552.13</v>
      </c>
      <c r="BX21" s="292"/>
      <c r="BY21" s="349">
        <f t="shared" si="7"/>
        <v>1662.8600000000001</v>
      </c>
      <c r="BZ21" s="349">
        <f t="shared" si="7"/>
        <v>7200</v>
      </c>
      <c r="CA21" s="292"/>
      <c r="CB21" s="349">
        <f t="shared" si="8"/>
        <v>-1368.5500000000002</v>
      </c>
      <c r="CC21" s="349">
        <f t="shared" si="8"/>
        <v>8000</v>
      </c>
      <c r="CD21" s="349"/>
      <c r="CE21" s="349">
        <f t="shared" si="9"/>
        <v>502.49000000000024</v>
      </c>
      <c r="CF21" s="349">
        <f t="shared" si="9"/>
        <v>19200</v>
      </c>
      <c r="CG21" s="292"/>
      <c r="CH21" s="349">
        <f>SUMIF('HARKAVA '!$Z:$Z,PL!A21,'HARKAVA '!Y:Y)</f>
        <v>25239.119365079365</v>
      </c>
      <c r="CI21" s="349">
        <f>G21+J21+Z21+AD21+AL21</f>
        <v>50400</v>
      </c>
    </row>
    <row r="22" spans="1:88">
      <c r="B22" s="56" t="s">
        <v>486</v>
      </c>
      <c r="C22" s="56"/>
      <c r="D22" s="433">
        <f>SUM(D17:D21)</f>
        <v>567377.07999999996</v>
      </c>
      <c r="E22" s="13"/>
      <c r="F22" s="433">
        <f>SUM(F17:F21)</f>
        <v>222886.32</v>
      </c>
      <c r="G22" s="433">
        <f>SUM(G17:G21)</f>
        <v>275047</v>
      </c>
      <c r="H22" s="13"/>
      <c r="I22" s="433">
        <f>SUM(I17:I21)</f>
        <v>225078.23</v>
      </c>
      <c r="J22" s="433">
        <f>SUM(J17:J21)</f>
        <v>369385.90322580643</v>
      </c>
      <c r="K22" s="13"/>
      <c r="L22" s="433">
        <f>SUM(L17:L21)</f>
        <v>97987.830000000016</v>
      </c>
      <c r="M22" s="433"/>
      <c r="N22" s="433">
        <f>SUM(N17:N21)</f>
        <v>204129.16666666669</v>
      </c>
      <c r="O22" s="433"/>
      <c r="P22" s="433">
        <f>SUM(P17:P21)</f>
        <v>72683.069999999905</v>
      </c>
      <c r="Q22" s="441"/>
      <c r="R22" s="433">
        <v>204129.16666666669</v>
      </c>
      <c r="S22" s="441"/>
      <c r="T22" s="433">
        <f>SUM(T17:T21)</f>
        <v>163925.10000000012</v>
      </c>
      <c r="U22" s="441"/>
      <c r="V22" s="442">
        <f>SUM(V17:V21)</f>
        <v>457316.66666666669</v>
      </c>
      <c r="W22" s="13"/>
      <c r="X22" s="441"/>
      <c r="Y22" s="433">
        <f>SUM(Y17:Y21)</f>
        <v>334596.00000000006</v>
      </c>
      <c r="Z22" s="433">
        <f>SUM(Z17:Z21)</f>
        <v>865575</v>
      </c>
      <c r="AA22" s="433"/>
      <c r="AB22" s="442">
        <v>240225.19</v>
      </c>
      <c r="AC22" s="441"/>
      <c r="AD22" s="442">
        <v>227895.83333333334</v>
      </c>
      <c r="AE22" s="442"/>
      <c r="AF22" s="442">
        <v>108870.09999999993</v>
      </c>
      <c r="AG22" s="441"/>
      <c r="AH22" s="442">
        <v>227895.83333333334</v>
      </c>
      <c r="AI22" s="433"/>
      <c r="AJ22" s="442">
        <f>SUM(AJ17:AJ21)</f>
        <v>419368.04908864375</v>
      </c>
      <c r="AK22" s="441"/>
      <c r="AL22" s="442">
        <f>SUM(AL17:AL21)</f>
        <v>603808.33333333337</v>
      </c>
      <c r="AM22" s="442"/>
      <c r="AN22" s="443">
        <f>+SUM(AN17:AN21)</f>
        <v>768463.33908864367</v>
      </c>
      <c r="AO22" s="432">
        <f>+SUM(AO17:AO21)</f>
        <v>1059600</v>
      </c>
      <c r="AP22" s="13"/>
      <c r="AQ22" s="443">
        <f>+SUM(AQ17:AQ21)</f>
        <v>1551023.8890886435</v>
      </c>
      <c r="AR22" s="432">
        <f>+SUM(AR17:AR21)</f>
        <v>2569607.9032258065</v>
      </c>
      <c r="AS22" s="444">
        <f>+AR22-AQ22</f>
        <v>1018584.0141371631</v>
      </c>
      <c r="AT22" s="292"/>
      <c r="AU22" s="428">
        <v>701750</v>
      </c>
      <c r="AV22" s="370">
        <f t="shared" si="5"/>
        <v>310497.94908864383</v>
      </c>
      <c r="AW22" s="370"/>
      <c r="AX22" s="501"/>
      <c r="AY22" s="501"/>
      <c r="AZ22" s="370"/>
      <c r="BA22" s="370"/>
      <c r="BB22" s="370"/>
      <c r="BC22" s="370"/>
      <c r="BD22" s="370"/>
      <c r="BE22" s="370"/>
      <c r="BF22" s="370"/>
      <c r="BG22" s="370"/>
      <c r="BH22" s="370"/>
      <c r="BI22" s="332"/>
      <c r="BJ22" s="396"/>
      <c r="BN22" s="332"/>
      <c r="BO22" s="332"/>
      <c r="BP22" s="332"/>
      <c r="BR22" s="292"/>
      <c r="BS22" s="292"/>
      <c r="BT22" s="292"/>
      <c r="BU22" s="292"/>
      <c r="BV22" s="292"/>
      <c r="BW22" s="350">
        <f t="shared" si="6"/>
        <v>567377.07999999996</v>
      </c>
      <c r="BX22" s="292"/>
      <c r="BY22" s="350">
        <f t="shared" si="7"/>
        <v>222886.32</v>
      </c>
      <c r="BZ22" s="350">
        <f t="shared" si="7"/>
        <v>275047</v>
      </c>
      <c r="CA22" s="292"/>
      <c r="CB22" s="350">
        <f t="shared" si="8"/>
        <v>225078.23</v>
      </c>
      <c r="CC22" s="350">
        <f t="shared" si="8"/>
        <v>369385.90322580643</v>
      </c>
      <c r="CD22" s="349"/>
      <c r="CE22" s="350">
        <f t="shared" si="9"/>
        <v>334596.00000000006</v>
      </c>
      <c r="CF22" s="350">
        <f t="shared" si="9"/>
        <v>865575</v>
      </c>
      <c r="CG22" s="292"/>
      <c r="CH22" s="350">
        <f>SUM(CH17:CH21)</f>
        <v>1551023.8890886437</v>
      </c>
      <c r="CI22" s="350">
        <f>SUM(CI17:CI21)</f>
        <v>2341712.0698924735</v>
      </c>
    </row>
    <row r="23" spans="1:88" ht="7" customHeight="1">
      <c r="B23" s="56"/>
      <c r="C23" s="56"/>
      <c r="D23" s="9"/>
      <c r="E23" s="13"/>
      <c r="F23" s="9"/>
      <c r="G23" s="9"/>
      <c r="H23" s="13"/>
      <c r="I23" s="9"/>
      <c r="J23" s="9"/>
      <c r="K23" s="13"/>
      <c r="L23" s="9"/>
      <c r="M23" s="9"/>
      <c r="N23" s="9"/>
      <c r="O23" s="9"/>
      <c r="P23" s="9"/>
      <c r="Q23" s="4"/>
      <c r="R23" s="9"/>
      <c r="S23" s="4"/>
      <c r="T23" s="9"/>
      <c r="U23" s="4"/>
      <c r="V23" s="438"/>
      <c r="W23" s="13"/>
      <c r="X23" s="4"/>
      <c r="Y23" s="9"/>
      <c r="Z23" s="9"/>
      <c r="AA23" s="9"/>
      <c r="AB23" s="438"/>
      <c r="AC23" s="4"/>
      <c r="AD23" s="438"/>
      <c r="AE23" s="438"/>
      <c r="AF23" s="438"/>
      <c r="AG23" s="4"/>
      <c r="AH23" s="438"/>
      <c r="AI23" s="9"/>
      <c r="AJ23" s="438"/>
      <c r="AK23" s="4"/>
      <c r="AL23" s="438"/>
      <c r="AM23" s="438"/>
      <c r="AN23" s="364"/>
      <c r="AO23" s="40"/>
      <c r="AP23" s="13"/>
      <c r="AQ23" s="364"/>
      <c r="AR23" s="40"/>
      <c r="AS23" s="438"/>
      <c r="AT23" s="292"/>
      <c r="AU23" s="425"/>
      <c r="AV23" s="292"/>
      <c r="AW23" s="292"/>
      <c r="AX23" s="504"/>
      <c r="AY23" s="504"/>
      <c r="AZ23" s="292"/>
      <c r="BA23" s="292"/>
      <c r="BB23" s="292"/>
      <c r="BC23" s="292"/>
      <c r="BD23" s="292"/>
      <c r="BE23" s="292"/>
      <c r="BF23" s="292"/>
      <c r="BG23" s="292"/>
      <c r="BH23" s="292"/>
      <c r="BI23" s="332"/>
      <c r="BJ23" s="332"/>
      <c r="BN23" s="332"/>
      <c r="BO23" s="332"/>
      <c r="BP23" s="332"/>
      <c r="BR23" s="292"/>
      <c r="BS23" s="292"/>
      <c r="BT23" s="292"/>
      <c r="BU23" s="292"/>
      <c r="BV23" s="292"/>
      <c r="BW23" s="349"/>
      <c r="BX23" s="292"/>
      <c r="BY23" s="349"/>
      <c r="BZ23" s="349"/>
      <c r="CA23" s="292"/>
      <c r="CB23" s="349"/>
      <c r="CC23" s="349"/>
      <c r="CD23" s="349"/>
      <c r="CE23" s="349"/>
      <c r="CF23" s="349"/>
      <c r="CG23" s="292"/>
      <c r="CH23" s="349"/>
      <c r="CI23" s="349"/>
    </row>
    <row r="24" spans="1:88">
      <c r="B24" s="112" t="s">
        <v>487</v>
      </c>
      <c r="C24" s="112"/>
      <c r="D24" s="9"/>
      <c r="E24" s="13"/>
      <c r="F24" s="4"/>
      <c r="G24" s="4"/>
      <c r="H24" s="13"/>
      <c r="I24" s="4"/>
      <c r="J24" s="4"/>
      <c r="K24" s="13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13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363"/>
      <c r="AO24" s="137"/>
      <c r="AP24" s="13"/>
      <c r="AQ24" s="363"/>
      <c r="AR24" s="4"/>
      <c r="AS24" s="4"/>
      <c r="AU24" s="425"/>
      <c r="BS24" s="292"/>
      <c r="BW24" s="349"/>
      <c r="BY24" s="349"/>
      <c r="BZ24" s="349"/>
      <c r="CB24" s="349"/>
      <c r="CC24" s="349"/>
      <c r="CD24" s="349"/>
      <c r="CE24" s="349"/>
      <c r="CF24" s="349"/>
      <c r="CH24" s="349"/>
      <c r="CI24" s="349"/>
    </row>
    <row r="25" spans="1:88" outlineLevel="1">
      <c r="A25" s="253">
        <v>5400</v>
      </c>
      <c r="B25" s="2" t="s">
        <v>446</v>
      </c>
      <c r="D25" s="9">
        <v>1134381.4639999999</v>
      </c>
      <c r="E25" s="13"/>
      <c r="F25" s="40">
        <v>540574.01</v>
      </c>
      <c r="G25" s="40">
        <f>SUMIF(budget!U:U,PL!A25,budget!L:L)</f>
        <v>499348.56060606055</v>
      </c>
      <c r="H25" s="13"/>
      <c r="I25" s="40">
        <f>857142</f>
        <v>857142</v>
      </c>
      <c r="J25" s="40">
        <f>SUMIF(budget!U:U,PL!A25,budget!P:P)</f>
        <v>649017.04545454541</v>
      </c>
      <c r="K25" s="13"/>
      <c r="L25" s="40">
        <v>280219.78000000003</v>
      </c>
      <c r="M25" s="40"/>
      <c r="N25" s="40">
        <v>358689.39393939392</v>
      </c>
      <c r="O25" s="40"/>
      <c r="P25" s="40">
        <v>290018.95999999996</v>
      </c>
      <c r="Q25" s="4"/>
      <c r="R25" s="40">
        <v>358689.39393939392</v>
      </c>
      <c r="S25" s="4"/>
      <c r="T25" s="40">
        <v>416439.58000000007</v>
      </c>
      <c r="U25" s="4"/>
      <c r="V25" s="40">
        <f>SUMIF(budget!U:U,PL!A25,budget!S:S)</f>
        <v>397390.98484848486</v>
      </c>
      <c r="W25" s="13"/>
      <c r="X25" s="4"/>
      <c r="Y25" s="40">
        <f>L25+P25+T25</f>
        <v>986678.32000000007</v>
      </c>
      <c r="Z25" s="40">
        <f>N25+R25+V25</f>
        <v>1114769.7727272727</v>
      </c>
      <c r="AA25" s="40"/>
      <c r="AB25" s="40">
        <v>431215.01000000024</v>
      </c>
      <c r="AC25" s="4"/>
      <c r="AD25" s="40">
        <v>442507.57575757575</v>
      </c>
      <c r="AE25" s="40"/>
      <c r="AF25" s="40">
        <v>516477.77</v>
      </c>
      <c r="AG25" s="4"/>
      <c r="AH25" s="40">
        <v>442507.57575757575</v>
      </c>
      <c r="AI25" s="40"/>
      <c r="AJ25" s="40">
        <f>CH25-I25-F25-L25-P25-T25-AB25-AF25</f>
        <v>678976.18999999948</v>
      </c>
      <c r="AK25" s="4"/>
      <c r="AL25" s="40">
        <f>SUMIF(budget!U:U,PL!A25,budget!X:X)</f>
        <v>549390.98484848486</v>
      </c>
      <c r="AM25" s="40"/>
      <c r="AN25" s="364">
        <f>+AB25+AF25+AJ25</f>
        <v>1626668.9699999997</v>
      </c>
      <c r="AO25" s="137">
        <f>SUMIF(budget!U:U,PL!A25,budget!Y:Y)</f>
        <v>1434406.1363636365</v>
      </c>
      <c r="AP25" s="13"/>
      <c r="AQ25" s="364">
        <f t="shared" ref="AQ25:AR29" si="10">+F25+I25+Y25+AN25</f>
        <v>4011063.3</v>
      </c>
      <c r="AR25" s="40">
        <f t="shared" si="10"/>
        <v>3697541.5151515156</v>
      </c>
      <c r="AS25" s="438"/>
      <c r="AT25" s="292">
        <f>+AJ25/AF25</f>
        <v>1.3146281010313368</v>
      </c>
      <c r="AU25" s="425">
        <v>1596000</v>
      </c>
      <c r="AV25" s="370">
        <f t="shared" ref="AV25:AV30" si="11">AJ25-AF25</f>
        <v>162498.41999999946</v>
      </c>
      <c r="AW25" s="370"/>
      <c r="AX25" s="496" t="s">
        <v>455</v>
      </c>
      <c r="AY25" s="480">
        <f>178000-20000</f>
        <v>158000</v>
      </c>
      <c r="AZ25" s="370"/>
      <c r="BA25" s="370">
        <f>+AJ25</f>
        <v>678976.18999999948</v>
      </c>
      <c r="BB25" s="370" t="s">
        <v>488</v>
      </c>
      <c r="BC25" s="370"/>
      <c r="BD25" s="370"/>
      <c r="BE25" s="370"/>
      <c r="BF25" s="370"/>
      <c r="BG25" s="370"/>
      <c r="BH25" s="370"/>
      <c r="BI25" s="332">
        <v>1.4</v>
      </c>
      <c r="BJ25" s="396"/>
      <c r="BK25" s="332" t="s">
        <v>489</v>
      </c>
      <c r="BL25" s="332"/>
      <c r="BM25" s="332"/>
      <c r="BN25" s="332"/>
      <c r="BO25" s="332"/>
      <c r="BP25" s="332"/>
      <c r="BR25" s="371"/>
      <c r="BS25" s="292"/>
      <c r="BT25" s="292"/>
      <c r="BU25" s="292"/>
      <c r="BV25" s="292"/>
      <c r="BW25" s="349">
        <f t="shared" ref="BW25:BW30" si="12">+D25</f>
        <v>1134381.4639999999</v>
      </c>
      <c r="BX25" s="292"/>
      <c r="BY25" s="349">
        <f t="shared" ref="BY25:BZ30" si="13">+F25</f>
        <v>540574.01</v>
      </c>
      <c r="BZ25" s="349">
        <f t="shared" si="13"/>
        <v>499348.56060606055</v>
      </c>
      <c r="CA25" s="292"/>
      <c r="CB25" s="349">
        <f t="shared" ref="CB25:CC30" si="14">+I25</f>
        <v>857142</v>
      </c>
      <c r="CC25" s="349">
        <f t="shared" si="14"/>
        <v>649017.04545454541</v>
      </c>
      <c r="CD25" s="349"/>
      <c r="CE25" s="349">
        <f t="shared" ref="CE25:CF30" si="15">+Y25</f>
        <v>986678.32000000007</v>
      </c>
      <c r="CF25" s="349">
        <f t="shared" si="15"/>
        <v>1114769.7727272727</v>
      </c>
      <c r="CG25" s="292"/>
      <c r="CH25" s="349">
        <f>SUMIF('HARKAVA '!$Z:$Z,PL!A25,'HARKAVA '!Y:Y)</f>
        <v>4011063.3</v>
      </c>
      <c r="CI25" s="349">
        <f>G25+J25+Z25+AD25+AL25</f>
        <v>3255033.9393939395</v>
      </c>
    </row>
    <row r="26" spans="1:88" outlineLevel="1">
      <c r="A26" s="253">
        <v>5411</v>
      </c>
      <c r="B26" s="2" t="s">
        <v>450</v>
      </c>
      <c r="D26" s="9">
        <v>81016</v>
      </c>
      <c r="E26" s="13"/>
      <c r="F26" s="40">
        <v>7331.5599999999995</v>
      </c>
      <c r="G26" s="40">
        <f>SUMIF(budget!U:U,PL!A26,budget!L:L)</f>
        <v>0</v>
      </c>
      <c r="H26" s="13"/>
      <c r="I26" s="40">
        <v>40307.19</v>
      </c>
      <c r="J26" s="40">
        <v>0</v>
      </c>
      <c r="K26" s="13"/>
      <c r="L26" s="40">
        <v>1921.9999999999982</v>
      </c>
      <c r="M26" s="40"/>
      <c r="N26" s="40">
        <v>0</v>
      </c>
      <c r="O26" s="40"/>
      <c r="P26" s="40">
        <v>933</v>
      </c>
      <c r="Q26" s="4"/>
      <c r="R26" s="40">
        <v>0</v>
      </c>
      <c r="S26" s="4"/>
      <c r="T26" s="40">
        <v>17961.179999999993</v>
      </c>
      <c r="U26" s="4"/>
      <c r="V26" s="40">
        <f>SUMIF(budget!U:U,PL!A26,budget!S:S)</f>
        <v>0</v>
      </c>
      <c r="W26" s="13"/>
      <c r="X26" s="4"/>
      <c r="Y26" s="40">
        <f>L26+P26+T26</f>
        <v>20816.179999999993</v>
      </c>
      <c r="Z26" s="40">
        <f>N26+R26+V26</f>
        <v>0</v>
      </c>
      <c r="AA26" s="40"/>
      <c r="AB26" s="40">
        <v>1112</v>
      </c>
      <c r="AC26" s="4"/>
      <c r="AD26" s="40">
        <v>0</v>
      </c>
      <c r="AE26" s="40"/>
      <c r="AF26" s="40">
        <v>998</v>
      </c>
      <c r="AG26" s="4"/>
      <c r="AH26" s="40">
        <v>0</v>
      </c>
      <c r="AI26" s="40"/>
      <c r="AJ26" s="40">
        <f>CH26-I26-F26-L26-P26-T26-AB26-AF26</f>
        <v>53215.997276885508</v>
      </c>
      <c r="AK26" s="4"/>
      <c r="AL26" s="40">
        <f>SUMIF(budget!U:U,PL!A26,budget!X:X)</f>
        <v>0</v>
      </c>
      <c r="AM26" s="40"/>
      <c r="AN26" s="364">
        <f>+AB26+AF26+AJ26</f>
        <v>55325.997276885508</v>
      </c>
      <c r="AO26" s="137">
        <f>SUMIF(budget!U:U,PL!A26,budget!Y:Y)</f>
        <v>0</v>
      </c>
      <c r="AP26" s="13"/>
      <c r="AQ26" s="364">
        <f t="shared" si="10"/>
        <v>123780.9272768855</v>
      </c>
      <c r="AR26" s="40">
        <f t="shared" si="10"/>
        <v>0</v>
      </c>
      <c r="AS26" s="438"/>
      <c r="AT26" s="292">
        <f>+AJ26/AF26</f>
        <v>53.322642562009527</v>
      </c>
      <c r="AU26" s="425">
        <v>1000</v>
      </c>
      <c r="AV26" s="370">
        <f t="shared" si="11"/>
        <v>52217.997276885508</v>
      </c>
      <c r="AW26" s="370"/>
      <c r="AX26" s="496" t="s">
        <v>490</v>
      </c>
      <c r="AY26" s="480">
        <v>10523</v>
      </c>
      <c r="AZ26" s="370"/>
      <c r="BA26" s="370">
        <f>+BB51</f>
        <v>176400</v>
      </c>
      <c r="BB26" s="370" t="s">
        <v>149</v>
      </c>
      <c r="BC26" s="370"/>
      <c r="BD26" s="370"/>
      <c r="BE26" s="370"/>
      <c r="BF26" s="370"/>
      <c r="BG26" s="370"/>
      <c r="BH26" s="370"/>
      <c r="BI26" s="332">
        <f>+AT26</f>
        <v>53.322642562009527</v>
      </c>
      <c r="BJ26" s="396"/>
      <c r="BK26" s="332" t="s">
        <v>491</v>
      </c>
      <c r="BL26" s="332"/>
      <c r="BM26" s="332"/>
      <c r="BN26" s="332"/>
      <c r="BO26" s="332"/>
      <c r="BP26" s="332"/>
      <c r="BQ26" s="292"/>
      <c r="BR26" s="375"/>
      <c r="BS26" s="292"/>
      <c r="BT26" s="292"/>
      <c r="BU26" s="292"/>
      <c r="BV26" s="292"/>
      <c r="BW26" s="349">
        <f t="shared" si="12"/>
        <v>81016</v>
      </c>
      <c r="BX26" s="292"/>
      <c r="BY26" s="349">
        <f t="shared" si="13"/>
        <v>7331.5599999999995</v>
      </c>
      <c r="BZ26" s="349">
        <f t="shared" si="13"/>
        <v>0</v>
      </c>
      <c r="CA26" s="292"/>
      <c r="CB26" s="349">
        <f t="shared" si="14"/>
        <v>40307.19</v>
      </c>
      <c r="CC26" s="349">
        <f t="shared" si="14"/>
        <v>0</v>
      </c>
      <c r="CD26" s="349"/>
      <c r="CE26" s="349">
        <f t="shared" si="15"/>
        <v>20816.179999999993</v>
      </c>
      <c r="CF26" s="349">
        <f t="shared" si="15"/>
        <v>0</v>
      </c>
      <c r="CG26" s="292"/>
      <c r="CH26" s="349">
        <f>SUMIF('HARKAVA '!$Z:$Z,PL!A26,'HARKAVA '!Y:Y)</f>
        <v>123780.9272768855</v>
      </c>
      <c r="CI26" s="349">
        <f>G26+J26+Z26+AD26+AL26</f>
        <v>0</v>
      </c>
    </row>
    <row r="27" spans="1:88" outlineLevel="1">
      <c r="A27" s="253">
        <v>5410</v>
      </c>
      <c r="B27" s="2" t="s">
        <v>492</v>
      </c>
      <c r="D27" s="9">
        <v>69106.37</v>
      </c>
      <c r="E27" s="13"/>
      <c r="F27" s="40">
        <v>120676.98</v>
      </c>
      <c r="G27" s="40">
        <f>SUMIF(budget!U:U,PL!A27,budget!L:L)</f>
        <v>34999.666666666664</v>
      </c>
      <c r="H27" s="13"/>
      <c r="I27" s="40">
        <v>228889.34999999998</v>
      </c>
      <c r="J27" s="40">
        <f>SUMIF(budget!U:U,PL!A27,budget!P:P)</f>
        <v>38332.666666666664</v>
      </c>
      <c r="K27" s="13"/>
      <c r="L27" s="40">
        <v>25409.450000000055</v>
      </c>
      <c r="M27" s="40"/>
      <c r="N27" s="40">
        <v>20000</v>
      </c>
      <c r="O27" s="40"/>
      <c r="P27" s="40">
        <v>72356.790000000037</v>
      </c>
      <c r="Q27" s="4"/>
      <c r="R27" s="40">
        <v>20000</v>
      </c>
      <c r="S27" s="4"/>
      <c r="T27" s="40">
        <v>91427.390000000014</v>
      </c>
      <c r="U27" s="4"/>
      <c r="V27" s="40">
        <f>SUMIF(budget!U:U,PL!A27,budget!S:S)</f>
        <v>20000</v>
      </c>
      <c r="W27" s="13"/>
      <c r="X27" s="4"/>
      <c r="Y27" s="40">
        <f>L27+P27+T27</f>
        <v>189193.63000000012</v>
      </c>
      <c r="Z27" s="40">
        <f>N27+R27+V27</f>
        <v>60000</v>
      </c>
      <c r="AA27" s="40"/>
      <c r="AB27" s="40">
        <v>138662.98999999987</v>
      </c>
      <c r="AC27" s="4"/>
      <c r="AD27" s="40">
        <v>20000</v>
      </c>
      <c r="AE27" s="40"/>
      <c r="AF27" s="40">
        <v>115169.38</v>
      </c>
      <c r="AG27" s="4"/>
      <c r="AH27" s="40">
        <v>20000</v>
      </c>
      <c r="AI27" s="40"/>
      <c r="AJ27" s="40">
        <f>CH27-I27-F27-L27-P27-T27-AB27-AF27</f>
        <v>158807.49499999988</v>
      </c>
      <c r="AK27" s="4"/>
      <c r="AL27" s="40">
        <f>SUMIF(budget!U:U,PL!A27,budget!X:X)</f>
        <v>20000</v>
      </c>
      <c r="AM27" s="40"/>
      <c r="AN27" s="364">
        <f>+AB27+AF27+AJ27</f>
        <v>412639.86499999976</v>
      </c>
      <c r="AO27" s="137">
        <f>SUMIF(budget!U:U,PL!A27,budget!Y:Y)</f>
        <v>60000</v>
      </c>
      <c r="AP27" s="13"/>
      <c r="AQ27" s="364">
        <f t="shared" si="10"/>
        <v>951399.82499999984</v>
      </c>
      <c r="AR27" s="40">
        <f t="shared" si="10"/>
        <v>193332.33333333331</v>
      </c>
      <c r="AS27" s="438"/>
      <c r="AT27" s="292">
        <f>+AJ27/AF27</f>
        <v>1.3789037936993311</v>
      </c>
      <c r="AU27" s="425">
        <v>284000</v>
      </c>
      <c r="AV27" s="370">
        <f t="shared" si="11"/>
        <v>43638.114999999874</v>
      </c>
      <c r="AW27" s="501" t="s">
        <v>493</v>
      </c>
      <c r="AX27" s="496" t="s">
        <v>494</v>
      </c>
      <c r="AY27" s="480">
        <v>14325</v>
      </c>
      <c r="AZ27" s="370"/>
      <c r="BA27" s="113">
        <f>+BA10</f>
        <v>47150</v>
      </c>
      <c r="BB27" s="370" t="s">
        <v>495</v>
      </c>
      <c r="BC27" s="370"/>
      <c r="BD27" s="370"/>
      <c r="BE27" s="370"/>
      <c r="BF27" s="370"/>
      <c r="BG27" s="370"/>
      <c r="BH27" s="370"/>
      <c r="BI27" s="332">
        <v>1.5</v>
      </c>
      <c r="BJ27" s="396" t="s">
        <v>496</v>
      </c>
      <c r="BK27" s="332" t="s">
        <v>497</v>
      </c>
      <c r="BL27" s="332"/>
      <c r="BM27" s="332"/>
      <c r="BN27" s="332"/>
      <c r="BO27" s="332"/>
      <c r="BP27" s="332"/>
      <c r="BQ27" s="292"/>
      <c r="BR27" s="292"/>
      <c r="BS27" s="292"/>
      <c r="BT27" s="292"/>
      <c r="BU27" s="292"/>
      <c r="BV27" s="292"/>
      <c r="BW27" s="349">
        <f t="shared" si="12"/>
        <v>69106.37</v>
      </c>
      <c r="BX27" s="292"/>
      <c r="BY27" s="349">
        <f t="shared" si="13"/>
        <v>120676.98</v>
      </c>
      <c r="BZ27" s="349">
        <f t="shared" si="13"/>
        <v>34999.666666666664</v>
      </c>
      <c r="CA27" s="292"/>
      <c r="CB27" s="349">
        <f t="shared" si="14"/>
        <v>228889.34999999998</v>
      </c>
      <c r="CC27" s="349">
        <f t="shared" si="14"/>
        <v>38332.666666666664</v>
      </c>
      <c r="CD27" s="349"/>
      <c r="CE27" s="349">
        <f t="shared" si="15"/>
        <v>189193.63000000012</v>
      </c>
      <c r="CF27" s="349">
        <f t="shared" si="15"/>
        <v>60000</v>
      </c>
      <c r="CG27" s="292"/>
      <c r="CH27" s="349">
        <f>SUMIF('HARKAVA '!$Z:$Z,PL!A27,'HARKAVA '!Y:Y)</f>
        <v>951399.82499999984</v>
      </c>
      <c r="CI27" s="349">
        <f>G27+J27+Z27+AD27+AL27</f>
        <v>173332.33333333331</v>
      </c>
      <c r="CJ27" s="2" t="s">
        <v>498</v>
      </c>
    </row>
    <row r="28" spans="1:88" outlineLevel="1">
      <c r="A28" s="253">
        <v>5417</v>
      </c>
      <c r="B28" s="2" t="s">
        <v>337</v>
      </c>
      <c r="D28" s="9"/>
      <c r="E28" s="13"/>
      <c r="F28" s="40"/>
      <c r="G28" s="40"/>
      <c r="H28" s="13"/>
      <c r="I28" s="40"/>
      <c r="J28" s="40"/>
      <c r="K28" s="13"/>
      <c r="L28" s="40"/>
      <c r="M28" s="40"/>
      <c r="N28" s="40">
        <v>3333</v>
      </c>
      <c r="O28" s="40"/>
      <c r="P28" s="40">
        <v>0</v>
      </c>
      <c r="Q28" s="4"/>
      <c r="R28" s="40">
        <v>3333</v>
      </c>
      <c r="S28" s="4"/>
      <c r="T28" s="40">
        <v>0</v>
      </c>
      <c r="U28" s="4"/>
      <c r="V28" s="40">
        <f>SUMIF(budget!U:U,PL!A28,budget!S:S)</f>
        <v>3334</v>
      </c>
      <c r="W28" s="13"/>
      <c r="X28" s="4"/>
      <c r="Y28" s="40">
        <f>L28+P28+T28</f>
        <v>0</v>
      </c>
      <c r="Z28" s="40">
        <f>N28+R28+V28</f>
        <v>10000</v>
      </c>
      <c r="AA28" s="40"/>
      <c r="AB28" s="40">
        <v>0</v>
      </c>
      <c r="AC28" s="4"/>
      <c r="AD28" s="40">
        <v>3333</v>
      </c>
      <c r="AE28" s="40"/>
      <c r="AF28" s="40">
        <v>0</v>
      </c>
      <c r="AG28" s="4"/>
      <c r="AH28" s="40">
        <v>3333</v>
      </c>
      <c r="AI28" s="40"/>
      <c r="AJ28" s="40">
        <f>CH28-I28-F28-L28-P28-T28-AB28-AF28</f>
        <v>0</v>
      </c>
      <c r="AK28" s="4"/>
      <c r="AL28" s="40">
        <f>SUMIF(budget!U:U,PL!A28,budget!X:X)</f>
        <v>3334</v>
      </c>
      <c r="AM28" s="40"/>
      <c r="AN28" s="364">
        <f>+AB28+AF28+AJ28</f>
        <v>0</v>
      </c>
      <c r="AO28" s="137">
        <f>SUMIF(budget!U:U,PL!A28,budget!Y:Y)</f>
        <v>10000</v>
      </c>
      <c r="AP28" s="13"/>
      <c r="AQ28" s="364">
        <f t="shared" si="10"/>
        <v>0</v>
      </c>
      <c r="AR28" s="40">
        <f t="shared" si="10"/>
        <v>20000</v>
      </c>
      <c r="AS28" s="438"/>
      <c r="AT28" s="292"/>
      <c r="AU28" s="425" t="s">
        <v>481</v>
      </c>
      <c r="AV28" s="370">
        <f t="shared" si="11"/>
        <v>0</v>
      </c>
      <c r="AW28" s="370"/>
      <c r="AX28" s="496" t="s">
        <v>499</v>
      </c>
      <c r="AY28" s="480">
        <v>-14000</v>
      </c>
      <c r="AZ28" s="370"/>
      <c r="BA28" s="422">
        <f>+SUM(BA25:BA27)</f>
        <v>902526.18999999948</v>
      </c>
      <c r="BB28" s="370"/>
      <c r="BC28" s="370"/>
      <c r="BD28" s="370"/>
      <c r="BE28" s="370"/>
      <c r="BF28" s="370"/>
      <c r="BG28" s="370"/>
      <c r="BH28" s="370"/>
      <c r="BI28" s="332">
        <f>+AT28</f>
        <v>0</v>
      </c>
      <c r="BJ28" s="396"/>
      <c r="BK28" s="332"/>
      <c r="BL28" s="332"/>
      <c r="BM28" s="332"/>
      <c r="BN28" s="332"/>
      <c r="BO28" s="332"/>
      <c r="BP28" s="332"/>
      <c r="BQ28" s="292"/>
      <c r="BR28" s="292"/>
      <c r="BS28" s="292"/>
      <c r="BT28" s="292"/>
      <c r="BU28" s="292"/>
      <c r="BV28" s="292"/>
      <c r="BW28" s="349">
        <f t="shared" si="12"/>
        <v>0</v>
      </c>
      <c r="BX28" s="292"/>
      <c r="BY28" s="349">
        <f t="shared" si="13"/>
        <v>0</v>
      </c>
      <c r="BZ28" s="349">
        <f t="shared" si="13"/>
        <v>0</v>
      </c>
      <c r="CA28" s="292"/>
      <c r="CB28" s="349">
        <f t="shared" si="14"/>
        <v>0</v>
      </c>
      <c r="CC28" s="349">
        <f t="shared" si="14"/>
        <v>0</v>
      </c>
      <c r="CD28" s="349"/>
      <c r="CE28" s="349">
        <f t="shared" si="15"/>
        <v>0</v>
      </c>
      <c r="CF28" s="349">
        <f t="shared" si="15"/>
        <v>10000</v>
      </c>
      <c r="CG28" s="292"/>
      <c r="CH28" s="349">
        <f>SUMIF('HARKAVA '!$Z:$Z,PL!A28,'HARKAVA '!Y:Y)</f>
        <v>0</v>
      </c>
      <c r="CI28" s="349">
        <f>G28+J28+Z28+AD28+AL28</f>
        <v>16667</v>
      </c>
    </row>
    <row r="29" spans="1:88" ht="40" outlineLevel="1">
      <c r="A29" s="253">
        <v>5416</v>
      </c>
      <c r="B29" s="2" t="s">
        <v>458</v>
      </c>
      <c r="D29" s="9">
        <f>8805.03+132809</f>
        <v>141614.03</v>
      </c>
      <c r="E29" s="13"/>
      <c r="F29" s="40">
        <f>7616+41035</f>
        <v>48651</v>
      </c>
      <c r="G29" s="40">
        <f>SUMIF(budget!U:U,PL!A29,budget!L:L)</f>
        <v>43720</v>
      </c>
      <c r="H29" s="13"/>
      <c r="I29" s="40">
        <v>38763.988888888882</v>
      </c>
      <c r="J29" s="40">
        <f>SUMIF(budget!U:U,PL!A29,budget!P:P)</f>
        <v>50120</v>
      </c>
      <c r="K29" s="13"/>
      <c r="L29" s="40">
        <v>26561.310000000027</v>
      </c>
      <c r="M29" s="40"/>
      <c r="N29" s="40">
        <v>25040</v>
      </c>
      <c r="O29" s="40"/>
      <c r="P29" s="40">
        <v>22946.339999999997</v>
      </c>
      <c r="Q29" s="4"/>
      <c r="R29" s="40">
        <v>25040</v>
      </c>
      <c r="S29" s="4"/>
      <c r="T29" s="40">
        <v>30053.75111111108</v>
      </c>
      <c r="U29" s="4"/>
      <c r="V29" s="40">
        <f>SUMIF(budget!U:U,PL!A29,budget!S:S)</f>
        <v>25840</v>
      </c>
      <c r="W29" s="13"/>
      <c r="X29" s="4"/>
      <c r="Y29" s="40">
        <f>L29+P29+T29</f>
        <v>79561.401111111103</v>
      </c>
      <c r="Z29" s="40">
        <f>N29+R29+V29</f>
        <v>75920</v>
      </c>
      <c r="AA29" s="40"/>
      <c r="AB29" s="40">
        <v>47549.919390522875</v>
      </c>
      <c r="AC29" s="4"/>
      <c r="AD29" s="40">
        <v>29040</v>
      </c>
      <c r="AE29" s="40"/>
      <c r="AF29" s="40">
        <v>57605.686165032705</v>
      </c>
      <c r="AG29" s="4"/>
      <c r="AH29" s="40">
        <v>29040</v>
      </c>
      <c r="AI29" s="40"/>
      <c r="AJ29" s="40">
        <f>CH29-I29-F29-L29-P29-T29-AB29-AF29</f>
        <v>188730.73338748785</v>
      </c>
      <c r="AK29" s="4"/>
      <c r="AL29" s="40">
        <f>SUMIF(budget!U:U,PL!A29,budget!X:X)</f>
        <v>29040</v>
      </c>
      <c r="AM29" s="40"/>
      <c r="AN29" s="364">
        <f>+AB29+AF29+AJ29</f>
        <v>293886.33894304343</v>
      </c>
      <c r="AO29" s="137">
        <f>SUMIF(budget!U:U,PL!A29,budget!Y:Y)</f>
        <v>87120</v>
      </c>
      <c r="AP29" s="13"/>
      <c r="AQ29" s="364">
        <f t="shared" si="10"/>
        <v>460862.72894304339</v>
      </c>
      <c r="AR29" s="40">
        <f t="shared" si="10"/>
        <v>256880</v>
      </c>
      <c r="AS29" s="438"/>
      <c r="AT29" s="292">
        <f>+AJ29/AF29</f>
        <v>3.2762518069275166</v>
      </c>
      <c r="AU29" s="425">
        <v>126000</v>
      </c>
      <c r="AV29" s="370">
        <f t="shared" si="11"/>
        <v>131125.04722245515</v>
      </c>
      <c r="AW29" s="514" t="s">
        <v>459</v>
      </c>
      <c r="AX29" s="496" t="s">
        <v>500</v>
      </c>
      <c r="AY29" s="505">
        <f>-AY11</f>
        <v>68329</v>
      </c>
      <c r="AZ29" s="370"/>
      <c r="BA29" s="370"/>
      <c r="BB29" s="370"/>
      <c r="BC29" s="370"/>
      <c r="BD29" s="370"/>
      <c r="BE29" s="370"/>
      <c r="BF29" s="370"/>
      <c r="BG29" s="370"/>
      <c r="BH29" s="370"/>
      <c r="BI29" s="332">
        <f>+AT29</f>
        <v>3.2762518069275166</v>
      </c>
      <c r="BJ29" s="396"/>
      <c r="BK29" s="332"/>
      <c r="BL29" s="332"/>
      <c r="BM29" s="332"/>
      <c r="BN29" s="332"/>
      <c r="BO29" s="332"/>
      <c r="BP29" s="332"/>
      <c r="BQ29" s="292"/>
      <c r="BR29" s="292"/>
      <c r="BS29" s="292"/>
      <c r="BT29" s="292"/>
      <c r="BU29" s="292"/>
      <c r="BV29" s="292"/>
      <c r="BW29" s="349">
        <f t="shared" si="12"/>
        <v>141614.03</v>
      </c>
      <c r="BX29" s="292"/>
      <c r="BY29" s="349">
        <f t="shared" si="13"/>
        <v>48651</v>
      </c>
      <c r="BZ29" s="349">
        <f t="shared" si="13"/>
        <v>43720</v>
      </c>
      <c r="CA29" s="292"/>
      <c r="CB29" s="349">
        <f t="shared" si="14"/>
        <v>38763.988888888882</v>
      </c>
      <c r="CC29" s="349">
        <f t="shared" si="14"/>
        <v>50120</v>
      </c>
      <c r="CD29" s="349"/>
      <c r="CE29" s="349">
        <f t="shared" si="15"/>
        <v>79561.401111111103</v>
      </c>
      <c r="CF29" s="349">
        <f t="shared" si="15"/>
        <v>75920</v>
      </c>
      <c r="CG29" s="292"/>
      <c r="CH29" s="349">
        <f>SUMIF('HARKAVA '!$Z:$Z,PL!A29,'HARKAVA '!Y:Y)</f>
        <v>460862.72894304339</v>
      </c>
      <c r="CI29" s="349">
        <f>G29+J29+Z29+AD29+AL29</f>
        <v>227840</v>
      </c>
      <c r="CJ29" s="2" t="s">
        <v>501</v>
      </c>
    </row>
    <row r="30" spans="1:88">
      <c r="A30" s="253">
        <v>54</v>
      </c>
      <c r="B30" s="56" t="s">
        <v>502</v>
      </c>
      <c r="C30" s="56"/>
      <c r="D30" s="433">
        <f>SUM(D25:D29)-1</f>
        <v>1426116.8639999998</v>
      </c>
      <c r="E30" s="13"/>
      <c r="F30" s="433">
        <f>SUM(F25:F29)</f>
        <v>717233.55</v>
      </c>
      <c r="G30" s="433">
        <f>SUM(G25:G29)</f>
        <v>578068.22727272718</v>
      </c>
      <c r="H30" s="13"/>
      <c r="I30" s="433">
        <f>SUM(I25:I29)</f>
        <v>1165102.5288888889</v>
      </c>
      <c r="J30" s="433">
        <f>SUM(J25:J29)</f>
        <v>737469.71212121204</v>
      </c>
      <c r="K30" s="13"/>
      <c r="L30" s="433">
        <f>SUM(L25:L29)</f>
        <v>334112.54000000015</v>
      </c>
      <c r="M30" s="433"/>
      <c r="N30" s="433">
        <f>SUM(N25:N29)</f>
        <v>407062.39393939392</v>
      </c>
      <c r="O30" s="433"/>
      <c r="P30" s="433">
        <f>SUM(P25:P29)</f>
        <v>386255.08999999997</v>
      </c>
      <c r="Q30" s="441"/>
      <c r="R30" s="433">
        <v>407062.39393939392</v>
      </c>
      <c r="S30" s="441"/>
      <c r="T30" s="433">
        <f>SUM(T25:T29)</f>
        <v>555881.90111111128</v>
      </c>
      <c r="U30" s="441"/>
      <c r="V30" s="442">
        <f>SUM(V25:V29)</f>
        <v>446564.98484848486</v>
      </c>
      <c r="W30" s="13"/>
      <c r="X30" s="441"/>
      <c r="Y30" s="433">
        <f>SUM(Y25:Y29)</f>
        <v>1276249.5311111112</v>
      </c>
      <c r="Z30" s="433">
        <f>SUM(Z25:Z29)</f>
        <v>1260689.7727272727</v>
      </c>
      <c r="AA30" s="433"/>
      <c r="AB30" s="442">
        <v>618539.91939052299</v>
      </c>
      <c r="AC30" s="441"/>
      <c r="AD30" s="442">
        <v>494880.57575757575</v>
      </c>
      <c r="AE30" s="442"/>
      <c r="AF30" s="442">
        <v>690250.8361650327</v>
      </c>
      <c r="AG30" s="441"/>
      <c r="AH30" s="442">
        <v>494880.57575757575</v>
      </c>
      <c r="AI30" s="433"/>
      <c r="AJ30" s="442">
        <f>SUM(AJ25:AJ29)</f>
        <v>1079730.4156643727</v>
      </c>
      <c r="AK30" s="441"/>
      <c r="AL30" s="442">
        <f>SUM(AL25:AL29)</f>
        <v>601764.98484848486</v>
      </c>
      <c r="AM30" s="442"/>
      <c r="AN30" s="443">
        <f>+SUM(AN25:AN29)</f>
        <v>2388521.1712199282</v>
      </c>
      <c r="AO30" s="432">
        <f>+SUM(AO25:AO29)</f>
        <v>1591526.1363636365</v>
      </c>
      <c r="AP30" s="13"/>
      <c r="AQ30" s="443">
        <f>+SUM(AQ25:AQ29)</f>
        <v>5547106.7812199285</v>
      </c>
      <c r="AR30" s="432">
        <f>+SUM(AR25:AR29)</f>
        <v>4167753.8484848491</v>
      </c>
      <c r="AS30" s="444">
        <f>+AR30-AQ30</f>
        <v>-1379352.9327350794</v>
      </c>
      <c r="AT30" s="292">
        <f>+AJ30/AF30</f>
        <v>1.5642580335914567</v>
      </c>
      <c r="AU30" s="428">
        <v>2007000</v>
      </c>
      <c r="AV30" s="370">
        <f t="shared" si="11"/>
        <v>389479.57949934003</v>
      </c>
      <c r="AW30" s="370"/>
      <c r="AX30" s="501"/>
      <c r="AY30" s="507">
        <f>SUM(AY25:AY29)</f>
        <v>237177</v>
      </c>
      <c r="AZ30" s="370"/>
      <c r="BA30" s="370"/>
      <c r="BB30" s="370"/>
      <c r="BC30" s="370"/>
      <c r="BD30" s="370"/>
      <c r="BE30" s="370"/>
      <c r="BF30" s="370"/>
      <c r="BG30" s="370"/>
      <c r="BH30" s="370"/>
      <c r="BI30" s="332">
        <f>+AT30</f>
        <v>1.5642580335914567</v>
      </c>
      <c r="BJ30" s="396"/>
      <c r="BK30" s="332"/>
      <c r="BL30" s="332"/>
      <c r="BM30" s="332"/>
      <c r="BN30" s="332"/>
      <c r="BO30" s="332"/>
      <c r="BP30" s="332"/>
      <c r="BQ30" s="292"/>
      <c r="BR30" s="292"/>
      <c r="BS30" s="292"/>
      <c r="BT30" s="292"/>
      <c r="BU30" s="292"/>
      <c r="BV30" s="292"/>
      <c r="BW30" s="350">
        <f t="shared" si="12"/>
        <v>1426116.8639999998</v>
      </c>
      <c r="BX30" s="292"/>
      <c r="BY30" s="350">
        <f t="shared" si="13"/>
        <v>717233.55</v>
      </c>
      <c r="BZ30" s="350">
        <f t="shared" si="13"/>
        <v>578068.22727272718</v>
      </c>
      <c r="CA30" s="292"/>
      <c r="CB30" s="350">
        <f t="shared" si="14"/>
        <v>1165102.5288888889</v>
      </c>
      <c r="CC30" s="350">
        <f t="shared" si="14"/>
        <v>737469.71212121204</v>
      </c>
      <c r="CD30" s="349"/>
      <c r="CE30" s="350">
        <f t="shared" si="15"/>
        <v>1276249.5311111112</v>
      </c>
      <c r="CF30" s="350">
        <f t="shared" si="15"/>
        <v>1260689.7727272727</v>
      </c>
      <c r="CG30" s="292"/>
      <c r="CH30" s="350">
        <f>SUM(CH25:CH29)-1</f>
        <v>5547105.7812199285</v>
      </c>
      <c r="CI30" s="350">
        <f>SUM(CI25:CI29)</f>
        <v>3672873.2727272729</v>
      </c>
    </row>
    <row r="31" spans="1:88" ht="8" customHeight="1">
      <c r="B31" s="56"/>
      <c r="C31" s="56"/>
      <c r="D31" s="9"/>
      <c r="E31" s="13"/>
      <c r="F31" s="9"/>
      <c r="G31" s="9"/>
      <c r="H31" s="13"/>
      <c r="I31" s="9"/>
      <c r="J31" s="9"/>
      <c r="K31" s="13"/>
      <c r="L31" s="9"/>
      <c r="M31" s="9"/>
      <c r="N31" s="9"/>
      <c r="O31" s="9"/>
      <c r="P31" s="9"/>
      <c r="Q31" s="4"/>
      <c r="R31" s="9"/>
      <c r="S31" s="4"/>
      <c r="T31" s="9"/>
      <c r="U31" s="4"/>
      <c r="V31" s="438"/>
      <c r="W31" s="13"/>
      <c r="X31" s="4"/>
      <c r="Y31" s="9"/>
      <c r="Z31" s="9"/>
      <c r="AA31" s="9"/>
      <c r="AB31" s="438"/>
      <c r="AC31" s="4"/>
      <c r="AD31" s="438"/>
      <c r="AE31" s="438"/>
      <c r="AF31" s="438"/>
      <c r="AG31" s="4"/>
      <c r="AH31" s="438"/>
      <c r="AI31" s="9"/>
      <c r="AJ31" s="438"/>
      <c r="AK31" s="4"/>
      <c r="AL31" s="438"/>
      <c r="AM31" s="438"/>
      <c r="AN31" s="364"/>
      <c r="AO31" s="40"/>
      <c r="AP31" s="13"/>
      <c r="AQ31" s="364"/>
      <c r="AR31" s="40"/>
      <c r="AS31" s="438"/>
      <c r="AT31" s="292"/>
      <c r="AU31" s="425"/>
      <c r="AV31" s="292"/>
      <c r="AW31" s="292"/>
      <c r="AX31" s="504"/>
      <c r="AY31" s="504"/>
      <c r="AZ31" s="292"/>
      <c r="BA31" s="292"/>
      <c r="BB31" s="292"/>
      <c r="BC31" s="292"/>
      <c r="BD31" s="292"/>
      <c r="BE31" s="292"/>
      <c r="BF31" s="292"/>
      <c r="BG31" s="292"/>
      <c r="BH31" s="292"/>
      <c r="BI31" s="332"/>
      <c r="BJ31" s="332"/>
      <c r="BK31" s="332"/>
      <c r="BL31" s="332"/>
      <c r="BM31" s="332"/>
      <c r="BN31" s="332"/>
      <c r="BO31" s="332"/>
      <c r="BP31" s="332"/>
      <c r="BQ31" s="292"/>
      <c r="BR31" s="292"/>
      <c r="BS31" s="292"/>
      <c r="BT31" s="292"/>
      <c r="BU31" s="292"/>
      <c r="BV31" s="292"/>
      <c r="BW31" s="349"/>
      <c r="BX31" s="292"/>
      <c r="BY31" s="349"/>
      <c r="BZ31" s="349"/>
      <c r="CA31" s="292"/>
      <c r="CB31" s="349"/>
      <c r="CC31" s="349"/>
      <c r="CD31" s="349"/>
      <c r="CE31" s="349"/>
      <c r="CF31" s="349"/>
      <c r="CG31" s="292"/>
      <c r="CH31" s="349"/>
      <c r="CI31" s="349"/>
    </row>
    <row r="32" spans="1:88">
      <c r="B32" s="112" t="s">
        <v>503</v>
      </c>
      <c r="C32" s="112"/>
      <c r="D32" s="9"/>
      <c r="E32" s="13"/>
      <c r="F32" s="4"/>
      <c r="G32" s="4"/>
      <c r="H32" s="13"/>
      <c r="I32" s="4"/>
      <c r="J32" s="4"/>
      <c r="K32" s="13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13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363"/>
      <c r="AO32" s="137"/>
      <c r="AP32" s="13"/>
      <c r="AQ32" s="363"/>
      <c r="AR32" s="4"/>
      <c r="AS32" s="4"/>
      <c r="AU32" s="425"/>
      <c r="BS32" s="292"/>
      <c r="BW32" s="349"/>
      <c r="BY32" s="349"/>
      <c r="BZ32" s="349"/>
      <c r="CB32" s="349"/>
      <c r="CC32" s="349"/>
      <c r="CD32" s="349"/>
      <c r="CE32" s="349"/>
      <c r="CF32" s="349"/>
      <c r="CH32" s="349"/>
      <c r="CI32" s="349"/>
    </row>
    <row r="33" spans="1:89" ht="24" customHeight="1" outlineLevel="1">
      <c r="A33" s="253">
        <v>5600</v>
      </c>
      <c r="B33" s="2" t="s">
        <v>504</v>
      </c>
      <c r="D33" s="9">
        <v>483516.95799999998</v>
      </c>
      <c r="E33" s="13"/>
      <c r="F33" s="40">
        <v>144947.84</v>
      </c>
      <c r="G33" s="40">
        <f>SUMIF(budget!U:U,PL!A33,budget!L:L)</f>
        <v>153489.77272727265</v>
      </c>
      <c r="H33" s="13"/>
      <c r="I33" s="40">
        <v>186627.57200000001</v>
      </c>
      <c r="J33" s="40">
        <f>SUMIF(budget!U:U,PL!A33,budget!P:P)</f>
        <v>167672.40909090903</v>
      </c>
      <c r="K33" s="13"/>
      <c r="L33" s="40">
        <v>56249.628000000026</v>
      </c>
      <c r="M33" s="40"/>
      <c r="N33" s="40">
        <v>98509.469696969711</v>
      </c>
      <c r="O33" s="40"/>
      <c r="P33" s="40">
        <v>72334.769999999873</v>
      </c>
      <c r="Q33" s="4"/>
      <c r="R33" s="40">
        <v>98509.469696969711</v>
      </c>
      <c r="S33" s="4"/>
      <c r="T33" s="40">
        <v>72571.87</v>
      </c>
      <c r="U33" s="4"/>
      <c r="V33" s="40">
        <f>SUMIF(budget!U:U,PL!A33,budget!S:S)</f>
        <v>98509.469696969711</v>
      </c>
      <c r="W33" s="13"/>
      <c r="X33" s="4"/>
      <c r="Y33" s="40">
        <f t="shared" ref="Y33:Y38" si="16">L33+P33+T33</f>
        <v>201156.26799999989</v>
      </c>
      <c r="Z33" s="40">
        <f t="shared" ref="Z33:Z38" si="17">N33+R33+V33</f>
        <v>295528.40909090912</v>
      </c>
      <c r="AA33" s="40"/>
      <c r="AB33" s="40">
        <v>191312.76</v>
      </c>
      <c r="AC33" s="4"/>
      <c r="AD33" s="40">
        <v>98509.469696969711</v>
      </c>
      <c r="AE33" s="40"/>
      <c r="AF33" s="40">
        <v>228756.44999999995</v>
      </c>
      <c r="AG33" s="4"/>
      <c r="AH33" s="40">
        <v>98509.469696969711</v>
      </c>
      <c r="AI33" s="40"/>
      <c r="AJ33" s="40">
        <f t="shared" ref="AJ33:AJ38" si="18">CH33-I33-F33-L33-P33-T33-AB33-AF33</f>
        <v>375865.19000000029</v>
      </c>
      <c r="AK33" s="4"/>
      <c r="AL33" s="40">
        <f>SUMIF(budget!U:U,PL!A33,budget!X:X)</f>
        <v>297389.0151515152</v>
      </c>
      <c r="AM33" s="40"/>
      <c r="AN33" s="364">
        <f t="shared" ref="AN33:AN38" si="19">+AB33+AF33+AJ33</f>
        <v>795934.40000000026</v>
      </c>
      <c r="AO33" s="137">
        <f>SUMIF(budget!U:U,PL!A33,budget!Y:Y)</f>
        <v>494407.95454545459</v>
      </c>
      <c r="AP33" s="13"/>
      <c r="AQ33" s="364">
        <f t="shared" ref="AQ33:AR38" si="20">+F33+I33+Y33+AN33</f>
        <v>1328666.08</v>
      </c>
      <c r="AR33" s="40">
        <f t="shared" si="20"/>
        <v>1111098.5454545454</v>
      </c>
      <c r="AS33" s="438"/>
      <c r="AT33" s="292">
        <f t="shared" ref="AT33:AT39" si="21">+AJ33/AF33</f>
        <v>1.6430801841871578</v>
      </c>
      <c r="AU33" s="426">
        <v>472000</v>
      </c>
      <c r="AV33" s="370">
        <f t="shared" ref="AV33:AV39" si="22">AJ33-AF33</f>
        <v>147108.74000000034</v>
      </c>
      <c r="AW33" s="370"/>
      <c r="AX33" s="496" t="s">
        <v>455</v>
      </c>
      <c r="AY33" s="480">
        <f>100000+27000</f>
        <v>127000</v>
      </c>
      <c r="AZ33" s="370"/>
      <c r="BA33" s="370">
        <f>+AJ33+BE33-65000</f>
        <v>340865.19000000029</v>
      </c>
      <c r="BB33" s="370" t="s">
        <v>505</v>
      </c>
      <c r="BC33" s="370"/>
      <c r="BD33" s="370"/>
      <c r="BE33" s="370">
        <v>30000</v>
      </c>
      <c r="BF33" s="370"/>
      <c r="BG33" s="370"/>
      <c r="BH33" s="370"/>
      <c r="BI33" s="332">
        <v>1.3</v>
      </c>
      <c r="BJ33" s="396"/>
      <c r="BK33" s="332" t="s">
        <v>506</v>
      </c>
      <c r="BL33" s="332"/>
      <c r="BM33" s="332"/>
      <c r="BN33" s="332"/>
      <c r="BO33" s="332"/>
      <c r="BP33" s="332"/>
      <c r="BQ33" s="292"/>
      <c r="BR33" s="371"/>
      <c r="BS33" s="292"/>
      <c r="BT33" s="371"/>
      <c r="BU33" s="371"/>
      <c r="BV33" s="292"/>
      <c r="BW33" s="349">
        <f t="shared" ref="BW33:BW39" si="23">+D33</f>
        <v>483516.95799999998</v>
      </c>
      <c r="BX33" s="292"/>
      <c r="BY33" s="349">
        <f t="shared" ref="BY33:BZ39" si="24">+F33</f>
        <v>144947.84</v>
      </c>
      <c r="BZ33" s="349">
        <f t="shared" si="24"/>
        <v>153489.77272727265</v>
      </c>
      <c r="CA33" s="292"/>
      <c r="CB33" s="349">
        <f t="shared" ref="CB33:CC39" si="25">+I33</f>
        <v>186627.57200000001</v>
      </c>
      <c r="CC33" s="349">
        <f t="shared" si="25"/>
        <v>167672.40909090903</v>
      </c>
      <c r="CD33" s="349"/>
      <c r="CE33" s="349">
        <f t="shared" ref="CE33:CF39" si="26">+Y33</f>
        <v>201156.26799999989</v>
      </c>
      <c r="CF33" s="349">
        <f t="shared" si="26"/>
        <v>295528.40909090912</v>
      </c>
      <c r="CG33" s="292"/>
      <c r="CH33" s="349">
        <f>SUMIF('HARKAVA '!$Z:$Z,PL!A33,'HARKAVA '!Y:Y)</f>
        <v>1328666.08</v>
      </c>
      <c r="CI33" s="349">
        <f t="shared" ref="CI33:CI38" si="27">G33+J33+Z33+AD33+AL33</f>
        <v>1012589.0757575757</v>
      </c>
      <c r="CK33" s="193" t="s">
        <v>507</v>
      </c>
    </row>
    <row r="34" spans="1:89" ht="15" outlineLevel="1">
      <c r="A34" s="253">
        <v>5603</v>
      </c>
      <c r="B34" s="2" t="s">
        <v>450</v>
      </c>
      <c r="D34" s="440">
        <v>-7391.119999999999</v>
      </c>
      <c r="E34" s="13"/>
      <c r="F34" s="440">
        <v>-699.93000000000029</v>
      </c>
      <c r="G34" s="40">
        <v>0</v>
      </c>
      <c r="H34" s="13"/>
      <c r="I34" s="9">
        <v>9687.84</v>
      </c>
      <c r="J34" s="40">
        <v>0</v>
      </c>
      <c r="K34" s="13"/>
      <c r="L34" s="440">
        <v>-4482.6200000000026</v>
      </c>
      <c r="M34" s="40"/>
      <c r="N34" s="40">
        <v>0</v>
      </c>
      <c r="O34" s="40"/>
      <c r="P34" s="440">
        <v>-950.42999999999665</v>
      </c>
      <c r="Q34" s="4"/>
      <c r="R34" s="40">
        <v>0</v>
      </c>
      <c r="S34" s="4"/>
      <c r="T34" s="40">
        <v>11817.360000000004</v>
      </c>
      <c r="U34" s="4"/>
      <c r="V34" s="40">
        <f>SUMIF(budget!U:U,PL!A34,budget!S:S)</f>
        <v>0</v>
      </c>
      <c r="W34" s="13"/>
      <c r="X34" s="4"/>
      <c r="Y34" s="40">
        <f t="shared" si="16"/>
        <v>6384.3100000000049</v>
      </c>
      <c r="Z34" s="40">
        <f t="shared" si="17"/>
        <v>0</v>
      </c>
      <c r="AA34" s="40"/>
      <c r="AB34" s="40">
        <v>573</v>
      </c>
      <c r="AC34" s="4"/>
      <c r="AD34" s="40">
        <v>0</v>
      </c>
      <c r="AE34" s="40"/>
      <c r="AF34" s="40">
        <v>-5035.5200000000004</v>
      </c>
      <c r="AG34" s="4"/>
      <c r="AH34" s="40">
        <v>0</v>
      </c>
      <c r="AI34" s="40"/>
      <c r="AJ34" s="40">
        <f t="shared" si="18"/>
        <v>-11907.710000000003</v>
      </c>
      <c r="AK34" s="4"/>
      <c r="AL34" s="40">
        <f>SUMIF(budget!U:U,PL!A34,budget!X:X)</f>
        <v>0</v>
      </c>
      <c r="AM34" s="40"/>
      <c r="AN34" s="364">
        <f t="shared" si="19"/>
        <v>-16370.230000000003</v>
      </c>
      <c r="AO34" s="137">
        <f>SUMIF(budget!U:U,PL!A34,budget!Y:Y)</f>
        <v>0</v>
      </c>
      <c r="AP34" s="13"/>
      <c r="AQ34" s="364">
        <f t="shared" si="20"/>
        <v>-998.0099999999984</v>
      </c>
      <c r="AR34" s="40">
        <f t="shared" si="20"/>
        <v>0</v>
      </c>
      <c r="AS34" s="438"/>
      <c r="AT34" s="292">
        <f t="shared" si="21"/>
        <v>2.3647428666751402</v>
      </c>
      <c r="AU34" s="426" t="s">
        <v>481</v>
      </c>
      <c r="AV34" s="370">
        <f t="shared" si="22"/>
        <v>-6872.1900000000023</v>
      </c>
      <c r="AW34" s="370"/>
      <c r="AX34" s="496" t="s">
        <v>508</v>
      </c>
      <c r="AY34" s="480">
        <f>AY7+AY9</f>
        <v>-15500</v>
      </c>
      <c r="AZ34" s="370"/>
      <c r="BA34" s="18">
        <f>56000/2</f>
        <v>28000</v>
      </c>
      <c r="BB34" s="2" t="s">
        <v>452</v>
      </c>
      <c r="BC34" s="370"/>
      <c r="BD34" s="370"/>
      <c r="BE34" s="370"/>
      <c r="BF34" s="370"/>
      <c r="BG34" s="370"/>
      <c r="BH34" s="370"/>
      <c r="BI34" s="332">
        <f>+AT34</f>
        <v>2.3647428666751402</v>
      </c>
      <c r="BJ34" s="396"/>
      <c r="BK34" s="332"/>
      <c r="BL34" s="332"/>
      <c r="BM34" s="332"/>
      <c r="BN34" s="332"/>
      <c r="BO34" s="332"/>
      <c r="BP34" s="332"/>
      <c r="BQ34" s="292"/>
      <c r="BR34" s="371"/>
      <c r="BS34" s="292"/>
      <c r="BT34" s="371"/>
      <c r="BU34" s="371"/>
      <c r="BV34" s="292"/>
      <c r="BW34" s="349">
        <f t="shared" si="23"/>
        <v>-7391.119999999999</v>
      </c>
      <c r="BX34" s="292"/>
      <c r="BY34" s="349">
        <f t="shared" si="24"/>
        <v>-699.93000000000029</v>
      </c>
      <c r="BZ34" s="349">
        <f t="shared" si="24"/>
        <v>0</v>
      </c>
      <c r="CA34" s="292"/>
      <c r="CB34" s="349">
        <f t="shared" si="25"/>
        <v>9687.84</v>
      </c>
      <c r="CC34" s="349">
        <f t="shared" si="25"/>
        <v>0</v>
      </c>
      <c r="CD34" s="349"/>
      <c r="CE34" s="349">
        <f t="shared" si="26"/>
        <v>6384.3100000000049</v>
      </c>
      <c r="CF34" s="349">
        <f t="shared" si="26"/>
        <v>0</v>
      </c>
      <c r="CG34" s="292"/>
      <c r="CH34" s="349">
        <f>SUMIF('HARKAVA '!$Z:$Z,PL!A34,'HARKAVA '!Y:Y)</f>
        <v>-998.0099999999984</v>
      </c>
      <c r="CI34" s="349">
        <f t="shared" si="27"/>
        <v>0</v>
      </c>
      <c r="CK34" s="2" t="s">
        <v>509</v>
      </c>
    </row>
    <row r="35" spans="1:89" ht="22" customHeight="1" outlineLevel="1">
      <c r="A35" s="253">
        <v>5610</v>
      </c>
      <c r="B35" s="2" t="s">
        <v>510</v>
      </c>
      <c r="D35" s="438">
        <v>308741.54000000004</v>
      </c>
      <c r="E35" s="13"/>
      <c r="F35" s="40">
        <v>110882.83000000002</v>
      </c>
      <c r="G35" s="40">
        <f>SUMIF(budget!U:U,PL!A35,budget!L:L)</f>
        <v>107824.54545454546</v>
      </c>
      <c r="H35" s="13"/>
      <c r="I35" s="40">
        <v>152411.55999999994</v>
      </c>
      <c r="J35" s="40">
        <f>SUMIF(budget!U:U,PL!A35,budget!P:P)</f>
        <v>272049.54545454547</v>
      </c>
      <c r="K35" s="13"/>
      <c r="L35" s="40">
        <v>62846.330000000016</v>
      </c>
      <c r="M35" s="40"/>
      <c r="N35" s="40">
        <v>208579.99999999997</v>
      </c>
      <c r="O35" s="40"/>
      <c r="P35" s="40">
        <v>128164.18000000005</v>
      </c>
      <c r="Q35" s="4"/>
      <c r="R35" s="40">
        <v>95203.333333333328</v>
      </c>
      <c r="S35" s="4"/>
      <c r="T35" s="40">
        <v>87596.439999999944</v>
      </c>
      <c r="U35" s="4"/>
      <c r="V35" s="40">
        <f>SUMIF(budget!U:U,PL!A35,budget!S:S)</f>
        <v>87203.333333333328</v>
      </c>
      <c r="W35" s="13"/>
      <c r="X35" s="4"/>
      <c r="Y35" s="40">
        <f t="shared" si="16"/>
        <v>278606.95</v>
      </c>
      <c r="Z35" s="40">
        <f t="shared" si="17"/>
        <v>390986.66666666663</v>
      </c>
      <c r="AA35" s="40"/>
      <c r="AB35" s="40">
        <v>60043.940000000061</v>
      </c>
      <c r="AC35" s="4"/>
      <c r="AD35" s="40">
        <v>151493.33333333331</v>
      </c>
      <c r="AE35" s="40"/>
      <c r="AF35" s="40">
        <v>91057.419999999925</v>
      </c>
      <c r="AG35" s="4"/>
      <c r="AH35" s="40">
        <v>77493.333333333328</v>
      </c>
      <c r="AI35" s="40"/>
      <c r="AJ35" s="40">
        <f t="shared" si="18"/>
        <v>213151.65000000014</v>
      </c>
      <c r="AK35" s="4"/>
      <c r="AL35" s="40">
        <f>SUMIF(budget!U:U,PL!A35,budget!X:X)</f>
        <v>77493.333333333328</v>
      </c>
      <c r="AM35" s="40"/>
      <c r="AN35" s="364">
        <f t="shared" si="19"/>
        <v>364253.01000000013</v>
      </c>
      <c r="AO35" s="137">
        <f>SUMIF(budget!U:U,PL!A35,budget!Y:Y)</f>
        <v>306480</v>
      </c>
      <c r="AP35" s="13"/>
      <c r="AQ35" s="364">
        <f t="shared" si="20"/>
        <v>906154.35000000009</v>
      </c>
      <c r="AR35" s="40">
        <f t="shared" si="20"/>
        <v>1077340.7575757576</v>
      </c>
      <c r="AS35" s="438"/>
      <c r="AT35" s="292">
        <f t="shared" si="21"/>
        <v>2.340848774322843</v>
      </c>
      <c r="AU35" s="425">
        <v>334000</v>
      </c>
      <c r="AV35" s="370">
        <f t="shared" si="22"/>
        <v>122094.23000000021</v>
      </c>
      <c r="AW35" s="370"/>
      <c r="AX35" s="496" t="s">
        <v>511</v>
      </c>
      <c r="AY35" s="473">
        <f>100000*0.2</f>
        <v>20000</v>
      </c>
      <c r="AZ35" s="370"/>
      <c r="BA35" s="370">
        <f>+BB52</f>
        <v>163800</v>
      </c>
      <c r="BB35" s="370" t="s">
        <v>149</v>
      </c>
      <c r="BC35" s="370"/>
      <c r="BD35" s="370"/>
      <c r="BE35" s="370"/>
      <c r="BF35" s="370"/>
      <c r="BG35" s="370"/>
      <c r="BH35" s="370"/>
      <c r="BI35" s="332">
        <v>1.2</v>
      </c>
      <c r="BJ35" s="398" t="s">
        <v>512</v>
      </c>
      <c r="BK35" s="332"/>
      <c r="BL35" s="332"/>
      <c r="BM35" s="332"/>
      <c r="BN35" s="332"/>
      <c r="BO35" s="332"/>
      <c r="BP35" s="332"/>
      <c r="BQ35" s="292"/>
      <c r="BR35" s="371"/>
      <c r="BS35" s="292"/>
      <c r="BT35" s="371"/>
      <c r="BU35" s="371"/>
      <c r="BV35" s="292"/>
      <c r="BW35" s="349">
        <f t="shared" si="23"/>
        <v>308741.54000000004</v>
      </c>
      <c r="BX35" s="292"/>
      <c r="BY35" s="349">
        <f t="shared" si="24"/>
        <v>110882.83000000002</v>
      </c>
      <c r="BZ35" s="349">
        <f t="shared" si="24"/>
        <v>107824.54545454546</v>
      </c>
      <c r="CA35" s="292"/>
      <c r="CB35" s="349">
        <f t="shared" si="25"/>
        <v>152411.55999999994</v>
      </c>
      <c r="CC35" s="349">
        <f t="shared" si="25"/>
        <v>272049.54545454547</v>
      </c>
      <c r="CD35" s="349"/>
      <c r="CE35" s="349">
        <f t="shared" si="26"/>
        <v>278606.95</v>
      </c>
      <c r="CF35" s="349">
        <f t="shared" si="26"/>
        <v>390986.66666666663</v>
      </c>
      <c r="CG35" s="292"/>
      <c r="CH35" s="349">
        <f>SUMIF('HARKAVA '!$Z:$Z,PL!A35,'HARKAVA '!Y:Y)</f>
        <v>906154.35000000009</v>
      </c>
      <c r="CI35" s="349">
        <f t="shared" si="27"/>
        <v>999847.4242424242</v>
      </c>
      <c r="CJ35" s="2" t="s">
        <v>513</v>
      </c>
    </row>
    <row r="36" spans="1:89" ht="13.5" customHeight="1" outlineLevel="1">
      <c r="A36" s="253">
        <v>5620</v>
      </c>
      <c r="B36" s="2" t="s">
        <v>514</v>
      </c>
      <c r="D36" s="438">
        <v>51729.660000000018</v>
      </c>
      <c r="E36" s="13"/>
      <c r="F36" s="40">
        <v>10479</v>
      </c>
      <c r="G36" s="40">
        <f>SUMIF(budget!U:U,PL!A36,budget!L:L)</f>
        <v>64500</v>
      </c>
      <c r="H36" s="13"/>
      <c r="I36" s="40">
        <v>14221.06349206348</v>
      </c>
      <c r="J36" s="40">
        <f>SUMIF(budget!U:U,PL!A36,budget!P:P)</f>
        <v>69000</v>
      </c>
      <c r="K36" s="13"/>
      <c r="L36" s="40">
        <v>4800.9000000000124</v>
      </c>
      <c r="M36" s="40"/>
      <c r="N36" s="40">
        <v>32500</v>
      </c>
      <c r="O36" s="40"/>
      <c r="P36" s="40">
        <v>8552.4966666666514</v>
      </c>
      <c r="Q36" s="4"/>
      <c r="R36" s="40">
        <v>32500</v>
      </c>
      <c r="S36" s="4"/>
      <c r="T36" s="40">
        <v>9681.4298412698736</v>
      </c>
      <c r="U36" s="4"/>
      <c r="V36" s="40">
        <f>SUMIF(budget!U:U,PL!A36,budget!S:S)</f>
        <v>32500</v>
      </c>
      <c r="W36" s="13"/>
      <c r="X36" s="4"/>
      <c r="Y36" s="40">
        <f t="shared" si="16"/>
        <v>23034.826507936537</v>
      </c>
      <c r="Z36" s="40">
        <f t="shared" si="17"/>
        <v>97500</v>
      </c>
      <c r="AA36" s="40"/>
      <c r="AB36" s="40">
        <v>5398.2653504512709</v>
      </c>
      <c r="AC36" s="4"/>
      <c r="AD36" s="40">
        <v>37500</v>
      </c>
      <c r="AE36" s="40"/>
      <c r="AF36" s="40">
        <v>14059.333055555562</v>
      </c>
      <c r="AG36" s="4"/>
      <c r="AH36" s="40">
        <v>37500</v>
      </c>
      <c r="AI36" s="40"/>
      <c r="AJ36" s="40">
        <f t="shared" si="18"/>
        <v>5428.2855388471653</v>
      </c>
      <c r="AK36" s="4"/>
      <c r="AL36" s="40">
        <f>SUMIF(budget!U:U,PL!A36,budget!X:X)</f>
        <v>37500</v>
      </c>
      <c r="AM36" s="40"/>
      <c r="AN36" s="364">
        <f t="shared" si="19"/>
        <v>24885.883944853998</v>
      </c>
      <c r="AO36" s="137">
        <f>SUMIF(budget!U:U,PL!A36,budget!Y:Y)</f>
        <v>112500</v>
      </c>
      <c r="AP36" s="13"/>
      <c r="AQ36" s="364">
        <f t="shared" si="20"/>
        <v>72620.773944854009</v>
      </c>
      <c r="AR36" s="40">
        <f t="shared" si="20"/>
        <v>343500</v>
      </c>
      <c r="AS36" s="438"/>
      <c r="AT36" s="292">
        <f t="shared" si="21"/>
        <v>0.38609836735478514</v>
      </c>
      <c r="AU36" s="426" t="s">
        <v>481</v>
      </c>
      <c r="AV36" s="370">
        <f t="shared" si="22"/>
        <v>-8631.0475167083969</v>
      </c>
      <c r="AW36" s="370"/>
      <c r="AX36" s="496" t="s">
        <v>515</v>
      </c>
      <c r="AY36" s="480">
        <v>11000</v>
      </c>
      <c r="AZ36" s="370"/>
      <c r="BA36" s="422">
        <f>+SUM(BA33:BA35)</f>
        <v>532665.19000000029</v>
      </c>
      <c r="BB36" s="370"/>
      <c r="BC36" s="370"/>
      <c r="BD36" s="370"/>
      <c r="BE36" s="370"/>
      <c r="BF36" s="370"/>
      <c r="BG36" s="370"/>
      <c r="BH36" s="370"/>
      <c r="BI36" s="332">
        <f>+AT36</f>
        <v>0.38609836735478514</v>
      </c>
      <c r="BJ36" s="396"/>
      <c r="BK36" s="332"/>
      <c r="BL36" s="332"/>
      <c r="BM36" s="332"/>
      <c r="BN36" s="332"/>
      <c r="BO36" s="332"/>
      <c r="BP36" s="332"/>
      <c r="BQ36" s="292"/>
      <c r="BR36" s="292"/>
      <c r="BS36" s="292"/>
      <c r="BT36" s="292"/>
      <c r="BU36" s="292"/>
      <c r="BV36" s="292"/>
      <c r="BW36" s="349">
        <f t="shared" si="23"/>
        <v>51729.660000000018</v>
      </c>
      <c r="BX36" s="292"/>
      <c r="BY36" s="349">
        <f t="shared" si="24"/>
        <v>10479</v>
      </c>
      <c r="BZ36" s="349">
        <f t="shared" si="24"/>
        <v>64500</v>
      </c>
      <c r="CA36" s="292"/>
      <c r="CB36" s="349">
        <f t="shared" si="25"/>
        <v>14221.06349206348</v>
      </c>
      <c r="CC36" s="349">
        <f t="shared" si="25"/>
        <v>69000</v>
      </c>
      <c r="CD36" s="349"/>
      <c r="CE36" s="349">
        <f t="shared" si="26"/>
        <v>23034.826507936537</v>
      </c>
      <c r="CF36" s="349">
        <f t="shared" si="26"/>
        <v>97500</v>
      </c>
      <c r="CG36" s="292"/>
      <c r="CH36" s="349">
        <f>SUMIF('HARKAVA '!$Z:$Z,PL!A36,'HARKAVA '!Y:Y)</f>
        <v>72620.773944854009</v>
      </c>
      <c r="CI36" s="349">
        <f t="shared" si="27"/>
        <v>306000</v>
      </c>
    </row>
    <row r="37" spans="1:89" ht="13.5" customHeight="1" outlineLevel="1">
      <c r="A37" s="253">
        <v>5680</v>
      </c>
      <c r="B37" s="2" t="s">
        <v>480</v>
      </c>
      <c r="D37" s="438">
        <v>16569.96</v>
      </c>
      <c r="E37" s="13"/>
      <c r="F37" s="40">
        <v>6213</v>
      </c>
      <c r="G37" s="40">
        <f>SUMIF(budget!U:U,PL!A37,budget!L:L)</f>
        <v>0</v>
      </c>
      <c r="H37" s="13"/>
      <c r="I37" s="40">
        <v>10302.600000000002</v>
      </c>
      <c r="J37" s="40">
        <f>SUMIF(budget!U:U,PL!A37,budget!P:P)</f>
        <v>10000</v>
      </c>
      <c r="K37" s="13"/>
      <c r="L37" s="40">
        <v>314.93999999999869</v>
      </c>
      <c r="M37" s="40"/>
      <c r="N37" s="40">
        <v>5000</v>
      </c>
      <c r="O37" s="40"/>
      <c r="P37" s="40">
        <v>567.66999999999825</v>
      </c>
      <c r="Q37" s="4"/>
      <c r="R37" s="40">
        <v>5000</v>
      </c>
      <c r="S37" s="4"/>
      <c r="T37" s="40">
        <v>3100.3300000000017</v>
      </c>
      <c r="U37" s="4"/>
      <c r="V37" s="40">
        <f>SUMIF(budget!U:U,PL!A37,budget!S:S)</f>
        <v>5000</v>
      </c>
      <c r="W37" s="13"/>
      <c r="X37" s="4"/>
      <c r="Y37" s="40">
        <f t="shared" si="16"/>
        <v>3982.9399999999987</v>
      </c>
      <c r="Z37" s="40">
        <f t="shared" si="17"/>
        <v>15000</v>
      </c>
      <c r="AA37" s="40"/>
      <c r="AB37" s="40">
        <v>8174.6000000000022</v>
      </c>
      <c r="AC37" s="4"/>
      <c r="AD37" s="40">
        <v>8333.3333333333339</v>
      </c>
      <c r="AE37" s="40"/>
      <c r="AF37" s="40">
        <v>7395.3999999999905</v>
      </c>
      <c r="AG37" s="4"/>
      <c r="AH37" s="40">
        <v>8333.3333333333339</v>
      </c>
      <c r="AI37" s="40"/>
      <c r="AJ37" s="40">
        <f t="shared" si="18"/>
        <v>4795.70285714286</v>
      </c>
      <c r="AK37" s="4"/>
      <c r="AL37" s="40">
        <f>SUMIF(budget!U:U,PL!A37,budget!X:X)</f>
        <v>8333.3333333333339</v>
      </c>
      <c r="AM37" s="40"/>
      <c r="AN37" s="364">
        <f t="shared" si="19"/>
        <v>20365.702857142853</v>
      </c>
      <c r="AO37" s="137">
        <f>SUMIF(budget!U:U,PL!A37,budget!Y:Y)</f>
        <v>25000</v>
      </c>
      <c r="AP37" s="13"/>
      <c r="AQ37" s="364">
        <f t="shared" si="20"/>
        <v>40864.242857142854</v>
      </c>
      <c r="AR37" s="40">
        <f t="shared" si="20"/>
        <v>50000</v>
      </c>
      <c r="AS37" s="438"/>
      <c r="AT37" s="292">
        <f t="shared" si="21"/>
        <v>0.64847105729816723</v>
      </c>
      <c r="AU37" s="426">
        <v>11000</v>
      </c>
      <c r="AV37" s="370">
        <f t="shared" si="22"/>
        <v>-2599.6971428571305</v>
      </c>
      <c r="AW37" s="370"/>
      <c r="AX37" s="496" t="s">
        <v>516</v>
      </c>
      <c r="AY37" s="505">
        <v>5973</v>
      </c>
      <c r="AZ37" s="370"/>
      <c r="BA37" s="370"/>
      <c r="BB37" s="370"/>
      <c r="BC37" s="370"/>
      <c r="BD37" s="370"/>
      <c r="BE37" s="370"/>
      <c r="BF37" s="370"/>
      <c r="BG37" s="370"/>
      <c r="BH37" s="370"/>
      <c r="BI37" s="332">
        <f>+AT37</f>
        <v>0.64847105729816723</v>
      </c>
      <c r="BJ37" s="396"/>
      <c r="BK37" s="332"/>
      <c r="BL37" s="332"/>
      <c r="BM37" s="332"/>
      <c r="BN37" s="332"/>
      <c r="BO37" s="332"/>
      <c r="BP37" s="332"/>
      <c r="BQ37" s="292"/>
      <c r="BR37" s="292"/>
      <c r="BS37" s="292"/>
      <c r="BT37" s="292"/>
      <c r="BU37" s="292"/>
      <c r="BV37" s="292"/>
      <c r="BW37" s="349">
        <f t="shared" si="23"/>
        <v>16569.96</v>
      </c>
      <c r="BX37" s="292"/>
      <c r="BY37" s="349">
        <f t="shared" si="24"/>
        <v>6213</v>
      </c>
      <c r="BZ37" s="349">
        <f t="shared" si="24"/>
        <v>0</v>
      </c>
      <c r="CA37" s="292"/>
      <c r="CB37" s="349">
        <f t="shared" si="25"/>
        <v>10302.600000000002</v>
      </c>
      <c r="CC37" s="349">
        <f t="shared" si="25"/>
        <v>10000</v>
      </c>
      <c r="CD37" s="349"/>
      <c r="CE37" s="349">
        <f t="shared" si="26"/>
        <v>3982.9399999999987</v>
      </c>
      <c r="CF37" s="349">
        <f t="shared" si="26"/>
        <v>15000</v>
      </c>
      <c r="CG37" s="292"/>
      <c r="CH37" s="349">
        <f>SUMIF('HARKAVA '!$Z:$Z,PL!A37,'HARKAVA '!Y:Y)</f>
        <v>40864.242857142854</v>
      </c>
      <c r="CI37" s="349">
        <f t="shared" si="27"/>
        <v>41666.666666666672</v>
      </c>
    </row>
    <row r="38" spans="1:89" ht="14" outlineLevel="1">
      <c r="A38" s="253">
        <v>5660</v>
      </c>
      <c r="B38" s="2" t="s">
        <v>458</v>
      </c>
      <c r="D38" s="9">
        <v>41789.520000000004</v>
      </c>
      <c r="E38" s="13"/>
      <c r="F38" s="9">
        <v>25762</v>
      </c>
      <c r="G38" s="9">
        <f>SUMIF(budget!U:U,PL!A38,budget!L:L)</f>
        <v>44131.1</v>
      </c>
      <c r="H38" s="13"/>
      <c r="I38" s="9">
        <v>32146.219047619066</v>
      </c>
      <c r="J38" s="9">
        <f>SUMIF(budget!U:U,PL!A38,budget!P:P)</f>
        <v>66531.100000000006</v>
      </c>
      <c r="K38" s="13"/>
      <c r="L38" s="9">
        <f>42402.65-17000</f>
        <v>25402.65</v>
      </c>
      <c r="M38" s="9"/>
      <c r="N38" s="9">
        <v>26243.699999999997</v>
      </c>
      <c r="O38" s="9"/>
      <c r="P38" s="9">
        <v>18831.570000000007</v>
      </c>
      <c r="Q38" s="4"/>
      <c r="R38" s="9">
        <v>26243.699999999997</v>
      </c>
      <c r="S38" s="4"/>
      <c r="T38" s="438">
        <v>8899.4809523809163</v>
      </c>
      <c r="U38" s="4"/>
      <c r="V38" s="438">
        <f>SUMIF(budget!U:U,PL!A38,budget!S:S)</f>
        <v>26243.699999999997</v>
      </c>
      <c r="W38" s="13"/>
      <c r="X38" s="4"/>
      <c r="Y38" s="40">
        <f t="shared" si="16"/>
        <v>53133.700952380925</v>
      </c>
      <c r="Z38" s="40">
        <f t="shared" si="17"/>
        <v>78731.099999999991</v>
      </c>
      <c r="AA38" s="40"/>
      <c r="AB38" s="438">
        <v>-605.48004693427356</v>
      </c>
      <c r="AC38" s="4"/>
      <c r="AD38" s="438">
        <v>26243.699999999997</v>
      </c>
      <c r="AE38" s="438"/>
      <c r="AF38" s="438">
        <v>4852.149444444367</v>
      </c>
      <c r="AG38" s="4"/>
      <c r="AH38" s="438">
        <v>26243.699999999997</v>
      </c>
      <c r="AI38" s="40"/>
      <c r="AJ38" s="438">
        <f t="shared" si="18"/>
        <v>41994.140751879728</v>
      </c>
      <c r="AK38" s="4"/>
      <c r="AL38" s="438">
        <f>SUMIF(budget!U:U,PL!A38,budget!X:X)</f>
        <v>26243.699999999997</v>
      </c>
      <c r="AM38" s="438"/>
      <c r="AN38" s="364">
        <f t="shared" si="19"/>
        <v>46240.810149389821</v>
      </c>
      <c r="AO38" s="137">
        <f>SUMIF(budget!U:U,PL!A38,budget!Y:Y)</f>
        <v>78731.100000000006</v>
      </c>
      <c r="AP38" s="13"/>
      <c r="AQ38" s="364">
        <f t="shared" si="20"/>
        <v>157282.7301493898</v>
      </c>
      <c r="AR38" s="40">
        <f t="shared" si="20"/>
        <v>268124.40000000002</v>
      </c>
      <c r="AS38" s="438"/>
      <c r="AT38" s="292">
        <f t="shared" si="21"/>
        <v>8.6547500716331687</v>
      </c>
      <c r="AU38" s="426">
        <v>69000</v>
      </c>
      <c r="AV38" s="370">
        <f t="shared" si="22"/>
        <v>37141.991307435361</v>
      </c>
      <c r="AW38" s="370"/>
      <c r="AX38" s="501"/>
      <c r="AY38" s="508">
        <f>SUM(AY33:AY37)</f>
        <v>148473</v>
      </c>
      <c r="AZ38" s="370"/>
      <c r="BA38" s="370"/>
      <c r="BB38" s="370"/>
      <c r="BC38" s="370"/>
      <c r="BD38" s="370"/>
      <c r="BE38" s="370"/>
      <c r="BF38" s="370"/>
      <c r="BG38" s="370"/>
      <c r="BH38" s="370"/>
      <c r="BI38" s="332">
        <v>1.3</v>
      </c>
      <c r="BJ38" s="396"/>
      <c r="BK38" s="332"/>
      <c r="BL38" s="332"/>
      <c r="BM38" s="332"/>
      <c r="BN38" s="332"/>
      <c r="BO38" s="332"/>
      <c r="BP38" s="332"/>
      <c r="BQ38" s="292"/>
      <c r="BR38" s="292"/>
      <c r="BS38" s="292"/>
      <c r="BT38" s="292"/>
      <c r="BU38" s="292"/>
      <c r="BV38" s="292"/>
      <c r="BW38" s="349">
        <f t="shared" si="23"/>
        <v>41789.520000000004</v>
      </c>
      <c r="BX38" s="292"/>
      <c r="BY38" s="349">
        <f t="shared" si="24"/>
        <v>25762</v>
      </c>
      <c r="BZ38" s="349">
        <f t="shared" si="24"/>
        <v>44131.1</v>
      </c>
      <c r="CA38" s="292"/>
      <c r="CB38" s="349">
        <f t="shared" si="25"/>
        <v>32146.219047619066</v>
      </c>
      <c r="CC38" s="349">
        <f t="shared" si="25"/>
        <v>66531.100000000006</v>
      </c>
      <c r="CD38" s="349"/>
      <c r="CE38" s="349">
        <f t="shared" si="26"/>
        <v>53133.700952380925</v>
      </c>
      <c r="CF38" s="349">
        <f t="shared" si="26"/>
        <v>78731.099999999991</v>
      </c>
      <c r="CG38" s="292"/>
      <c r="CH38" s="349">
        <f>SUMIF('HARKAVA '!$Z:$Z,PL!A38,'HARKAVA '!Y:Y)+'HARKAVA '!Y113</f>
        <v>157282.7301493898</v>
      </c>
      <c r="CI38" s="349">
        <f t="shared" si="27"/>
        <v>241880.7</v>
      </c>
    </row>
    <row r="39" spans="1:89">
      <c r="A39" s="253">
        <v>56</v>
      </c>
      <c r="B39" s="56" t="s">
        <v>517</v>
      </c>
      <c r="C39" s="56"/>
      <c r="D39" s="442">
        <f>SUM(D33:D38)+1</f>
        <v>894957.51800000004</v>
      </c>
      <c r="E39" s="13"/>
      <c r="F39" s="442">
        <f>SUM(F33:F38)</f>
        <v>297584.74</v>
      </c>
      <c r="G39" s="442">
        <f>SUM(G33:G38)</f>
        <v>369945.4181818181</v>
      </c>
      <c r="H39" s="13"/>
      <c r="I39" s="442">
        <f>SUM(I33:I38)</f>
        <v>405396.85453968251</v>
      </c>
      <c r="J39" s="442">
        <f>SUM(J33:J38)</f>
        <v>585253.05454545445</v>
      </c>
      <c r="K39" s="13"/>
      <c r="L39" s="442">
        <f>SUM(L33:L38)</f>
        <v>145131.82800000007</v>
      </c>
      <c r="M39" s="442"/>
      <c r="N39" s="442">
        <f>SUM(N33:N38)</f>
        <v>370833.16969696968</v>
      </c>
      <c r="O39" s="442"/>
      <c r="P39" s="442">
        <f>SUM(P33:P38)</f>
        <v>227500.2566666666</v>
      </c>
      <c r="Q39" s="441"/>
      <c r="R39" s="442">
        <v>257456.50303030305</v>
      </c>
      <c r="S39" s="441"/>
      <c r="T39" s="442">
        <f>SUM(T33:T38)</f>
        <v>193666.91079365072</v>
      </c>
      <c r="U39" s="441"/>
      <c r="V39" s="442">
        <f>SUM(V33:V38)</f>
        <v>249456.50303030305</v>
      </c>
      <c r="W39" s="13"/>
      <c r="X39" s="441"/>
      <c r="Y39" s="442">
        <f>SUM(Y33:Y38)</f>
        <v>566298.99546031735</v>
      </c>
      <c r="Z39" s="442">
        <f>SUM(Z33:Z38)</f>
        <v>877746.17575757566</v>
      </c>
      <c r="AA39" s="442"/>
      <c r="AB39" s="442">
        <v>264897.08530351706</v>
      </c>
      <c r="AC39" s="441"/>
      <c r="AD39" s="442">
        <v>322079.83636363636</v>
      </c>
      <c r="AE39" s="442"/>
      <c r="AF39" s="442">
        <v>341085.23249999981</v>
      </c>
      <c r="AG39" s="441"/>
      <c r="AH39" s="442">
        <v>248079.83636363636</v>
      </c>
      <c r="AI39" s="442"/>
      <c r="AJ39" s="442">
        <f>SUM(AJ33:AJ38)</f>
        <v>629327.25914787024</v>
      </c>
      <c r="AK39" s="441"/>
      <c r="AL39" s="442">
        <f>SUM(AL33:AL38)</f>
        <v>446959.38181818184</v>
      </c>
      <c r="AM39" s="442"/>
      <c r="AN39" s="447">
        <f>+SUM(AN33:AN38)</f>
        <v>1235309.5769513869</v>
      </c>
      <c r="AO39" s="442">
        <f>+SUM(AO33:AO38)</f>
        <v>1017119.0545454546</v>
      </c>
      <c r="AP39" s="13"/>
      <c r="AQ39" s="447">
        <f>+SUM(AQ33:AQ38)</f>
        <v>2504590.1669513863</v>
      </c>
      <c r="AR39" s="442">
        <f>+SUM(AR33:AR38)</f>
        <v>2850063.7030303027</v>
      </c>
      <c r="AS39" s="444">
        <f>+AR39-AQ39</f>
        <v>345473.5360789164</v>
      </c>
      <c r="AT39" s="292">
        <f t="shared" si="21"/>
        <v>1.8450733106654524</v>
      </c>
      <c r="AU39" s="428">
        <v>886000</v>
      </c>
      <c r="AV39" s="370">
        <f t="shared" si="22"/>
        <v>288242.02664787043</v>
      </c>
      <c r="AW39" s="370"/>
      <c r="AX39" s="501"/>
      <c r="AY39" s="501"/>
      <c r="AZ39" s="370"/>
      <c r="BA39" s="370"/>
      <c r="BB39" s="370"/>
      <c r="BC39" s="370"/>
      <c r="BD39" s="370"/>
      <c r="BE39" s="370"/>
      <c r="BF39" s="370"/>
      <c r="BG39" s="370"/>
      <c r="BH39" s="370"/>
      <c r="BI39" s="380"/>
      <c r="BJ39" s="396"/>
      <c r="BK39" s="380"/>
      <c r="BL39" s="380"/>
      <c r="BM39" s="380"/>
      <c r="BN39" s="380"/>
      <c r="BO39" s="380"/>
      <c r="BP39" s="380"/>
      <c r="BQ39" s="121"/>
      <c r="BR39" s="121"/>
      <c r="BS39" s="121"/>
      <c r="BT39" s="121"/>
      <c r="BU39" s="121"/>
      <c r="BV39" s="121"/>
      <c r="BW39" s="350">
        <f t="shared" si="23"/>
        <v>894957.51800000004</v>
      </c>
      <c r="BX39" s="121"/>
      <c r="BY39" s="350">
        <f t="shared" si="24"/>
        <v>297584.74</v>
      </c>
      <c r="BZ39" s="350">
        <f t="shared" si="24"/>
        <v>369945.4181818181</v>
      </c>
      <c r="CA39" s="121"/>
      <c r="CB39" s="350">
        <f t="shared" si="25"/>
        <v>405396.85453968251</v>
      </c>
      <c r="CC39" s="350">
        <f t="shared" si="25"/>
        <v>585253.05454545445</v>
      </c>
      <c r="CD39" s="349"/>
      <c r="CE39" s="350">
        <f t="shared" si="26"/>
        <v>566298.99546031735</v>
      </c>
      <c r="CF39" s="350">
        <f t="shared" si="26"/>
        <v>877746.17575757566</v>
      </c>
      <c r="CG39" s="121"/>
      <c r="CH39" s="350">
        <f>SUM(CH33:CH38)+1</f>
        <v>2504591.1669513863</v>
      </c>
      <c r="CI39" s="350">
        <f>SUM(CI33:CI38)</f>
        <v>2601983.8666666667</v>
      </c>
    </row>
    <row r="40" spans="1:89">
      <c r="D40" s="9"/>
      <c r="E40" s="13"/>
      <c r="F40" s="4"/>
      <c r="G40" s="4"/>
      <c r="H40" s="13"/>
      <c r="I40" s="4"/>
      <c r="J40" s="4"/>
      <c r="K40" s="13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13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363"/>
      <c r="AO40" s="4"/>
      <c r="AP40" s="13"/>
      <c r="AQ40" s="365"/>
      <c r="AR40" s="5"/>
      <c r="AS40" s="4"/>
      <c r="AU40" s="425"/>
      <c r="BK40" s="399" t="s">
        <v>518</v>
      </c>
      <c r="BL40" s="400"/>
      <c r="BM40" s="399"/>
      <c r="BW40" s="349"/>
      <c r="BY40" s="349"/>
      <c r="BZ40" s="349"/>
      <c r="CB40" s="349"/>
      <c r="CC40" s="349"/>
      <c r="CD40" s="349"/>
      <c r="CE40" s="349"/>
      <c r="CF40" s="349"/>
      <c r="CH40" s="349"/>
      <c r="CI40" s="349"/>
      <c r="CJ40" s="2" t="s">
        <v>519</v>
      </c>
    </row>
    <row r="41" spans="1:89" s="145" customFormat="1" ht="14">
      <c r="A41" s="389"/>
      <c r="B41" s="390" t="s">
        <v>520</v>
      </c>
      <c r="D41" s="5">
        <f>+D12+D22+D30+D39</f>
        <v>4089699.08</v>
      </c>
      <c r="E41" s="448"/>
      <c r="F41" s="5">
        <f>+F12+F22+F30+F39</f>
        <v>1591968.4400000002</v>
      </c>
      <c r="G41" s="5">
        <f>+G12+G22+G30+G39</f>
        <v>1538874.2818181813</v>
      </c>
      <c r="H41" s="448"/>
      <c r="I41" s="5">
        <f>+I12+I22+I30+I39</f>
        <v>2193025.5819999999</v>
      </c>
      <c r="J41" s="5">
        <f>+J12+J22+J30+J39</f>
        <v>2335842.0032258062</v>
      </c>
      <c r="K41" s="448"/>
      <c r="L41" s="5">
        <f>+L12+L22+L30+L39</f>
        <v>726115.978</v>
      </c>
      <c r="M41" s="5"/>
      <c r="N41" s="5">
        <f>+N12+N22+N30+N39</f>
        <v>1270909.9121212121</v>
      </c>
      <c r="O41" s="5"/>
      <c r="P41" s="5">
        <f>+P12+P22+P30+P39</f>
        <v>818882.87666666694</v>
      </c>
      <c r="Q41" s="5"/>
      <c r="R41" s="5">
        <f>+R12+R22+R30+R39</f>
        <v>1174090.8212121213</v>
      </c>
      <c r="S41" s="5"/>
      <c r="T41" s="5">
        <f>+T12+T22+T30+T39</f>
        <v>996925.75333333341</v>
      </c>
      <c r="U41" s="5"/>
      <c r="V41" s="5">
        <f>+V12+V22+V30+V39</f>
        <v>1458779.9121212121</v>
      </c>
      <c r="W41" s="448"/>
      <c r="X41" s="5"/>
      <c r="Y41" s="5">
        <f>+Y12+Y22+Y30+Y39</f>
        <v>2541924.608</v>
      </c>
      <c r="Z41" s="5">
        <f>+Z12+Z22+Z30+Z39</f>
        <v>3903780.6454545455</v>
      </c>
      <c r="AA41" s="5"/>
      <c r="AB41" s="5">
        <f>+AB12+AB22+AB30+AB39</f>
        <v>1240883.4577777779</v>
      </c>
      <c r="AC41" s="5"/>
      <c r="AD41" s="5">
        <f>+AD12+AD22+AD30+AD39</f>
        <v>1399365.0030303032</v>
      </c>
      <c r="AE41" s="5"/>
      <c r="AF41" s="5">
        <v>1292432.5822479613</v>
      </c>
      <c r="AG41" s="5"/>
      <c r="AH41" s="5">
        <v>1325365.0030303032</v>
      </c>
      <c r="AI41" s="5"/>
      <c r="AJ41" s="5">
        <f>+AJ12+AJ22+AJ30+AJ39</f>
        <v>2354324.0360178398</v>
      </c>
      <c r="AK41" s="5"/>
      <c r="AL41" s="5">
        <f>+AL12+AL22+AL30+AL39</f>
        <v>2235778.9727272727</v>
      </c>
      <c r="AM41" s="137"/>
      <c r="AN41" s="365">
        <f>+AN12+AN22+AN30+AN39</f>
        <v>4887640.0760435779</v>
      </c>
      <c r="AO41" s="5">
        <f>+AO12+AO22+AO30+AO39</f>
        <v>4960508.9787878795</v>
      </c>
      <c r="AP41" s="448"/>
      <c r="AQ41" s="365">
        <f>+AQ12+AQ22+AQ30+AQ39</f>
        <v>11214558.706043577</v>
      </c>
      <c r="AR41" s="5">
        <f>+AR12+AR22+AR30+AR39</f>
        <v>12739005.909286413</v>
      </c>
      <c r="AS41" s="438">
        <f>+AR41-AQ41</f>
        <v>1524447.2032428365</v>
      </c>
      <c r="AT41" s="149"/>
      <c r="AU41" s="426">
        <v>3992750</v>
      </c>
      <c r="AV41" s="18"/>
      <c r="AW41" s="18"/>
      <c r="AX41" s="495"/>
      <c r="AY41" s="480" t="s">
        <v>521</v>
      </c>
      <c r="AZ41" s="480">
        <v>60250</v>
      </c>
      <c r="BA41" s="18"/>
      <c r="BB41" s="18"/>
      <c r="BC41" s="18"/>
      <c r="BD41" s="18"/>
      <c r="BE41" s="18"/>
      <c r="BF41" s="18"/>
      <c r="BG41" s="18"/>
      <c r="BH41" s="18"/>
      <c r="BI41" s="383"/>
      <c r="BJ41" s="383"/>
      <c r="BK41" s="383"/>
      <c r="BL41" s="383" t="s">
        <v>522</v>
      </c>
      <c r="BM41" s="383" t="s">
        <v>425</v>
      </c>
      <c r="BN41" s="383"/>
      <c r="BO41" s="383"/>
      <c r="BP41" s="383"/>
      <c r="BQ41" s="18"/>
      <c r="BR41" s="18"/>
      <c r="BS41" s="18"/>
      <c r="BT41" s="18"/>
      <c r="BU41" s="18"/>
      <c r="BV41" s="18"/>
      <c r="BW41" s="121">
        <f>+D41</f>
        <v>4089699.08</v>
      </c>
      <c r="BX41" s="18"/>
      <c r="BY41" s="121">
        <f>+F41</f>
        <v>1591968.4400000002</v>
      </c>
      <c r="BZ41" s="121">
        <f>+G41</f>
        <v>1538874.2818181813</v>
      </c>
      <c r="CA41" s="18"/>
      <c r="CB41" s="121">
        <f>+I41</f>
        <v>2193025.5819999999</v>
      </c>
      <c r="CC41" s="121">
        <f>+J41</f>
        <v>2335842.0032258062</v>
      </c>
      <c r="CD41" s="121"/>
      <c r="CE41" s="121">
        <f>+Y41</f>
        <v>2541924.608</v>
      </c>
      <c r="CF41" s="121">
        <f>+Z41</f>
        <v>3903780.6454545455</v>
      </c>
      <c r="CG41" s="18"/>
      <c r="CH41" s="121">
        <f>+CH12+CH22+CH30+CH39</f>
        <v>11214558.706043579</v>
      </c>
      <c r="CI41" s="121">
        <f>+CI12+CI22+CI30+CI39</f>
        <v>11413640.906256111</v>
      </c>
    </row>
    <row r="42" spans="1:89">
      <c r="D42" s="9"/>
      <c r="E42" s="13"/>
      <c r="F42" s="4"/>
      <c r="G42" s="4"/>
      <c r="H42" s="13"/>
      <c r="I42" s="4"/>
      <c r="J42" s="4"/>
      <c r="K42" s="13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13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363"/>
      <c r="AO42" s="4"/>
      <c r="AP42" s="13"/>
      <c r="AQ42" s="365"/>
      <c r="AR42" s="5"/>
      <c r="AS42" s="4"/>
      <c r="AU42" s="425"/>
      <c r="AY42" s="480" t="s">
        <v>523</v>
      </c>
      <c r="AZ42" s="480">
        <v>18000</v>
      </c>
      <c r="BK42" s="399" t="s">
        <v>524</v>
      </c>
      <c r="BL42" s="399">
        <v>205630.86243249319</v>
      </c>
      <c r="BM42" s="399">
        <v>198879</v>
      </c>
      <c r="BW42" s="349"/>
      <c r="BY42" s="349"/>
      <c r="BZ42" s="349"/>
      <c r="CB42" s="349"/>
      <c r="CC42" s="349"/>
      <c r="CD42" s="349"/>
      <c r="CE42" s="349"/>
      <c r="CF42" s="349"/>
      <c r="CH42" s="349"/>
      <c r="CI42" s="349"/>
      <c r="CJ42" s="2">
        <v>3.26</v>
      </c>
      <c r="CK42" s="83">
        <v>44377</v>
      </c>
    </row>
    <row r="43" spans="1:89">
      <c r="B43" s="56" t="s">
        <v>525</v>
      </c>
      <c r="D43" s="440">
        <f>D14-D30-D22-D39</f>
        <v>-2569352.09</v>
      </c>
      <c r="E43" s="13"/>
      <c r="F43" s="440">
        <f>F14-F30-F22-F39</f>
        <v>-1225679.57</v>
      </c>
      <c r="G43" s="440">
        <f>G14-G30-G22-G39</f>
        <v>-1103874.2818181817</v>
      </c>
      <c r="H43" s="13"/>
      <c r="I43" s="440">
        <f>I14-I30-I22-I39</f>
        <v>-1779495.2620000001</v>
      </c>
      <c r="J43" s="440">
        <f>J14-J30-J22-J39</f>
        <v>-1610842.0032258064</v>
      </c>
      <c r="K43" s="13"/>
      <c r="L43" s="440">
        <f>L14-L30-L22-L39</f>
        <v>-625658.93799999985</v>
      </c>
      <c r="M43" s="440"/>
      <c r="N43" s="440">
        <f>N14-N30-N22-N39</f>
        <v>-887576.91212121211</v>
      </c>
      <c r="O43" s="440"/>
      <c r="P43" s="440">
        <f>P14-P30-P22-P39</f>
        <v>-724443.0466666671</v>
      </c>
      <c r="Q43" s="4"/>
      <c r="R43" s="440">
        <f>R14-R30-R22-R39</f>
        <v>-790757.82121212117</v>
      </c>
      <c r="S43" s="4"/>
      <c r="T43" s="445">
        <v>-820468.75333333295</v>
      </c>
      <c r="U43" s="4"/>
      <c r="V43" s="445">
        <f>V14-V30-V22-V39</f>
        <v>-1075446.9121212121</v>
      </c>
      <c r="W43" s="13"/>
      <c r="X43" s="4"/>
      <c r="Y43" s="440">
        <f>Y14-Y30-Y22-Y39</f>
        <v>-2170570.7379999999</v>
      </c>
      <c r="Z43" s="440">
        <f>Z14-Z30-Z22-Z39</f>
        <v>-2753781.6454545455</v>
      </c>
      <c r="AA43" s="440"/>
      <c r="AB43" s="445">
        <f>AB14-AB30-AB22-AB39</f>
        <v>-1130432.077777778</v>
      </c>
      <c r="AC43" s="4"/>
      <c r="AD43" s="445">
        <v>-891031.66969696968</v>
      </c>
      <c r="AE43" s="445"/>
      <c r="AF43" s="445">
        <v>-1143164.7222479612</v>
      </c>
      <c r="AG43" s="4"/>
      <c r="AH43" s="445">
        <v>-817031.66969696968</v>
      </c>
      <c r="AI43" s="440"/>
      <c r="AJ43" s="445">
        <f>AJ14-AJ30-AJ22-AJ39</f>
        <v>-2144143.4460178395</v>
      </c>
      <c r="AK43" s="4"/>
      <c r="AL43" s="445">
        <f>AL14-AL30-AL22-AL39</f>
        <v>-1727445.6393939396</v>
      </c>
      <c r="AM43" s="445"/>
      <c r="AN43" s="446">
        <f>AN14-AN30-AN22-AN39</f>
        <v>-4417740.2460435778</v>
      </c>
      <c r="AO43" s="440">
        <f>AO14-AO30-AO22-AO39</f>
        <v>-3435508.978787879</v>
      </c>
      <c r="AP43" s="13"/>
      <c r="AQ43" s="446">
        <f>AQ14-AQ30-AQ22-AQ39</f>
        <v>-9593485.8160435781</v>
      </c>
      <c r="AR43" s="440">
        <f>AR14-AR30-AR22-AR39</f>
        <v>-8904005.9092864133</v>
      </c>
      <c r="AS43" s="439">
        <f>+AQ43-AR43</f>
        <v>-689479.90675716475</v>
      </c>
      <c r="AT43" s="292">
        <f>+AJ43/AF43</f>
        <v>1.8756207257704007</v>
      </c>
      <c r="AU43" s="425">
        <v>-3592750</v>
      </c>
      <c r="AV43" s="261"/>
      <c r="AW43" s="261"/>
      <c r="AX43" s="500"/>
      <c r="AY43" s="480" t="s">
        <v>526</v>
      </c>
      <c r="AZ43" s="505">
        <v>20000</v>
      </c>
      <c r="BA43" s="261"/>
      <c r="BB43" s="261"/>
      <c r="BC43" s="261"/>
      <c r="BD43" s="261"/>
      <c r="BE43" s="261"/>
      <c r="BF43" s="261"/>
      <c r="BG43" s="261"/>
      <c r="BH43" s="261"/>
      <c r="BI43" s="382"/>
      <c r="BJ43" s="382"/>
      <c r="BK43" s="401" t="s">
        <v>527</v>
      </c>
      <c r="BL43" s="401">
        <v>51129.452054794521</v>
      </c>
      <c r="BM43" s="401">
        <v>69225</v>
      </c>
      <c r="BN43" s="382"/>
      <c r="BO43" s="382"/>
      <c r="BP43" s="382"/>
      <c r="BQ43" s="261"/>
      <c r="BR43" s="261"/>
      <c r="BS43" s="261"/>
      <c r="BT43" s="261"/>
      <c r="BU43" s="261"/>
      <c r="BV43" s="261"/>
      <c r="BW43" s="349">
        <f>+D43</f>
        <v>-2569352.09</v>
      </c>
      <c r="BX43" s="261"/>
      <c r="BY43" s="349">
        <f t="shared" ref="BY43:BZ45" si="28">+F43</f>
        <v>-1225679.57</v>
      </c>
      <c r="BZ43" s="349">
        <f t="shared" si="28"/>
        <v>-1103874.2818181817</v>
      </c>
      <c r="CA43" s="261"/>
      <c r="CB43" s="349">
        <f t="shared" ref="CB43:CC45" si="29">+I43</f>
        <v>-1779495.2620000001</v>
      </c>
      <c r="CC43" s="349">
        <f t="shared" si="29"/>
        <v>-1610842.0032258064</v>
      </c>
      <c r="CD43" s="349"/>
      <c r="CE43" s="349">
        <f t="shared" ref="CE43:CF45" si="30">+Y43</f>
        <v>-2170570.7379999999</v>
      </c>
      <c r="CF43" s="349">
        <f t="shared" si="30"/>
        <v>-2753781.6454545455</v>
      </c>
      <c r="CG43" s="261"/>
      <c r="CH43" s="349">
        <f>CH14-CH30-CH22-CH39</f>
        <v>-9593485.8160435781</v>
      </c>
      <c r="CI43" s="349">
        <f>CI14-CI30-CI22-CI39</f>
        <v>-8086975.2395894434</v>
      </c>
      <c r="CJ43" s="2">
        <v>3.2330000000000001</v>
      </c>
      <c r="CK43" s="83">
        <v>44408</v>
      </c>
    </row>
    <row r="44" spans="1:89">
      <c r="A44" s="253">
        <v>5700</v>
      </c>
      <c r="B44" s="2" t="s">
        <v>528</v>
      </c>
      <c r="D44" s="108">
        <v>54628</v>
      </c>
      <c r="E44" s="13"/>
      <c r="F44" s="108">
        <v>-2306</v>
      </c>
      <c r="G44" s="106">
        <v>0</v>
      </c>
      <c r="H44" s="13"/>
      <c r="I44" s="106">
        <v>4353.8099999999986</v>
      </c>
      <c r="J44" s="106">
        <v>0</v>
      </c>
      <c r="K44" s="13"/>
      <c r="L44" s="106">
        <v>10624.130000000005</v>
      </c>
      <c r="M44" s="9"/>
      <c r="N44" s="106">
        <v>0</v>
      </c>
      <c r="O44" s="9"/>
      <c r="P44" s="106">
        <v>121.13999999999942</v>
      </c>
      <c r="Q44" s="4"/>
      <c r="R44" s="106">
        <v>0</v>
      </c>
      <c r="S44" s="4"/>
      <c r="T44" s="449">
        <v>-28293.740000000005</v>
      </c>
      <c r="U44" s="4"/>
      <c r="V44" s="450">
        <f>SUMIF(budget!U:U,PL!A44,budget!Q:Q)</f>
        <v>0</v>
      </c>
      <c r="W44" s="13"/>
      <c r="X44" s="4"/>
      <c r="Y44" s="449">
        <f t="shared" ref="Y44" si="31">L44+P44+T44</f>
        <v>-17548.47</v>
      </c>
      <c r="Z44" s="388">
        <f>N44+R44+V44</f>
        <v>0</v>
      </c>
      <c r="AA44" s="388"/>
      <c r="AB44" s="449">
        <v>23665.09</v>
      </c>
      <c r="AC44" s="4"/>
      <c r="AD44" s="450">
        <v>0</v>
      </c>
      <c r="AE44" s="450"/>
      <c r="AF44" s="449">
        <v>-21342.57</v>
      </c>
      <c r="AG44" s="4"/>
      <c r="AH44" s="450">
        <v>0</v>
      </c>
      <c r="AI44" s="388"/>
      <c r="AJ44" s="449">
        <f>CH44-I44-F44-L44-P44-T44-AB44-AF44</f>
        <v>7013.3000000000029</v>
      </c>
      <c r="AK44" s="4"/>
      <c r="AL44" s="450">
        <f>SUMIF(budget!U:U,PL!A44,budget!X:X)</f>
        <v>0</v>
      </c>
      <c r="AM44" s="450"/>
      <c r="AN44" s="364">
        <f>+AB44+AF44+AJ44</f>
        <v>9335.8200000000033</v>
      </c>
      <c r="AO44" s="388">
        <f>+G44+J44+Z44</f>
        <v>0</v>
      </c>
      <c r="AP44" s="13"/>
      <c r="AQ44" s="449">
        <f>+F44+I44+Y44+AN44</f>
        <v>-6164.84</v>
      </c>
      <c r="AR44" s="106">
        <f>+G44+J44+Z44+AO44</f>
        <v>0</v>
      </c>
      <c r="AS44" s="451"/>
      <c r="AT44" s="292"/>
      <c r="AU44" s="425" t="s">
        <v>481</v>
      </c>
      <c r="AV44" s="290"/>
      <c r="AW44" s="290"/>
      <c r="AX44" s="502"/>
      <c r="AY44" s="480"/>
      <c r="AZ44" s="508">
        <f ca="1">SUM(AZ41:AZ44)</f>
        <v>98250</v>
      </c>
      <c r="BA44" s="290"/>
      <c r="BB44" s="290"/>
      <c r="BC44" s="290"/>
      <c r="BD44" s="290"/>
      <c r="BE44" s="290"/>
      <c r="BF44" s="290"/>
      <c r="BG44" s="290"/>
      <c r="BH44" s="290"/>
      <c r="BI44" s="391"/>
      <c r="BJ44" s="391"/>
      <c r="BK44" s="401" t="s">
        <v>262</v>
      </c>
      <c r="BL44" s="401">
        <v>120853.68963630116</v>
      </c>
      <c r="BM44" s="401">
        <v>173085</v>
      </c>
      <c r="BN44" s="391"/>
      <c r="BO44" s="391"/>
      <c r="BP44" s="391"/>
      <c r="BQ44" s="290"/>
      <c r="BR44" s="290"/>
      <c r="BS44" s="290"/>
      <c r="BT44" s="290"/>
      <c r="BU44" s="290"/>
      <c r="BV44" s="290"/>
      <c r="BW44" s="349">
        <f>+D44</f>
        <v>54628</v>
      </c>
      <c r="BX44" s="290"/>
      <c r="BY44" s="349">
        <f t="shared" si="28"/>
        <v>-2306</v>
      </c>
      <c r="BZ44" s="349">
        <f t="shared" si="28"/>
        <v>0</v>
      </c>
      <c r="CA44" s="290"/>
      <c r="CB44" s="349">
        <f t="shared" si="29"/>
        <v>4353.8099999999986</v>
      </c>
      <c r="CC44" s="349">
        <f t="shared" si="29"/>
        <v>0</v>
      </c>
      <c r="CD44" s="349"/>
      <c r="CE44" s="349">
        <f t="shared" si="30"/>
        <v>-17548.47</v>
      </c>
      <c r="CF44" s="349">
        <f t="shared" si="30"/>
        <v>0</v>
      </c>
      <c r="CG44" s="290"/>
      <c r="CH44" s="349">
        <f>-SUMIF('HARKAVA '!$Z:$Z,PL!A44,'HARKAVA '!Y:Y)</f>
        <v>-6164.84</v>
      </c>
      <c r="CI44" s="349">
        <f>G44+J44</f>
        <v>0</v>
      </c>
      <c r="CJ44" s="2">
        <v>3.2069999999999999</v>
      </c>
      <c r="CK44" s="83">
        <v>44439</v>
      </c>
    </row>
    <row r="45" spans="1:89" s="56" customFormat="1" ht="15" thickBot="1">
      <c r="A45" s="253"/>
      <c r="B45" s="56" t="s">
        <v>529</v>
      </c>
      <c r="D45" s="452">
        <f>D43+D44</f>
        <v>-2514724.09</v>
      </c>
      <c r="E45" s="13"/>
      <c r="F45" s="452">
        <f>F43+F44</f>
        <v>-1227985.57</v>
      </c>
      <c r="G45" s="452">
        <f>G43+G44</f>
        <v>-1103874.2818181817</v>
      </c>
      <c r="H45" s="13"/>
      <c r="I45" s="452">
        <f>I43+I44</f>
        <v>-1775141.452</v>
      </c>
      <c r="J45" s="452">
        <f>J43+J44</f>
        <v>-1610842.0032258064</v>
      </c>
      <c r="K45" s="13"/>
      <c r="L45" s="452">
        <f>L43+L44</f>
        <v>-615034.80799999984</v>
      </c>
      <c r="M45" s="453"/>
      <c r="N45" s="452">
        <f>N43+N44</f>
        <v>-887576.91212121211</v>
      </c>
      <c r="O45" s="453"/>
      <c r="P45" s="452">
        <f>P43+P44</f>
        <v>-724321.90666666708</v>
      </c>
      <c r="Q45" s="452">
        <f>Q43+Q44</f>
        <v>0</v>
      </c>
      <c r="R45" s="452">
        <f>R43+R44</f>
        <v>-790757.82121212117</v>
      </c>
      <c r="S45" s="12"/>
      <c r="T45" s="454">
        <f>T43+T44</f>
        <v>-848762.49333333294</v>
      </c>
      <c r="U45" s="12"/>
      <c r="V45" s="454">
        <f>V43+V44</f>
        <v>-1075446.9121212121</v>
      </c>
      <c r="W45" s="13"/>
      <c r="X45" s="12"/>
      <c r="Y45" s="452">
        <f>Y43+Y44</f>
        <v>-2188119.2080000001</v>
      </c>
      <c r="Z45" s="452">
        <f>Z43+Z44</f>
        <v>-2753781.6454545455</v>
      </c>
      <c r="AA45" s="452"/>
      <c r="AB45" s="454">
        <f>AB43+AB44</f>
        <v>-1106766.9877777779</v>
      </c>
      <c r="AC45" s="12"/>
      <c r="AD45" s="454">
        <v>-891031.66969696968</v>
      </c>
      <c r="AE45" s="454"/>
      <c r="AF45" s="454">
        <v>-1164507.2922479613</v>
      </c>
      <c r="AG45" s="12"/>
      <c r="AH45" s="454">
        <v>-817031.66969696968</v>
      </c>
      <c r="AI45" s="452"/>
      <c r="AJ45" s="454">
        <f>AJ43+AJ44</f>
        <v>-2137130.1460178397</v>
      </c>
      <c r="AK45" s="12"/>
      <c r="AL45" s="454">
        <f>AL43+AL44</f>
        <v>-1727445.6393939396</v>
      </c>
      <c r="AM45" s="454"/>
      <c r="AN45" s="455">
        <f>AN43+AN44</f>
        <v>-4408404.4260435775</v>
      </c>
      <c r="AO45" s="452">
        <f>AO43+AO44</f>
        <v>-3435508.978787879</v>
      </c>
      <c r="AP45" s="13"/>
      <c r="AQ45" s="449">
        <f>AQ43+AQ44</f>
        <v>-9599650.6560435779</v>
      </c>
      <c r="AR45" s="452">
        <f>AR43+AR44</f>
        <v>-8904005.9092864133</v>
      </c>
      <c r="AS45" s="456">
        <f>+AQ45-AR45</f>
        <v>-695644.7467571646</v>
      </c>
      <c r="AT45" s="292">
        <f>+AJ45/AF45</f>
        <v>1.8352226390032562</v>
      </c>
      <c r="AU45" s="427">
        <v>-3592750</v>
      </c>
      <c r="AV45" s="291"/>
      <c r="AW45" s="291"/>
      <c r="AX45" s="503"/>
      <c r="AY45" s="503"/>
      <c r="BA45" s="291"/>
      <c r="BB45" s="291"/>
      <c r="BC45" s="291"/>
      <c r="BD45" s="291"/>
      <c r="BE45" s="291"/>
      <c r="BF45" s="291"/>
      <c r="BG45" s="291"/>
      <c r="BH45" s="291"/>
      <c r="BI45" s="392"/>
      <c r="BJ45" s="392"/>
      <c r="BK45" s="402" t="s">
        <v>71</v>
      </c>
      <c r="BL45" s="402">
        <v>25198.397336636732</v>
      </c>
      <c r="BM45" s="402">
        <v>24656.250000000007</v>
      </c>
      <c r="BN45" s="392"/>
      <c r="BO45" s="392"/>
      <c r="BP45" s="392"/>
      <c r="BQ45" s="291"/>
      <c r="BR45" s="291"/>
      <c r="BS45" s="291"/>
      <c r="BT45" s="291"/>
      <c r="BU45" s="291"/>
      <c r="BV45" s="291"/>
      <c r="BW45" s="351">
        <f>+D45</f>
        <v>-2514724.09</v>
      </c>
      <c r="BX45" s="291"/>
      <c r="BY45" s="351">
        <f t="shared" si="28"/>
        <v>-1227985.57</v>
      </c>
      <c r="BZ45" s="351">
        <f t="shared" si="28"/>
        <v>-1103874.2818181817</v>
      </c>
      <c r="CA45" s="291"/>
      <c r="CB45" s="351">
        <f t="shared" si="29"/>
        <v>-1775141.452</v>
      </c>
      <c r="CC45" s="351">
        <f t="shared" si="29"/>
        <v>-1610842.0032258064</v>
      </c>
      <c r="CD45" s="349"/>
      <c r="CE45" s="351">
        <f t="shared" si="30"/>
        <v>-2188119.2080000001</v>
      </c>
      <c r="CF45" s="351">
        <f t="shared" si="30"/>
        <v>-2753781.6454545455</v>
      </c>
      <c r="CG45" s="291"/>
      <c r="CH45" s="351">
        <f>CH43+CH44</f>
        <v>-9599650.6560435779</v>
      </c>
      <c r="CI45" s="351">
        <f>CI43+CI44</f>
        <v>-8086975.2395894434</v>
      </c>
      <c r="CJ45" s="286"/>
      <c r="CK45" s="2"/>
    </row>
    <row r="46" spans="1:89" ht="18" thickTop="1">
      <c r="E46" s="186"/>
      <c r="H46" s="186"/>
      <c r="K46" s="186"/>
      <c r="W46" s="186"/>
      <c r="AP46" s="186"/>
      <c r="BK46" s="399" t="s">
        <v>297</v>
      </c>
      <c r="BL46" s="399">
        <v>154640.39504999638</v>
      </c>
      <c r="BM46" s="399">
        <v>175160</v>
      </c>
    </row>
    <row r="47" spans="1:89" ht="18" thickBot="1">
      <c r="D47" s="141"/>
      <c r="E47" s="186"/>
      <c r="F47" s="2">
        <f>+CF!D8</f>
        <v>-1228578.21</v>
      </c>
      <c r="I47" s="2">
        <f>+CF!F8</f>
        <v>-1774549.79</v>
      </c>
      <c r="V47" s="285"/>
      <c r="Y47" s="142">
        <f>+CF!H8</f>
        <v>-2188118</v>
      </c>
      <c r="AD47" s="285"/>
      <c r="AE47" s="285"/>
      <c r="AH47" s="285"/>
      <c r="AJ47" s="145">
        <f>AJ45+AF45+AB45+Y45+I45+F45</f>
        <v>-9599650.6560435798</v>
      </c>
      <c r="AL47" s="285"/>
      <c r="AM47" s="285"/>
      <c r="AN47" s="145">
        <f>+CF!Q8</f>
        <v>-4408404.4260435775</v>
      </c>
      <c r="AO47" s="285"/>
      <c r="AR47" s="285"/>
      <c r="BA47" s="2" t="s">
        <v>530</v>
      </c>
      <c r="BK47" s="399"/>
      <c r="BL47" s="399">
        <v>557452.79651022202</v>
      </c>
      <c r="BM47" s="399">
        <v>641005.25</v>
      </c>
      <c r="CJ47" s="145"/>
    </row>
    <row r="48" spans="1:89" ht="20" thickTop="1">
      <c r="B48" s="56"/>
      <c r="C48" s="56"/>
      <c r="D48" s="140"/>
      <c r="E48" s="186"/>
      <c r="F48" s="141">
        <f>+F45-F47</f>
        <v>592.63999999989755</v>
      </c>
      <c r="G48" s="141"/>
      <c r="H48" s="186"/>
      <c r="I48" s="141">
        <f>+I45-I47</f>
        <v>-591.66200000001118</v>
      </c>
      <c r="J48" s="141"/>
      <c r="K48" s="186"/>
      <c r="L48" s="141"/>
      <c r="M48" s="141"/>
      <c r="N48" s="141"/>
      <c r="O48" s="141"/>
      <c r="R48" s="141"/>
      <c r="V48" s="141"/>
      <c r="W48" s="186"/>
      <c r="Y48" s="141">
        <f>+Y45-Y47</f>
        <v>-1.2080000001005828</v>
      </c>
      <c r="AD48" s="141"/>
      <c r="AE48" s="141"/>
      <c r="AH48" s="141"/>
      <c r="AJ48" s="2">
        <f>'HARKAVA '!Y114+AJ47</f>
        <v>43787.999999998137</v>
      </c>
      <c r="AL48" s="141"/>
      <c r="AM48" s="141"/>
      <c r="AP48" s="186"/>
      <c r="BA48" s="419" t="s">
        <v>262</v>
      </c>
      <c r="BB48" s="420">
        <v>94300</v>
      </c>
      <c r="BK48" s="403"/>
      <c r="BL48" s="404"/>
      <c r="BM48" s="404"/>
      <c r="CJ48" s="145"/>
    </row>
    <row r="49" spans="2:65" ht="17">
      <c r="D49" s="141"/>
      <c r="E49" s="186"/>
      <c r="H49" s="186"/>
      <c r="K49" s="186"/>
      <c r="W49" s="186"/>
      <c r="AP49" s="186"/>
      <c r="AQ49" s="262"/>
      <c r="BA49" s="419" t="s">
        <v>527</v>
      </c>
      <c r="BB49" s="420">
        <v>51400</v>
      </c>
      <c r="BK49" s="405"/>
      <c r="BL49" s="405"/>
      <c r="BM49" s="405"/>
    </row>
    <row r="50" spans="2:65" ht="19">
      <c r="B50" s="56"/>
      <c r="C50" s="56"/>
      <c r="D50" s="113"/>
      <c r="E50" s="186"/>
      <c r="H50" s="186"/>
      <c r="J50" s="285"/>
      <c r="K50" s="186"/>
      <c r="AQ50" s="140"/>
      <c r="BA50" s="419" t="s">
        <v>71</v>
      </c>
      <c r="BB50" s="420">
        <v>16750</v>
      </c>
      <c r="BK50" s="406" t="s">
        <v>531</v>
      </c>
      <c r="BL50" s="407" t="s">
        <v>532</v>
      </c>
      <c r="BM50" s="408" t="s">
        <v>533</v>
      </c>
    </row>
    <row r="51" spans="2:65" ht="19">
      <c r="D51" s="113"/>
      <c r="E51" s="186"/>
      <c r="H51" s="186"/>
      <c r="J51" s="285"/>
      <c r="K51" s="186"/>
      <c r="AQ51" s="140">
        <f>CH8+CH25+CH17+CH33</f>
        <v>7764482.7399999993</v>
      </c>
      <c r="BA51" s="419" t="s">
        <v>534</v>
      </c>
      <c r="BB51" s="420">
        <v>176400</v>
      </c>
      <c r="BK51" s="405" t="s">
        <v>352</v>
      </c>
      <c r="BL51" s="409">
        <v>200000</v>
      </c>
      <c r="BM51" s="408" t="s">
        <v>535</v>
      </c>
    </row>
    <row r="52" spans="2:65" ht="19">
      <c r="D52" s="113"/>
      <c r="E52" s="186"/>
      <c r="K52" s="186"/>
      <c r="AQ52" s="113"/>
      <c r="BA52" s="419" t="s">
        <v>524</v>
      </c>
      <c r="BB52" s="420">
        <f>219800-56000</f>
        <v>163800</v>
      </c>
      <c r="BK52" s="406" t="s">
        <v>362</v>
      </c>
      <c r="BL52" s="409">
        <v>400000</v>
      </c>
      <c r="BM52" s="407"/>
    </row>
    <row r="53" spans="2:65" ht="19">
      <c r="B53" s="2" t="s">
        <v>536</v>
      </c>
      <c r="D53" s="113"/>
      <c r="E53" s="186"/>
      <c r="F53" s="113">
        <f>+F12</f>
        <v>354263.83000000007</v>
      </c>
      <c r="I53" s="113">
        <f>+I12</f>
        <v>397447.96857142856</v>
      </c>
      <c r="Y53" s="113">
        <f>+Y12</f>
        <v>364780.0814285716</v>
      </c>
      <c r="AB53" s="113">
        <v>117221.2630837379</v>
      </c>
      <c r="AF53" s="113">
        <v>152226.4135829288</v>
      </c>
      <c r="AJ53" s="113">
        <f>+AJ12</f>
        <v>225898.31211695282</v>
      </c>
      <c r="AQ53" s="113"/>
      <c r="BA53" s="419" t="s">
        <v>537</v>
      </c>
      <c r="BB53" s="421">
        <f>+SUM(BB48:BB52)</f>
        <v>502650</v>
      </c>
      <c r="BK53" s="406" t="s">
        <v>538</v>
      </c>
      <c r="BL53" s="409">
        <v>250000</v>
      </c>
      <c r="BM53" s="407"/>
    </row>
    <row r="54" spans="2:65" ht="19">
      <c r="B54" s="2" t="s">
        <v>539</v>
      </c>
      <c r="E54" s="186"/>
      <c r="F54" s="145">
        <v>142929</v>
      </c>
      <c r="G54" s="145"/>
      <c r="H54" s="145"/>
      <c r="I54" s="145">
        <v>360669</v>
      </c>
      <c r="J54" s="145"/>
      <c r="K54" s="145"/>
      <c r="L54" s="145"/>
      <c r="M54" s="145"/>
      <c r="N54" s="145"/>
      <c r="O54" s="145"/>
      <c r="P54" s="145"/>
      <c r="Q54" s="145"/>
      <c r="R54" s="145"/>
      <c r="S54" s="145"/>
      <c r="T54" s="145"/>
      <c r="U54" s="145"/>
      <c r="V54" s="18"/>
      <c r="W54" s="145"/>
      <c r="X54" s="145"/>
      <c r="Y54" s="145">
        <v>262282</v>
      </c>
      <c r="AB54" s="145">
        <v>0</v>
      </c>
      <c r="AC54" s="145"/>
      <c r="AD54" s="18"/>
      <c r="AE54" s="18"/>
      <c r="AF54" s="145">
        <v>0</v>
      </c>
      <c r="AG54" s="145"/>
      <c r="AH54" s="18"/>
      <c r="AJ54" s="145">
        <v>0</v>
      </c>
      <c r="AK54" s="145"/>
      <c r="AL54" s="18"/>
      <c r="AM54" s="18"/>
      <c r="BA54" s="419"/>
      <c r="BB54" s="419"/>
      <c r="BK54" s="406"/>
      <c r="BL54" s="410">
        <f>+SUM(BL51:BL53)</f>
        <v>850000</v>
      </c>
      <c r="BM54" s="407"/>
    </row>
    <row r="55" spans="2:65" ht="19">
      <c r="F55" s="145"/>
      <c r="G55" s="145"/>
      <c r="H55" s="145"/>
      <c r="I55" s="145"/>
      <c r="J55" s="145"/>
      <c r="K55" s="145"/>
      <c r="L55" s="145"/>
      <c r="M55" s="145"/>
      <c r="N55" s="145"/>
      <c r="O55" s="145"/>
      <c r="P55" s="145"/>
      <c r="Q55" s="145"/>
      <c r="R55" s="145"/>
      <c r="S55" s="145"/>
      <c r="T55" s="145"/>
      <c r="U55" s="145"/>
      <c r="V55" s="18"/>
      <c r="W55" s="145"/>
      <c r="X55" s="145"/>
      <c r="Y55" s="145">
        <v>150000</v>
      </c>
      <c r="Z55" s="2" t="s">
        <v>540</v>
      </c>
      <c r="AB55" s="145">
        <v>116354</v>
      </c>
      <c r="AC55" s="145"/>
      <c r="AD55" s="18"/>
      <c r="AE55" s="18"/>
      <c r="AF55" s="145">
        <v>152226</v>
      </c>
      <c r="AG55" s="145"/>
      <c r="AH55" s="18"/>
      <c r="AJ55" s="145">
        <v>235283</v>
      </c>
      <c r="AK55" s="145"/>
      <c r="AL55" s="18"/>
      <c r="AM55" s="18"/>
      <c r="BK55" s="406"/>
      <c r="BL55" s="411"/>
      <c r="BM55" s="407"/>
    </row>
    <row r="56" spans="2:65" ht="19">
      <c r="D56" s="113" t="s">
        <v>537</v>
      </c>
      <c r="E56" s="113"/>
      <c r="F56" s="354">
        <f>+SUM(F53:F55)</f>
        <v>497192.83000000007</v>
      </c>
      <c r="I56" s="354">
        <f>+SUM(I53:I55)</f>
        <v>758116.96857142856</v>
      </c>
      <c r="Y56" s="354">
        <f>+SUM(Y53:Y55)</f>
        <v>777062.0814285716</v>
      </c>
      <c r="AB56" s="354">
        <v>233575.2630837379</v>
      </c>
      <c r="AF56" s="354">
        <v>304452.41358292883</v>
      </c>
      <c r="AJ56" s="354">
        <f>+SUM(AJ53:AJ55)</f>
        <v>461181.31211695285</v>
      </c>
      <c r="AQ56" s="113"/>
      <c r="BK56" s="406" t="s">
        <v>541</v>
      </c>
      <c r="BL56" s="412"/>
      <c r="BM56" s="407"/>
    </row>
    <row r="57" spans="2:65" ht="19">
      <c r="D57" s="355">
        <v>0.5</v>
      </c>
      <c r="F57" s="145">
        <f>+F56*$D$57</f>
        <v>248596.41500000004</v>
      </c>
      <c r="I57" s="145">
        <f>+I56*$D$57</f>
        <v>379058.48428571428</v>
      </c>
      <c r="Y57" s="145">
        <f>+Y56*$D$57</f>
        <v>388531.0407142858</v>
      </c>
      <c r="AB57" s="145">
        <v>116787.63154186895</v>
      </c>
      <c r="AD57" s="2">
        <v>-271743.40917241684</v>
      </c>
      <c r="AF57" s="145">
        <v>152226.20679146441</v>
      </c>
      <c r="AH57" s="2">
        <v>-236304.83392282139</v>
      </c>
      <c r="AJ57" s="145">
        <f>+AJ56*$D$57</f>
        <v>230590.65605847642</v>
      </c>
      <c r="BK57" s="406" t="s">
        <v>542</v>
      </c>
      <c r="BL57" s="409">
        <v>75000</v>
      </c>
      <c r="BM57" s="407"/>
    </row>
    <row r="58" spans="2:65" ht="19">
      <c r="AB58" s="437">
        <f>+AB57/AB56</f>
        <v>0.5</v>
      </c>
      <c r="AF58" s="437">
        <v>0.5</v>
      </c>
      <c r="AJ58" s="437">
        <f>+AJ57/AJ56</f>
        <v>0.5</v>
      </c>
      <c r="BK58" s="405"/>
      <c r="BL58" s="413">
        <v>0</v>
      </c>
      <c r="BM58" s="407"/>
    </row>
    <row r="59" spans="2:65" ht="19">
      <c r="B59" s="2" t="s">
        <v>543</v>
      </c>
      <c r="F59" s="113">
        <f>+F57</f>
        <v>248596.41500000004</v>
      </c>
      <c r="I59" s="113">
        <f>+I57</f>
        <v>379058.48428571428</v>
      </c>
      <c r="Y59" s="113">
        <f>+Y57</f>
        <v>388531.0407142858</v>
      </c>
      <c r="AB59" s="113">
        <v>116787.63154186895</v>
      </c>
      <c r="AF59" s="113">
        <v>152226.20679146441</v>
      </c>
      <c r="AJ59" s="113">
        <f>+AJ57</f>
        <v>230590.65605847642</v>
      </c>
      <c r="BK59" s="405"/>
      <c r="BL59" s="413">
        <v>0</v>
      </c>
      <c r="BM59" s="407"/>
    </row>
    <row r="60" spans="2:65" ht="19">
      <c r="B60" s="2" t="s">
        <v>544</v>
      </c>
      <c r="F60" s="113">
        <f>+F54</f>
        <v>142929</v>
      </c>
      <c r="I60" s="113">
        <f>+I54</f>
        <v>360669</v>
      </c>
      <c r="Y60" s="113">
        <f>+Y54</f>
        <v>262282</v>
      </c>
      <c r="AB60" s="113">
        <v>0</v>
      </c>
      <c r="AF60" s="113">
        <v>0</v>
      </c>
      <c r="AJ60" s="113">
        <f>+AJ54</f>
        <v>0</v>
      </c>
      <c r="BK60" s="405"/>
      <c r="BL60" s="414">
        <f>+SUM(BL57:BL59)</f>
        <v>75000</v>
      </c>
      <c r="BM60" s="407"/>
    </row>
    <row r="61" spans="2:65" ht="19">
      <c r="B61" s="2" t="s">
        <v>545</v>
      </c>
      <c r="F61" s="354">
        <f>+F59-F60</f>
        <v>105667.41500000004</v>
      </c>
      <c r="I61" s="354">
        <f>+I59-I60</f>
        <v>18389.484285714279</v>
      </c>
      <c r="Y61" s="354">
        <f>+Y59-Y60</f>
        <v>126249.0407142858</v>
      </c>
      <c r="AB61" s="354">
        <v>116787.63154186895</v>
      </c>
      <c r="AF61" s="354">
        <v>152226.20679146441</v>
      </c>
      <c r="AJ61" s="354">
        <f>+AJ59-AJ60</f>
        <v>230590.65605847642</v>
      </c>
      <c r="BK61" s="405"/>
      <c r="BL61" s="415"/>
      <c r="BM61" s="407"/>
    </row>
    <row r="62" spans="2:65" ht="19">
      <c r="B62" s="2" t="s">
        <v>546</v>
      </c>
      <c r="BK62" s="405" t="s">
        <v>547</v>
      </c>
      <c r="BL62" s="415"/>
      <c r="BM62" s="407"/>
    </row>
    <row r="63" spans="2:65" ht="19">
      <c r="Y63" s="113">
        <f>+F61+I61+Y61</f>
        <v>250305.94000000012</v>
      </c>
      <c r="AB63" s="113">
        <v>367093.57154186908</v>
      </c>
      <c r="AF63" s="113">
        <v>519319.7783333335</v>
      </c>
      <c r="AJ63" s="113">
        <f>+F61+I61+Y61+AJ61+AB61+AF61</f>
        <v>749910.43439180986</v>
      </c>
      <c r="BK63" s="405"/>
      <c r="BL63" s="415">
        <v>100000</v>
      </c>
      <c r="BM63" s="407"/>
    </row>
    <row r="64" spans="2:65" ht="19">
      <c r="BK64" s="405"/>
      <c r="BL64" s="415">
        <v>50000</v>
      </c>
      <c r="BM64" s="407"/>
    </row>
    <row r="65" spans="63:65" ht="19">
      <c r="BK65" s="405"/>
      <c r="BL65" s="415">
        <v>0</v>
      </c>
      <c r="BM65" s="407"/>
    </row>
    <row r="66" spans="63:65" ht="19">
      <c r="BK66" s="405"/>
      <c r="BL66" s="414">
        <f>+SUM(BL63:BL65)</f>
        <v>150000</v>
      </c>
      <c r="BM66" s="407"/>
    </row>
    <row r="67" spans="63:65" ht="19">
      <c r="BK67" s="405"/>
      <c r="BL67" s="415"/>
      <c r="BM67" s="407"/>
    </row>
  </sheetData>
  <mergeCells count="15">
    <mergeCell ref="F2:G2"/>
    <mergeCell ref="CH2:CI2"/>
    <mergeCell ref="I2:J2"/>
    <mergeCell ref="T2:V2"/>
    <mergeCell ref="L2:N2"/>
    <mergeCell ref="P2:R2"/>
    <mergeCell ref="Y2:Z2"/>
    <mergeCell ref="AN2:AO2"/>
    <mergeCell ref="AQ2:AS2"/>
    <mergeCell ref="BY2:BZ2"/>
    <mergeCell ref="CB2:CC2"/>
    <mergeCell ref="CE2:CF2"/>
    <mergeCell ref="AJ2:AL2"/>
    <mergeCell ref="AB2:AD2"/>
    <mergeCell ref="AF2:AH2"/>
  </mergeCells>
  <pageMargins left="0.7" right="0.7" top="0.75" bottom="0.75" header="0.3" footer="0.3"/>
  <pageSetup scale="10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U68"/>
  <sheetViews>
    <sheetView showGridLines="0" zoomScale="129" zoomScaleNormal="129" workbookViewId="0">
      <pane xSplit="1" ySplit="5" topLeftCell="B6" activePane="bottomRight" state="frozen"/>
      <selection pane="topRight" activeCell="H29" sqref="H29"/>
      <selection pane="bottomLeft" activeCell="H29" sqref="H29"/>
      <selection pane="bottomRight" activeCell="S4" sqref="S4:S30"/>
    </sheetView>
  </sheetViews>
  <sheetFormatPr baseColWidth="10" defaultColWidth="8.85546875" defaultRowHeight="13" outlineLevelCol="2"/>
  <cols>
    <col min="1" max="1" width="41.85546875" style="2" customWidth="1"/>
    <col min="2" max="2" width="10.85546875" style="2" bestFit="1" customWidth="1"/>
    <col min="3" max="3" width="1.85546875" style="2" customWidth="1"/>
    <col min="4" max="4" width="10" style="2" customWidth="1"/>
    <col min="5" max="5" width="2.140625" style="2" customWidth="1"/>
    <col min="6" max="6" width="11.7109375" style="2" bestFit="1" customWidth="1"/>
    <col min="7" max="7" width="2.140625" style="2" customWidth="1"/>
    <col min="8" max="8" width="9.85546875" style="2" customWidth="1"/>
    <col min="9" max="9" width="2.140625" style="2" customWidth="1"/>
    <col min="10" max="10" width="9.85546875" style="2" hidden="1" customWidth="1" outlineLevel="2"/>
    <col min="11" max="11" width="2.5703125" style="2" hidden="1" customWidth="1" outlineLevel="2"/>
    <col min="12" max="12" width="9.85546875" style="2" hidden="1" customWidth="1" outlineLevel="2"/>
    <col min="13" max="13" width="2.140625" style="2" hidden="1" customWidth="1" outlineLevel="2"/>
    <col min="14" max="14" width="11.28515625" style="2" hidden="1" customWidth="1" outlineLevel="2"/>
    <col min="15" max="15" width="2.140625" style="2" hidden="1" customWidth="1" outlineLevel="2"/>
    <col min="16" max="16" width="2.140625" style="2" customWidth="1" outlineLevel="1" collapsed="1"/>
    <col min="17" max="17" width="10.140625" style="2" customWidth="1" outlineLevel="1"/>
    <col min="18" max="18" width="2.140625" style="2" customWidth="1" outlineLevel="1"/>
    <col min="19" max="19" width="11.7109375" style="2" customWidth="1" outlineLevel="1"/>
    <col min="20" max="20" width="2.42578125" style="2" customWidth="1"/>
    <col min="21" max="21" width="9.85546875" style="2" hidden="1" customWidth="1"/>
    <col min="22" max="16384" width="8.85546875" style="2"/>
  </cols>
  <sheetData>
    <row r="1" spans="1:21" ht="17">
      <c r="A1" s="186" t="s">
        <v>3</v>
      </c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6"/>
      <c r="O1" s="186"/>
      <c r="P1" s="186"/>
      <c r="Q1" s="186"/>
      <c r="R1" s="186"/>
      <c r="S1" s="186"/>
      <c r="T1" s="186"/>
      <c r="U1" s="186"/>
    </row>
    <row r="2" spans="1:21" ht="17">
      <c r="A2" s="186" t="s">
        <v>548</v>
      </c>
      <c r="D2" s="186"/>
      <c r="E2" s="186"/>
      <c r="F2" s="186"/>
      <c r="G2" s="186"/>
      <c r="H2" s="186"/>
      <c r="I2" s="186"/>
      <c r="J2" s="186"/>
      <c r="K2" s="186"/>
      <c r="L2" s="186"/>
      <c r="M2" s="186"/>
      <c r="N2" s="186"/>
      <c r="O2" s="186"/>
      <c r="P2" s="186"/>
      <c r="Q2" s="186"/>
      <c r="R2" s="186"/>
      <c r="S2" s="186"/>
      <c r="T2" s="186"/>
      <c r="U2" s="186"/>
    </row>
    <row r="3" spans="1:21" ht="17" thickBot="1">
      <c r="A3" s="187" t="s">
        <v>549</v>
      </c>
      <c r="D3" s="187"/>
      <c r="E3" s="187"/>
      <c r="F3" s="187"/>
      <c r="G3" s="187"/>
      <c r="H3" s="187"/>
      <c r="I3" s="187"/>
      <c r="J3" s="187"/>
      <c r="K3" s="187"/>
      <c r="L3" s="187"/>
      <c r="M3" s="187"/>
      <c r="N3" s="187"/>
      <c r="O3" s="187"/>
      <c r="P3" s="187"/>
      <c r="Q3" s="187"/>
      <c r="R3" s="187"/>
      <c r="S3" s="187"/>
      <c r="U3" s="187"/>
    </row>
    <row r="4" spans="1:21" s="190" customFormat="1" ht="19" customHeight="1" thickBot="1">
      <c r="A4" s="348" t="s">
        <v>550</v>
      </c>
      <c r="B4" s="339">
        <v>44196</v>
      </c>
      <c r="C4" s="192"/>
      <c r="D4" s="340" t="s">
        <v>420</v>
      </c>
      <c r="E4" s="191"/>
      <c r="F4" s="340" t="s">
        <v>421</v>
      </c>
      <c r="G4" s="191"/>
      <c r="H4" s="340" t="s">
        <v>422</v>
      </c>
      <c r="I4" s="191"/>
      <c r="J4" s="376">
        <v>44500</v>
      </c>
      <c r="K4" s="462"/>
      <c r="L4" s="376">
        <v>44530</v>
      </c>
      <c r="M4" s="191"/>
      <c r="N4" s="376">
        <v>44561</v>
      </c>
      <c r="O4" s="191"/>
      <c r="P4" s="191"/>
      <c r="Q4" s="356" t="s">
        <v>551</v>
      </c>
      <c r="R4" s="191"/>
      <c r="S4" s="361">
        <v>44561</v>
      </c>
      <c r="T4" s="188"/>
      <c r="U4" s="509" t="s">
        <v>416</v>
      </c>
    </row>
    <row r="5" spans="1:21">
      <c r="B5" s="66" t="s">
        <v>15</v>
      </c>
      <c r="C5" s="79"/>
      <c r="D5" s="66" t="s">
        <v>15</v>
      </c>
      <c r="F5" s="66" t="s">
        <v>15</v>
      </c>
      <c r="H5" s="66" t="s">
        <v>15</v>
      </c>
      <c r="J5" s="66"/>
      <c r="K5" s="79"/>
      <c r="L5" s="66"/>
      <c r="N5" s="66"/>
      <c r="Q5" s="293" t="s">
        <v>15</v>
      </c>
      <c r="S5" s="293" t="s">
        <v>15</v>
      </c>
      <c r="U5" s="66" t="s">
        <v>15</v>
      </c>
    </row>
    <row r="6" spans="1:21">
      <c r="B6" s="79"/>
      <c r="C6" s="79"/>
      <c r="D6" s="79"/>
      <c r="F6" s="79"/>
      <c r="H6" s="79"/>
      <c r="J6" s="79"/>
      <c r="K6" s="79"/>
      <c r="L6" s="79"/>
      <c r="N6" s="79"/>
      <c r="Q6" s="325"/>
      <c r="S6" s="325"/>
      <c r="U6" s="79"/>
    </row>
    <row r="7" spans="1:21">
      <c r="A7" s="2" t="s">
        <v>552</v>
      </c>
      <c r="Q7" s="294"/>
      <c r="S7" s="294"/>
    </row>
    <row r="8" spans="1:21">
      <c r="A8" s="2" t="s">
        <v>553</v>
      </c>
      <c r="B8" s="114">
        <v>-2514723</v>
      </c>
      <c r="C8" s="114"/>
      <c r="D8" s="141">
        <v>-1228578.21</v>
      </c>
      <c r="F8" s="141">
        <v>-1774549.79</v>
      </c>
      <c r="H8" s="141">
        <v>-2188118</v>
      </c>
      <c r="J8" s="141">
        <v>-1106766.9877777779</v>
      </c>
      <c r="K8" s="141"/>
      <c r="L8" s="141">
        <v>-1164507.2922479613</v>
      </c>
      <c r="N8" s="141">
        <f>PL!AJ45</f>
        <v>-2137130.1460178397</v>
      </c>
      <c r="P8" s="18"/>
      <c r="Q8" s="357">
        <f>+PL!AN45</f>
        <v>-4408404.4260435775</v>
      </c>
      <c r="R8" s="18"/>
      <c r="S8" s="344">
        <f t="shared" ref="S8:S17" si="0">+D8+F8+H8+Q8</f>
        <v>-9599650.4260435775</v>
      </c>
      <c r="T8" s="18"/>
      <c r="U8" s="511">
        <f>+SUM(D8:N8)</f>
        <v>-9599650.4260435794</v>
      </c>
    </row>
    <row r="9" spans="1:21">
      <c r="A9" s="2" t="s">
        <v>554</v>
      </c>
      <c r="B9" s="145">
        <v>29959</v>
      </c>
      <c r="C9" s="111"/>
      <c r="D9" s="141">
        <v>6206</v>
      </c>
      <c r="F9" s="141">
        <v>21766</v>
      </c>
      <c r="H9" s="141">
        <v>20895</v>
      </c>
      <c r="J9" s="141">
        <v>4778</v>
      </c>
      <c r="K9" s="141"/>
      <c r="L9" s="141">
        <v>10778</v>
      </c>
      <c r="N9" s="141">
        <f>'cash flows'!E8-H9-F9-D9-J9-L9</f>
        <v>12026</v>
      </c>
      <c r="P9" s="145"/>
      <c r="Q9" s="357">
        <f t="shared" ref="Q9:Q17" si="1">+J9+N9+L9</f>
        <v>27582</v>
      </c>
      <c r="R9" s="145"/>
      <c r="S9" s="344">
        <f t="shared" si="0"/>
        <v>76449</v>
      </c>
      <c r="T9" s="145"/>
      <c r="U9" s="511">
        <f t="shared" ref="U9:U16" si="2">+SUM(D9:N9)</f>
        <v>76449</v>
      </c>
    </row>
    <row r="10" spans="1:21">
      <c r="A10" s="2" t="s">
        <v>62</v>
      </c>
      <c r="B10" s="145">
        <v>61989</v>
      </c>
      <c r="C10" s="111"/>
      <c r="D10" s="141">
        <v>10955</v>
      </c>
      <c r="F10" s="141">
        <v>29835</v>
      </c>
      <c r="H10" s="141">
        <v>11073</v>
      </c>
      <c r="J10" s="141">
        <v>3219</v>
      </c>
      <c r="K10" s="141"/>
      <c r="L10" s="141">
        <v>2480</v>
      </c>
      <c r="N10" s="141">
        <f>'cash flows'!E14-H10-F10-D10-J10-L10</f>
        <v>-15130</v>
      </c>
      <c r="P10" s="145"/>
      <c r="Q10" s="357">
        <f t="shared" si="1"/>
        <v>-9431</v>
      </c>
      <c r="R10" s="145"/>
      <c r="S10" s="344">
        <f t="shared" si="0"/>
        <v>42432</v>
      </c>
      <c r="T10" s="145"/>
      <c r="U10" s="511">
        <f t="shared" si="2"/>
        <v>42432</v>
      </c>
    </row>
    <row r="11" spans="1:21">
      <c r="A11" s="2" t="s">
        <v>555</v>
      </c>
      <c r="B11" s="145"/>
      <c r="C11" s="111"/>
      <c r="D11" s="141"/>
      <c r="F11" s="141"/>
      <c r="H11" s="141">
        <v>0</v>
      </c>
      <c r="J11" s="141"/>
      <c r="K11" s="141"/>
      <c r="L11" s="141"/>
      <c r="N11" s="141"/>
      <c r="P11" s="145"/>
      <c r="Q11" s="357">
        <f t="shared" si="1"/>
        <v>0</v>
      </c>
      <c r="R11" s="145"/>
      <c r="S11" s="344">
        <f t="shared" si="0"/>
        <v>0</v>
      </c>
      <c r="T11" s="145"/>
      <c r="U11" s="141">
        <f t="shared" si="2"/>
        <v>0</v>
      </c>
    </row>
    <row r="12" spans="1:21">
      <c r="A12" s="2" t="s">
        <v>556</v>
      </c>
      <c r="B12" s="114">
        <v>-85862</v>
      </c>
      <c r="C12" s="114"/>
      <c r="D12" s="141">
        <v>276134</v>
      </c>
      <c r="F12" s="141">
        <v>3830</v>
      </c>
      <c r="H12" s="141">
        <v>-141731</v>
      </c>
      <c r="J12" s="141">
        <v>74780</v>
      </c>
      <c r="K12" s="141"/>
      <c r="L12" s="141">
        <v>273490</v>
      </c>
      <c r="N12" s="141">
        <f>'cash flows'!E6-H12-F12-D12-J12-L12</f>
        <v>-261802</v>
      </c>
      <c r="P12" s="145"/>
      <c r="Q12" s="357">
        <f t="shared" si="1"/>
        <v>86468</v>
      </c>
      <c r="R12" s="145"/>
      <c r="S12" s="344">
        <f t="shared" si="0"/>
        <v>224701</v>
      </c>
      <c r="T12" s="145"/>
      <c r="U12" s="141">
        <f t="shared" si="2"/>
        <v>224701</v>
      </c>
    </row>
    <row r="13" spans="1:21">
      <c r="A13" s="2" t="s">
        <v>557</v>
      </c>
      <c r="B13" s="114">
        <v>-969856</v>
      </c>
      <c r="C13" s="114"/>
      <c r="D13" s="141">
        <v>-77196</v>
      </c>
      <c r="F13" s="141">
        <v>-57765</v>
      </c>
      <c r="H13" s="141">
        <v>-443085</v>
      </c>
      <c r="J13" s="141">
        <v>-130601</v>
      </c>
      <c r="K13" s="141"/>
      <c r="L13" s="141">
        <v>-802496</v>
      </c>
      <c r="N13" s="141">
        <f>'cash flows'!E7-H13-F13-D13-J13-L13</f>
        <v>-80534</v>
      </c>
      <c r="P13" s="145"/>
      <c r="Q13" s="357">
        <f t="shared" si="1"/>
        <v>-1013631</v>
      </c>
      <c r="R13" s="145"/>
      <c r="S13" s="344">
        <f t="shared" si="0"/>
        <v>-1591677</v>
      </c>
      <c r="T13" s="145"/>
      <c r="U13" s="141">
        <f t="shared" si="2"/>
        <v>-1591677</v>
      </c>
    </row>
    <row r="14" spans="1:21">
      <c r="A14" s="2" t="s">
        <v>558</v>
      </c>
      <c r="B14" s="114">
        <v>93845</v>
      </c>
      <c r="C14" s="114"/>
      <c r="D14" s="141">
        <v>102192</v>
      </c>
      <c r="F14" s="141">
        <v>-16514</v>
      </c>
      <c r="H14" s="141">
        <v>-45574</v>
      </c>
      <c r="J14" s="141">
        <v>161987</v>
      </c>
      <c r="K14" s="141"/>
      <c r="L14" s="141">
        <v>-71081</v>
      </c>
      <c r="N14" s="141">
        <f>'cash flows'!E9-H14-F14-D14-J14-L14</f>
        <v>431483</v>
      </c>
      <c r="P14" s="145"/>
      <c r="Q14" s="357">
        <f t="shared" si="1"/>
        <v>522389</v>
      </c>
      <c r="R14" s="145"/>
      <c r="S14" s="344">
        <f t="shared" si="0"/>
        <v>562493</v>
      </c>
      <c r="T14" s="145"/>
      <c r="U14" s="141">
        <f t="shared" si="2"/>
        <v>562493</v>
      </c>
    </row>
    <row r="15" spans="1:21">
      <c r="A15" s="2" t="s">
        <v>559</v>
      </c>
      <c r="B15" s="114">
        <v>69750</v>
      </c>
      <c r="C15" s="114"/>
      <c r="D15" s="141">
        <v>-8305</v>
      </c>
      <c r="F15" s="141">
        <v>-20580</v>
      </c>
      <c r="H15" s="141">
        <v>356073</v>
      </c>
      <c r="J15" s="141">
        <v>-44483</v>
      </c>
      <c r="K15" s="141"/>
      <c r="L15" s="141">
        <v>34447</v>
      </c>
      <c r="N15" s="141">
        <f>'cash flows'!E10-H15-F15-D15-J15-L15</f>
        <v>166307</v>
      </c>
      <c r="P15" s="145"/>
      <c r="Q15" s="357">
        <f t="shared" si="1"/>
        <v>156271</v>
      </c>
      <c r="R15" s="145"/>
      <c r="S15" s="344">
        <f t="shared" si="0"/>
        <v>483459</v>
      </c>
      <c r="T15" s="145"/>
      <c r="U15" s="141">
        <f t="shared" si="2"/>
        <v>483459</v>
      </c>
    </row>
    <row r="16" spans="1:21">
      <c r="A16" s="2" t="s">
        <v>560</v>
      </c>
      <c r="B16" s="111">
        <v>0</v>
      </c>
      <c r="C16" s="111"/>
      <c r="D16" s="145">
        <v>0</v>
      </c>
      <c r="E16" s="145"/>
      <c r="F16" s="145">
        <v>0</v>
      </c>
      <c r="G16" s="145"/>
      <c r="H16" s="145">
        <v>0</v>
      </c>
      <c r="J16" s="141"/>
      <c r="K16" s="141"/>
      <c r="L16" s="141">
        <v>781784</v>
      </c>
      <c r="N16" s="141">
        <f>'cash flows'!E12-H16-F16-D16-J16-L16</f>
        <v>13071</v>
      </c>
      <c r="P16" s="145"/>
      <c r="Q16" s="357">
        <f t="shared" si="1"/>
        <v>794855</v>
      </c>
      <c r="R16" s="145"/>
      <c r="S16" s="344">
        <f t="shared" si="0"/>
        <v>794855</v>
      </c>
      <c r="T16" s="145"/>
      <c r="U16" s="141">
        <f t="shared" si="2"/>
        <v>794855</v>
      </c>
    </row>
    <row r="17" spans="1:21">
      <c r="A17" s="2" t="s">
        <v>561</v>
      </c>
      <c r="B17" s="114">
        <v>454977</v>
      </c>
      <c r="C17" s="114"/>
      <c r="D17" s="141">
        <f>-223028-D15</f>
        <v>-214723</v>
      </c>
      <c r="F17" s="141">
        <v>336202</v>
      </c>
      <c r="H17" s="141">
        <v>111122</v>
      </c>
      <c r="J17" s="141">
        <v>144816</v>
      </c>
      <c r="K17" s="141"/>
      <c r="L17" s="141">
        <v>-29358</v>
      </c>
      <c r="N17" s="141">
        <f>'cash flows'!E11-H17-F17-D17-J17-L17</f>
        <v>734227</v>
      </c>
      <c r="P17" s="145"/>
      <c r="Q17" s="357">
        <f t="shared" si="1"/>
        <v>849685</v>
      </c>
      <c r="R17" s="145"/>
      <c r="S17" s="344">
        <f t="shared" si="0"/>
        <v>1082286</v>
      </c>
      <c r="T17" s="145"/>
      <c r="U17" s="141">
        <f>+SUM(D17:N17)</f>
        <v>1082286</v>
      </c>
    </row>
    <row r="18" spans="1:21">
      <c r="A18" s="56" t="s">
        <v>562</v>
      </c>
      <c r="B18" s="328">
        <f>SUM(B8:B17)</f>
        <v>-2859921</v>
      </c>
      <c r="C18" s="114"/>
      <c r="D18" s="328">
        <f>+SUM(D8:D17)</f>
        <v>-1133315.21</v>
      </c>
      <c r="F18" s="328">
        <f>+SUM(F8:F17)</f>
        <v>-1477775.79</v>
      </c>
      <c r="H18" s="328">
        <f>+SUM(H8:H17)</f>
        <v>-2319345</v>
      </c>
      <c r="J18" s="328">
        <f>+SUM(J8:J17)</f>
        <v>-892270.98777777795</v>
      </c>
      <c r="K18" s="114"/>
      <c r="L18" s="328">
        <v>-964463.29224796128</v>
      </c>
      <c r="N18" s="328">
        <f>+SUM(N8:N17)</f>
        <v>-1137482.1460178397</v>
      </c>
      <c r="P18" s="111"/>
      <c r="Q18" s="358">
        <f>SUM(Q8:Q17)</f>
        <v>-2994216.4260435775</v>
      </c>
      <c r="R18" s="111"/>
      <c r="S18" s="358">
        <f>SUM(S8:S17)</f>
        <v>-7924652.4260435775</v>
      </c>
      <c r="T18" s="145"/>
      <c r="U18" s="328">
        <f>SUM(U8:U17)</f>
        <v>-7924652.4260435794</v>
      </c>
    </row>
    <row r="19" spans="1:21">
      <c r="P19" s="145"/>
      <c r="Q19" s="294"/>
      <c r="R19" s="145"/>
      <c r="S19" s="346"/>
      <c r="T19" s="145"/>
    </row>
    <row r="20" spans="1:21">
      <c r="A20" s="2" t="s">
        <v>563</v>
      </c>
      <c r="P20" s="145"/>
      <c r="Q20" s="294"/>
      <c r="R20" s="145"/>
      <c r="S20" s="346"/>
      <c r="T20" s="145"/>
    </row>
    <row r="21" spans="1:21">
      <c r="A21" s="2" t="s">
        <v>564</v>
      </c>
      <c r="B21" s="114">
        <v>-102708</v>
      </c>
      <c r="C21" s="114"/>
      <c r="D21" s="141">
        <v>-31986</v>
      </c>
      <c r="F21" s="141">
        <v>-58788</v>
      </c>
      <c r="H21" s="141">
        <v>-38898</v>
      </c>
      <c r="J21" s="141">
        <v>-521351</v>
      </c>
      <c r="K21" s="141"/>
      <c r="L21" s="141">
        <v>-485361</v>
      </c>
      <c r="N21" s="141">
        <f>'cash flows'!F8-H21-F21-D21-J21-L21</f>
        <v>-230328</v>
      </c>
      <c r="P21" s="145"/>
      <c r="Q21" s="357">
        <f>+J21+N21+L21</f>
        <v>-1237040</v>
      </c>
      <c r="R21" s="145"/>
      <c r="S21" s="344">
        <f>+D21+F21+H21+Q21</f>
        <v>-1366712</v>
      </c>
      <c r="T21" s="145"/>
      <c r="U21" s="141">
        <f>+SUM(D21:N21)</f>
        <v>-1366712</v>
      </c>
    </row>
    <row r="22" spans="1:21">
      <c r="A22" s="56" t="s">
        <v>565</v>
      </c>
      <c r="B22" s="328">
        <f>SUM(B21:B21)</f>
        <v>-102708</v>
      </c>
      <c r="C22" s="114"/>
      <c r="D22" s="328">
        <f>+D21</f>
        <v>-31986</v>
      </c>
      <c r="F22" s="328">
        <f>+F21</f>
        <v>-58788</v>
      </c>
      <c r="H22" s="328">
        <f>+H21</f>
        <v>-38898</v>
      </c>
      <c r="J22" s="328">
        <v>-521351</v>
      </c>
      <c r="K22" s="114"/>
      <c r="L22" s="328">
        <v>-485361</v>
      </c>
      <c r="N22" s="328">
        <f>+N21</f>
        <v>-230328</v>
      </c>
      <c r="P22" s="111"/>
      <c r="Q22" s="358">
        <f>SUM(Q21:Q21)</f>
        <v>-1237040</v>
      </c>
      <c r="R22" s="111"/>
      <c r="S22" s="358">
        <f>SUM(S21:S21)</f>
        <v>-1366712</v>
      </c>
      <c r="T22" s="145"/>
      <c r="U22" s="328">
        <f>SUM(U21:U21)</f>
        <v>-1366712</v>
      </c>
    </row>
    <row r="23" spans="1:21">
      <c r="P23" s="145"/>
      <c r="Q23" s="294"/>
      <c r="R23" s="145"/>
      <c r="S23" s="346"/>
      <c r="T23" s="145"/>
    </row>
    <row r="24" spans="1:21">
      <c r="A24" s="2" t="s">
        <v>566</v>
      </c>
      <c r="P24" s="145"/>
      <c r="Q24" s="294"/>
      <c r="R24" s="145"/>
      <c r="S24" s="346"/>
      <c r="T24" s="145"/>
    </row>
    <row r="25" spans="1:21">
      <c r="A25" s="2" t="s">
        <v>567</v>
      </c>
      <c r="B25" s="145">
        <v>1974368</v>
      </c>
      <c r="D25" s="189">
        <v>0</v>
      </c>
      <c r="F25" s="145">
        <v>19965105</v>
      </c>
      <c r="H25" s="111">
        <v>5012825</v>
      </c>
      <c r="J25" s="111">
        <v>0</v>
      </c>
      <c r="K25" s="111"/>
      <c r="L25" s="111">
        <v>4</v>
      </c>
      <c r="N25" s="141">
        <f>'cash flows'!G16-H25-F25-D25-J25-L25</f>
        <v>37254</v>
      </c>
      <c r="P25" s="145"/>
      <c r="Q25" s="357">
        <f>+J25+N25+L25</f>
        <v>37258</v>
      </c>
      <c r="R25" s="145"/>
      <c r="S25" s="359">
        <f>+D25+F25+H25+Q25</f>
        <v>25015188</v>
      </c>
      <c r="T25" s="145"/>
      <c r="U25" s="111">
        <f>+SUM(D25:N25)</f>
        <v>25015188</v>
      </c>
    </row>
    <row r="26" spans="1:21">
      <c r="A26" s="56" t="s">
        <v>568</v>
      </c>
      <c r="B26" s="327">
        <f>SUM(B25)</f>
        <v>1974368</v>
      </c>
      <c r="C26" s="111"/>
      <c r="D26" s="327">
        <f>+D25</f>
        <v>0</v>
      </c>
      <c r="F26" s="327">
        <f>+F25</f>
        <v>19965105</v>
      </c>
      <c r="H26" s="327">
        <f>+H25</f>
        <v>5012825</v>
      </c>
      <c r="I26" s="327"/>
      <c r="J26" s="327">
        <v>0</v>
      </c>
      <c r="K26" s="327"/>
      <c r="L26" s="327">
        <v>4</v>
      </c>
      <c r="M26" s="327"/>
      <c r="N26" s="327">
        <f>+N25</f>
        <v>37254</v>
      </c>
      <c r="O26" s="327"/>
      <c r="P26" s="111"/>
      <c r="Q26" s="345">
        <f>SUM(Q25)</f>
        <v>37258</v>
      </c>
      <c r="R26" s="111"/>
      <c r="S26" s="345">
        <f>+S25</f>
        <v>25015188</v>
      </c>
      <c r="T26" s="145"/>
      <c r="U26" s="327">
        <f>+U25</f>
        <v>25015188</v>
      </c>
    </row>
    <row r="27" spans="1:21">
      <c r="A27" s="56"/>
      <c r="P27" s="145"/>
      <c r="Q27" s="294"/>
      <c r="R27" s="145"/>
      <c r="S27" s="346"/>
      <c r="T27" s="145"/>
    </row>
    <row r="28" spans="1:21">
      <c r="A28" s="2" t="s">
        <v>569</v>
      </c>
      <c r="B28" s="114">
        <f>B18+B22+B26</f>
        <v>-988261</v>
      </c>
      <c r="C28" s="114"/>
      <c r="D28" s="114">
        <f>+D18+D22+D26</f>
        <v>-1165301.21</v>
      </c>
      <c r="F28" s="114">
        <f>+F18+F22+F26</f>
        <v>18428541.210000001</v>
      </c>
      <c r="H28" s="111">
        <f>+H18+H22+H26</f>
        <v>2654582</v>
      </c>
      <c r="J28" s="111">
        <v>-1413621.9877777779</v>
      </c>
      <c r="K28" s="111"/>
      <c r="L28" s="111">
        <v>-1449820.2922479613</v>
      </c>
      <c r="N28" s="510">
        <f>+N18+N22+N26</f>
        <v>-1330556.1460178397</v>
      </c>
      <c r="P28" s="145"/>
      <c r="Q28" s="344">
        <f>Q18+Q22+Q26</f>
        <v>-4193998.4260435775</v>
      </c>
      <c r="R28" s="145"/>
      <c r="S28" s="344">
        <f>S18+S22+S26</f>
        <v>15723823.573956423</v>
      </c>
      <c r="T28" s="145"/>
      <c r="U28" s="111">
        <f>+SUM(D28:N28)</f>
        <v>15723823.573956421</v>
      </c>
    </row>
    <row r="29" spans="1:21">
      <c r="A29" s="2" t="s">
        <v>570</v>
      </c>
      <c r="B29" s="145">
        <v>4555035</v>
      </c>
      <c r="D29" s="113">
        <f>+B30</f>
        <v>3566774</v>
      </c>
      <c r="F29" s="113">
        <f>+D30</f>
        <v>2401472.79</v>
      </c>
      <c r="H29" s="113">
        <f>+F30</f>
        <v>20830014</v>
      </c>
      <c r="J29" s="113">
        <v>23484596</v>
      </c>
      <c r="K29" s="113"/>
      <c r="L29" s="113">
        <v>22070974.012222223</v>
      </c>
      <c r="N29" s="113">
        <f>+L30</f>
        <v>20621153.719974261</v>
      </c>
      <c r="P29" s="145"/>
      <c r="Q29" s="295">
        <f>H30</f>
        <v>23484596</v>
      </c>
      <c r="R29" s="145"/>
      <c r="S29" s="347">
        <f>B30</f>
        <v>3566774</v>
      </c>
      <c r="T29" s="145"/>
      <c r="U29" s="113">
        <f>+B30</f>
        <v>3566774</v>
      </c>
    </row>
    <row r="30" spans="1:21" ht="14" thickBot="1">
      <c r="A30" s="2" t="s">
        <v>571</v>
      </c>
      <c r="B30" s="147">
        <f>SUM(B28:B29)</f>
        <v>3566774</v>
      </c>
      <c r="C30" s="111"/>
      <c r="D30" s="147">
        <f>SUM(D28:D29)</f>
        <v>2401472.79</v>
      </c>
      <c r="F30" s="147">
        <v>20830014</v>
      </c>
      <c r="H30" s="147">
        <f>+SUM(H28+H29)</f>
        <v>23484596</v>
      </c>
      <c r="J30" s="147">
        <v>22070974.012222223</v>
      </c>
      <c r="K30" s="111"/>
      <c r="L30" s="147">
        <v>20621153.719974261</v>
      </c>
      <c r="N30" s="147">
        <f>+SUM(N28+N29)</f>
        <v>19290597.573956423</v>
      </c>
      <c r="P30" s="145"/>
      <c r="Q30" s="360">
        <f>SUM(Q28:Q29)</f>
        <v>19290597.573956423</v>
      </c>
      <c r="R30" s="145"/>
      <c r="S30" s="360">
        <f>SUM(S28:S29)</f>
        <v>19290597.573956423</v>
      </c>
      <c r="T30" s="145"/>
      <c r="U30" s="147">
        <f>SUM(U28:U29)</f>
        <v>19290597.573956423</v>
      </c>
    </row>
    <row r="31" spans="1:21" ht="14" thickTop="1">
      <c r="N31" s="113"/>
      <c r="P31" s="145"/>
      <c r="Q31" s="145"/>
      <c r="R31" s="145"/>
      <c r="S31" s="148">
        <f>S30-'cash flows'!B4-'cash flows'!B5</f>
        <v>-11382.426043577492</v>
      </c>
      <c r="T31" s="145"/>
    </row>
    <row r="32" spans="1:21">
      <c r="A32" s="2" t="s">
        <v>572</v>
      </c>
      <c r="P32" s="145"/>
      <c r="Q32" s="145"/>
      <c r="R32" s="145"/>
      <c r="S32" s="145"/>
      <c r="T32" s="145"/>
    </row>
    <row r="33" spans="1:21">
      <c r="A33" s="342" t="s">
        <v>573</v>
      </c>
      <c r="P33" s="145"/>
      <c r="Q33" s="145"/>
      <c r="R33" s="145"/>
      <c r="S33" s="145"/>
      <c r="T33" s="145"/>
    </row>
    <row r="34" spans="1:21">
      <c r="A34" s="2" t="s">
        <v>574</v>
      </c>
      <c r="B34" s="341">
        <f>+B18-B22</f>
        <v>-2757213</v>
      </c>
      <c r="C34" s="113"/>
      <c r="D34" s="341">
        <f>+D18+D22</f>
        <v>-1165301.21</v>
      </c>
      <c r="F34" s="341">
        <f>+F18+F22</f>
        <v>-1536563.79</v>
      </c>
      <c r="H34" s="341">
        <f>+H18+H22</f>
        <v>-2358243</v>
      </c>
      <c r="J34" s="341">
        <v>-1413621.9877777779</v>
      </c>
      <c r="K34" s="341"/>
      <c r="L34" s="341">
        <v>-1449824.2922479613</v>
      </c>
      <c r="N34" s="341">
        <f>+N18+N22</f>
        <v>-1367810.1460178397</v>
      </c>
      <c r="P34" s="148"/>
      <c r="Q34" s="341">
        <f>+Q18+Q22</f>
        <v>-4231256.4260435775</v>
      </c>
      <c r="R34" s="148"/>
      <c r="S34" s="341">
        <f>+S18+S22</f>
        <v>-9291364.4260435775</v>
      </c>
      <c r="T34" s="145"/>
      <c r="U34" s="341">
        <f>+U18+U22</f>
        <v>-9291364.4260435794</v>
      </c>
    </row>
    <row r="35" spans="1:21">
      <c r="P35" s="145"/>
      <c r="R35" s="145"/>
      <c r="S35" s="145"/>
      <c r="T35" s="145"/>
    </row>
    <row r="36" spans="1:21">
      <c r="A36" s="2" t="s">
        <v>575</v>
      </c>
      <c r="B36" s="341">
        <f>-PL!D41</f>
        <v>-4089699.08</v>
      </c>
      <c r="C36" s="341"/>
      <c r="D36" s="341">
        <f>-PL!F41</f>
        <v>-1591968.4400000002</v>
      </c>
      <c r="E36" s="341"/>
      <c r="F36" s="341">
        <f>-PL!I41</f>
        <v>-2193025.5819999999</v>
      </c>
      <c r="G36" s="341"/>
      <c r="H36" s="341">
        <f>-PL!Y41</f>
        <v>-2541924.608</v>
      </c>
      <c r="I36" s="341"/>
      <c r="J36" s="341">
        <f>PL!AB41</f>
        <v>1240883.4577777779</v>
      </c>
      <c r="K36" s="341"/>
      <c r="L36" s="341">
        <v>1292432.5822479613</v>
      </c>
      <c r="M36" s="341"/>
      <c r="N36" s="341">
        <f>+PL!AJ41</f>
        <v>2354324.0360178398</v>
      </c>
      <c r="O36" s="341"/>
      <c r="P36" s="341"/>
      <c r="Q36" s="341">
        <f>-PL!AN41</f>
        <v>-4887640.0760435779</v>
      </c>
      <c r="R36" s="341"/>
      <c r="S36" s="341">
        <f>-PL!AQ41</f>
        <v>-11214558.706043577</v>
      </c>
      <c r="T36" s="145"/>
      <c r="U36" s="145"/>
    </row>
    <row r="37" spans="1:21">
      <c r="P37" s="145"/>
      <c r="Q37" s="145"/>
      <c r="R37" s="145"/>
      <c r="S37" s="145"/>
      <c r="T37" s="145"/>
    </row>
    <row r="38" spans="1:21">
      <c r="P38" s="145"/>
      <c r="Q38" s="145"/>
      <c r="R38" s="145"/>
      <c r="S38" s="145"/>
      <c r="T38" s="145"/>
    </row>
    <row r="39" spans="1:21">
      <c r="P39" s="145"/>
      <c r="Q39" s="145"/>
      <c r="R39" s="145"/>
      <c r="S39" s="145"/>
      <c r="T39" s="145"/>
    </row>
    <row r="40" spans="1:21">
      <c r="P40" s="145"/>
      <c r="Q40" s="145"/>
      <c r="R40" s="145"/>
      <c r="S40" s="145"/>
      <c r="T40" s="145"/>
    </row>
    <row r="41" spans="1:21">
      <c r="P41" s="145"/>
      <c r="Q41" s="145"/>
      <c r="R41" s="145"/>
      <c r="S41" s="145"/>
      <c r="T41" s="145"/>
    </row>
    <row r="42" spans="1:21">
      <c r="P42" s="145"/>
      <c r="Q42" s="145"/>
      <c r="R42" s="145"/>
      <c r="S42" s="145"/>
      <c r="T42" s="145"/>
    </row>
    <row r="43" spans="1:21">
      <c r="P43" s="145"/>
      <c r="Q43" s="145"/>
      <c r="R43" s="145"/>
      <c r="S43" s="145"/>
      <c r="T43" s="145"/>
    </row>
    <row r="44" spans="1:21">
      <c r="P44" s="145"/>
      <c r="Q44" s="145"/>
      <c r="R44" s="145"/>
      <c r="S44" s="145"/>
      <c r="T44" s="145"/>
    </row>
    <row r="45" spans="1:21">
      <c r="P45" s="145"/>
      <c r="Q45" s="145"/>
      <c r="R45" s="145"/>
      <c r="S45" s="145"/>
      <c r="T45" s="145"/>
    </row>
    <row r="46" spans="1:21">
      <c r="P46" s="145"/>
      <c r="Q46" s="145"/>
      <c r="R46" s="145"/>
      <c r="S46" s="145"/>
      <c r="T46" s="145"/>
    </row>
    <row r="47" spans="1:21">
      <c r="P47" s="145"/>
      <c r="Q47" s="145"/>
      <c r="R47" s="145"/>
      <c r="S47" s="145"/>
      <c r="T47" s="145"/>
    </row>
    <row r="48" spans="1:21">
      <c r="P48" s="145"/>
      <c r="Q48" s="145"/>
      <c r="R48" s="145"/>
      <c r="S48" s="145"/>
      <c r="T48" s="145"/>
    </row>
    <row r="49" spans="16:20">
      <c r="P49" s="145"/>
      <c r="Q49" s="145"/>
      <c r="R49" s="145"/>
      <c r="S49" s="145"/>
      <c r="T49" s="145"/>
    </row>
    <row r="50" spans="16:20">
      <c r="P50" s="145"/>
      <c r="Q50" s="145"/>
      <c r="R50" s="145"/>
      <c r="S50" s="145"/>
      <c r="T50" s="145"/>
    </row>
    <row r="51" spans="16:20">
      <c r="P51" s="145"/>
      <c r="Q51" s="145"/>
      <c r="R51" s="145"/>
      <c r="S51" s="145"/>
      <c r="T51" s="145"/>
    </row>
    <row r="52" spans="16:20">
      <c r="P52" s="145"/>
      <c r="Q52" s="145"/>
      <c r="R52" s="145"/>
      <c r="S52" s="145"/>
      <c r="T52" s="145"/>
    </row>
    <row r="53" spans="16:20">
      <c r="P53" s="145"/>
      <c r="Q53" s="145"/>
      <c r="R53" s="145"/>
      <c r="S53" s="145"/>
      <c r="T53" s="145"/>
    </row>
    <row r="54" spans="16:20">
      <c r="P54" s="145"/>
      <c r="Q54" s="145"/>
      <c r="R54" s="145"/>
      <c r="S54" s="145"/>
      <c r="T54" s="145"/>
    </row>
    <row r="55" spans="16:20">
      <c r="P55" s="145"/>
      <c r="Q55" s="145"/>
      <c r="R55" s="145"/>
      <c r="S55" s="145"/>
      <c r="T55" s="145"/>
    </row>
    <row r="56" spans="16:20">
      <c r="P56" s="145"/>
      <c r="Q56" s="145"/>
      <c r="R56" s="145"/>
      <c r="S56" s="145"/>
      <c r="T56" s="145"/>
    </row>
    <row r="57" spans="16:20">
      <c r="P57" s="145"/>
      <c r="Q57" s="145"/>
      <c r="R57" s="145"/>
      <c r="S57" s="145"/>
      <c r="T57" s="145"/>
    </row>
    <row r="58" spans="16:20">
      <c r="P58" s="145"/>
      <c r="Q58" s="145"/>
      <c r="R58" s="145"/>
      <c r="S58" s="145"/>
      <c r="T58" s="145"/>
    </row>
    <row r="59" spans="16:20">
      <c r="P59" s="145"/>
      <c r="Q59" s="145"/>
      <c r="R59" s="145"/>
      <c r="S59" s="145"/>
      <c r="T59" s="145"/>
    </row>
    <row r="60" spans="16:20">
      <c r="P60" s="145"/>
      <c r="Q60" s="145"/>
      <c r="R60" s="145"/>
      <c r="S60" s="145"/>
      <c r="T60" s="145"/>
    </row>
    <row r="61" spans="16:20">
      <c r="P61" s="145"/>
      <c r="Q61" s="145"/>
      <c r="R61" s="145"/>
      <c r="S61" s="145"/>
      <c r="T61" s="145"/>
    </row>
    <row r="62" spans="16:20">
      <c r="P62" s="145"/>
      <c r="Q62" s="145"/>
      <c r="R62" s="145"/>
      <c r="S62" s="145"/>
      <c r="T62" s="145"/>
    </row>
    <row r="63" spans="16:20">
      <c r="P63" s="145"/>
      <c r="Q63" s="145"/>
      <c r="R63" s="145"/>
      <c r="S63" s="145"/>
      <c r="T63" s="145"/>
    </row>
    <row r="64" spans="16:20">
      <c r="P64" s="145"/>
      <c r="Q64" s="145"/>
      <c r="R64" s="145"/>
      <c r="S64" s="145"/>
      <c r="T64" s="145"/>
    </row>
    <row r="65" spans="16:20">
      <c r="P65" s="145"/>
      <c r="Q65" s="145"/>
      <c r="R65" s="145"/>
      <c r="S65" s="145"/>
      <c r="T65" s="145"/>
    </row>
    <row r="66" spans="16:20">
      <c r="P66" s="145"/>
      <c r="Q66" s="145"/>
      <c r="R66" s="145"/>
      <c r="S66" s="145"/>
      <c r="T66" s="145"/>
    </row>
    <row r="67" spans="16:20">
      <c r="P67" s="145"/>
      <c r="Q67" s="145"/>
      <c r="R67" s="145"/>
      <c r="S67" s="145"/>
      <c r="T67" s="145"/>
    </row>
    <row r="68" spans="16:20">
      <c r="P68" s="145"/>
      <c r="Q68" s="145"/>
      <c r="R68" s="145"/>
      <c r="S68" s="145"/>
      <c r="T68" s="145"/>
    </row>
  </sheetData>
  <pageMargins left="0.7" right="0.7" top="0.75" bottom="0.75" header="0.3" footer="0.3"/>
  <pageSetup paperSize="9" scale="1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43"/>
  <sheetViews>
    <sheetView showGridLines="0" topLeftCell="A14" workbookViewId="0">
      <selection activeCell="L24" sqref="L24"/>
    </sheetView>
  </sheetViews>
  <sheetFormatPr baseColWidth="10" defaultColWidth="8.85546875" defaultRowHeight="14"/>
  <cols>
    <col min="1" max="1" width="16.140625" style="158" bestFit="1" customWidth="1"/>
    <col min="2" max="2" width="9" style="160" bestFit="1" customWidth="1"/>
    <col min="3" max="16384" width="8.85546875" style="157"/>
  </cols>
  <sheetData>
    <row r="1" spans="1:2">
      <c r="A1" s="544" t="s">
        <v>576</v>
      </c>
      <c r="B1" s="544"/>
    </row>
    <row r="2" spans="1:2">
      <c r="A2" s="158" t="s">
        <v>577</v>
      </c>
      <c r="B2" s="160">
        <v>4862.09</v>
      </c>
    </row>
    <row r="3" spans="1:2">
      <c r="A3" s="158" t="s">
        <v>578</v>
      </c>
      <c r="B3" s="160">
        <v>2448.3000000000002</v>
      </c>
    </row>
    <row r="4" spans="1:2">
      <c r="A4" s="158" t="s">
        <v>579</v>
      </c>
      <c r="B4" s="160">
        <v>3279.3</v>
      </c>
    </row>
    <row r="5" spans="1:2">
      <c r="A5" s="158" t="s">
        <v>197</v>
      </c>
      <c r="B5" s="160">
        <v>2962.63</v>
      </c>
    </row>
    <row r="6" spans="1:2">
      <c r="A6" s="158" t="s">
        <v>580</v>
      </c>
      <c r="B6" s="161">
        <f>337+337</f>
        <v>674</v>
      </c>
    </row>
    <row r="7" spans="1:2">
      <c r="A7" s="158" t="s">
        <v>554</v>
      </c>
      <c r="B7" s="161">
        <v>700</v>
      </c>
    </row>
    <row r="8" spans="1:2" ht="15" thickBot="1">
      <c r="B8" s="162">
        <f>SUM(B2:B7)</f>
        <v>14926.32</v>
      </c>
    </row>
    <row r="9" spans="1:2" ht="15" thickTop="1"/>
    <row r="11" spans="1:2">
      <c r="A11" s="544" t="s">
        <v>581</v>
      </c>
      <c r="B11" s="544"/>
    </row>
    <row r="12" spans="1:2">
      <c r="A12" s="158" t="s">
        <v>126</v>
      </c>
      <c r="B12" s="159"/>
    </row>
    <row r="13" spans="1:2">
      <c r="A13" s="158" t="s">
        <v>480</v>
      </c>
      <c r="B13" s="160">
        <v>5629</v>
      </c>
    </row>
    <row r="14" spans="1:2">
      <c r="A14" s="158" t="s">
        <v>582</v>
      </c>
      <c r="B14" s="160">
        <v>3265.54</v>
      </c>
    </row>
    <row r="15" spans="1:2">
      <c r="A15" s="158" t="s">
        <v>583</v>
      </c>
      <c r="B15" s="160">
        <v>344.48</v>
      </c>
    </row>
    <row r="16" spans="1:2">
      <c r="A16" s="158" t="s">
        <v>584</v>
      </c>
      <c r="B16" s="160">
        <v>2748.68</v>
      </c>
    </row>
    <row r="17" spans="1:2">
      <c r="A17" s="158" t="s">
        <v>585</v>
      </c>
      <c r="B17" s="160">
        <v>3114.91</v>
      </c>
    </row>
    <row r="18" spans="1:2">
      <c r="A18" s="158" t="s">
        <v>586</v>
      </c>
      <c r="B18" s="160">
        <v>1586.37</v>
      </c>
    </row>
    <row r="19" spans="1:2">
      <c r="A19" s="158" t="s">
        <v>587</v>
      </c>
      <c r="B19" s="160">
        <v>4051.74</v>
      </c>
    </row>
    <row r="20" spans="1:2">
      <c r="A20" s="158" t="s">
        <v>588</v>
      </c>
      <c r="B20" s="160">
        <v>25.9</v>
      </c>
    </row>
    <row r="21" spans="1:2">
      <c r="A21" s="158" t="s">
        <v>589</v>
      </c>
      <c r="B21" s="160">
        <v>118.43</v>
      </c>
    </row>
    <row r="22" spans="1:2">
      <c r="A22" s="158" t="s">
        <v>590</v>
      </c>
      <c r="B22" s="160">
        <v>584.19000000000005</v>
      </c>
    </row>
    <row r="23" spans="1:2">
      <c r="A23" s="158" t="s">
        <v>591</v>
      </c>
      <c r="B23" s="160">
        <v>434.24</v>
      </c>
    </row>
    <row r="24" spans="1:2">
      <c r="A24" s="158" t="s">
        <v>592</v>
      </c>
      <c r="B24" s="160">
        <v>3833.71</v>
      </c>
    </row>
    <row r="25" spans="1:2">
      <c r="A25" s="158" t="s">
        <v>190</v>
      </c>
      <c r="B25" s="160">
        <v>1343.4</v>
      </c>
    </row>
    <row r="26" spans="1:2">
      <c r="A26" s="158" t="s">
        <v>593</v>
      </c>
      <c r="B26" s="163">
        <v>1171.1300000000001</v>
      </c>
    </row>
    <row r="27" spans="1:2">
      <c r="B27" s="164">
        <f>SUM(B13:B26)</f>
        <v>28251.720000000005</v>
      </c>
    </row>
    <row r="28" spans="1:2">
      <c r="A28" s="158" t="s">
        <v>594</v>
      </c>
    </row>
    <row r="29" spans="1:2">
      <c r="A29" s="160" t="s">
        <v>595</v>
      </c>
      <c r="B29" s="160">
        <v>110.64</v>
      </c>
    </row>
    <row r="30" spans="1:2">
      <c r="A30" s="160" t="s">
        <v>584</v>
      </c>
      <c r="B30" s="160">
        <v>1253.0899999999999</v>
      </c>
    </row>
    <row r="31" spans="1:2">
      <c r="A31" s="160" t="s">
        <v>591</v>
      </c>
      <c r="B31" s="160">
        <v>2614.14</v>
      </c>
    </row>
    <row r="32" spans="1:2">
      <c r="A32" s="160" t="s">
        <v>596</v>
      </c>
      <c r="B32" s="163">
        <v>112.33</v>
      </c>
    </row>
    <row r="33" spans="1:2">
      <c r="A33" s="160"/>
      <c r="B33" s="164">
        <f>SUM(B29:B32)</f>
        <v>4090.2</v>
      </c>
    </row>
    <row r="34" spans="1:2">
      <c r="A34" s="160"/>
    </row>
    <row r="35" spans="1:2">
      <c r="A35" s="160" t="s">
        <v>597</v>
      </c>
      <c r="B35" s="163">
        <f>3315.15+321</f>
        <v>3636.15</v>
      </c>
    </row>
    <row r="36" spans="1:2">
      <c r="A36" s="160"/>
    </row>
    <row r="37" spans="1:2" ht="15" thickBot="1">
      <c r="A37" s="160"/>
      <c r="B37" s="165">
        <f>B27+B33+B35</f>
        <v>35978.070000000007</v>
      </c>
    </row>
    <row r="38" spans="1:2" ht="15" thickTop="1">
      <c r="A38" s="160"/>
    </row>
    <row r="39" spans="1:2">
      <c r="A39" s="160"/>
    </row>
    <row r="40" spans="1:2">
      <c r="A40" s="160"/>
    </row>
    <row r="41" spans="1:2">
      <c r="A41" s="160"/>
    </row>
    <row r="42" spans="1:2">
      <c r="A42" s="160"/>
    </row>
    <row r="43" spans="1:2">
      <c r="A43" s="160"/>
    </row>
  </sheetData>
  <mergeCells count="2">
    <mergeCell ref="A1:B1"/>
    <mergeCell ref="A11:B1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S46"/>
  <sheetViews>
    <sheetView zoomScaleNormal="100" workbookViewId="0">
      <selection activeCell="H29" sqref="H29"/>
    </sheetView>
  </sheetViews>
  <sheetFormatPr baseColWidth="10" defaultColWidth="7.42578125" defaultRowHeight="13"/>
  <cols>
    <col min="1" max="1" width="19.85546875" style="184" bestFit="1" customWidth="1"/>
    <col min="2" max="2" width="11.140625" style="172" bestFit="1" customWidth="1"/>
    <col min="3" max="3" width="8.85546875" style="172" bestFit="1" customWidth="1"/>
    <col min="4" max="4" width="9.85546875" style="172" bestFit="1" customWidth="1"/>
    <col min="5" max="6" width="8.42578125" style="172" bestFit="1" customWidth="1"/>
    <col min="7" max="7" width="9.85546875" style="172" bestFit="1" customWidth="1"/>
    <col min="8" max="8" width="8.42578125" style="172" bestFit="1" customWidth="1"/>
    <col min="9" max="9" width="6" style="172" bestFit="1" customWidth="1"/>
    <col min="10" max="11" width="9.140625" style="172" bestFit="1" customWidth="1"/>
    <col min="12" max="15" width="7.42578125" style="172"/>
    <col min="16" max="16" width="11.42578125" style="173" bestFit="1" customWidth="1"/>
    <col min="17" max="19" width="7.42578125" style="173"/>
    <col min="20" max="16384" width="7.42578125" style="172"/>
  </cols>
  <sheetData>
    <row r="2" spans="1:19">
      <c r="A2" s="182"/>
    </row>
    <row r="3" spans="1:19" s="174" customFormat="1">
      <c r="A3" s="183"/>
      <c r="B3" s="175">
        <v>44561</v>
      </c>
      <c r="C3" s="175">
        <v>44196</v>
      </c>
      <c r="D3" s="174" t="s">
        <v>598</v>
      </c>
      <c r="E3" s="174" t="s">
        <v>599</v>
      </c>
      <c r="F3" s="174" t="s">
        <v>600</v>
      </c>
      <c r="G3" s="174" t="s">
        <v>601</v>
      </c>
      <c r="H3" s="174" t="s">
        <v>602</v>
      </c>
      <c r="I3" s="174" t="s">
        <v>603</v>
      </c>
      <c r="J3" s="174" t="s">
        <v>604</v>
      </c>
      <c r="K3" s="174" t="s">
        <v>605</v>
      </c>
      <c r="P3" s="176"/>
      <c r="Q3" s="176"/>
      <c r="R3" s="176"/>
      <c r="S3" s="176"/>
    </row>
    <row r="4" spans="1:19">
      <c r="A4" s="184" t="s">
        <v>606</v>
      </c>
      <c r="B4" s="114">
        <f>ROUND(BS!T5,0)</f>
        <v>18893872</v>
      </c>
      <c r="C4" s="173">
        <v>3512559</v>
      </c>
      <c r="D4" s="173">
        <f>B4-C4</f>
        <v>15381313</v>
      </c>
      <c r="E4" s="173"/>
      <c r="F4" s="173"/>
      <c r="G4" s="173"/>
      <c r="H4" s="173"/>
      <c r="I4" s="173"/>
      <c r="J4" s="173">
        <f t="shared" ref="J4:J15" si="0">SUM(E4:I4)</f>
        <v>0</v>
      </c>
      <c r="K4" s="173">
        <f>D4+J4</f>
        <v>15381313</v>
      </c>
    </row>
    <row r="5" spans="1:19">
      <c r="A5" s="184" t="s">
        <v>607</v>
      </c>
      <c r="B5" s="114">
        <f>ROUND(BS!T6,0)</f>
        <v>408108</v>
      </c>
      <c r="C5" s="173">
        <v>54215</v>
      </c>
      <c r="D5" s="173">
        <f>B5-C5</f>
        <v>353893</v>
      </c>
      <c r="E5" s="173"/>
      <c r="F5" s="173"/>
      <c r="G5" s="173"/>
      <c r="H5" s="173"/>
      <c r="I5" s="173"/>
      <c r="J5" s="173">
        <f t="shared" si="0"/>
        <v>0</v>
      </c>
      <c r="K5" s="173">
        <f>D5+J5</f>
        <v>353893</v>
      </c>
    </row>
    <row r="6" spans="1:19">
      <c r="A6" s="184" t="s">
        <v>608</v>
      </c>
      <c r="B6" s="114">
        <f>ROUND(BS!T7,0)</f>
        <v>745155</v>
      </c>
      <c r="C6" s="173">
        <v>969856</v>
      </c>
      <c r="D6" s="173">
        <f t="shared" ref="D6:D15" si="1">B6-C6</f>
        <v>-224701</v>
      </c>
      <c r="E6" s="173">
        <f>-D6</f>
        <v>224701</v>
      </c>
      <c r="F6" s="173"/>
      <c r="G6" s="173"/>
      <c r="H6" s="173"/>
      <c r="I6" s="173"/>
      <c r="J6" s="173">
        <f t="shared" si="0"/>
        <v>224701</v>
      </c>
      <c r="K6" s="173">
        <f t="shared" ref="K6:K9" si="2">D6+J6</f>
        <v>0</v>
      </c>
    </row>
    <row r="7" spans="1:19">
      <c r="A7" s="184" t="s">
        <v>360</v>
      </c>
      <c r="B7" s="114">
        <f>ROUND(BS!T8,0)+1</f>
        <v>1760881</v>
      </c>
      <c r="C7" s="173">
        <v>169204</v>
      </c>
      <c r="D7" s="173">
        <f t="shared" si="1"/>
        <v>1591677</v>
      </c>
      <c r="E7" s="173">
        <f>-D7-H7-I7</f>
        <v>-1591677</v>
      </c>
      <c r="F7" s="173"/>
      <c r="G7" s="173"/>
      <c r="H7" s="173"/>
      <c r="I7" s="173"/>
      <c r="J7" s="173">
        <f t="shared" si="0"/>
        <v>-1591677</v>
      </c>
      <c r="K7" s="173">
        <f t="shared" si="2"/>
        <v>0</v>
      </c>
    </row>
    <row r="8" spans="1:19">
      <c r="A8" s="184" t="s">
        <v>609</v>
      </c>
      <c r="B8" s="114">
        <f>ROUND(BS!T12,0)</f>
        <v>1391131</v>
      </c>
      <c r="C8" s="173">
        <v>112251</v>
      </c>
      <c r="D8" s="173">
        <f t="shared" si="1"/>
        <v>1278880</v>
      </c>
      <c r="E8" s="512">
        <f>-F22-F23-F24</f>
        <v>76449</v>
      </c>
      <c r="F8" s="173">
        <f>-F21</f>
        <v>-1366712</v>
      </c>
      <c r="G8" s="173"/>
      <c r="H8" s="173"/>
      <c r="I8" s="173"/>
      <c r="J8" s="173">
        <f t="shared" si="0"/>
        <v>-1290263</v>
      </c>
      <c r="K8" s="173">
        <f t="shared" si="2"/>
        <v>-11383</v>
      </c>
    </row>
    <row r="9" spans="1:19">
      <c r="A9" s="184" t="s">
        <v>42</v>
      </c>
      <c r="B9" s="114">
        <f>-ROUND(BS!T18,0)</f>
        <v>-672609</v>
      </c>
      <c r="C9" s="173">
        <v>-110116</v>
      </c>
      <c r="D9" s="173">
        <f t="shared" si="1"/>
        <v>-562493</v>
      </c>
      <c r="E9" s="173">
        <f t="shared" ref="E9:E10" si="3">-D9-H9</f>
        <v>562493</v>
      </c>
      <c r="F9" s="173"/>
      <c r="G9" s="173"/>
      <c r="H9" s="173"/>
      <c r="I9" s="173"/>
      <c r="J9" s="173">
        <f t="shared" si="0"/>
        <v>562493</v>
      </c>
      <c r="K9" s="173">
        <f t="shared" si="2"/>
        <v>0</v>
      </c>
    </row>
    <row r="10" spans="1:19">
      <c r="A10" s="184" t="s">
        <v>388</v>
      </c>
      <c r="B10" s="114">
        <f>-ROUND(BS!T19,0)</f>
        <v>-553209</v>
      </c>
      <c r="C10" s="173">
        <v>-69750</v>
      </c>
      <c r="D10" s="173">
        <f t="shared" si="1"/>
        <v>-483459</v>
      </c>
      <c r="E10" s="173">
        <f t="shared" si="3"/>
        <v>483459</v>
      </c>
      <c r="F10" s="173"/>
      <c r="G10" s="173"/>
      <c r="H10" s="173"/>
      <c r="I10" s="173"/>
      <c r="J10" s="173">
        <f t="shared" si="0"/>
        <v>483459</v>
      </c>
      <c r="K10" s="173"/>
    </row>
    <row r="11" spans="1:19">
      <c r="A11" s="184" t="s">
        <v>389</v>
      </c>
      <c r="B11" s="114">
        <f>-ROUND(BS!T20,0)</f>
        <v>-1751994</v>
      </c>
      <c r="C11" s="173">
        <f>-739458-C10</f>
        <v>-669708</v>
      </c>
      <c r="D11" s="173">
        <f t="shared" si="1"/>
        <v>-1082286</v>
      </c>
      <c r="E11" s="173">
        <f>-D11-H11-I11</f>
        <v>1082286</v>
      </c>
      <c r="F11" s="173"/>
      <c r="G11" s="173"/>
      <c r="H11" s="173"/>
      <c r="I11" s="173"/>
      <c r="J11" s="173">
        <f>SUM(E11:I11)</f>
        <v>1082286</v>
      </c>
      <c r="K11" s="173">
        <f t="shared" ref="K11:K15" si="4">D11+J11</f>
        <v>0</v>
      </c>
    </row>
    <row r="12" spans="1:19">
      <c r="A12" s="184" t="s">
        <v>60</v>
      </c>
      <c r="B12" s="114">
        <f>-BS!T23</f>
        <v>-794855</v>
      </c>
      <c r="C12" s="173">
        <v>0</v>
      </c>
      <c r="D12" s="173">
        <f t="shared" si="1"/>
        <v>-794855</v>
      </c>
      <c r="E12" s="173">
        <f>-D12-H12-I12</f>
        <v>794855</v>
      </c>
      <c r="F12" s="173"/>
      <c r="G12" s="173"/>
      <c r="H12" s="173"/>
      <c r="I12" s="173"/>
      <c r="J12" s="173">
        <f t="shared" si="0"/>
        <v>794855</v>
      </c>
      <c r="K12" s="173">
        <f>D12+J12</f>
        <v>0</v>
      </c>
    </row>
    <row r="13" spans="1:19">
      <c r="A13" s="184" t="s">
        <v>610</v>
      </c>
      <c r="B13" s="114">
        <f>ROUND('HARKAVA '!Y50,0)</f>
        <v>-32465026</v>
      </c>
      <c r="C13" s="173">
        <v>-7449838</v>
      </c>
      <c r="D13" s="173">
        <f t="shared" si="1"/>
        <v>-25015188</v>
      </c>
      <c r="E13" s="173"/>
      <c r="F13" s="173"/>
      <c r="G13" s="173">
        <f>-D13</f>
        <v>25015188</v>
      </c>
      <c r="H13" s="173"/>
      <c r="I13" s="173"/>
      <c r="J13" s="173">
        <f t="shared" si="0"/>
        <v>25015188</v>
      </c>
      <c r="K13" s="173">
        <f t="shared" si="4"/>
        <v>0</v>
      </c>
    </row>
    <row r="14" spans="1:19">
      <c r="A14" s="184" t="s">
        <v>611</v>
      </c>
      <c r="B14" s="114">
        <f>ROUND('HARKAVA '!Y51,0)</f>
        <v>-104421</v>
      </c>
      <c r="C14" s="173">
        <v>-61989</v>
      </c>
      <c r="D14" s="173">
        <f t="shared" si="1"/>
        <v>-42432</v>
      </c>
      <c r="E14" s="512">
        <f>-D14</f>
        <v>42432</v>
      </c>
      <c r="F14" s="173"/>
      <c r="G14" s="173"/>
      <c r="H14" s="173"/>
      <c r="I14" s="173"/>
      <c r="J14" s="173">
        <f t="shared" si="0"/>
        <v>42432</v>
      </c>
      <c r="K14" s="173">
        <f t="shared" si="4"/>
        <v>0</v>
      </c>
    </row>
    <row r="15" spans="1:19" ht="16">
      <c r="A15" s="184" t="s">
        <v>612</v>
      </c>
      <c r="B15" s="289">
        <f>ROUND('HARKAVA '!Y57,0)+ROUND('HARKAVA '!Y58,0)</f>
        <v>13186755</v>
      </c>
      <c r="C15" s="177">
        <v>3543316</v>
      </c>
      <c r="D15" s="178">
        <f t="shared" si="1"/>
        <v>9643439</v>
      </c>
      <c r="E15" s="513">
        <f>-D15</f>
        <v>-9643439</v>
      </c>
      <c r="F15" s="178">
        <v>0</v>
      </c>
      <c r="G15" s="178">
        <v>0</v>
      </c>
      <c r="H15" s="178">
        <v>0</v>
      </c>
      <c r="I15" s="178">
        <v>0</v>
      </c>
      <c r="J15" s="178">
        <f t="shared" si="0"/>
        <v>-9643439</v>
      </c>
      <c r="K15" s="178">
        <f t="shared" si="4"/>
        <v>0</v>
      </c>
    </row>
    <row r="16" spans="1:19" ht="16">
      <c r="B16" s="179">
        <f t="shared" ref="B16:J16" si="5">SUM(B4:B15)</f>
        <v>43788</v>
      </c>
      <c r="C16" s="179">
        <f t="shared" si="5"/>
        <v>0</v>
      </c>
      <c r="D16" s="179">
        <f t="shared" si="5"/>
        <v>43788</v>
      </c>
      <c r="E16" s="179">
        <f t="shared" si="5"/>
        <v>-7968441</v>
      </c>
      <c r="F16" s="179">
        <f t="shared" si="5"/>
        <v>-1366712</v>
      </c>
      <c r="G16" s="179">
        <f t="shared" si="5"/>
        <v>25015188</v>
      </c>
      <c r="H16" s="179">
        <f t="shared" si="5"/>
        <v>0</v>
      </c>
      <c r="I16" s="179">
        <f t="shared" si="5"/>
        <v>0</v>
      </c>
      <c r="J16" s="179">
        <f t="shared" si="5"/>
        <v>15680035</v>
      </c>
      <c r="K16" s="179">
        <f>SUM(K4:K15)</f>
        <v>15723823</v>
      </c>
    </row>
    <row r="17" spans="1:19">
      <c r="B17" s="173"/>
      <c r="C17" s="173"/>
      <c r="D17" s="173"/>
      <c r="E17" s="173"/>
      <c r="F17" s="173"/>
      <c r="G17" s="173"/>
      <c r="H17" s="173"/>
      <c r="I17" s="173"/>
      <c r="J17" s="173"/>
      <c r="K17" s="173"/>
    </row>
    <row r="18" spans="1:19" ht="14">
      <c r="A18" s="182"/>
      <c r="B18" s="173"/>
      <c r="C18" s="173"/>
      <c r="D18" s="173"/>
      <c r="E18" s="173"/>
      <c r="F18" s="173"/>
      <c r="G18" s="180"/>
      <c r="H18" s="173"/>
      <c r="I18" s="173"/>
      <c r="J18" s="173"/>
      <c r="K18" s="173"/>
    </row>
    <row r="19" spans="1:19" ht="14">
      <c r="A19" s="185"/>
      <c r="B19" s="175"/>
      <c r="C19" s="175"/>
      <c r="D19" s="174"/>
      <c r="E19" s="174"/>
      <c r="F19" s="174"/>
      <c r="G19" s="180"/>
      <c r="H19" s="174"/>
      <c r="I19" s="174"/>
      <c r="J19" s="174"/>
      <c r="K19" s="174"/>
    </row>
    <row r="20" spans="1:19" s="174" customFormat="1">
      <c r="A20" s="183"/>
      <c r="B20" s="175"/>
      <c r="C20" s="175"/>
      <c r="F20" s="288">
        <f>C8</f>
        <v>112251</v>
      </c>
      <c r="G20" s="287">
        <v>44196</v>
      </c>
      <c r="P20" s="176"/>
      <c r="Q20" s="176"/>
      <c r="R20" s="176"/>
      <c r="S20" s="176"/>
    </row>
    <row r="21" spans="1:19">
      <c r="B21" s="173"/>
      <c r="C21" s="173"/>
      <c r="D21" s="173"/>
      <c r="E21" s="173"/>
      <c r="F21" s="173">
        <f>1294554+11383+10173+50602</f>
        <v>1366712</v>
      </c>
      <c r="G21" s="173" t="s">
        <v>613</v>
      </c>
      <c r="H21" s="173"/>
      <c r="I21" s="173"/>
      <c r="J21" s="173"/>
      <c r="K21" s="173"/>
    </row>
    <row r="22" spans="1:19">
      <c r="B22" s="173"/>
      <c r="C22" s="173"/>
      <c r="D22" s="173"/>
      <c r="E22" s="173"/>
      <c r="F22" s="173">
        <f>-3702-6687-65548+204</f>
        <v>-75733</v>
      </c>
      <c r="G22" s="173" t="s">
        <v>614</v>
      </c>
      <c r="H22" s="173"/>
      <c r="I22" s="173"/>
      <c r="J22" s="173"/>
      <c r="K22" s="173"/>
    </row>
    <row r="23" spans="1:19">
      <c r="B23" s="173"/>
      <c r="C23" s="173"/>
      <c r="D23" s="173"/>
      <c r="E23" s="173"/>
      <c r="F23" s="173">
        <f>-623</f>
        <v>-623</v>
      </c>
      <c r="G23" s="173" t="s">
        <v>615</v>
      </c>
      <c r="H23" s="173"/>
      <c r="I23" s="173"/>
      <c r="J23" s="173"/>
      <c r="K23" s="173"/>
    </row>
    <row r="24" spans="1:19">
      <c r="B24" s="173"/>
      <c r="C24" s="173"/>
      <c r="D24" s="173"/>
      <c r="E24" s="173"/>
      <c r="F24" s="173">
        <f>-93</f>
        <v>-93</v>
      </c>
      <c r="G24" s="173" t="s">
        <v>616</v>
      </c>
      <c r="H24" s="173"/>
      <c r="I24" s="173"/>
      <c r="J24" s="173"/>
      <c r="K24" s="173"/>
    </row>
    <row r="25" spans="1:19">
      <c r="B25" s="173"/>
      <c r="C25" s="173"/>
      <c r="D25" s="173"/>
      <c r="E25" s="173"/>
      <c r="F25" s="173">
        <f>SUM(F20:F24)</f>
        <v>1402514</v>
      </c>
      <c r="G25" s="173"/>
      <c r="H25" s="173"/>
      <c r="I25" s="173"/>
      <c r="J25" s="173"/>
      <c r="K25" s="173"/>
    </row>
    <row r="26" spans="1:19">
      <c r="B26" s="173"/>
      <c r="C26" s="173"/>
      <c r="D26" s="173"/>
      <c r="E26" s="173"/>
      <c r="F26" s="173">
        <f>B8</f>
        <v>1391131</v>
      </c>
      <c r="G26" s="173"/>
      <c r="H26" s="173"/>
      <c r="I26" s="173"/>
      <c r="J26" s="173"/>
      <c r="K26" s="173"/>
    </row>
    <row r="27" spans="1:19">
      <c r="B27" s="173"/>
      <c r="C27" s="173"/>
      <c r="D27" s="173"/>
      <c r="E27" s="173"/>
      <c r="F27" s="173">
        <f>F26-F25</f>
        <v>-11383</v>
      </c>
      <c r="G27" s="173"/>
      <c r="H27" s="173"/>
      <c r="I27" s="173"/>
      <c r="J27" s="173"/>
      <c r="K27" s="173"/>
    </row>
    <row r="28" spans="1:19">
      <c r="B28" s="173"/>
      <c r="C28" s="173"/>
      <c r="D28" s="173"/>
      <c r="E28" s="173"/>
      <c r="F28" s="173"/>
      <c r="G28" s="173"/>
      <c r="H28" s="173"/>
      <c r="I28" s="173"/>
      <c r="J28" s="173"/>
      <c r="K28" s="173"/>
    </row>
    <row r="29" spans="1:19">
      <c r="B29" s="173"/>
      <c r="C29" s="173"/>
      <c r="D29" s="173"/>
      <c r="E29" s="173"/>
      <c r="F29" s="173"/>
      <c r="G29" s="173"/>
      <c r="H29" s="173"/>
      <c r="I29" s="173"/>
      <c r="J29" s="173"/>
      <c r="K29" s="173"/>
    </row>
    <row r="30" spans="1:19">
      <c r="B30" s="173"/>
      <c r="C30" s="173"/>
      <c r="D30" s="173"/>
      <c r="E30" s="173"/>
      <c r="F30" s="173"/>
      <c r="G30" s="173"/>
      <c r="H30" s="173"/>
      <c r="I30" s="173"/>
      <c r="J30" s="173"/>
      <c r="K30" s="173"/>
    </row>
    <row r="31" spans="1:19" ht="16">
      <c r="B31" s="177"/>
      <c r="C31" s="177"/>
      <c r="D31" s="178"/>
      <c r="E31" s="173"/>
      <c r="F31" s="178"/>
      <c r="G31" s="178"/>
      <c r="H31" s="178"/>
      <c r="I31" s="178"/>
      <c r="J31" s="178"/>
      <c r="K31" s="178"/>
    </row>
    <row r="32" spans="1:19" ht="16">
      <c r="B32" s="179"/>
      <c r="C32" s="179"/>
      <c r="D32" s="179"/>
      <c r="E32" s="173"/>
      <c r="F32" s="179"/>
      <c r="G32" s="179"/>
      <c r="H32" s="179"/>
      <c r="I32" s="179"/>
      <c r="J32" s="179"/>
      <c r="K32" s="179"/>
    </row>
    <row r="33" spans="2:11">
      <c r="B33" s="173"/>
      <c r="C33" s="173"/>
      <c r="D33" s="173"/>
      <c r="E33" s="173"/>
      <c r="F33" s="173"/>
      <c r="G33" s="173"/>
      <c r="H33" s="173"/>
      <c r="I33" s="173"/>
      <c r="J33" s="173"/>
      <c r="K33" s="173"/>
    </row>
    <row r="34" spans="2:11">
      <c r="E34" s="173"/>
    </row>
    <row r="46" spans="2:11">
      <c r="E46" s="181"/>
    </row>
  </sheetData>
  <pageMargins left="0.74803149606299213" right="0.74803149606299213" top="0.98425196850393704" bottom="0.98425196850393704" header="0.51181102362204722" footer="0.51181102362204722"/>
  <pageSetup scale="94" fitToHeight="2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">
    <pageSetUpPr fitToPage="1"/>
  </sheetPr>
  <dimension ref="A1:N246"/>
  <sheetViews>
    <sheetView zoomScaleNormal="100" workbookViewId="0">
      <selection activeCell="E19" sqref="E19"/>
    </sheetView>
  </sheetViews>
  <sheetFormatPr baseColWidth="10" defaultColWidth="8.85546875" defaultRowHeight="13"/>
  <cols>
    <col min="1" max="1" width="6.5703125" style="42" bestFit="1" customWidth="1"/>
    <col min="2" max="2" width="7.42578125" style="2" bestFit="1" customWidth="1"/>
    <col min="3" max="3" width="32.85546875" style="41" bestFit="1" customWidth="1"/>
    <col min="4" max="4" width="12.140625" style="18" bestFit="1" customWidth="1"/>
    <col min="5" max="5" width="12.140625" style="530" bestFit="1" customWidth="1"/>
    <col min="6" max="6" width="7.7109375" style="131" bestFit="1" customWidth="1"/>
    <col min="7" max="9" width="8.85546875" style="2"/>
    <col min="10" max="10" width="9.7109375" style="2" bestFit="1" customWidth="1"/>
    <col min="11" max="11" width="11.85546875" style="2" bestFit="1" customWidth="1"/>
    <col min="12" max="13" width="8.85546875" style="2"/>
    <col min="14" max="14" width="11" style="2" bestFit="1" customWidth="1"/>
    <col min="15" max="16384" width="8.85546875" style="2"/>
  </cols>
  <sheetData>
    <row r="1" spans="1:6" s="79" customFormat="1" ht="14">
      <c r="A1" s="67" t="s">
        <v>617</v>
      </c>
      <c r="B1" s="2" t="s">
        <v>618</v>
      </c>
      <c r="C1" s="41" t="s">
        <v>619</v>
      </c>
      <c r="D1" s="18" t="s">
        <v>620</v>
      </c>
      <c r="E1" s="530" t="s">
        <v>621</v>
      </c>
      <c r="F1" s="263"/>
    </row>
    <row r="2" spans="1:6" ht="12.75" customHeight="1">
      <c r="A2" s="42">
        <f>VLOOKUP(B2,'codes Ltd'!A:C,3,0)</f>
        <v>1110</v>
      </c>
      <c r="B2" s="2">
        <v>1100</v>
      </c>
      <c r="C2" s="41" t="s">
        <v>622</v>
      </c>
      <c r="D2" s="18">
        <v>80140.800000000003</v>
      </c>
      <c r="E2" s="530">
        <v>249237.88</v>
      </c>
      <c r="F2" s="283">
        <f>E2/D2</f>
        <v>3.1099999001756906</v>
      </c>
    </row>
    <row r="3" spans="1:6" ht="12.75" customHeight="1">
      <c r="A3" s="42">
        <f>VLOOKUP(B3,'codes Ltd'!A:C,3,0)</f>
        <v>1100</v>
      </c>
      <c r="B3" s="2">
        <v>1101</v>
      </c>
      <c r="C3" s="41" t="s">
        <v>623</v>
      </c>
      <c r="D3" s="18">
        <v>919260.82</v>
      </c>
      <c r="E3" s="530">
        <v>2858901.15</v>
      </c>
      <c r="F3" s="283">
        <f t="shared" ref="F3:F68" si="0">E3/D3</f>
        <v>3.1099999997824339</v>
      </c>
    </row>
    <row r="4" spans="1:6" ht="12.75" customHeight="1">
      <c r="A4" s="42">
        <f>VLOOKUP(B4,'codes Ltd'!A:C,3,0)</f>
        <v>1110</v>
      </c>
      <c r="B4" s="2">
        <v>1102</v>
      </c>
      <c r="C4" s="41" t="s">
        <v>624</v>
      </c>
      <c r="D4" s="18">
        <v>4027.16</v>
      </c>
      <c r="E4" s="530">
        <v>12524.48</v>
      </c>
      <c r="F4" s="283">
        <f t="shared" si="0"/>
        <v>3.1100030790929587</v>
      </c>
    </row>
    <row r="5" spans="1:6" ht="12.75" customHeight="1">
      <c r="A5" s="42">
        <f>VLOOKUP(B5,'codes Ltd'!A:C,3,0)</f>
        <v>1110</v>
      </c>
      <c r="B5" s="2">
        <v>1103</v>
      </c>
      <c r="C5" s="41" t="s">
        <v>625</v>
      </c>
      <c r="D5" s="18">
        <v>274.73</v>
      </c>
      <c r="E5" s="530">
        <v>854.42</v>
      </c>
      <c r="F5" s="283">
        <f t="shared" si="0"/>
        <v>3.1100353073927125</v>
      </c>
    </row>
    <row r="6" spans="1:6" ht="12.75" customHeight="1">
      <c r="A6" s="42">
        <f>VLOOKUP(B6,'codes Ltd'!A:C,3,0)</f>
        <v>1300</v>
      </c>
      <c r="B6" s="2">
        <v>1106</v>
      </c>
      <c r="C6" s="41" t="s">
        <v>626</v>
      </c>
      <c r="D6" s="18">
        <v>35369.9</v>
      </c>
      <c r="E6" s="530">
        <v>110000.39</v>
      </c>
      <c r="F6" s="283">
        <f t="shared" si="0"/>
        <v>3.1100000282726272</v>
      </c>
    </row>
    <row r="7" spans="1:6" ht="12.75" customHeight="1">
      <c r="A7" s="42">
        <f>VLOOKUP(B7,'codes Ltd'!A:C,3,0)</f>
        <v>1300</v>
      </c>
      <c r="B7" s="2">
        <v>1108</v>
      </c>
      <c r="C7" s="41" t="s">
        <v>627</v>
      </c>
      <c r="D7" s="18">
        <v>312465.91999999998</v>
      </c>
      <c r="E7" s="530">
        <v>971769</v>
      </c>
      <c r="F7" s="283">
        <f t="shared" si="0"/>
        <v>3.1099999641560911</v>
      </c>
    </row>
    <row r="8" spans="1:6" ht="12.75" customHeight="1">
      <c r="A8" s="42">
        <f>VLOOKUP(B8,'codes Ltd'!A:C,3,0)</f>
        <v>1400</v>
      </c>
      <c r="B8" s="2">
        <v>10803</v>
      </c>
      <c r="C8" s="41" t="s">
        <v>628</v>
      </c>
      <c r="D8" s="18">
        <v>14629.7</v>
      </c>
      <c r="E8" s="530">
        <v>45498.38</v>
      </c>
      <c r="F8" s="283">
        <f t="shared" si="0"/>
        <v>3.1100008886033201</v>
      </c>
    </row>
    <row r="9" spans="1:6" ht="12.75" customHeight="1">
      <c r="A9" s="42">
        <f>VLOOKUP(B9,'codes Ltd'!A:C,3,0)</f>
        <v>1400</v>
      </c>
      <c r="B9" s="2">
        <v>10806</v>
      </c>
      <c r="C9" s="41" t="s">
        <v>349</v>
      </c>
      <c r="D9" s="18">
        <v>23407.52</v>
      </c>
      <c r="E9" s="530">
        <v>72797.399999999994</v>
      </c>
      <c r="F9" s="283">
        <f t="shared" si="0"/>
        <v>3.1100005468328122</v>
      </c>
    </row>
    <row r="10" spans="1:6" ht="12.75" customHeight="1">
      <c r="A10" s="42">
        <f>VLOOKUP(B10,'codes Ltd'!A:C,3,0)</f>
        <v>1400</v>
      </c>
      <c r="B10" s="2">
        <v>10810</v>
      </c>
      <c r="C10" s="41" t="s">
        <v>353</v>
      </c>
      <c r="D10" s="18">
        <v>36515.74</v>
      </c>
      <c r="E10" s="530">
        <v>113563.94</v>
      </c>
      <c r="F10" s="283">
        <f t="shared" si="0"/>
        <v>3.1099996878058613</v>
      </c>
    </row>
    <row r="11" spans="1:6" ht="12.75" customHeight="1">
      <c r="A11" s="42">
        <f>VLOOKUP(B11,'codes Ltd'!A:C,3,0)</f>
        <v>1400</v>
      </c>
      <c r="B11" s="2">
        <v>10812</v>
      </c>
      <c r="C11" s="41" t="s">
        <v>629</v>
      </c>
      <c r="D11" s="18">
        <v>12845.92</v>
      </c>
      <c r="E11" s="530">
        <v>39950.82</v>
      </c>
      <c r="F11" s="283">
        <f t="shared" si="0"/>
        <v>3.1100006850424102</v>
      </c>
    </row>
    <row r="12" spans="1:6" ht="12.75" customHeight="1">
      <c r="A12" s="42">
        <f>VLOOKUP(B12,'codes Ltd'!A:C,3,0)</f>
        <v>1650</v>
      </c>
      <c r="B12" s="2">
        <v>10814</v>
      </c>
      <c r="C12" s="41" t="s">
        <v>630</v>
      </c>
      <c r="D12" s="18">
        <v>929980.71</v>
      </c>
      <c r="E12" s="530">
        <v>2892240</v>
      </c>
      <c r="F12" s="283">
        <f t="shared" si="0"/>
        <v>3.1099999912901422</v>
      </c>
    </row>
    <row r="13" spans="1:6" ht="12.75" customHeight="1">
      <c r="A13" s="42">
        <f>VLOOKUP(B13,'codes Ltd'!A:C,3,0)</f>
        <v>1400</v>
      </c>
      <c r="B13" s="2">
        <v>10816</v>
      </c>
      <c r="C13" s="41" t="s">
        <v>355</v>
      </c>
      <c r="D13" s="18">
        <v>26918.65</v>
      </c>
      <c r="E13" s="530">
        <v>83717.009999999995</v>
      </c>
      <c r="F13" s="283">
        <f t="shared" si="0"/>
        <v>3.1100003157662064</v>
      </c>
    </row>
    <row r="14" spans="1:6" ht="12.75" customHeight="1">
      <c r="A14" s="42">
        <f>VLOOKUP(B14,'codes Ltd'!A:C,3,0)</f>
        <v>1400</v>
      </c>
      <c r="B14" s="2">
        <v>10800</v>
      </c>
      <c r="C14" s="41" t="s">
        <v>359</v>
      </c>
      <c r="D14" s="18">
        <v>44450</v>
      </c>
      <c r="E14" s="530">
        <v>138239.5</v>
      </c>
      <c r="F14" s="283">
        <f t="shared" si="0"/>
        <v>3.11</v>
      </c>
    </row>
    <row r="15" spans="1:6" ht="12.75" customHeight="1">
      <c r="A15" s="42">
        <f>VLOOKUP(B15,'codes Ltd'!A:C,3,0)</f>
        <v>1400</v>
      </c>
      <c r="B15" s="2">
        <v>10815</v>
      </c>
      <c r="C15" s="41" t="s">
        <v>363</v>
      </c>
      <c r="D15" s="18">
        <v>39100</v>
      </c>
      <c r="E15" s="530">
        <v>121601</v>
      </c>
      <c r="F15" s="283">
        <f t="shared" si="0"/>
        <v>3.11</v>
      </c>
    </row>
    <row r="16" spans="1:6" ht="12.75" customHeight="1">
      <c r="A16" s="42">
        <f>VLOOKUP(B16,'codes Ltd'!A:C,3,0)</f>
        <v>1620</v>
      </c>
      <c r="B16" s="2">
        <v>4002</v>
      </c>
      <c r="C16" s="41" t="s">
        <v>631</v>
      </c>
      <c r="D16" s="18">
        <v>31944.639999999999</v>
      </c>
      <c r="E16" s="530">
        <v>99347.839999999997</v>
      </c>
      <c r="F16" s="283">
        <f t="shared" si="0"/>
        <v>3.1100003005198995</v>
      </c>
    </row>
    <row r="17" spans="1:6" ht="12.75" customHeight="1">
      <c r="A17" s="42">
        <f>VLOOKUP(B17,'codes Ltd'!A:C,3,0)</f>
        <v>1620</v>
      </c>
      <c r="B17" s="2">
        <v>4003</v>
      </c>
      <c r="C17" s="41" t="s">
        <v>632</v>
      </c>
      <c r="D17" s="18">
        <v>7332.8</v>
      </c>
      <c r="E17" s="530">
        <v>22804.99</v>
      </c>
      <c r="F17" s="283">
        <f t="shared" si="0"/>
        <v>3.1099975452760202</v>
      </c>
    </row>
    <row r="18" spans="1:6" ht="12.75" customHeight="1">
      <c r="A18" s="42">
        <f>VLOOKUP(B18,'codes Ltd'!A:C,3,0)</f>
        <v>3500</v>
      </c>
      <c r="B18" s="2">
        <v>5000</v>
      </c>
      <c r="C18" s="41" t="s">
        <v>633</v>
      </c>
      <c r="D18" s="527">
        <v>-5932388.3799999999</v>
      </c>
      <c r="E18" s="530">
        <v>-18449727.859999999</v>
      </c>
      <c r="F18" s="283">
        <f t="shared" si="0"/>
        <v>3.1099999996965808</v>
      </c>
    </row>
    <row r="19" spans="1:6" ht="12.75" customHeight="1">
      <c r="A19" s="42">
        <f>VLOOKUP(B19,'codes Ltd'!A:C,3,0)</f>
        <v>3500</v>
      </c>
      <c r="B19" s="2">
        <v>5001</v>
      </c>
      <c r="C19" s="41" t="s">
        <v>634</v>
      </c>
      <c r="D19" s="527">
        <v>-18052</v>
      </c>
      <c r="E19" s="530">
        <v>-56141.72</v>
      </c>
      <c r="F19" s="283">
        <f t="shared" si="0"/>
        <v>3.11</v>
      </c>
    </row>
    <row r="20" spans="1:6" ht="12.75" customHeight="1">
      <c r="A20" s="42">
        <f>VLOOKUP(B20,'codes Ltd'!A:C,3,0)</f>
        <v>1500</v>
      </c>
      <c r="B20" s="2">
        <v>5003</v>
      </c>
      <c r="C20" s="41" t="s">
        <v>635</v>
      </c>
      <c r="D20" s="527">
        <v>953463.35</v>
      </c>
      <c r="E20" s="530">
        <v>2965271.02</v>
      </c>
      <c r="F20" s="283">
        <f t="shared" si="0"/>
        <v>3.1100000015732121</v>
      </c>
    </row>
    <row r="21" spans="1:6" ht="12.75" customHeight="1">
      <c r="A21" s="42">
        <f>VLOOKUP(B21,'codes Ltd'!A:C,3,0)</f>
        <v>3900</v>
      </c>
      <c r="B21" s="2">
        <v>5004</v>
      </c>
      <c r="C21" s="41" t="s">
        <v>636</v>
      </c>
      <c r="D21" s="18">
        <v>-6104.06</v>
      </c>
      <c r="E21" s="530">
        <v>-18983.63</v>
      </c>
      <c r="F21" s="283">
        <f t="shared" si="0"/>
        <v>3.1100005570063205</v>
      </c>
    </row>
    <row r="22" spans="1:6" ht="13.5" customHeight="1">
      <c r="A22" s="42">
        <f>VLOOKUP(B22,'codes Ltd'!A:C,3,0)</f>
        <v>1500</v>
      </c>
      <c r="B22" s="2">
        <v>5005</v>
      </c>
      <c r="C22" s="41" t="s">
        <v>637</v>
      </c>
      <c r="D22" s="18">
        <v>3113.2</v>
      </c>
      <c r="E22" s="530">
        <v>9682.0499999999993</v>
      </c>
      <c r="F22" s="283">
        <f t="shared" si="0"/>
        <v>3.1099993575742002</v>
      </c>
    </row>
    <row r="23" spans="1:6" ht="14">
      <c r="A23" s="42">
        <f>VLOOKUP(B23,'codes Ltd'!A:C,3,0)</f>
        <v>1500</v>
      </c>
      <c r="B23" s="2">
        <v>5006</v>
      </c>
      <c r="C23" s="41" t="s">
        <v>638</v>
      </c>
      <c r="D23" s="18">
        <v>803.86</v>
      </c>
      <c r="E23" s="530">
        <v>2500</v>
      </c>
      <c r="F23" s="283">
        <f t="shared" si="0"/>
        <v>3.1099942776105292</v>
      </c>
    </row>
    <row r="24" spans="1:6" ht="12.75" customHeight="1">
      <c r="A24" s="42">
        <f>VLOOKUP(B24,'codes Ltd'!A:C,3,0)</f>
        <v>1500</v>
      </c>
      <c r="B24" s="2">
        <v>5007</v>
      </c>
      <c r="C24" s="41" t="s">
        <v>639</v>
      </c>
      <c r="D24" s="18">
        <v>803.86</v>
      </c>
      <c r="E24" s="530">
        <v>2500</v>
      </c>
      <c r="F24" s="283">
        <f t="shared" si="0"/>
        <v>3.1099942776105292</v>
      </c>
    </row>
    <row r="25" spans="1:6" ht="12.75" customHeight="1">
      <c r="A25" s="42">
        <f>VLOOKUP(B25,'codes Ltd'!A:C,3,0)</f>
        <v>2400</v>
      </c>
      <c r="B25" s="2">
        <v>5011</v>
      </c>
      <c r="C25" s="41" t="s">
        <v>640</v>
      </c>
      <c r="D25" s="18">
        <v>129.63999999999999</v>
      </c>
      <c r="E25" s="530">
        <v>416.79</v>
      </c>
      <c r="F25" s="283">
        <f t="shared" si="0"/>
        <v>3.2149799444615863</v>
      </c>
    </row>
    <row r="26" spans="1:6" ht="12.75" customHeight="1">
      <c r="A26" s="42">
        <f>VLOOKUP(B26,'codes Ltd'!A:C,3,0)</f>
        <v>1450</v>
      </c>
      <c r="B26" s="2">
        <v>6000</v>
      </c>
      <c r="C26" s="41" t="s">
        <v>641</v>
      </c>
      <c r="D26" s="18">
        <v>39750</v>
      </c>
      <c r="E26" s="530">
        <v>123622.5</v>
      </c>
      <c r="F26" s="283">
        <f t="shared" si="0"/>
        <v>3.11</v>
      </c>
    </row>
    <row r="27" spans="1:6" ht="12.75" customHeight="1">
      <c r="A27" s="42">
        <f>VLOOKUP(B27,'codes Ltd'!A:C,3,0)</f>
        <v>1640</v>
      </c>
      <c r="B27" s="2">
        <v>6002</v>
      </c>
      <c r="C27" s="41" t="s">
        <v>642</v>
      </c>
      <c r="D27" s="18">
        <v>67624.44</v>
      </c>
      <c r="E27" s="530">
        <v>210312</v>
      </c>
      <c r="F27" s="283">
        <f t="shared" si="0"/>
        <v>3.1099998757845535</v>
      </c>
    </row>
    <row r="28" spans="1:6" ht="12.75" customHeight="1">
      <c r="A28" s="42">
        <f>VLOOKUP(B28,'codes Ltd'!A:C,3,0)</f>
        <v>1600</v>
      </c>
      <c r="B28" s="2">
        <v>6004</v>
      </c>
      <c r="C28" s="41" t="s">
        <v>643</v>
      </c>
      <c r="D28" s="18">
        <v>9302.16</v>
      </c>
      <c r="E28" s="530">
        <v>30002.18</v>
      </c>
      <c r="F28" s="283">
        <f t="shared" si="0"/>
        <v>3.2252917601933313</v>
      </c>
    </row>
    <row r="29" spans="1:6" ht="14">
      <c r="A29" s="42">
        <f>VLOOKUP(B29,'codes Ltd'!A:C,3,0)</f>
        <v>1600</v>
      </c>
      <c r="B29" s="2">
        <v>6007</v>
      </c>
      <c r="C29" s="41" t="s">
        <v>644</v>
      </c>
      <c r="D29" s="18">
        <v>4047.73</v>
      </c>
      <c r="E29" s="530">
        <v>13110.6</v>
      </c>
      <c r="F29" s="283">
        <f t="shared" si="0"/>
        <v>3.2390006250416903</v>
      </c>
    </row>
    <row r="30" spans="1:6" ht="14">
      <c r="A30" s="42">
        <f>VLOOKUP(B30,'codes Ltd'!A:C,3,0)</f>
        <v>1600</v>
      </c>
      <c r="B30" s="2">
        <v>6008</v>
      </c>
      <c r="C30" s="41" t="s">
        <v>645</v>
      </c>
      <c r="D30" s="18">
        <v>171801.92</v>
      </c>
      <c r="E30" s="530">
        <v>549848.46</v>
      </c>
      <c r="F30" s="283">
        <f t="shared" si="0"/>
        <v>3.2004791331784879</v>
      </c>
    </row>
    <row r="31" spans="1:6" ht="12.75" customHeight="1">
      <c r="A31" s="42">
        <f>VLOOKUP(B31,'codes Ltd'!A:C,3,0)</f>
        <v>1600</v>
      </c>
      <c r="B31" s="2">
        <v>6011</v>
      </c>
      <c r="C31" s="41" t="s">
        <v>646</v>
      </c>
      <c r="D31" s="18">
        <v>3398.59</v>
      </c>
      <c r="E31" s="530">
        <v>10970.62</v>
      </c>
      <c r="F31" s="283">
        <f t="shared" si="0"/>
        <v>3.2279916082846123</v>
      </c>
    </row>
    <row r="32" spans="1:6" ht="12.75" customHeight="1">
      <c r="A32" s="42">
        <f>VLOOKUP(B32,'codes Ltd'!A:C,3,0)</f>
        <v>1600</v>
      </c>
      <c r="B32" s="2">
        <v>6012</v>
      </c>
      <c r="C32" s="41" t="s">
        <v>647</v>
      </c>
      <c r="D32" s="18">
        <v>1173.28</v>
      </c>
      <c r="E32" s="530">
        <v>3809.52</v>
      </c>
      <c r="F32" s="283">
        <f t="shared" si="0"/>
        <v>3.2468975862539207</v>
      </c>
    </row>
    <row r="33" spans="1:6" ht="12.75" customHeight="1">
      <c r="A33" s="42">
        <f>VLOOKUP(B33,'codes Ltd'!A:C,3,0)</f>
        <v>1640</v>
      </c>
      <c r="B33" s="2">
        <v>6014</v>
      </c>
      <c r="C33" s="41" t="s">
        <v>648</v>
      </c>
      <c r="D33" s="18">
        <v>226686.56</v>
      </c>
      <c r="E33" s="530">
        <v>704995.2</v>
      </c>
      <c r="F33" s="283">
        <f t="shared" si="0"/>
        <v>3.1099999929417956</v>
      </c>
    </row>
    <row r="34" spans="1:6" ht="12.75" customHeight="1">
      <c r="A34" s="42">
        <f>VLOOKUP(B34,'codes Ltd'!A:C,3,0)</f>
        <v>3100</v>
      </c>
      <c r="B34" s="2">
        <v>6706</v>
      </c>
      <c r="C34" s="41" t="s">
        <v>649</v>
      </c>
      <c r="D34" s="18">
        <v>120628.99</v>
      </c>
      <c r="E34" s="530">
        <v>386462.05</v>
      </c>
      <c r="F34" s="283">
        <f t="shared" si="0"/>
        <v>3.2037244944187959</v>
      </c>
    </row>
    <row r="35" spans="1:6" ht="12.75" customHeight="1">
      <c r="A35" s="42">
        <f>VLOOKUP(B35,'codes Ltd'!A:C,3,0)</f>
        <v>3100</v>
      </c>
      <c r="B35" s="2">
        <v>6707</v>
      </c>
      <c r="C35" s="41" t="s">
        <v>650</v>
      </c>
      <c r="D35" s="18">
        <v>11383.25</v>
      </c>
      <c r="E35" s="530">
        <v>35615.699999999997</v>
      </c>
      <c r="F35" s="283">
        <f t="shared" si="0"/>
        <v>3.1287813234357498</v>
      </c>
    </row>
    <row r="36" spans="1:6" ht="12.75" customHeight="1">
      <c r="A36" s="42">
        <f>VLOOKUP(B36,'codes Ltd'!A:C,3,0)</f>
        <v>3100</v>
      </c>
      <c r="B36" s="2">
        <v>6708</v>
      </c>
      <c r="C36" s="41" t="s">
        <v>651</v>
      </c>
      <c r="D36" s="18">
        <v>866076.05</v>
      </c>
      <c r="E36" s="530">
        <v>2747696.59</v>
      </c>
      <c r="F36" s="283">
        <f t="shared" si="0"/>
        <v>3.1725811953811673</v>
      </c>
    </row>
    <row r="37" spans="1:6" ht="12.75" customHeight="1">
      <c r="A37" s="42">
        <f>VLOOKUP(B37,'codes Ltd'!A:C,3,0)</f>
        <v>3100</v>
      </c>
      <c r="B37" s="2">
        <v>6705</v>
      </c>
      <c r="C37" s="41" t="s">
        <v>652</v>
      </c>
      <c r="D37" s="18">
        <v>433450.65</v>
      </c>
      <c r="E37" s="530">
        <v>1411776.51</v>
      </c>
      <c r="F37" s="283">
        <f t="shared" si="0"/>
        <v>3.2570640048642212</v>
      </c>
    </row>
    <row r="38" spans="1:6" ht="12.75" customHeight="1">
      <c r="A38" s="42">
        <f>VLOOKUP(B38,'codes Ltd'!A:C,3,0)</f>
        <v>3110</v>
      </c>
      <c r="B38" s="2">
        <v>6702</v>
      </c>
      <c r="C38" s="41" t="s">
        <v>653</v>
      </c>
      <c r="D38" s="18">
        <v>-70165</v>
      </c>
      <c r="E38" s="530">
        <v>-240270</v>
      </c>
      <c r="F38" s="283">
        <f t="shared" si="0"/>
        <v>3.4243568730848715</v>
      </c>
    </row>
    <row r="39" spans="1:6" ht="12.75" customHeight="1">
      <c r="A39" s="42">
        <f>VLOOKUP(B39,'codes Ltd'!A:C,3,0)</f>
        <v>3110</v>
      </c>
      <c r="B39" s="2">
        <v>6703</v>
      </c>
      <c r="C39" s="41" t="s">
        <v>654</v>
      </c>
      <c r="D39" s="18">
        <v>-540</v>
      </c>
      <c r="E39" s="530">
        <v>-1789</v>
      </c>
      <c r="F39" s="283">
        <f t="shared" si="0"/>
        <v>3.3129629629629629</v>
      </c>
    </row>
    <row r="40" spans="1:6" ht="12.75" customHeight="1">
      <c r="A40" s="42">
        <f>VLOOKUP(B40,'codes Ltd'!A:C,3,0)</f>
        <v>3110</v>
      </c>
      <c r="B40" s="2">
        <v>6704</v>
      </c>
      <c r="C40" s="41" t="s">
        <v>655</v>
      </c>
      <c r="D40" s="18">
        <v>-22664</v>
      </c>
      <c r="E40" s="530">
        <v>-75719</v>
      </c>
      <c r="F40" s="283">
        <f t="shared" si="0"/>
        <v>3.3409371690787153</v>
      </c>
    </row>
    <row r="41" spans="1:6" ht="12.75" customHeight="1">
      <c r="A41" s="42">
        <f>VLOOKUP(B41,'codes Ltd'!A:C,3,0)</f>
        <v>3400</v>
      </c>
      <c r="B41" s="2">
        <v>3000</v>
      </c>
      <c r="C41" s="41" t="s">
        <v>656</v>
      </c>
      <c r="D41" s="18">
        <v>-180743.4</v>
      </c>
      <c r="E41" s="530">
        <v>-562112</v>
      </c>
      <c r="F41" s="283">
        <f t="shared" si="0"/>
        <v>3.1100001438503426</v>
      </c>
    </row>
    <row r="42" spans="1:6" ht="12.75" customHeight="1">
      <c r="A42" s="42">
        <f>VLOOKUP(B42,'codes Ltd'!A:C,3,0)</f>
        <v>3900</v>
      </c>
      <c r="B42" s="2">
        <v>3004</v>
      </c>
      <c r="C42" s="41" t="s">
        <v>657</v>
      </c>
      <c r="D42" s="18">
        <v>29720.26</v>
      </c>
      <c r="E42" s="530">
        <v>92430</v>
      </c>
      <c r="F42" s="283">
        <f t="shared" si="0"/>
        <v>3.1099997106351025</v>
      </c>
    </row>
    <row r="43" spans="1:6" ht="14">
      <c r="A43" s="42">
        <f>VLOOKUP(B43,'codes Ltd'!A:C,3,0)</f>
        <v>3400</v>
      </c>
      <c r="B43" s="2">
        <v>3013</v>
      </c>
      <c r="C43" s="41" t="s">
        <v>658</v>
      </c>
      <c r="D43" s="18">
        <v>-13384.24</v>
      </c>
      <c r="E43" s="530">
        <v>-41625</v>
      </c>
      <c r="F43" s="283">
        <f t="shared" si="0"/>
        <v>3.1100010161204521</v>
      </c>
    </row>
    <row r="44" spans="1:6" ht="14">
      <c r="A44" s="42">
        <f>VLOOKUP(B44,'codes Ltd'!A:C,3,0)</f>
        <v>3400</v>
      </c>
      <c r="B44" s="2">
        <v>3015</v>
      </c>
      <c r="C44" s="41" t="s">
        <v>659</v>
      </c>
      <c r="D44" s="18">
        <v>-8244.94</v>
      </c>
      <c r="E44" s="530">
        <v>-25641.75</v>
      </c>
      <c r="F44" s="283">
        <f t="shared" si="0"/>
        <v>3.109998374760762</v>
      </c>
    </row>
    <row r="45" spans="1:6" ht="14">
      <c r="A45" s="42">
        <f>VLOOKUP(B45,'codes Ltd'!A:C,3,0)</f>
        <v>3400</v>
      </c>
      <c r="B45" s="2">
        <v>3031</v>
      </c>
      <c r="C45" s="41" t="s">
        <v>660</v>
      </c>
      <c r="D45" s="18">
        <v>-4051.45</v>
      </c>
      <c r="E45" s="530">
        <v>-12600</v>
      </c>
      <c r="F45" s="283">
        <f t="shared" si="0"/>
        <v>3.1099976551604982</v>
      </c>
    </row>
    <row r="46" spans="1:6" ht="14">
      <c r="A46" s="42">
        <f>VLOOKUP(B46,'codes Ltd'!A:C,3,0)</f>
        <v>3400</v>
      </c>
      <c r="B46" s="2">
        <v>3036</v>
      </c>
      <c r="C46" s="41" t="s">
        <v>661</v>
      </c>
      <c r="D46" s="18">
        <v>-106.29</v>
      </c>
      <c r="E46" s="530">
        <v>-330.56</v>
      </c>
      <c r="F46" s="283">
        <f t="shared" si="0"/>
        <v>3.109982124376705</v>
      </c>
    </row>
    <row r="47" spans="1:6" ht="14">
      <c r="A47" s="42">
        <f>VLOOKUP(B47,'codes Ltd'!A:C,3,0)</f>
        <v>3400</v>
      </c>
      <c r="B47" s="2">
        <v>3051</v>
      </c>
      <c r="C47" s="41" t="s">
        <v>662</v>
      </c>
      <c r="D47" s="18">
        <v>2436.0100000000002</v>
      </c>
      <c r="E47" s="530">
        <v>7576</v>
      </c>
      <c r="F47" s="283">
        <f t="shared" si="0"/>
        <v>3.1100036535153794</v>
      </c>
    </row>
    <row r="48" spans="1:6" ht="14">
      <c r="A48" s="42">
        <f>VLOOKUP(B48,'codes Ltd'!A:C,3,0)</f>
        <v>3400</v>
      </c>
      <c r="B48" s="2">
        <v>3054</v>
      </c>
      <c r="C48" s="41" t="s">
        <v>663</v>
      </c>
      <c r="D48" s="18">
        <v>149.56</v>
      </c>
      <c r="E48" s="530">
        <v>465.12</v>
      </c>
      <c r="F48" s="283">
        <f t="shared" si="0"/>
        <v>3.1099224391548543</v>
      </c>
    </row>
    <row r="49" spans="1:6" ht="14">
      <c r="A49" s="42">
        <f>VLOOKUP(B49,'codes Ltd'!A:C,3,0)</f>
        <v>3400</v>
      </c>
      <c r="B49" s="2">
        <v>3072</v>
      </c>
      <c r="C49" s="41" t="s">
        <v>664</v>
      </c>
      <c r="D49" s="18">
        <v>-6606.91</v>
      </c>
      <c r="E49" s="530">
        <v>-20547.5</v>
      </c>
      <c r="F49" s="283">
        <f t="shared" si="0"/>
        <v>3.1100014984311879</v>
      </c>
    </row>
    <row r="50" spans="1:6" ht="14">
      <c r="A50" s="42">
        <f>VLOOKUP(B50,'codes Ltd'!A:C,3,0)</f>
        <v>3400</v>
      </c>
      <c r="B50" s="2">
        <v>3080</v>
      </c>
      <c r="C50" s="41" t="s">
        <v>665</v>
      </c>
      <c r="D50" s="18">
        <v>-19750.8</v>
      </c>
      <c r="E50" s="530">
        <v>-61425</v>
      </c>
      <c r="F50" s="283">
        <f t="shared" si="0"/>
        <v>3.1100006075703264</v>
      </c>
    </row>
    <row r="51" spans="1:6" ht="14">
      <c r="A51" s="42">
        <f>VLOOKUP(B51,'codes Ltd'!A:C,3,0)</f>
        <v>3400</v>
      </c>
      <c r="B51" s="2">
        <v>3081</v>
      </c>
      <c r="C51" s="41" t="s">
        <v>666</v>
      </c>
      <c r="D51" s="18">
        <v>-9438.98</v>
      </c>
      <c r="E51" s="530">
        <v>-29355.23</v>
      </c>
      <c r="F51" s="283">
        <f t="shared" si="0"/>
        <v>3.1100002330760317</v>
      </c>
    </row>
    <row r="52" spans="1:6" ht="14">
      <c r="A52" s="42">
        <f>VLOOKUP(B52,'codes Ltd'!A:C,3,0)</f>
        <v>3400</v>
      </c>
      <c r="B52" s="2">
        <v>3115</v>
      </c>
      <c r="C52" s="41" t="s">
        <v>667</v>
      </c>
      <c r="D52" s="18">
        <v>-118684.59</v>
      </c>
      <c r="E52" s="530">
        <v>-369109.07</v>
      </c>
      <c r="F52" s="283">
        <f t="shared" si="0"/>
        <v>3.1099999587141012</v>
      </c>
    </row>
    <row r="53" spans="1:6" ht="14">
      <c r="A53" s="42">
        <f>VLOOKUP(B53,'codes Ltd'!A:C,3,0)</f>
        <v>3400</v>
      </c>
      <c r="B53" s="2">
        <v>3140</v>
      </c>
      <c r="C53" s="41" t="s">
        <v>668</v>
      </c>
      <c r="D53" s="18">
        <v>-9.41</v>
      </c>
      <c r="E53" s="530">
        <v>-29.25</v>
      </c>
      <c r="F53" s="283">
        <f t="shared" si="0"/>
        <v>3.1083953241232729</v>
      </c>
    </row>
    <row r="54" spans="1:6" ht="14">
      <c r="A54" s="42">
        <f>VLOOKUP(B54,'codes Ltd'!A:C,3,0)</f>
        <v>3400</v>
      </c>
      <c r="B54" s="2">
        <v>3143</v>
      </c>
      <c r="C54" s="41" t="s">
        <v>669</v>
      </c>
      <c r="D54" s="18">
        <v>-2407.7199999999998</v>
      </c>
      <c r="E54" s="530">
        <v>-7488</v>
      </c>
      <c r="F54" s="283">
        <f t="shared" si="0"/>
        <v>3.1099961789576862</v>
      </c>
    </row>
    <row r="55" spans="1:6" ht="14">
      <c r="A55" s="42">
        <f>VLOOKUP(B55,'codes Ltd'!A:C,3,0)</f>
        <v>3400</v>
      </c>
      <c r="B55" s="2">
        <v>3151</v>
      </c>
      <c r="C55" s="41" t="s">
        <v>670</v>
      </c>
      <c r="D55" s="18">
        <v>-24570.1</v>
      </c>
      <c r="E55" s="530">
        <v>-76413</v>
      </c>
      <c r="F55" s="283">
        <f t="shared" si="0"/>
        <v>3.1099995523013746</v>
      </c>
    </row>
    <row r="56" spans="1:6" ht="14">
      <c r="A56" s="42">
        <f>VLOOKUP(B56,'codes Ltd'!A:C,3,0)</f>
        <v>3400</v>
      </c>
      <c r="B56" s="2">
        <v>3153</v>
      </c>
      <c r="C56" s="41" t="s">
        <v>671</v>
      </c>
      <c r="D56" s="18">
        <v>-3.22</v>
      </c>
      <c r="E56" s="530">
        <v>-10</v>
      </c>
      <c r="F56" s="283">
        <f t="shared" si="0"/>
        <v>3.1055900621118009</v>
      </c>
    </row>
    <row r="57" spans="1:6" ht="14">
      <c r="A57" s="42">
        <f>VLOOKUP(B57,'codes Ltd'!A:C,3,0)</f>
        <v>3400</v>
      </c>
      <c r="B57" s="2">
        <v>3154</v>
      </c>
      <c r="C57" s="41" t="s">
        <v>672</v>
      </c>
      <c r="D57" s="18">
        <v>-17089.060000000001</v>
      </c>
      <c r="E57" s="530">
        <v>-53147</v>
      </c>
      <c r="F57" s="283">
        <f t="shared" si="0"/>
        <v>3.1100013692970823</v>
      </c>
    </row>
    <row r="58" spans="1:6" ht="14">
      <c r="A58" s="42">
        <f>VLOOKUP(B58,'codes Ltd'!A:C,3,0)</f>
        <v>3400</v>
      </c>
      <c r="B58" s="2">
        <v>3174</v>
      </c>
      <c r="C58" s="41" t="s">
        <v>673</v>
      </c>
      <c r="D58" s="18">
        <v>-43.41</v>
      </c>
      <c r="E58" s="530">
        <v>-135</v>
      </c>
      <c r="F58" s="283">
        <f t="shared" si="0"/>
        <v>3.1098825155494128</v>
      </c>
    </row>
    <row r="59" spans="1:6" ht="14">
      <c r="A59" s="42">
        <f>VLOOKUP(B59,'codes Ltd'!A:C,3,0)</f>
        <v>3400</v>
      </c>
      <c r="B59" s="2">
        <v>3182</v>
      </c>
      <c r="C59" s="41" t="s">
        <v>674</v>
      </c>
      <c r="D59" s="18">
        <v>424.44</v>
      </c>
      <c r="E59" s="530">
        <v>1320</v>
      </c>
      <c r="F59" s="283">
        <f t="shared" si="0"/>
        <v>3.1099802092168503</v>
      </c>
    </row>
    <row r="60" spans="1:6" ht="14">
      <c r="A60" s="42">
        <f>VLOOKUP(B60,'codes Ltd'!A:C,3,0)</f>
        <v>3400</v>
      </c>
      <c r="B60" s="2">
        <v>3185</v>
      </c>
      <c r="C60" s="41" t="s">
        <v>675</v>
      </c>
      <c r="D60" s="18">
        <v>-33090.03</v>
      </c>
      <c r="E60" s="530">
        <v>-102910</v>
      </c>
      <c r="F60" s="283">
        <f t="shared" si="0"/>
        <v>3.1100002024779068</v>
      </c>
    </row>
    <row r="61" spans="1:6" ht="14">
      <c r="A61" s="42">
        <f>VLOOKUP(B61,'codes Ltd'!A:C,3,0)</f>
        <v>3400</v>
      </c>
      <c r="B61" s="2">
        <v>3186</v>
      </c>
      <c r="C61" s="41" t="s">
        <v>676</v>
      </c>
      <c r="D61" s="18">
        <v>-8937.5</v>
      </c>
      <c r="E61" s="530">
        <v>-27795.62</v>
      </c>
      <c r="F61" s="283">
        <f t="shared" si="0"/>
        <v>3.1099994405594407</v>
      </c>
    </row>
    <row r="62" spans="1:6" ht="14">
      <c r="A62" s="42">
        <f>VLOOKUP(B62,'codes Ltd'!A:C,3,0)</f>
        <v>3400</v>
      </c>
      <c r="B62" s="2">
        <v>3187</v>
      </c>
      <c r="C62" s="41" t="s">
        <v>677</v>
      </c>
      <c r="D62" s="18">
        <v>-13167.2</v>
      </c>
      <c r="E62" s="530">
        <v>-40950</v>
      </c>
      <c r="F62" s="283">
        <f t="shared" si="0"/>
        <v>3.1100006075703259</v>
      </c>
    </row>
    <row r="63" spans="1:6" ht="14">
      <c r="A63" s="42">
        <f>VLOOKUP(B63,'codes Ltd'!A:C,3,0)</f>
        <v>3400</v>
      </c>
      <c r="B63" s="2">
        <v>3190</v>
      </c>
      <c r="C63" s="41" t="s">
        <v>678</v>
      </c>
      <c r="D63" s="18">
        <v>-34122.83</v>
      </c>
      <c r="E63" s="530">
        <v>-106122</v>
      </c>
      <c r="F63" s="283">
        <f t="shared" si="0"/>
        <v>3.1099999619023393</v>
      </c>
    </row>
    <row r="64" spans="1:6" ht="14">
      <c r="A64" s="42">
        <f>VLOOKUP(B64,'codes Ltd'!A:C,3,0)</f>
        <v>3400</v>
      </c>
      <c r="B64" s="2">
        <v>3203</v>
      </c>
      <c r="C64" s="41" t="s">
        <v>679</v>
      </c>
      <c r="D64" s="18">
        <v>-4000</v>
      </c>
      <c r="E64" s="530">
        <v>-12440</v>
      </c>
      <c r="F64" s="283">
        <f t="shared" si="0"/>
        <v>3.11</v>
      </c>
    </row>
    <row r="65" spans="1:6" ht="14">
      <c r="A65" s="42">
        <f>VLOOKUP(B65,'codes Ltd'!A:C,3,0)</f>
        <v>3400</v>
      </c>
      <c r="B65" s="2">
        <v>3204</v>
      </c>
      <c r="C65" s="41" t="s">
        <v>680</v>
      </c>
      <c r="D65" s="18">
        <v>-10000</v>
      </c>
      <c r="E65" s="530">
        <v>-31100</v>
      </c>
      <c r="F65" s="283">
        <f t="shared" si="0"/>
        <v>3.11</v>
      </c>
    </row>
    <row r="66" spans="1:6" ht="14">
      <c r="A66" s="42">
        <f>VLOOKUP(B66,'codes Ltd'!A:C,3,0)</f>
        <v>3400</v>
      </c>
      <c r="B66" s="2">
        <v>3205</v>
      </c>
      <c r="C66" s="41" t="s">
        <v>681</v>
      </c>
      <c r="D66" s="18">
        <v>-7998</v>
      </c>
      <c r="E66" s="530">
        <v>-24873.78</v>
      </c>
      <c r="F66" s="283">
        <f t="shared" si="0"/>
        <v>3.11</v>
      </c>
    </row>
    <row r="67" spans="1:6" ht="14">
      <c r="A67" s="42">
        <f>VLOOKUP(B67,'codes Ltd'!A:C,3,0)</f>
        <v>3400</v>
      </c>
      <c r="B67" s="2">
        <v>3056</v>
      </c>
      <c r="C67" s="41" t="s">
        <v>682</v>
      </c>
      <c r="D67" s="18">
        <v>-1324.11</v>
      </c>
      <c r="E67" s="530">
        <v>-4117.9799999999996</v>
      </c>
      <c r="F67" s="283">
        <f t="shared" si="0"/>
        <v>3.1099984140290458</v>
      </c>
    </row>
    <row r="68" spans="1:6" ht="14">
      <c r="A68" s="42">
        <f>VLOOKUP(B68,'codes Ltd'!A:C,3,0)</f>
        <v>3400</v>
      </c>
      <c r="B68" s="2">
        <v>3102</v>
      </c>
      <c r="C68" s="41" t="s">
        <v>397</v>
      </c>
      <c r="D68" s="18">
        <v>-28000</v>
      </c>
      <c r="E68" s="530">
        <v>-87080</v>
      </c>
      <c r="F68" s="283">
        <f t="shared" si="0"/>
        <v>3.11</v>
      </c>
    </row>
    <row r="69" spans="1:6" ht="14">
      <c r="A69" s="42">
        <f>VLOOKUP(B69,'codes Ltd'!A:C,3,0)</f>
        <v>3400</v>
      </c>
      <c r="B69" s="2">
        <v>3104</v>
      </c>
      <c r="C69" s="41" t="s">
        <v>683</v>
      </c>
      <c r="D69" s="18">
        <v>-5800</v>
      </c>
      <c r="E69" s="530">
        <v>-18038</v>
      </c>
      <c r="F69" s="283">
        <f t="shared" ref="F69:F132" si="1">E69/D69</f>
        <v>3.11</v>
      </c>
    </row>
    <row r="70" spans="1:6" ht="14">
      <c r="A70" s="42">
        <f>VLOOKUP(B70,'codes Ltd'!A:C,3,0)</f>
        <v>3910</v>
      </c>
      <c r="B70" s="2">
        <v>5008</v>
      </c>
      <c r="C70" s="41" t="s">
        <v>519</v>
      </c>
      <c r="D70" s="18">
        <v>-148353.23000000001</v>
      </c>
      <c r="E70" s="530">
        <v>-461378.54</v>
      </c>
      <c r="F70" s="283">
        <f t="shared" si="1"/>
        <v>3.1099999642744547</v>
      </c>
    </row>
    <row r="71" spans="1:6" ht="14">
      <c r="A71" s="42">
        <f>VLOOKUP(B71,'codes Ltd'!A:C,3,0)</f>
        <v>3600</v>
      </c>
      <c r="B71" s="2">
        <v>5009</v>
      </c>
      <c r="C71" s="41" t="s">
        <v>684</v>
      </c>
      <c r="D71" s="18">
        <v>-215713.28</v>
      </c>
      <c r="E71" s="530">
        <v>-670868.29</v>
      </c>
      <c r="F71" s="283">
        <f t="shared" si="1"/>
        <v>3.1099999499335418</v>
      </c>
    </row>
    <row r="72" spans="1:6" ht="14">
      <c r="A72" s="42">
        <f>VLOOKUP(B72,'codes Ltd'!A:C,3,0)</f>
        <v>3600</v>
      </c>
      <c r="B72" s="2">
        <v>5012</v>
      </c>
      <c r="C72" s="41" t="s">
        <v>685</v>
      </c>
      <c r="D72" s="18">
        <v>-146882.96</v>
      </c>
      <c r="E72" s="530">
        <v>-456806</v>
      </c>
      <c r="F72" s="283">
        <f t="shared" si="1"/>
        <v>3.109999961874407</v>
      </c>
    </row>
    <row r="73" spans="1:6" ht="14">
      <c r="A73" s="42">
        <f>VLOOKUP(B73,'codes Ltd'!A:C,3,0)</f>
        <v>3600</v>
      </c>
      <c r="B73" s="2">
        <v>5013</v>
      </c>
      <c r="C73" s="41" t="s">
        <v>686</v>
      </c>
      <c r="D73" s="18">
        <v>-100000</v>
      </c>
      <c r="E73" s="530">
        <v>-311000</v>
      </c>
      <c r="F73" s="283">
        <f t="shared" si="1"/>
        <v>3.11</v>
      </c>
    </row>
    <row r="74" spans="1:6" ht="14">
      <c r="A74" s="42">
        <f>VLOOKUP(B74,'codes Ltd'!A:C,3,0)</f>
        <v>3600</v>
      </c>
      <c r="B74" s="2">
        <v>5200</v>
      </c>
      <c r="C74" s="41" t="s">
        <v>687</v>
      </c>
      <c r="D74" s="18">
        <v>-246738.16</v>
      </c>
      <c r="E74" s="530">
        <v>-767355.71</v>
      </c>
      <c r="F74" s="283">
        <f t="shared" si="1"/>
        <v>3.1100001313132917</v>
      </c>
    </row>
    <row r="75" spans="1:6" ht="14">
      <c r="A75" s="42">
        <f>VLOOKUP(B75,'codes Ltd'!A:C,3,0)</f>
        <v>3600</v>
      </c>
      <c r="B75" s="2">
        <v>5307</v>
      </c>
      <c r="C75" s="41" t="s">
        <v>688</v>
      </c>
      <c r="D75" s="18">
        <v>-109705.9</v>
      </c>
      <c r="E75" s="530">
        <v>-341185.35</v>
      </c>
      <c r="F75" s="283">
        <f t="shared" si="1"/>
        <v>3.11000000911528</v>
      </c>
    </row>
    <row r="76" spans="1:6" ht="14">
      <c r="A76" s="42">
        <f>VLOOKUP(B76,'codes Ltd'!A:C,3,0)</f>
        <v>3800</v>
      </c>
      <c r="B76" s="2">
        <v>6001</v>
      </c>
      <c r="C76" s="41" t="s">
        <v>689</v>
      </c>
      <c r="D76" s="18">
        <v>-53416</v>
      </c>
      <c r="E76" s="530">
        <v>-166123.76</v>
      </c>
      <c r="F76" s="283">
        <f t="shared" si="1"/>
        <v>3.1100000000000003</v>
      </c>
    </row>
    <row r="77" spans="1:6" ht="14">
      <c r="A77" s="42">
        <f>VLOOKUP(B77,'codes Ltd'!A:C,3,0)</f>
        <v>4600</v>
      </c>
      <c r="B77" s="2">
        <v>6016</v>
      </c>
      <c r="C77" s="41" t="s">
        <v>690</v>
      </c>
      <c r="D77" s="18">
        <v>-794855.31</v>
      </c>
      <c r="E77" s="530">
        <v>-2472000</v>
      </c>
      <c r="F77" s="283">
        <f t="shared" si="1"/>
        <v>3.1099999822609221</v>
      </c>
    </row>
    <row r="78" spans="1:6" ht="14">
      <c r="A78" s="42">
        <f>VLOOKUP(B78,'codes Ltd'!A:C,3,0)</f>
        <v>3400</v>
      </c>
      <c r="B78" s="2">
        <v>1202</v>
      </c>
      <c r="C78" s="41" t="s">
        <v>691</v>
      </c>
      <c r="D78" s="18">
        <v>-3607.33</v>
      </c>
      <c r="E78" s="530">
        <v>-11218.81</v>
      </c>
      <c r="F78" s="283">
        <f t="shared" si="1"/>
        <v>3.1100037978227664</v>
      </c>
    </row>
    <row r="79" spans="1:6" ht="14">
      <c r="A79" s="42">
        <f>VLOOKUP(B79,'codes Ltd'!A:C,3,0)</f>
        <v>1620</v>
      </c>
      <c r="B79" s="2">
        <v>4000</v>
      </c>
      <c r="C79" s="41" t="s">
        <v>692</v>
      </c>
      <c r="D79" s="18">
        <v>198485.01</v>
      </c>
      <c r="E79" s="530">
        <v>617288.39</v>
      </c>
      <c r="F79" s="283">
        <f t="shared" si="1"/>
        <v>3.1100000448396581</v>
      </c>
    </row>
    <row r="80" spans="1:6" ht="14">
      <c r="A80" s="42">
        <f>VLOOKUP(B80,'codes Ltd'!A:C,3,0)</f>
        <v>1610</v>
      </c>
      <c r="B80" s="2">
        <v>4008</v>
      </c>
      <c r="C80" s="41" t="s">
        <v>693</v>
      </c>
      <c r="D80" s="18">
        <v>14985.11</v>
      </c>
      <c r="E80" s="530">
        <v>46603.7</v>
      </c>
      <c r="F80" s="283">
        <f t="shared" si="1"/>
        <v>3.1100005271899902</v>
      </c>
    </row>
    <row r="81" spans="1:6" ht="14">
      <c r="A81" s="42">
        <f>VLOOKUP(B81,'codes Ltd'!A:C,3,0)</f>
        <v>3600</v>
      </c>
      <c r="B81" s="2">
        <v>4010</v>
      </c>
      <c r="C81" s="41" t="s">
        <v>694</v>
      </c>
      <c r="D81" s="18">
        <v>-112194.21</v>
      </c>
      <c r="E81" s="530">
        <v>-348924</v>
      </c>
      <c r="F81" s="283">
        <f t="shared" si="1"/>
        <v>3.1100000615004997</v>
      </c>
    </row>
    <row r="82" spans="1:6" ht="14">
      <c r="A82" s="42">
        <f>VLOOKUP(B82,'codes Ltd'!A:C,3,0)</f>
        <v>3600</v>
      </c>
      <c r="B82" s="2">
        <v>4011</v>
      </c>
      <c r="C82" s="41" t="s">
        <v>695</v>
      </c>
      <c r="D82" s="18">
        <v>-77372.67</v>
      </c>
      <c r="E82" s="530">
        <v>-240629</v>
      </c>
      <c r="F82" s="283">
        <f t="shared" si="1"/>
        <v>3.1099999521794972</v>
      </c>
    </row>
    <row r="83" spans="1:6" ht="14">
      <c r="A83" s="42">
        <f>VLOOKUP(B83,'codes Ltd'!A:C,3,0)</f>
        <v>4900</v>
      </c>
      <c r="B83" s="2">
        <v>8013</v>
      </c>
      <c r="C83" s="41" t="s">
        <v>696</v>
      </c>
      <c r="D83" s="18">
        <v>90772.88</v>
      </c>
      <c r="E83" s="530">
        <v>305041.67</v>
      </c>
      <c r="F83" s="283">
        <f t="shared" si="1"/>
        <v>3.3604934645678308</v>
      </c>
    </row>
    <row r="84" spans="1:6" ht="14">
      <c r="A84" s="42">
        <f>VLOOKUP(B84,'codes Ltd'!A:C,3,0)</f>
        <v>4900</v>
      </c>
      <c r="B84" s="2">
        <v>9901</v>
      </c>
      <c r="C84" s="41" t="s">
        <v>697</v>
      </c>
      <c r="D84" s="18">
        <v>-93215.45</v>
      </c>
      <c r="E84" s="530">
        <v>-325800</v>
      </c>
      <c r="F84" s="283">
        <f t="shared" si="1"/>
        <v>3.4951287581618713</v>
      </c>
    </row>
    <row r="85" spans="1:6" ht="14">
      <c r="A85" s="42">
        <f>VLOOKUP(B85,'codes Ltd'!A:C,3,0)</f>
        <v>4900</v>
      </c>
      <c r="B85" s="2">
        <v>9902</v>
      </c>
      <c r="C85" s="41" t="s">
        <v>698</v>
      </c>
      <c r="D85" s="18">
        <v>-19351.98</v>
      </c>
      <c r="E85" s="530">
        <v>-67813.83</v>
      </c>
      <c r="F85" s="283">
        <f t="shared" si="1"/>
        <v>3.5042321250848754</v>
      </c>
    </row>
    <row r="86" spans="1:6" ht="14">
      <c r="A86" s="42">
        <f>VLOOKUP(B86,'codes Ltd'!A:C,3,0)</f>
        <v>4900</v>
      </c>
      <c r="B86" s="2">
        <v>9903</v>
      </c>
      <c r="C86" s="41" t="s">
        <v>699</v>
      </c>
      <c r="D86" s="18">
        <v>-99942</v>
      </c>
      <c r="E86" s="530">
        <v>-350200</v>
      </c>
      <c r="F86" s="283">
        <f t="shared" si="1"/>
        <v>3.5040323387564789</v>
      </c>
    </row>
    <row r="87" spans="1:6" ht="14">
      <c r="A87" s="42">
        <f>VLOOKUP(B87,'codes Ltd'!A:C,3,0)</f>
        <v>4900</v>
      </c>
      <c r="B87" s="2">
        <v>9904</v>
      </c>
      <c r="C87" s="41" t="s">
        <v>700</v>
      </c>
      <c r="D87" s="18">
        <v>-562173.14</v>
      </c>
      <c r="E87" s="530">
        <v>-1977123.87</v>
      </c>
      <c r="F87" s="283">
        <f t="shared" si="1"/>
        <v>3.5169305136136528</v>
      </c>
    </row>
    <row r="88" spans="1:6" ht="14">
      <c r="A88" s="42">
        <f>VLOOKUP(B88,'codes Ltd'!A:C,3,0)</f>
        <v>4900</v>
      </c>
      <c r="B88" s="2">
        <v>9905</v>
      </c>
      <c r="C88" s="41" t="s">
        <v>701</v>
      </c>
      <c r="D88" s="18">
        <v>-112435.93</v>
      </c>
      <c r="E88" s="530">
        <v>-395617.5</v>
      </c>
      <c r="F88" s="283">
        <f t="shared" si="1"/>
        <v>3.5186038840075411</v>
      </c>
    </row>
    <row r="89" spans="1:6" ht="14">
      <c r="A89" s="42">
        <f>VLOOKUP(B89,'codes Ltd'!A:C,3,0)</f>
        <v>4900</v>
      </c>
      <c r="B89" s="2">
        <v>9906</v>
      </c>
      <c r="C89" s="41" t="s">
        <v>702</v>
      </c>
      <c r="D89" s="18">
        <v>-249856</v>
      </c>
      <c r="E89" s="530">
        <v>-884000</v>
      </c>
      <c r="F89" s="283">
        <f t="shared" si="1"/>
        <v>3.5380379098360657</v>
      </c>
    </row>
    <row r="90" spans="1:6" ht="14">
      <c r="A90" s="42">
        <f>VLOOKUP(B90,'codes Ltd'!A:C,3,0)</f>
        <v>4900</v>
      </c>
      <c r="B90" s="2">
        <v>9907</v>
      </c>
      <c r="C90" s="41" t="s">
        <v>703</v>
      </c>
      <c r="D90" s="18">
        <v>-249686</v>
      </c>
      <c r="E90" s="530">
        <v>-869907.72</v>
      </c>
      <c r="F90" s="283">
        <f t="shared" si="1"/>
        <v>3.4840067925314195</v>
      </c>
    </row>
    <row r="91" spans="1:6" ht="14">
      <c r="A91" s="42">
        <f>VLOOKUP(B91,'codes Ltd'!A:C,3,0)</f>
        <v>4900</v>
      </c>
      <c r="B91" s="2">
        <v>9908</v>
      </c>
      <c r="C91" s="41" t="s">
        <v>704</v>
      </c>
      <c r="D91" s="18">
        <v>-99942</v>
      </c>
      <c r="E91" s="530">
        <v>-353600</v>
      </c>
      <c r="F91" s="283">
        <f t="shared" si="1"/>
        <v>3.5380520702007163</v>
      </c>
    </row>
    <row r="92" spans="1:6" ht="14">
      <c r="A92" s="42">
        <f>VLOOKUP(B92,'codes Ltd'!A:C,3,0)</f>
        <v>4900</v>
      </c>
      <c r="B92" s="2">
        <v>9909</v>
      </c>
      <c r="C92" s="41" t="s">
        <v>705</v>
      </c>
      <c r="D92" s="18">
        <v>-112435.93</v>
      </c>
      <c r="E92" s="530">
        <v>-393817.5</v>
      </c>
      <c r="F92" s="283">
        <f t="shared" si="1"/>
        <v>3.5025947666373196</v>
      </c>
    </row>
    <row r="93" spans="1:6" ht="14">
      <c r="A93" s="42">
        <f>VLOOKUP(B93,'codes Ltd'!A:C,3,0)</f>
        <v>4900</v>
      </c>
      <c r="B93" s="2">
        <v>9910</v>
      </c>
      <c r="C93" s="41" t="s">
        <v>706</v>
      </c>
      <c r="D93" s="18">
        <v>-24986</v>
      </c>
      <c r="E93" s="530">
        <v>-86375</v>
      </c>
      <c r="F93" s="283">
        <f t="shared" si="1"/>
        <v>3.4569358840950932</v>
      </c>
    </row>
    <row r="94" spans="1:6" ht="14">
      <c r="A94" s="42">
        <f>VLOOKUP(B94,'codes Ltd'!A:C,3,0)</f>
        <v>4900</v>
      </c>
      <c r="B94" s="2">
        <v>9911</v>
      </c>
      <c r="C94" s="41" t="s">
        <v>707</v>
      </c>
      <c r="D94" s="18">
        <v>-24986</v>
      </c>
      <c r="E94" s="530">
        <v>-86375</v>
      </c>
      <c r="F94" s="283">
        <f t="shared" si="1"/>
        <v>3.4569358840950932</v>
      </c>
    </row>
    <row r="95" spans="1:6" ht="14">
      <c r="A95" s="42">
        <f>VLOOKUP(B95,'codes Ltd'!A:C,3,0)</f>
        <v>4900</v>
      </c>
      <c r="B95" s="2">
        <v>9912</v>
      </c>
      <c r="C95" s="41" t="s">
        <v>708</v>
      </c>
      <c r="D95" s="18">
        <v>-99942</v>
      </c>
      <c r="E95" s="530">
        <v>-345800</v>
      </c>
      <c r="F95" s="283">
        <f t="shared" si="1"/>
        <v>3.460006803946289</v>
      </c>
    </row>
    <row r="96" spans="1:6" ht="14">
      <c r="A96" s="42">
        <f>VLOOKUP(B96,'codes Ltd'!A:C,3,0)</f>
        <v>4900</v>
      </c>
      <c r="B96" s="2">
        <v>9913</v>
      </c>
      <c r="C96" s="41" t="s">
        <v>709</v>
      </c>
      <c r="D96" s="18">
        <v>-49946</v>
      </c>
      <c r="E96" s="530">
        <v>-173363.23</v>
      </c>
      <c r="F96" s="283">
        <f t="shared" si="1"/>
        <v>3.4710132943579066</v>
      </c>
    </row>
    <row r="97" spans="1:6" ht="14">
      <c r="A97" s="42">
        <f>VLOOKUP(B97,'codes Ltd'!A:C,3,0)</f>
        <v>4900</v>
      </c>
      <c r="B97" s="2">
        <v>9914</v>
      </c>
      <c r="C97" s="41" t="s">
        <v>710</v>
      </c>
      <c r="D97" s="18">
        <v>-199885</v>
      </c>
      <c r="E97" s="530">
        <v>-693800</v>
      </c>
      <c r="F97" s="283">
        <f t="shared" si="1"/>
        <v>3.470995822597994</v>
      </c>
    </row>
    <row r="98" spans="1:6" ht="14">
      <c r="A98" s="42">
        <f>VLOOKUP(B98,'codes Ltd'!A:C,3,0)</f>
        <v>4900</v>
      </c>
      <c r="B98" s="2">
        <v>9915</v>
      </c>
      <c r="C98" s="41" t="s">
        <v>711</v>
      </c>
      <c r="D98" s="18">
        <v>-99934.5</v>
      </c>
      <c r="E98" s="530">
        <v>-346074.03</v>
      </c>
      <c r="F98" s="283">
        <f t="shared" si="1"/>
        <v>3.4630085706137521</v>
      </c>
    </row>
    <row r="99" spans="1:6" ht="14">
      <c r="A99" s="42">
        <f>VLOOKUP(B99,'codes Ltd'!A:C,3,0)</f>
        <v>4900</v>
      </c>
      <c r="B99" s="2">
        <v>9916</v>
      </c>
      <c r="C99" s="41" t="s">
        <v>712</v>
      </c>
      <c r="D99" s="18">
        <v>-3298454.28</v>
      </c>
      <c r="E99" s="530">
        <v>-11482867.76</v>
      </c>
      <c r="F99" s="283">
        <f t="shared" si="1"/>
        <v>3.4812875320497092</v>
      </c>
    </row>
    <row r="100" spans="1:6" ht="14">
      <c r="A100" s="42">
        <f>VLOOKUP(B100,'codes Ltd'!A:C,3,0)</f>
        <v>4900</v>
      </c>
      <c r="B100" s="2">
        <v>9917</v>
      </c>
      <c r="C100" s="41" t="s">
        <v>713</v>
      </c>
      <c r="D100" s="18">
        <v>-5716</v>
      </c>
      <c r="E100" s="530">
        <v>-20000</v>
      </c>
      <c r="F100" s="283">
        <f t="shared" si="1"/>
        <v>3.4989503149055285</v>
      </c>
    </row>
    <row r="101" spans="1:6" ht="14">
      <c r="A101" s="42">
        <f>VLOOKUP(B101,'codes Ltd'!A:C,3,0)</f>
        <v>4900</v>
      </c>
      <c r="B101" s="2">
        <v>9918</v>
      </c>
      <c r="C101" s="41" t="s">
        <v>714</v>
      </c>
      <c r="D101" s="18">
        <v>-2473.4699999999998</v>
      </c>
      <c r="E101" s="530">
        <v>-8000</v>
      </c>
      <c r="F101" s="283">
        <f t="shared" si="1"/>
        <v>3.2343226317683258</v>
      </c>
    </row>
    <row r="102" spans="1:6" ht="14">
      <c r="A102" s="42">
        <f>VLOOKUP(B102,'codes Ltd'!A:C,3,0)</f>
        <v>4900</v>
      </c>
      <c r="B102" s="2">
        <v>9919</v>
      </c>
      <c r="C102" s="41" t="s">
        <v>715</v>
      </c>
      <c r="D102" s="18">
        <v>-499749.63</v>
      </c>
      <c r="E102" s="530">
        <v>-1733173.99</v>
      </c>
      <c r="F102" s="283">
        <f t="shared" si="1"/>
        <v>3.468084588676934</v>
      </c>
    </row>
    <row r="103" spans="1:6" ht="14">
      <c r="A103" s="42">
        <f>VLOOKUP(B103,'codes Ltd'!A:C,3,0)</f>
        <v>4900</v>
      </c>
      <c r="B103" s="2">
        <v>9920</v>
      </c>
      <c r="C103" s="41" t="s">
        <v>716</v>
      </c>
      <c r="D103" s="18">
        <v>-1154</v>
      </c>
      <c r="E103" s="530">
        <v>-4000</v>
      </c>
      <c r="F103" s="283">
        <f t="shared" si="1"/>
        <v>3.4662045060658579</v>
      </c>
    </row>
    <row r="104" spans="1:6" ht="14">
      <c r="A104" s="42">
        <f>VLOOKUP(B104,'codes Ltd'!A:C,3,0)</f>
        <v>4900</v>
      </c>
      <c r="B104" s="2">
        <v>9921</v>
      </c>
      <c r="C104" s="41" t="s">
        <v>717</v>
      </c>
      <c r="D104" s="18">
        <v>-1099450.69</v>
      </c>
      <c r="E104" s="530">
        <v>-3818136.7</v>
      </c>
      <c r="F104" s="283">
        <f t="shared" si="1"/>
        <v>3.472767569048504</v>
      </c>
    </row>
    <row r="105" spans="1:6" ht="14">
      <c r="A105" s="42">
        <f>VLOOKUP(B105,'codes Ltd'!A:C,3,0)</f>
        <v>4900</v>
      </c>
      <c r="B105" s="2">
        <v>9990</v>
      </c>
      <c r="C105" s="41" t="s">
        <v>718</v>
      </c>
      <c r="D105" s="18">
        <v>-500000</v>
      </c>
      <c r="E105" s="530">
        <v>-1732500</v>
      </c>
      <c r="F105" s="283">
        <f t="shared" si="1"/>
        <v>3.4649999999999999</v>
      </c>
    </row>
    <row r="106" spans="1:6" ht="14">
      <c r="A106" s="42">
        <f>VLOOKUP(B106,'codes Ltd'!A:C,3,0)</f>
        <v>5110</v>
      </c>
      <c r="B106" s="2">
        <v>9991</v>
      </c>
      <c r="C106" s="41" t="s">
        <v>719</v>
      </c>
      <c r="D106" s="18">
        <v>3480454.58</v>
      </c>
      <c r="E106" s="530">
        <v>13182915.550000001</v>
      </c>
      <c r="F106" s="283">
        <f t="shared" si="1"/>
        <v>3.7876993498935421</v>
      </c>
    </row>
    <row r="107" spans="1:6" ht="14">
      <c r="A107" s="42">
        <f>VLOOKUP(B107,'codes Ltd'!A:C,3,0)</f>
        <v>5100</v>
      </c>
      <c r="B107" s="2">
        <v>9992</v>
      </c>
      <c r="C107" s="41" t="s">
        <v>720</v>
      </c>
      <c r="D107" s="18">
        <v>-56651</v>
      </c>
      <c r="E107" s="530">
        <v>-193180</v>
      </c>
      <c r="F107" s="283">
        <f t="shared" si="1"/>
        <v>3.4100015886745161</v>
      </c>
    </row>
    <row r="108" spans="1:6" ht="14">
      <c r="A108" s="42">
        <f>VLOOKUP(B108,'codes Ltd'!A:C,3,0)</f>
        <v>5200</v>
      </c>
      <c r="B108" s="2">
        <v>7000</v>
      </c>
      <c r="C108" s="41" t="s">
        <v>721</v>
      </c>
      <c r="D108" s="18">
        <v>-670621.09</v>
      </c>
      <c r="E108" s="530">
        <v>-2185848.11</v>
      </c>
      <c r="F108" s="283">
        <f t="shared" si="1"/>
        <v>3.259438366306076</v>
      </c>
    </row>
    <row r="109" spans="1:6" ht="14">
      <c r="A109" s="42">
        <f>VLOOKUP(B109,'codes Ltd'!A:C,3,0)</f>
        <v>5200</v>
      </c>
      <c r="B109" s="2">
        <v>7003</v>
      </c>
      <c r="C109" s="41" t="s">
        <v>722</v>
      </c>
      <c r="D109" s="18">
        <v>152250</v>
      </c>
      <c r="E109" s="530">
        <v>496778.23999999999</v>
      </c>
      <c r="F109" s="283">
        <f t="shared" si="1"/>
        <v>3.262911264367816</v>
      </c>
    </row>
    <row r="110" spans="1:6" ht="14">
      <c r="A110" s="42">
        <f>VLOOKUP(B110,'codes Ltd'!A:C,3,0)</f>
        <v>5200</v>
      </c>
      <c r="B110" s="2">
        <v>7001</v>
      </c>
      <c r="C110" s="41" t="s">
        <v>723</v>
      </c>
      <c r="D110" s="18">
        <v>-169050</v>
      </c>
      <c r="E110" s="530">
        <v>-541351.9</v>
      </c>
      <c r="F110" s="283">
        <f t="shared" si="1"/>
        <v>3.2023182490387461</v>
      </c>
    </row>
    <row r="111" spans="1:6" ht="14">
      <c r="A111" s="42">
        <f>VLOOKUP(B111,'codes Ltd'!A:C,3,0)</f>
        <v>5660</v>
      </c>
      <c r="B111" s="2">
        <v>7004</v>
      </c>
      <c r="C111" s="41" t="s">
        <v>724</v>
      </c>
      <c r="D111" s="18">
        <v>-532.36</v>
      </c>
      <c r="E111" s="530">
        <v>-1713.67</v>
      </c>
      <c r="F111" s="283">
        <f t="shared" si="1"/>
        <v>3.2190059358328953</v>
      </c>
    </row>
    <row r="112" spans="1:6" ht="14">
      <c r="A112" s="42">
        <f>VLOOKUP(B112,'codes Ltd'!A:C,3,0)</f>
        <v>5660</v>
      </c>
      <c r="B112" s="2">
        <v>7005</v>
      </c>
      <c r="C112" s="41" t="s">
        <v>725</v>
      </c>
      <c r="D112" s="18">
        <v>532.46</v>
      </c>
      <c r="E112" s="530">
        <v>1714</v>
      </c>
      <c r="F112" s="283">
        <f t="shared" si="1"/>
        <v>3.2190211471284225</v>
      </c>
    </row>
    <row r="113" spans="1:6" ht="14">
      <c r="A113" s="42">
        <f>VLOOKUP(B113,'codes Ltd'!A:C,3,0)</f>
        <v>5660</v>
      </c>
      <c r="B113" s="2">
        <v>7006</v>
      </c>
      <c r="C113" s="41" t="s">
        <v>726</v>
      </c>
      <c r="D113" s="18">
        <v>93.14</v>
      </c>
      <c r="E113" s="530">
        <v>762</v>
      </c>
      <c r="F113" s="283">
        <f t="shared" si="1"/>
        <v>8.1812325531458026</v>
      </c>
    </row>
    <row r="114" spans="1:6" ht="14">
      <c r="A114" s="42">
        <f>VLOOKUP(B114,'codes Ltd'!A:C,3,0)</f>
        <v>5320</v>
      </c>
      <c r="B114" s="2">
        <v>7100</v>
      </c>
      <c r="C114" s="41" t="s">
        <v>727</v>
      </c>
      <c r="D114" s="18">
        <v>605.59</v>
      </c>
      <c r="E114" s="530">
        <v>1970</v>
      </c>
      <c r="F114" s="283">
        <f t="shared" si="1"/>
        <v>3.2530259746693306</v>
      </c>
    </row>
    <row r="115" spans="1:6" ht="14">
      <c r="A115" s="42">
        <f>VLOOKUP(B115,'codes Ltd'!A:C,3,0)</f>
        <v>5600</v>
      </c>
      <c r="B115" s="2">
        <v>8050</v>
      </c>
      <c r="C115" s="41" t="s">
        <v>728</v>
      </c>
      <c r="D115" s="18">
        <v>195507.37</v>
      </c>
      <c r="E115" s="530">
        <v>626295.71</v>
      </c>
      <c r="F115" s="283">
        <f t="shared" si="1"/>
        <v>3.2034378550537506</v>
      </c>
    </row>
    <row r="116" spans="1:6" ht="14">
      <c r="A116" s="42">
        <f>VLOOKUP(B116,'codes Ltd'!A:C,3,0)</f>
        <v>5600</v>
      </c>
      <c r="B116" s="2">
        <v>8051</v>
      </c>
      <c r="C116" s="41" t="s">
        <v>729</v>
      </c>
      <c r="D116" s="18">
        <v>13089.37</v>
      </c>
      <c r="E116" s="530">
        <v>41897.53</v>
      </c>
      <c r="F116" s="283">
        <f t="shared" si="1"/>
        <v>3.2008820898179207</v>
      </c>
    </row>
    <row r="117" spans="1:6" ht="14">
      <c r="A117" s="42">
        <f>VLOOKUP(B117,'codes Ltd'!A:C,3,0)</f>
        <v>5600</v>
      </c>
      <c r="B117" s="2">
        <v>8052</v>
      </c>
      <c r="C117" s="41" t="s">
        <v>730</v>
      </c>
      <c r="D117" s="18">
        <v>27360.79</v>
      </c>
      <c r="E117" s="530">
        <v>87627.5</v>
      </c>
      <c r="F117" s="283">
        <f t="shared" si="1"/>
        <v>3.2026670282546665</v>
      </c>
    </row>
    <row r="118" spans="1:6" ht="14">
      <c r="A118" s="42">
        <f>VLOOKUP(B118,'codes Ltd'!A:C,3,0)</f>
        <v>5600</v>
      </c>
      <c r="B118" s="2">
        <v>8053</v>
      </c>
      <c r="C118" s="41" t="s">
        <v>731</v>
      </c>
      <c r="D118" s="18">
        <v>10350.65</v>
      </c>
      <c r="E118" s="530">
        <v>33288.6</v>
      </c>
      <c r="F118" s="283">
        <f t="shared" si="1"/>
        <v>3.216087878539029</v>
      </c>
    </row>
    <row r="119" spans="1:6" ht="14">
      <c r="A119" s="42">
        <f>VLOOKUP(B119,'codes Ltd'!A:C,3,0)</f>
        <v>5600</v>
      </c>
      <c r="B119" s="2">
        <v>8054</v>
      </c>
      <c r="C119" s="41" t="s">
        <v>732</v>
      </c>
      <c r="D119" s="18">
        <v>-9248.44</v>
      </c>
      <c r="E119" s="530">
        <v>-29675.01</v>
      </c>
      <c r="F119" s="283">
        <f t="shared" si="1"/>
        <v>3.2086503237302719</v>
      </c>
    </row>
    <row r="120" spans="1:6" ht="14">
      <c r="A120" s="42">
        <f>VLOOKUP(B120,'codes Ltd'!A:C,3,0)</f>
        <v>5600</v>
      </c>
      <c r="B120" s="2">
        <v>8055</v>
      </c>
      <c r="C120" s="41" t="s">
        <v>733</v>
      </c>
      <c r="D120" s="18">
        <v>9248.44</v>
      </c>
      <c r="E120" s="530">
        <v>29675.01</v>
      </c>
      <c r="F120" s="283">
        <f t="shared" si="1"/>
        <v>3.2086503237302719</v>
      </c>
    </row>
    <row r="121" spans="1:6" ht="14">
      <c r="A121" s="42">
        <f>VLOOKUP(B121,'codes Ltd'!A:C,3,0)</f>
        <v>5603</v>
      </c>
      <c r="B121" s="2">
        <v>8056</v>
      </c>
      <c r="C121" s="41" t="s">
        <v>734</v>
      </c>
      <c r="D121" s="18">
        <v>-29049.94</v>
      </c>
      <c r="E121" s="530">
        <v>-94404</v>
      </c>
      <c r="F121" s="283">
        <f t="shared" si="1"/>
        <v>3.2497141130067742</v>
      </c>
    </row>
    <row r="122" spans="1:6" ht="14">
      <c r="A122" s="42">
        <f>VLOOKUP(B122,'codes Ltd'!A:C,3,0)</f>
        <v>5603</v>
      </c>
      <c r="B122" s="2">
        <v>8057</v>
      </c>
      <c r="C122" s="41" t="s">
        <v>735</v>
      </c>
      <c r="D122" s="18">
        <v>16410.25</v>
      </c>
      <c r="E122" s="530">
        <v>51721.63</v>
      </c>
      <c r="F122" s="283">
        <f t="shared" si="1"/>
        <v>3.1517880592922105</v>
      </c>
    </row>
    <row r="123" spans="1:6" ht="14">
      <c r="A123" s="42">
        <f>VLOOKUP(B123,'codes Ltd'!A:C,3,0)</f>
        <v>5411</v>
      </c>
      <c r="B123" s="2">
        <v>8058</v>
      </c>
      <c r="C123" s="41" t="s">
        <v>736</v>
      </c>
      <c r="D123" s="18">
        <v>103077.98</v>
      </c>
      <c r="E123" s="530">
        <v>328059.87</v>
      </c>
      <c r="F123" s="283">
        <f t="shared" si="1"/>
        <v>3.1826377466845974</v>
      </c>
    </row>
    <row r="124" spans="1:6" ht="14">
      <c r="A124" s="42">
        <f>VLOOKUP(B124,'codes Ltd'!A:C,3,0)</f>
        <v>5311</v>
      </c>
      <c r="B124" s="2">
        <v>8059</v>
      </c>
      <c r="C124" s="41" t="s">
        <v>737</v>
      </c>
      <c r="D124" s="18">
        <v>14526.32</v>
      </c>
      <c r="E124" s="530">
        <v>46357.5</v>
      </c>
      <c r="F124" s="283">
        <f t="shared" si="1"/>
        <v>3.1912762489054352</v>
      </c>
    </row>
    <row r="125" spans="1:6" ht="14">
      <c r="A125" s="42">
        <f>VLOOKUP(B125,'codes Ltd'!A:C,3,0)</f>
        <v>5505</v>
      </c>
      <c r="B125" s="2">
        <v>8062</v>
      </c>
      <c r="C125" s="41" t="s">
        <v>738</v>
      </c>
      <c r="D125" s="18">
        <v>1147.9100000000001</v>
      </c>
      <c r="E125" s="530">
        <v>3570</v>
      </c>
      <c r="F125" s="283">
        <f t="shared" si="1"/>
        <v>3.1099999128851561</v>
      </c>
    </row>
    <row r="126" spans="1:6" ht="14">
      <c r="A126" s="42">
        <f>VLOOKUP(B126,'codes Ltd'!A:C,3,0)</f>
        <v>5660</v>
      </c>
      <c r="B126" s="2">
        <v>8029</v>
      </c>
      <c r="C126" s="467" t="s">
        <v>583</v>
      </c>
      <c r="D126" s="18">
        <v>344.48</v>
      </c>
      <c r="E126" s="530">
        <v>1133</v>
      </c>
      <c r="F126" s="283">
        <f t="shared" si="1"/>
        <v>3.2890153274500693</v>
      </c>
    </row>
    <row r="127" spans="1:6" ht="14">
      <c r="A127" s="42">
        <f>VLOOKUP(B127,'codes Ltd'!A:C,3,0)</f>
        <v>5660</v>
      </c>
      <c r="B127" s="2">
        <v>8039</v>
      </c>
      <c r="C127" s="41" t="s">
        <v>739</v>
      </c>
      <c r="D127" s="18">
        <v>163.97</v>
      </c>
      <c r="E127" s="530">
        <v>525</v>
      </c>
      <c r="F127" s="283">
        <f t="shared" si="1"/>
        <v>3.2018052082698056</v>
      </c>
    </row>
    <row r="128" spans="1:6" ht="14">
      <c r="A128" s="42">
        <f>VLOOKUP(B128,'codes Ltd'!A:C,3,0)</f>
        <v>5620</v>
      </c>
      <c r="B128" s="2">
        <v>8009</v>
      </c>
      <c r="C128" s="41" t="s">
        <v>740</v>
      </c>
      <c r="D128" s="18">
        <v>327051.73</v>
      </c>
      <c r="E128" s="530">
        <v>1046723.09</v>
      </c>
      <c r="F128" s="283">
        <f t="shared" si="1"/>
        <v>3.2004817403045078</v>
      </c>
    </row>
    <row r="129" spans="1:6" ht="14">
      <c r="A129" s="42">
        <f>VLOOKUP(B129,'codes Ltd'!A:C,3,0)</f>
        <v>5660</v>
      </c>
      <c r="B129" s="2">
        <v>8005</v>
      </c>
      <c r="C129" s="467" t="s">
        <v>741</v>
      </c>
      <c r="D129" s="18">
        <v>38122.67</v>
      </c>
      <c r="E129" s="530">
        <v>119562.34</v>
      </c>
      <c r="F129" s="283">
        <f t="shared" si="1"/>
        <v>3.1362530483830224</v>
      </c>
    </row>
    <row r="130" spans="1:6" ht="14">
      <c r="A130" s="42">
        <f>VLOOKUP(B130,'codes Ltd'!A:C,3,0)</f>
        <v>5660</v>
      </c>
      <c r="B130" s="2">
        <v>8008</v>
      </c>
      <c r="C130" s="467" t="s">
        <v>742</v>
      </c>
      <c r="D130" s="18">
        <v>6089.35</v>
      </c>
      <c r="E130" s="530">
        <v>19561.009999999998</v>
      </c>
      <c r="F130" s="283">
        <f t="shared" si="1"/>
        <v>3.2123313654166696</v>
      </c>
    </row>
    <row r="131" spans="1:6" ht="14">
      <c r="A131" s="42">
        <f>VLOOKUP(B131,'codes Ltd'!A:C,3,0)</f>
        <v>5620</v>
      </c>
      <c r="B131" s="2">
        <v>8030</v>
      </c>
      <c r="C131" s="41" t="s">
        <v>743</v>
      </c>
      <c r="D131" s="18">
        <v>14150.34</v>
      </c>
      <c r="E131" s="530">
        <v>45309.85</v>
      </c>
      <c r="F131" s="283">
        <f t="shared" si="1"/>
        <v>3.2020326013367875</v>
      </c>
    </row>
    <row r="132" spans="1:6" ht="14">
      <c r="A132" s="42">
        <f>VLOOKUP(B132,'codes Ltd'!A:C,3,0)</f>
        <v>5410</v>
      </c>
      <c r="B132" s="2">
        <v>8032</v>
      </c>
      <c r="C132" s="41" t="s">
        <v>744</v>
      </c>
      <c r="D132" s="18">
        <v>408944.93</v>
      </c>
      <c r="E132" s="530">
        <v>1360346.22</v>
      </c>
      <c r="F132" s="283">
        <f t="shared" si="1"/>
        <v>3.3264777729363217</v>
      </c>
    </row>
    <row r="133" spans="1:6" ht="14">
      <c r="A133" s="42">
        <f>VLOOKUP(B133,'codes Ltd'!A:C,3,0)</f>
        <v>5660</v>
      </c>
      <c r="B133" s="2">
        <v>8033</v>
      </c>
      <c r="C133" s="467" t="s">
        <v>745</v>
      </c>
      <c r="D133" s="18">
        <v>88023.67</v>
      </c>
      <c r="E133" s="530">
        <v>283328.71000000002</v>
      </c>
      <c r="F133" s="283">
        <f t="shared" ref="F133:F198" si="2">E133/D133</f>
        <v>3.2187786535144469</v>
      </c>
    </row>
    <row r="134" spans="1:6" ht="14">
      <c r="A134" s="42">
        <f>VLOOKUP(B134,'codes Ltd'!A:C,3,0)</f>
        <v>5320</v>
      </c>
      <c r="B134" s="2">
        <v>8042</v>
      </c>
      <c r="C134" s="41" t="s">
        <v>577</v>
      </c>
      <c r="D134" s="18">
        <v>14253.15</v>
      </c>
      <c r="E134" s="530">
        <v>45344.1</v>
      </c>
      <c r="F134" s="283">
        <f t="shared" si="2"/>
        <v>3.1813388619357825</v>
      </c>
    </row>
    <row r="135" spans="1:6" ht="14">
      <c r="A135" s="42">
        <f>VLOOKUP(B135,'codes Ltd'!A:C,3,0)</f>
        <v>5510</v>
      </c>
      <c r="B135" s="2">
        <v>8043</v>
      </c>
      <c r="C135" s="41" t="s">
        <v>746</v>
      </c>
      <c r="D135" s="18">
        <v>104.83</v>
      </c>
      <c r="E135" s="530">
        <v>345</v>
      </c>
      <c r="F135" s="283">
        <f t="shared" si="2"/>
        <v>3.2910426404655158</v>
      </c>
    </row>
    <row r="136" spans="1:6" ht="14">
      <c r="A136" s="42">
        <f>VLOOKUP(B136,'codes Ltd'!A:C,3,0)</f>
        <v>5660</v>
      </c>
      <c r="B136" s="2">
        <v>8044</v>
      </c>
      <c r="C136" s="41" t="s">
        <v>747</v>
      </c>
      <c r="D136" s="18">
        <v>1431.16</v>
      </c>
      <c r="E136" s="530">
        <v>4632.68</v>
      </c>
      <c r="F136" s="283">
        <f t="shared" si="2"/>
        <v>3.2370105369071243</v>
      </c>
    </row>
    <row r="137" spans="1:6" ht="14">
      <c r="A137" s="42">
        <f>VLOOKUP(B137,'codes Ltd'!A:C,3,0)</f>
        <v>5320</v>
      </c>
      <c r="B137" s="2">
        <v>8045</v>
      </c>
      <c r="C137" s="41" t="s">
        <v>578</v>
      </c>
      <c r="D137" s="18">
        <v>9793.14</v>
      </c>
      <c r="E137" s="530">
        <v>31671.02</v>
      </c>
      <c r="F137" s="283">
        <f t="shared" si="2"/>
        <v>3.2340005350684256</v>
      </c>
    </row>
    <row r="138" spans="1:6" ht="14">
      <c r="A138" s="42">
        <f>VLOOKUP(B138,'codes Ltd'!A:C,3,0)</f>
        <v>5620</v>
      </c>
      <c r="B138" s="2">
        <v>8085</v>
      </c>
      <c r="C138" s="41" t="s">
        <v>748</v>
      </c>
      <c r="D138" s="18">
        <v>68.73</v>
      </c>
      <c r="E138" s="530">
        <v>215.39</v>
      </c>
      <c r="F138" s="283">
        <f t="shared" si="2"/>
        <v>3.1338571220718752</v>
      </c>
    </row>
    <row r="139" spans="1:6" ht="14">
      <c r="A139" s="42">
        <f>VLOOKUP(B139,'codes Ltd'!A:C,3,0)</f>
        <v>5416</v>
      </c>
      <c r="B139" s="2">
        <v>8104</v>
      </c>
      <c r="C139" s="41" t="s">
        <v>749</v>
      </c>
      <c r="D139" s="18">
        <v>9.06</v>
      </c>
      <c r="E139" s="530">
        <v>29.7</v>
      </c>
      <c r="F139" s="283">
        <f t="shared" si="2"/>
        <v>3.2781456953642381</v>
      </c>
    </row>
    <row r="140" spans="1:6" ht="14">
      <c r="A140" s="42">
        <f>VLOOKUP(B140,'codes Ltd'!A:C,3,0)</f>
        <v>5660</v>
      </c>
      <c r="B140" s="2">
        <v>8006</v>
      </c>
      <c r="C140" s="467" t="s">
        <v>584</v>
      </c>
      <c r="D140" s="18">
        <v>45866.559999999998</v>
      </c>
      <c r="E140" s="530">
        <v>146480</v>
      </c>
      <c r="F140" s="283">
        <f t="shared" si="2"/>
        <v>3.1936120781676238</v>
      </c>
    </row>
    <row r="141" spans="1:6" ht="14">
      <c r="A141" s="42">
        <f>VLOOKUP(B141,'codes Ltd'!A:C,3,0)</f>
        <v>5660</v>
      </c>
      <c r="B141" s="2">
        <v>8007</v>
      </c>
      <c r="C141" s="41" t="s">
        <v>750</v>
      </c>
      <c r="D141" s="18">
        <v>401.16</v>
      </c>
      <c r="E141" s="530">
        <v>1295.3399999999999</v>
      </c>
      <c r="F141" s="283">
        <f t="shared" si="2"/>
        <v>3.2289859407717616</v>
      </c>
    </row>
    <row r="142" spans="1:6" ht="14">
      <c r="A142" s="42">
        <f>VLOOKUP(B142,'codes Ltd'!A:C,3,0)</f>
        <v>5660</v>
      </c>
      <c r="B142" s="2">
        <v>8022</v>
      </c>
      <c r="C142" s="467" t="s">
        <v>585</v>
      </c>
      <c r="D142" s="18">
        <v>19730.36</v>
      </c>
      <c r="E142" s="530">
        <v>63275.89</v>
      </c>
      <c r="F142" s="283">
        <f t="shared" si="2"/>
        <v>3.2070317013982512</v>
      </c>
    </row>
    <row r="143" spans="1:6" ht="14">
      <c r="A143" s="42">
        <f>VLOOKUP(B143,'codes Ltd'!A:C,3,0)</f>
        <v>5660</v>
      </c>
      <c r="B143" s="2">
        <v>8025</v>
      </c>
      <c r="C143" s="41" t="s">
        <v>751</v>
      </c>
      <c r="D143" s="18">
        <v>1306.81</v>
      </c>
      <c r="E143" s="530">
        <v>4168</v>
      </c>
      <c r="F143" s="283">
        <f t="shared" si="2"/>
        <v>3.1894460556622617</v>
      </c>
    </row>
    <row r="144" spans="1:6" ht="14">
      <c r="A144" s="42">
        <f>VLOOKUP(B144,'codes Ltd'!A:C,3,0)</f>
        <v>5660</v>
      </c>
      <c r="B144" s="2">
        <v>8027</v>
      </c>
      <c r="C144" s="41" t="s">
        <v>586</v>
      </c>
      <c r="D144" s="18">
        <v>11852.81</v>
      </c>
      <c r="E144" s="530">
        <v>38072.54</v>
      </c>
      <c r="F144" s="283">
        <f t="shared" si="2"/>
        <v>3.2121108834107694</v>
      </c>
    </row>
    <row r="145" spans="1:6" ht="14">
      <c r="A145" s="42">
        <f>VLOOKUP(B145,'codes Ltd'!A:C,3,0)</f>
        <v>5660</v>
      </c>
      <c r="B145" s="2">
        <v>8028</v>
      </c>
      <c r="C145" s="467" t="s">
        <v>587</v>
      </c>
      <c r="D145" s="18">
        <v>9157.82</v>
      </c>
      <c r="E145" s="530">
        <v>29556.81</v>
      </c>
      <c r="F145" s="283">
        <f t="shared" si="2"/>
        <v>3.2274940979403399</v>
      </c>
    </row>
    <row r="146" spans="1:6" ht="14">
      <c r="A146" s="42">
        <f>VLOOKUP(B146,'codes Ltd'!A:C,3,0)</f>
        <v>5660</v>
      </c>
      <c r="B146" s="2">
        <v>8035</v>
      </c>
      <c r="C146" s="41" t="s">
        <v>588</v>
      </c>
      <c r="D146" s="18">
        <v>1643.88</v>
      </c>
      <c r="E146" s="530">
        <v>5288.94</v>
      </c>
      <c r="F146" s="283">
        <f t="shared" si="2"/>
        <v>3.2173516315059487</v>
      </c>
    </row>
    <row r="147" spans="1:6" ht="14">
      <c r="A147" s="42">
        <f>VLOOKUP(B147,'codes Ltd'!A:C,3,0)</f>
        <v>5550</v>
      </c>
      <c r="B147" s="2">
        <v>8079</v>
      </c>
      <c r="C147" s="41" t="s">
        <v>752</v>
      </c>
      <c r="D147" s="18">
        <v>283.24</v>
      </c>
      <c r="E147" s="530">
        <v>894.2</v>
      </c>
      <c r="F147" s="283">
        <f t="shared" si="2"/>
        <v>3.1570399661064821</v>
      </c>
    </row>
    <row r="148" spans="1:6" ht="14">
      <c r="A148" s="42">
        <f>VLOOKUP(B148,'codes Ltd'!A:C,3,0)</f>
        <v>5416</v>
      </c>
      <c r="B148" s="2">
        <v>8080</v>
      </c>
      <c r="C148" s="41" t="s">
        <v>753</v>
      </c>
      <c r="D148" s="18">
        <v>42540.21</v>
      </c>
      <c r="E148" s="530">
        <v>136647.69</v>
      </c>
      <c r="F148" s="283">
        <f t="shared" si="2"/>
        <v>3.212200644989764</v>
      </c>
    </row>
    <row r="149" spans="1:6" ht="14">
      <c r="A149" s="42">
        <f>VLOOKUP(B149,'codes Ltd'!A:C,3,0)</f>
        <v>5330</v>
      </c>
      <c r="B149" s="2">
        <v>8081</v>
      </c>
      <c r="C149" s="41" t="s">
        <v>754</v>
      </c>
      <c r="D149" s="18">
        <v>30819.34</v>
      </c>
      <c r="E149" s="530">
        <v>99512.639999999999</v>
      </c>
      <c r="F149" s="283">
        <f t="shared" si="2"/>
        <v>3.2289023710436369</v>
      </c>
    </row>
    <row r="150" spans="1:6" ht="14">
      <c r="A150" s="42">
        <f>VLOOKUP(B150,'codes Ltd'!A:C,3,0)</f>
        <v>5416</v>
      </c>
      <c r="B150" s="2">
        <v>8320</v>
      </c>
      <c r="C150" s="41" t="s">
        <v>579</v>
      </c>
      <c r="D150" s="18">
        <v>2017.93</v>
      </c>
      <c r="E150" s="530">
        <v>6493.81</v>
      </c>
      <c r="F150" s="283">
        <f t="shared" si="2"/>
        <v>3.2180551357083744</v>
      </c>
    </row>
    <row r="151" spans="1:6" ht="14">
      <c r="A151" s="42">
        <f>VLOOKUP(B151,'codes Ltd'!A:C,3,0)</f>
        <v>5330</v>
      </c>
      <c r="B151" s="2">
        <v>8340</v>
      </c>
      <c r="C151" s="41" t="s">
        <v>755</v>
      </c>
      <c r="D151" s="18">
        <v>1365.89</v>
      </c>
      <c r="E151" s="530">
        <v>4430.34</v>
      </c>
      <c r="F151" s="283">
        <f t="shared" si="2"/>
        <v>3.2435554839701584</v>
      </c>
    </row>
    <row r="152" spans="1:6" ht="14">
      <c r="A152" s="42">
        <f>VLOOKUP(B152,'codes Ltd'!A:C,3,0)</f>
        <v>5660</v>
      </c>
      <c r="B152" s="2">
        <v>8341</v>
      </c>
      <c r="C152" s="41" t="s">
        <v>756</v>
      </c>
      <c r="D152" s="18">
        <v>388.16</v>
      </c>
      <c r="E152" s="530">
        <v>1264.49</v>
      </c>
      <c r="F152" s="283">
        <f t="shared" si="2"/>
        <v>3.2576514839241546</v>
      </c>
    </row>
    <row r="153" spans="1:6" ht="14">
      <c r="A153" s="42">
        <f>VLOOKUP(B153,'codes Ltd'!A:C,3,0)</f>
        <v>5416</v>
      </c>
      <c r="B153" s="2">
        <v>8342</v>
      </c>
      <c r="C153" s="41" t="s">
        <v>757</v>
      </c>
      <c r="D153" s="18">
        <v>3491.07</v>
      </c>
      <c r="E153" s="530">
        <v>11234</v>
      </c>
      <c r="F153" s="283">
        <f t="shared" si="2"/>
        <v>3.2179245904550751</v>
      </c>
    </row>
    <row r="154" spans="1:6" ht="14">
      <c r="A154" s="42">
        <f>VLOOKUP(B154,'codes Ltd'!A:C,3,0)</f>
        <v>5550</v>
      </c>
      <c r="B154" s="2">
        <v>8343</v>
      </c>
      <c r="C154" s="41" t="s">
        <v>758</v>
      </c>
      <c r="D154" s="18">
        <v>81.61</v>
      </c>
      <c r="E154" s="530">
        <v>261.39999999999998</v>
      </c>
      <c r="F154" s="283">
        <f t="shared" si="2"/>
        <v>3.2030388432790096</v>
      </c>
    </row>
    <row r="155" spans="1:6" ht="14">
      <c r="A155" s="42">
        <f>VLOOKUP(B155,'codes Ltd'!A:C,3,0)</f>
        <v>5330</v>
      </c>
      <c r="B155" s="2">
        <v>8344</v>
      </c>
      <c r="C155" s="41" t="s">
        <v>759</v>
      </c>
      <c r="D155" s="18">
        <v>1719.81</v>
      </c>
      <c r="E155" s="530">
        <v>5557.06</v>
      </c>
      <c r="F155" s="283">
        <f t="shared" si="2"/>
        <v>3.2312057727307089</v>
      </c>
    </row>
    <row r="156" spans="1:6" ht="14">
      <c r="A156" s="42">
        <f>VLOOKUP(B156,'codes Ltd'!A:C,3,0)</f>
        <v>5660</v>
      </c>
      <c r="B156" s="2">
        <v>8345</v>
      </c>
      <c r="C156" s="41" t="s">
        <v>760</v>
      </c>
      <c r="D156" s="18">
        <v>918.51</v>
      </c>
      <c r="E156" s="530">
        <v>2954</v>
      </c>
      <c r="F156" s="283">
        <f t="shared" si="2"/>
        <v>3.2160782136285944</v>
      </c>
    </row>
    <row r="157" spans="1:6" ht="14">
      <c r="A157" s="42">
        <f>VLOOKUP(B157,'codes Ltd'!A:C,3,0)</f>
        <v>5660</v>
      </c>
      <c r="B157" s="2">
        <v>8020</v>
      </c>
      <c r="C157" s="41" t="s">
        <v>761</v>
      </c>
      <c r="D157" s="18">
        <v>2532.21</v>
      </c>
      <c r="E157" s="530">
        <v>8219.8700000000008</v>
      </c>
      <c r="F157" s="283">
        <f t="shared" si="2"/>
        <v>3.2461249264476488</v>
      </c>
    </row>
    <row r="158" spans="1:6" ht="14">
      <c r="A158" s="42">
        <f>VLOOKUP(B158,'codes Ltd'!A:C,3,0)</f>
        <v>5660</v>
      </c>
      <c r="B158" s="2">
        <v>8021</v>
      </c>
      <c r="C158" s="467" t="s">
        <v>221</v>
      </c>
      <c r="D158" s="18">
        <v>848.45</v>
      </c>
      <c r="E158" s="530">
        <v>2856.11</v>
      </c>
      <c r="F158" s="283">
        <f t="shared" si="2"/>
        <v>3.3662679002887619</v>
      </c>
    </row>
    <row r="159" spans="1:6" ht="14">
      <c r="A159" s="42">
        <f>VLOOKUP(B159,'codes Ltd'!A:C,3,0)</f>
        <v>5660</v>
      </c>
      <c r="B159" s="2">
        <v>8024</v>
      </c>
      <c r="C159" s="467" t="s">
        <v>762</v>
      </c>
      <c r="D159" s="18">
        <v>1898.5</v>
      </c>
      <c r="E159" s="530">
        <v>6636.02</v>
      </c>
      <c r="F159" s="283">
        <f t="shared" si="2"/>
        <v>3.4954016328680542</v>
      </c>
    </row>
    <row r="160" spans="1:6" ht="14">
      <c r="A160" s="42">
        <f>VLOOKUP(B160,'codes Ltd'!A:C,3,0)</f>
        <v>5660</v>
      </c>
      <c r="B160" s="2">
        <v>4012</v>
      </c>
      <c r="C160" s="41" t="s">
        <v>582</v>
      </c>
      <c r="D160" s="18">
        <v>148.83000000000001</v>
      </c>
      <c r="E160" s="530">
        <v>470</v>
      </c>
      <c r="F160" s="283">
        <f t="shared" si="2"/>
        <v>3.1579654639521597</v>
      </c>
    </row>
    <row r="161" spans="1:6" ht="14">
      <c r="A161" s="42">
        <f>VLOOKUP(B161,'codes Ltd'!A:C,3,0)</f>
        <v>5660</v>
      </c>
      <c r="B161" s="2">
        <v>8019</v>
      </c>
      <c r="C161" s="467" t="s">
        <v>589</v>
      </c>
      <c r="D161" s="18">
        <v>3129.99</v>
      </c>
      <c r="E161" s="530">
        <v>9993.18</v>
      </c>
      <c r="F161" s="283">
        <f t="shared" si="2"/>
        <v>3.1927194655573983</v>
      </c>
    </row>
    <row r="162" spans="1:6" ht="14">
      <c r="A162" s="42">
        <f>VLOOKUP(B162,'codes Ltd'!A:C,3,0)</f>
        <v>5610</v>
      </c>
      <c r="B162" s="2">
        <v>8036</v>
      </c>
      <c r="C162" s="41" t="s">
        <v>763</v>
      </c>
      <c r="D162" s="18">
        <v>5018.87</v>
      </c>
      <c r="E162" s="530">
        <v>17037.57</v>
      </c>
      <c r="F162" s="283">
        <f t="shared" si="2"/>
        <v>3.3947023931681835</v>
      </c>
    </row>
    <row r="163" spans="1:6" ht="14">
      <c r="A163" s="42">
        <f>VLOOKUP(B163,'codes Ltd'!A:C,3,0)</f>
        <v>5680</v>
      </c>
      <c r="B163" s="193">
        <v>8037</v>
      </c>
      <c r="C163" s="41" t="s">
        <v>590</v>
      </c>
      <c r="D163" s="18">
        <v>2246.6799999999998</v>
      </c>
      <c r="E163" s="530">
        <v>7298.27</v>
      </c>
      <c r="F163" s="283">
        <f t="shared" si="2"/>
        <v>3.2484688518169036</v>
      </c>
    </row>
    <row r="164" spans="1:6" ht="14">
      <c r="A164" s="42">
        <f>VLOOKUP(B164,'codes Ltd'!A:C,3,0)</f>
        <v>5660</v>
      </c>
      <c r="B164" s="2">
        <v>8038</v>
      </c>
      <c r="C164" s="467" t="s">
        <v>591</v>
      </c>
      <c r="D164" s="18">
        <v>5658.96</v>
      </c>
      <c r="E164" s="530">
        <v>18116.990000000002</v>
      </c>
      <c r="F164" s="283">
        <f t="shared" si="2"/>
        <v>3.2014698813916342</v>
      </c>
    </row>
    <row r="165" spans="1:6" ht="14">
      <c r="A165" s="42">
        <f>VLOOKUP(B165,'codes Ltd'!A:C,3,0)</f>
        <v>5610</v>
      </c>
      <c r="B165" s="2">
        <v>8040</v>
      </c>
      <c r="C165" s="41" t="s">
        <v>764</v>
      </c>
      <c r="D165" s="18">
        <v>126463.8</v>
      </c>
      <c r="E165" s="530">
        <v>407306</v>
      </c>
      <c r="F165" s="283">
        <f t="shared" si="2"/>
        <v>3.2207319406818393</v>
      </c>
    </row>
    <row r="166" spans="1:6" ht="14">
      <c r="A166" s="42">
        <f>VLOOKUP(B166,'codes Ltd'!A:C,3,0)</f>
        <v>5660</v>
      </c>
      <c r="B166" s="2">
        <v>8041</v>
      </c>
      <c r="C166" s="467" t="s">
        <v>765</v>
      </c>
      <c r="D166" s="18">
        <v>441.08</v>
      </c>
      <c r="E166" s="530">
        <v>1438.62</v>
      </c>
      <c r="F166" s="283">
        <f t="shared" si="2"/>
        <v>3.2615851999637253</v>
      </c>
    </row>
    <row r="167" spans="1:6" ht="14">
      <c r="A167" s="42">
        <f>VLOOKUP(B167,'codes Ltd'!A:C,3,0)</f>
        <v>5540</v>
      </c>
      <c r="B167" s="2">
        <v>8011</v>
      </c>
      <c r="C167" s="41" t="s">
        <v>766</v>
      </c>
      <c r="D167" s="18">
        <v>51.16</v>
      </c>
      <c r="E167" s="530">
        <v>161.56</v>
      </c>
      <c r="F167" s="283">
        <f t="shared" si="2"/>
        <v>3.1579358874120409</v>
      </c>
    </row>
    <row r="168" spans="1:6" ht="14">
      <c r="A168" s="42">
        <f>VLOOKUP(B168,'codes Ltd'!A:C,3,0)</f>
        <v>5540</v>
      </c>
      <c r="B168" s="2">
        <v>8064</v>
      </c>
      <c r="C168" s="41" t="s">
        <v>480</v>
      </c>
      <c r="D168" s="18">
        <v>141.69</v>
      </c>
      <c r="E168" s="530">
        <v>452.44</v>
      </c>
      <c r="F168" s="283">
        <f t="shared" si="2"/>
        <v>3.1931681840638011</v>
      </c>
    </row>
    <row r="169" spans="1:6" ht="14">
      <c r="A169" s="42">
        <f>VLOOKUP(B169,'codes Ltd'!A:C,3,0)</f>
        <v>5680</v>
      </c>
      <c r="B169" s="2">
        <v>8069</v>
      </c>
      <c r="C169" s="41" t="s">
        <v>767</v>
      </c>
      <c r="D169" s="18">
        <v>5226.99</v>
      </c>
      <c r="E169" s="530">
        <v>17064.669999999998</v>
      </c>
      <c r="F169" s="283">
        <f t="shared" si="2"/>
        <v>3.2647221441020546</v>
      </c>
    </row>
    <row r="170" spans="1:6" ht="14">
      <c r="A170" s="42">
        <f>VLOOKUP(B170,'codes Ltd'!A:C,3,0)</f>
        <v>5420</v>
      </c>
      <c r="B170" s="2">
        <v>8070</v>
      </c>
      <c r="C170" s="41" t="s">
        <v>768</v>
      </c>
      <c r="D170" s="18">
        <v>9079.7099999999991</v>
      </c>
      <c r="E170" s="530">
        <v>29820.89</v>
      </c>
      <c r="F170" s="283">
        <f t="shared" si="2"/>
        <v>3.2843438832297509</v>
      </c>
    </row>
    <row r="171" spans="1:6" ht="14">
      <c r="A171" s="42">
        <f>VLOOKUP(B171,'codes Ltd'!A:C,3,0)</f>
        <v>5420</v>
      </c>
      <c r="B171" s="2">
        <v>8071</v>
      </c>
      <c r="C171" s="41" t="s">
        <v>769</v>
      </c>
      <c r="D171" s="18">
        <v>1007.77</v>
      </c>
      <c r="E171" s="530">
        <v>3225.87</v>
      </c>
      <c r="F171" s="283">
        <f t="shared" si="2"/>
        <v>3.2009982436468638</v>
      </c>
    </row>
    <row r="172" spans="1:6" ht="14">
      <c r="A172" s="42">
        <f>VLOOKUP(B172,'codes Ltd'!A:C,3,0)</f>
        <v>5420</v>
      </c>
      <c r="B172" s="2">
        <v>8072</v>
      </c>
      <c r="C172" s="41" t="s">
        <v>770</v>
      </c>
      <c r="D172" s="18">
        <v>5642.41</v>
      </c>
      <c r="E172" s="530">
        <v>17673.490000000002</v>
      </c>
      <c r="F172" s="283">
        <f t="shared" si="2"/>
        <v>3.1322590878720269</v>
      </c>
    </row>
    <row r="173" spans="1:6" ht="14">
      <c r="A173" s="42">
        <f>VLOOKUP(B173,'codes Ltd'!A:C,3,0)</f>
        <v>5680</v>
      </c>
      <c r="B173" s="2">
        <v>8073</v>
      </c>
      <c r="C173" s="41" t="s">
        <v>771</v>
      </c>
      <c r="D173" s="18">
        <v>834.13</v>
      </c>
      <c r="E173" s="530">
        <v>2634.17</v>
      </c>
      <c r="F173" s="283">
        <f t="shared" si="2"/>
        <v>3.1579849663721484</v>
      </c>
    </row>
    <row r="174" spans="1:6" ht="14">
      <c r="A174" s="42">
        <f>VLOOKUP(B174,'codes Ltd'!A:C,3,0)</f>
        <v>5420</v>
      </c>
      <c r="B174" s="2">
        <v>8074</v>
      </c>
      <c r="C174" s="41" t="s">
        <v>772</v>
      </c>
      <c r="D174" s="18">
        <v>8069.83</v>
      </c>
      <c r="E174" s="530">
        <v>25247.200000000001</v>
      </c>
      <c r="F174" s="283">
        <f t="shared" si="2"/>
        <v>3.1285913086149275</v>
      </c>
    </row>
    <row r="175" spans="1:6" ht="14">
      <c r="A175" s="42">
        <f>VLOOKUP(B175,'codes Ltd'!A:C,3,0)</f>
        <v>5680</v>
      </c>
      <c r="B175" s="2">
        <v>8075</v>
      </c>
      <c r="C175" s="41" t="s">
        <v>773</v>
      </c>
      <c r="D175" s="18">
        <v>4093.11</v>
      </c>
      <c r="E175" s="530">
        <v>12921.95</v>
      </c>
      <c r="F175" s="283">
        <f t="shared" si="2"/>
        <v>3.1570004226614969</v>
      </c>
    </row>
    <row r="176" spans="1:6" ht="14">
      <c r="A176" s="42">
        <f>VLOOKUP(B176,'codes Ltd'!A:C,3,0)</f>
        <v>5660</v>
      </c>
      <c r="B176" s="2">
        <v>8023</v>
      </c>
      <c r="C176" s="467" t="s">
        <v>592</v>
      </c>
      <c r="D176" s="18">
        <v>14922.68</v>
      </c>
      <c r="E176" s="530">
        <v>48034.68</v>
      </c>
      <c r="F176" s="283">
        <f t="shared" si="2"/>
        <v>3.2189043791061658</v>
      </c>
    </row>
    <row r="177" spans="1:6" ht="14">
      <c r="A177" s="42">
        <f>VLOOKUP(B177,'codes Ltd'!A:C,3,0)</f>
        <v>5405</v>
      </c>
      <c r="B177" s="2">
        <v>8001</v>
      </c>
      <c r="C177" s="41" t="s">
        <v>774</v>
      </c>
      <c r="D177" s="18">
        <v>272586.36</v>
      </c>
      <c r="E177" s="530">
        <v>877810.26</v>
      </c>
      <c r="F177" s="283">
        <f t="shared" si="2"/>
        <v>3.2203014853714618</v>
      </c>
    </row>
    <row r="178" spans="1:6" ht="14">
      <c r="A178" s="42">
        <f>VLOOKUP(B178,'codes Ltd'!A:C,3,0)</f>
        <v>5310</v>
      </c>
      <c r="B178" s="2">
        <v>8002</v>
      </c>
      <c r="C178" s="41" t="s">
        <v>775</v>
      </c>
      <c r="D178" s="18">
        <v>189300.92</v>
      </c>
      <c r="E178" s="530">
        <v>619841.1</v>
      </c>
      <c r="F178" s="283">
        <f t="shared" si="2"/>
        <v>3.2743691895422375</v>
      </c>
    </row>
    <row r="179" spans="1:6" ht="14">
      <c r="A179" s="42">
        <f>VLOOKUP(B179,'codes Ltd'!A:C,3,0)</f>
        <v>5320</v>
      </c>
      <c r="B179" s="2">
        <v>8003</v>
      </c>
      <c r="C179" s="41" t="s">
        <v>776</v>
      </c>
      <c r="D179" s="18">
        <v>75205.320000000007</v>
      </c>
      <c r="E179" s="530">
        <v>244728.9</v>
      </c>
      <c r="F179" s="283">
        <f t="shared" si="2"/>
        <v>3.2541434568724656</v>
      </c>
    </row>
    <row r="180" spans="1:6" ht="14">
      <c r="A180" s="42">
        <f>VLOOKUP(B180,'codes Ltd'!A:C,3,0)</f>
        <v>5610</v>
      </c>
      <c r="B180" s="2">
        <v>8012</v>
      </c>
      <c r="C180" s="41" t="s">
        <v>777</v>
      </c>
      <c r="D180" s="18">
        <v>218768.33</v>
      </c>
      <c r="E180" s="530">
        <v>704404.7</v>
      </c>
      <c r="F180" s="283">
        <f t="shared" si="2"/>
        <v>3.2198659650599333</v>
      </c>
    </row>
    <row r="181" spans="1:6" ht="14">
      <c r="A181" s="42">
        <f>VLOOKUP(B181,'codes Ltd'!A:C,3,0)</f>
        <v>5610</v>
      </c>
      <c r="B181" s="2">
        <v>8016</v>
      </c>
      <c r="C181" s="41" t="s">
        <v>778</v>
      </c>
      <c r="D181" s="18">
        <v>234949.25</v>
      </c>
      <c r="E181" s="530">
        <v>756075.2</v>
      </c>
      <c r="F181" s="283">
        <f t="shared" si="2"/>
        <v>3.218036235484897</v>
      </c>
    </row>
    <row r="182" spans="1:6" ht="14">
      <c r="A182" s="42">
        <f>VLOOKUP(B182,'codes Ltd'!A:C,3,0)</f>
        <v>5610</v>
      </c>
      <c r="B182" s="2">
        <v>8017</v>
      </c>
      <c r="C182" s="41" t="s">
        <v>779</v>
      </c>
      <c r="D182" s="18">
        <v>29394.560000000001</v>
      </c>
      <c r="E182" s="530">
        <v>94991.77</v>
      </c>
      <c r="F182" s="283">
        <f t="shared" si="2"/>
        <v>3.2316105429031765</v>
      </c>
    </row>
    <row r="183" spans="1:6" ht="14">
      <c r="A183" s="42">
        <f>VLOOKUP(B183,'codes Ltd'!A:C,3,0)</f>
        <v>5610</v>
      </c>
      <c r="B183" s="2">
        <v>8018</v>
      </c>
      <c r="C183" s="41" t="s">
        <v>780</v>
      </c>
      <c r="D183" s="18">
        <v>7018.3</v>
      </c>
      <c r="E183" s="530">
        <v>22685.32</v>
      </c>
      <c r="F183" s="283">
        <f t="shared" si="2"/>
        <v>3.2323098186170438</v>
      </c>
    </row>
    <row r="184" spans="1:6" ht="14">
      <c r="A184" s="42">
        <f>VLOOKUP(B184,'codes Ltd'!A:C,3,0)</f>
        <v>5610</v>
      </c>
      <c r="B184" s="2">
        <v>8060</v>
      </c>
      <c r="C184" s="41" t="s">
        <v>781</v>
      </c>
      <c r="D184" s="18">
        <v>4815.3500000000004</v>
      </c>
      <c r="E184" s="530">
        <v>15715.29</v>
      </c>
      <c r="F184" s="283">
        <f t="shared" si="2"/>
        <v>3.2635820864526979</v>
      </c>
    </row>
    <row r="185" spans="1:6" ht="14">
      <c r="A185" s="42">
        <f>VLOOKUP(B185,'codes Ltd'!A:C,3,0)</f>
        <v>5660</v>
      </c>
      <c r="B185" s="2">
        <v>8082</v>
      </c>
      <c r="C185" s="41" t="s">
        <v>190</v>
      </c>
      <c r="D185" s="18">
        <v>20476.54</v>
      </c>
      <c r="E185" s="530">
        <v>65632.460000000006</v>
      </c>
      <c r="F185" s="283">
        <f t="shared" si="2"/>
        <v>3.2052514731492723</v>
      </c>
    </row>
    <row r="186" spans="1:6" ht="14">
      <c r="A186" s="42">
        <f>VLOOKUP(B186,'codes Ltd'!A:C,3,0)</f>
        <v>5410</v>
      </c>
      <c r="B186" s="2">
        <v>8084</v>
      </c>
      <c r="C186" s="41" t="s">
        <v>782</v>
      </c>
      <c r="D186" s="18">
        <v>71193.36</v>
      </c>
      <c r="E186" s="530">
        <v>227249.92000000001</v>
      </c>
      <c r="F186" s="283">
        <f t="shared" si="2"/>
        <v>3.1920100413858821</v>
      </c>
    </row>
    <row r="187" spans="1:6" ht="14">
      <c r="A187" s="42">
        <f>VLOOKUP(B187,'codes Ltd'!A:C,3,0)</f>
        <v>5500</v>
      </c>
      <c r="B187" s="2">
        <v>8100</v>
      </c>
      <c r="C187" s="41" t="s">
        <v>783</v>
      </c>
      <c r="D187" s="18">
        <v>15000</v>
      </c>
      <c r="E187" s="530">
        <v>48960</v>
      </c>
      <c r="F187" s="283">
        <f t="shared" si="2"/>
        <v>3.2639999999999998</v>
      </c>
    </row>
    <row r="188" spans="1:6" ht="14">
      <c r="A188" s="42">
        <f>VLOOKUP(B188,'codes Ltd'!A:C,3,0)</f>
        <v>5500</v>
      </c>
      <c r="B188" s="2">
        <v>8110</v>
      </c>
      <c r="C188" s="41" t="s">
        <v>593</v>
      </c>
      <c r="D188" s="18">
        <v>1171.1300000000001</v>
      </c>
      <c r="E188" s="530">
        <v>3822.57</v>
      </c>
      <c r="F188" s="283">
        <f t="shared" si="2"/>
        <v>3.2640014345119668</v>
      </c>
    </row>
    <row r="189" spans="1:6" ht="14">
      <c r="A189" s="42">
        <f>VLOOKUP(B189,'codes Ltd'!A:C,3,0)</f>
        <v>5500</v>
      </c>
      <c r="B189" s="2">
        <v>8150</v>
      </c>
      <c r="C189" s="41" t="s">
        <v>784</v>
      </c>
      <c r="D189" s="18">
        <v>11711.44</v>
      </c>
      <c r="E189" s="530">
        <v>36642</v>
      </c>
      <c r="F189" s="283">
        <f t="shared" si="2"/>
        <v>3.1287356635904722</v>
      </c>
    </row>
    <row r="190" spans="1:6" ht="14">
      <c r="A190" s="42">
        <f>VLOOKUP(B190,'codes Ltd'!A:C,3,0)</f>
        <v>5500</v>
      </c>
      <c r="B190" s="2">
        <v>8151</v>
      </c>
      <c r="C190" s="41" t="s">
        <v>785</v>
      </c>
      <c r="D190" s="18">
        <v>777.37</v>
      </c>
      <c r="E190" s="530">
        <v>2431.21</v>
      </c>
      <c r="F190" s="283">
        <f t="shared" si="2"/>
        <v>3.1274811222455203</v>
      </c>
    </row>
    <row r="191" spans="1:6" ht="14">
      <c r="A191" s="42">
        <f>VLOOKUP(B191,'codes Ltd'!A:C,3,0)</f>
        <v>5500</v>
      </c>
      <c r="B191" s="2">
        <v>8152</v>
      </c>
      <c r="C191" s="41" t="s">
        <v>786</v>
      </c>
      <c r="D191" s="18">
        <v>1664.66</v>
      </c>
      <c r="E191" s="530">
        <v>5207.1000000000004</v>
      </c>
      <c r="F191" s="283">
        <f t="shared" si="2"/>
        <v>3.1280261434767462</v>
      </c>
    </row>
    <row r="192" spans="1:6" ht="14">
      <c r="A192" s="42">
        <f>VLOOKUP(B192,'codes Ltd'!A:C,3,0)</f>
        <v>5500</v>
      </c>
      <c r="B192" s="2">
        <v>8153</v>
      </c>
      <c r="C192" s="41" t="s">
        <v>787</v>
      </c>
      <c r="D192" s="18">
        <v>670.94</v>
      </c>
      <c r="E192" s="530">
        <v>2101.8000000000002</v>
      </c>
      <c r="F192" s="283">
        <f t="shared" si="2"/>
        <v>3.132619906399976</v>
      </c>
    </row>
    <row r="193" spans="1:6" ht="14">
      <c r="A193" s="42">
        <f>VLOOKUP(B193,'codes Ltd'!A:C,3,0)</f>
        <v>5500</v>
      </c>
      <c r="B193" s="2">
        <v>8154</v>
      </c>
      <c r="C193" s="41" t="s">
        <v>788</v>
      </c>
      <c r="D193" s="18">
        <v>-666.94</v>
      </c>
      <c r="E193" s="530">
        <v>-2089.1</v>
      </c>
      <c r="F193" s="283">
        <f t="shared" si="2"/>
        <v>3.1323657300506786</v>
      </c>
    </row>
    <row r="194" spans="1:6" ht="14">
      <c r="A194" s="42">
        <f>VLOOKUP(B194,'codes Ltd'!A:C,3,0)</f>
        <v>5500</v>
      </c>
      <c r="B194" s="2">
        <v>8155</v>
      </c>
      <c r="C194" s="41" t="s">
        <v>789</v>
      </c>
      <c r="D194" s="18">
        <v>666.94</v>
      </c>
      <c r="E194" s="530">
        <v>2089.1</v>
      </c>
      <c r="F194" s="283">
        <f t="shared" si="2"/>
        <v>3.1323657300506786</v>
      </c>
    </row>
    <row r="195" spans="1:6" ht="14">
      <c r="A195" s="42">
        <f>VLOOKUP(B195,'codes Ltd'!A:C,3,0)</f>
        <v>5510</v>
      </c>
      <c r="B195" s="2">
        <v>8106</v>
      </c>
      <c r="C195" s="41" t="s">
        <v>790</v>
      </c>
      <c r="D195" s="18">
        <v>654.30999999999995</v>
      </c>
      <c r="E195" s="530">
        <v>2125.29</v>
      </c>
      <c r="F195" s="283">
        <f t="shared" si="2"/>
        <v>3.2481392612064619</v>
      </c>
    </row>
    <row r="196" spans="1:6" ht="14">
      <c r="A196" s="42">
        <f>VLOOKUP(B196,'codes Ltd'!A:C,3,0)</f>
        <v>5510</v>
      </c>
      <c r="B196" s="2">
        <v>8107</v>
      </c>
      <c r="C196" s="41" t="s">
        <v>527</v>
      </c>
      <c r="D196" s="18">
        <v>17876.96</v>
      </c>
      <c r="E196" s="530">
        <v>58023.6</v>
      </c>
      <c r="F196" s="283">
        <f t="shared" si="2"/>
        <v>3.2457196301832081</v>
      </c>
    </row>
    <row r="197" spans="1:6" ht="14">
      <c r="A197" s="42">
        <f>VLOOKUP(B197,'codes Ltd'!A:C,3,0)</f>
        <v>5510</v>
      </c>
      <c r="B197" s="2">
        <v>8162</v>
      </c>
      <c r="C197" s="41" t="s">
        <v>791</v>
      </c>
      <c r="D197" s="18">
        <v>17742.86</v>
      </c>
      <c r="E197" s="530">
        <v>57745.88</v>
      </c>
      <c r="F197" s="283">
        <f t="shared" si="2"/>
        <v>3.2545981876653478</v>
      </c>
    </row>
    <row r="198" spans="1:6" ht="14">
      <c r="A198" s="42">
        <f>VLOOKUP(B198,'codes Ltd'!A:C,3,0)</f>
        <v>5660</v>
      </c>
      <c r="B198" s="2">
        <v>8163</v>
      </c>
      <c r="C198" s="41" t="s">
        <v>792</v>
      </c>
      <c r="D198" s="18">
        <v>54.31</v>
      </c>
      <c r="E198" s="530">
        <v>169.06</v>
      </c>
      <c r="F198" s="283">
        <f t="shared" si="2"/>
        <v>3.112870557908304</v>
      </c>
    </row>
    <row r="199" spans="1:6" ht="14">
      <c r="A199" s="42">
        <f>VLOOKUP(B199,'codes Ltd'!A:C,3,0)</f>
        <v>5550</v>
      </c>
      <c r="B199" s="2">
        <v>8109</v>
      </c>
      <c r="C199" s="41" t="s">
        <v>793</v>
      </c>
      <c r="D199" s="18">
        <v>680.19</v>
      </c>
      <c r="E199" s="530">
        <v>2194.98</v>
      </c>
      <c r="F199" s="283">
        <f t="shared" ref="F199:F237" si="3">E199/D199</f>
        <v>3.2270101001190841</v>
      </c>
    </row>
    <row r="200" spans="1:6" ht="14">
      <c r="A200" s="42">
        <f>VLOOKUP(B200,'codes Ltd'!A:C,3,0)</f>
        <v>5660</v>
      </c>
      <c r="B200" s="2">
        <v>8111</v>
      </c>
      <c r="C200" s="41" t="s">
        <v>794</v>
      </c>
      <c r="D200" s="18">
        <v>91.98</v>
      </c>
      <c r="E200" s="530">
        <v>294.99</v>
      </c>
      <c r="F200" s="283">
        <f t="shared" si="3"/>
        <v>3.2071102413568164</v>
      </c>
    </row>
    <row r="201" spans="1:6" ht="14">
      <c r="A201" s="42">
        <f>VLOOKUP(B201,'codes Ltd'!A:C,3,0)</f>
        <v>5600</v>
      </c>
      <c r="B201" s="2">
        <v>8450</v>
      </c>
      <c r="C201" s="41" t="s">
        <v>795</v>
      </c>
      <c r="D201" s="18">
        <v>67287.58</v>
      </c>
      <c r="E201" s="530">
        <v>214370</v>
      </c>
      <c r="F201" s="283">
        <f t="shared" si="3"/>
        <v>3.1858776909498006</v>
      </c>
    </row>
    <row r="202" spans="1:6" ht="14">
      <c r="A202" s="42">
        <f>VLOOKUP(B202,'codes Ltd'!A:C,3,0)</f>
        <v>5600</v>
      </c>
      <c r="B202" s="2">
        <v>8451</v>
      </c>
      <c r="C202" s="41" t="s">
        <v>796</v>
      </c>
      <c r="D202" s="18">
        <v>4454.26</v>
      </c>
      <c r="E202" s="530">
        <v>14191.04</v>
      </c>
      <c r="F202" s="283">
        <f t="shared" si="3"/>
        <v>3.1859478342081515</v>
      </c>
    </row>
    <row r="203" spans="1:6" ht="14">
      <c r="A203" s="42">
        <f>VLOOKUP(B203,'codes Ltd'!A:C,3,0)</f>
        <v>5600</v>
      </c>
      <c r="B203" s="2">
        <v>8452</v>
      </c>
      <c r="C203" s="41" t="s">
        <v>797</v>
      </c>
      <c r="D203" s="18">
        <v>9718.17</v>
      </c>
      <c r="E203" s="530">
        <v>30935.38</v>
      </c>
      <c r="F203" s="283">
        <f t="shared" si="3"/>
        <v>3.183251579258235</v>
      </c>
    </row>
    <row r="204" spans="1:6" ht="14">
      <c r="A204" s="42">
        <f>VLOOKUP(B204,'codes Ltd'!A:C,3,0)</f>
        <v>5600</v>
      </c>
      <c r="B204" s="2">
        <v>8453</v>
      </c>
      <c r="C204" s="41" t="s">
        <v>798</v>
      </c>
      <c r="D204" s="18">
        <v>4209.0200000000004</v>
      </c>
      <c r="E204" s="530">
        <v>13393.8</v>
      </c>
      <c r="F204" s="283">
        <f t="shared" si="3"/>
        <v>3.1821659198578285</v>
      </c>
    </row>
    <row r="205" spans="1:6" ht="14">
      <c r="A205" s="42">
        <f>VLOOKUP(B205,'codes Ltd'!A:C,3,0)</f>
        <v>5600</v>
      </c>
      <c r="B205" s="2">
        <v>8454</v>
      </c>
      <c r="C205" s="41" t="s">
        <v>799</v>
      </c>
      <c r="D205" s="18">
        <v>-4376.5</v>
      </c>
      <c r="E205" s="530">
        <v>-13954.99</v>
      </c>
      <c r="F205" s="283">
        <f t="shared" si="3"/>
        <v>3.1886187592825315</v>
      </c>
    </row>
    <row r="206" spans="1:6" ht="14">
      <c r="A206" s="42">
        <f>VLOOKUP(B206,'codes Ltd'!A:C,3,0)</f>
        <v>5600</v>
      </c>
      <c r="B206" s="2">
        <v>8455</v>
      </c>
      <c r="C206" s="41" t="s">
        <v>800</v>
      </c>
      <c r="D206" s="18">
        <v>4376.5</v>
      </c>
      <c r="E206" s="530">
        <v>13954.99</v>
      </c>
      <c r="F206" s="283">
        <f t="shared" si="3"/>
        <v>3.1886187592825315</v>
      </c>
    </row>
    <row r="207" spans="1:6" ht="14">
      <c r="A207" s="42">
        <f>VLOOKUP(B207,'codes Ltd'!A:C,3,0)</f>
        <v>5600</v>
      </c>
      <c r="B207" s="2">
        <v>8456</v>
      </c>
      <c r="C207" s="41" t="s">
        <v>801</v>
      </c>
      <c r="D207" s="18">
        <v>27458.52</v>
      </c>
      <c r="E207" s="530">
        <v>85396</v>
      </c>
      <c r="F207" s="283">
        <f t="shared" si="3"/>
        <v>3.1100001019719925</v>
      </c>
    </row>
    <row r="208" spans="1:6" ht="14">
      <c r="A208" s="42">
        <f>VLOOKUP(B208,'codes Ltd'!A:C,3,0)</f>
        <v>5400</v>
      </c>
      <c r="B208" s="2">
        <v>8250</v>
      </c>
      <c r="C208" s="41" t="s">
        <v>802</v>
      </c>
      <c r="D208" s="18">
        <v>1855588.13</v>
      </c>
      <c r="E208" s="530">
        <v>5949508.6900000004</v>
      </c>
      <c r="F208" s="283">
        <f t="shared" si="3"/>
        <v>3.2062657622195507</v>
      </c>
    </row>
    <row r="209" spans="1:6" ht="14">
      <c r="A209" s="42">
        <f>VLOOKUP(B209,'codes Ltd'!A:C,3,0)</f>
        <v>5400</v>
      </c>
      <c r="B209" s="2">
        <v>8251</v>
      </c>
      <c r="C209" s="41" t="s">
        <v>803</v>
      </c>
      <c r="D209" s="18">
        <v>126930.88</v>
      </c>
      <c r="E209" s="530">
        <v>406903.15</v>
      </c>
      <c r="F209" s="283">
        <f t="shared" si="3"/>
        <v>3.2057065231092703</v>
      </c>
    </row>
    <row r="210" spans="1:6" ht="14">
      <c r="A210" s="42">
        <f>VLOOKUP(B210,'codes Ltd'!A:C,3,0)</f>
        <v>5400</v>
      </c>
      <c r="B210" s="2">
        <v>8252</v>
      </c>
      <c r="C210" s="41" t="s">
        <v>804</v>
      </c>
      <c r="D210" s="18">
        <v>268593.46999999997</v>
      </c>
      <c r="E210" s="530">
        <v>860860.58</v>
      </c>
      <c r="F210" s="283">
        <f t="shared" si="3"/>
        <v>3.2050689095308238</v>
      </c>
    </row>
    <row r="211" spans="1:6" ht="14">
      <c r="A211" s="42">
        <f>VLOOKUP(B211,'codes Ltd'!A:C,3,0)</f>
        <v>5400</v>
      </c>
      <c r="B211" s="2">
        <v>8253</v>
      </c>
      <c r="C211" s="41" t="s">
        <v>805</v>
      </c>
      <c r="D211" s="18">
        <v>53920.91</v>
      </c>
      <c r="E211" s="530">
        <v>172809.54</v>
      </c>
      <c r="F211" s="283">
        <f t="shared" si="3"/>
        <v>3.2048706151287134</v>
      </c>
    </row>
    <row r="212" spans="1:6" ht="14">
      <c r="A212" s="42">
        <f>VLOOKUP(B212,'codes Ltd'!A:C,3,0)</f>
        <v>5400</v>
      </c>
      <c r="B212" s="2">
        <v>8254</v>
      </c>
      <c r="C212" s="41" t="s">
        <v>806</v>
      </c>
      <c r="D212" s="18">
        <v>-101941.22</v>
      </c>
      <c r="E212" s="530">
        <v>-326490.31</v>
      </c>
      <c r="F212" s="283">
        <f t="shared" si="3"/>
        <v>3.2027310444195192</v>
      </c>
    </row>
    <row r="213" spans="1:6" ht="14">
      <c r="A213" s="42">
        <f>VLOOKUP(B213,'codes Ltd'!A:C,3,0)</f>
        <v>5400</v>
      </c>
      <c r="B213" s="2">
        <v>8255</v>
      </c>
      <c r="C213" s="41" t="s">
        <v>807</v>
      </c>
      <c r="D213" s="18">
        <v>101941.22</v>
      </c>
      <c r="E213" s="530">
        <v>326490.31</v>
      </c>
      <c r="F213" s="283">
        <f t="shared" si="3"/>
        <v>3.2027310444195192</v>
      </c>
    </row>
    <row r="214" spans="1:6" ht="14">
      <c r="A214" s="42">
        <f>VLOOKUP(B214,'codes Ltd'!A:C,3,0)</f>
        <v>5400</v>
      </c>
      <c r="B214" s="2">
        <v>8256</v>
      </c>
      <c r="C214" s="41" t="s">
        <v>808</v>
      </c>
      <c r="D214" s="18">
        <v>177591.64</v>
      </c>
      <c r="E214" s="530">
        <v>552310</v>
      </c>
      <c r="F214" s="283">
        <f t="shared" si="3"/>
        <v>3.1099999977476416</v>
      </c>
    </row>
    <row r="215" spans="1:6" ht="14">
      <c r="A215" s="42">
        <f>VLOOKUP(B215,'codes Ltd'!A:C,3,0)</f>
        <v>5300</v>
      </c>
      <c r="B215" s="2">
        <v>8350</v>
      </c>
      <c r="C215" s="41" t="s">
        <v>809</v>
      </c>
      <c r="D215" s="18">
        <v>1327432.6299999999</v>
      </c>
      <c r="E215" s="530">
        <v>4284847.05</v>
      </c>
      <c r="F215" s="283">
        <f t="shared" si="3"/>
        <v>3.22792053861144</v>
      </c>
    </row>
    <row r="216" spans="1:6" ht="14">
      <c r="A216" s="42">
        <f>VLOOKUP(B216,'codes Ltd'!A:C,3,0)</f>
        <v>5300</v>
      </c>
      <c r="B216" s="2">
        <v>8351</v>
      </c>
      <c r="C216" s="41" t="s">
        <v>810</v>
      </c>
      <c r="D216" s="18">
        <v>84833.53</v>
      </c>
      <c r="E216" s="530">
        <v>273691.48</v>
      </c>
      <c r="F216" s="283">
        <f t="shared" si="3"/>
        <v>3.2262182181974506</v>
      </c>
    </row>
    <row r="217" spans="1:6" ht="14">
      <c r="A217" s="42">
        <f>VLOOKUP(B217,'codes Ltd'!A:C,3,0)</f>
        <v>5300</v>
      </c>
      <c r="B217" s="2">
        <v>8352</v>
      </c>
      <c r="C217" s="41" t="s">
        <v>811</v>
      </c>
      <c r="D217" s="18">
        <v>175112.27</v>
      </c>
      <c r="E217" s="530">
        <v>564999.64</v>
      </c>
      <c r="F217" s="283">
        <f t="shared" si="3"/>
        <v>3.2264994337632653</v>
      </c>
    </row>
    <row r="218" spans="1:6" ht="14">
      <c r="A218" s="42">
        <f>VLOOKUP(B218,'codes Ltd'!A:C,3,0)</f>
        <v>5300</v>
      </c>
      <c r="B218" s="2">
        <v>8353</v>
      </c>
      <c r="C218" s="41" t="s">
        <v>812</v>
      </c>
      <c r="D218" s="18">
        <v>39729.68</v>
      </c>
      <c r="E218" s="530">
        <v>128165.09</v>
      </c>
      <c r="F218" s="283">
        <f t="shared" si="3"/>
        <v>3.2259280719099674</v>
      </c>
    </row>
    <row r="219" spans="1:6" ht="14">
      <c r="A219" s="42">
        <f>VLOOKUP(B219,'codes Ltd'!A:C,3,0)</f>
        <v>5300</v>
      </c>
      <c r="B219" s="2">
        <v>8354</v>
      </c>
      <c r="C219" s="41" t="s">
        <v>813</v>
      </c>
      <c r="D219" s="18">
        <v>-58463.13</v>
      </c>
      <c r="E219" s="530">
        <v>-188990.06</v>
      </c>
      <c r="F219" s="283">
        <f t="shared" si="3"/>
        <v>3.2326367062454575</v>
      </c>
    </row>
    <row r="220" spans="1:6" ht="14">
      <c r="A220" s="42">
        <f>VLOOKUP(B220,'codes Ltd'!A:C,3,0)</f>
        <v>5300</v>
      </c>
      <c r="B220" s="2">
        <v>8355</v>
      </c>
      <c r="C220" s="41" t="s">
        <v>814</v>
      </c>
      <c r="D220" s="18">
        <v>58463.13</v>
      </c>
      <c r="E220" s="530">
        <v>188990.06</v>
      </c>
      <c r="F220" s="283">
        <f t="shared" si="3"/>
        <v>3.2326367062454575</v>
      </c>
    </row>
    <row r="221" spans="1:6" ht="14">
      <c r="A221" s="42">
        <f>VLOOKUP(B221,'codes Ltd'!A:C,3,0)</f>
        <v>5300</v>
      </c>
      <c r="B221" s="2">
        <v>8356</v>
      </c>
      <c r="C221" s="41" t="s">
        <v>815</v>
      </c>
      <c r="D221" s="18">
        <v>2651.34</v>
      </c>
      <c r="E221" s="530">
        <v>8624.81</v>
      </c>
      <c r="F221" s="283">
        <f t="shared" si="3"/>
        <v>3.2530003696244161</v>
      </c>
    </row>
    <row r="222" spans="1:6" ht="14">
      <c r="A222" s="42">
        <f>VLOOKUP(B222,'codes Ltd'!A:C,3,0)</f>
        <v>5300</v>
      </c>
      <c r="B222" s="2">
        <v>8357</v>
      </c>
      <c r="C222" s="41" t="s">
        <v>816</v>
      </c>
      <c r="D222" s="18">
        <v>41832.800000000003</v>
      </c>
      <c r="E222" s="530">
        <v>130100</v>
      </c>
      <c r="F222" s="283">
        <f t="shared" si="3"/>
        <v>3.109999808762502</v>
      </c>
    </row>
    <row r="223" spans="1:6" ht="14">
      <c r="A223" s="42">
        <f>VLOOKUP(B223,'codes Ltd'!A:C,3,0)</f>
        <v>5410</v>
      </c>
      <c r="B223" s="2">
        <v>8208</v>
      </c>
      <c r="C223" s="41" t="s">
        <v>817</v>
      </c>
      <c r="D223" s="18">
        <v>10653.94</v>
      </c>
      <c r="E223" s="530">
        <v>33703.69</v>
      </c>
      <c r="F223" s="283">
        <f t="shared" si="3"/>
        <v>3.1634953829287569</v>
      </c>
    </row>
    <row r="224" spans="1:6" ht="14">
      <c r="A224" s="42">
        <f>VLOOKUP(B224,'codes Ltd'!A:C,3,0)</f>
        <v>5410</v>
      </c>
      <c r="B224" s="2">
        <v>8321</v>
      </c>
      <c r="C224" s="41" t="s">
        <v>818</v>
      </c>
      <c r="D224" s="18">
        <v>26822.54</v>
      </c>
      <c r="E224" s="530">
        <v>88610.66</v>
      </c>
      <c r="F224" s="283">
        <f t="shared" si="3"/>
        <v>3.3035894438036069</v>
      </c>
    </row>
    <row r="225" spans="1:6" ht="14">
      <c r="A225" s="42">
        <f>VLOOKUP(B225,'codes Ltd'!A:C,3,0)</f>
        <v>5410</v>
      </c>
      <c r="B225" s="2">
        <v>8326</v>
      </c>
      <c r="C225" s="41" t="s">
        <v>819</v>
      </c>
      <c r="D225" s="18">
        <v>352043.13</v>
      </c>
      <c r="E225" s="530">
        <v>1141030.3500000001</v>
      </c>
      <c r="F225" s="283">
        <f t="shared" si="3"/>
        <v>3.2411663593605704</v>
      </c>
    </row>
    <row r="226" spans="1:6" ht="14">
      <c r="A226" s="42">
        <f>VLOOKUP(B226,'codes Ltd'!A:C,3,0)</f>
        <v>5410</v>
      </c>
      <c r="B226" s="2">
        <v>8328</v>
      </c>
      <c r="C226" s="41" t="s">
        <v>820</v>
      </c>
      <c r="D226" s="18">
        <v>62992.71</v>
      </c>
      <c r="E226" s="530">
        <v>199478.64</v>
      </c>
      <c r="F226" s="283">
        <f t="shared" si="3"/>
        <v>3.1666940507877821</v>
      </c>
    </row>
    <row r="227" spans="1:6" ht="14">
      <c r="A227" s="42">
        <f>VLOOKUP(B227,'codes Ltd'!A:C,3,0)</f>
        <v>5330</v>
      </c>
      <c r="B227" s="2">
        <v>8400</v>
      </c>
      <c r="C227" s="41" t="s">
        <v>821</v>
      </c>
      <c r="D227" s="18">
        <v>25057.67</v>
      </c>
      <c r="E227" s="530">
        <v>84803</v>
      </c>
      <c r="F227" s="283">
        <f t="shared" si="3"/>
        <v>3.384313066617926</v>
      </c>
    </row>
    <row r="228" spans="1:6" ht="14">
      <c r="A228" s="42">
        <f>VLOOKUP(B228,'codes Ltd'!A:C,3,0)</f>
        <v>5670</v>
      </c>
      <c r="B228" s="2">
        <v>8401</v>
      </c>
      <c r="C228" s="41" t="s">
        <v>822</v>
      </c>
      <c r="D228" s="18">
        <v>9230.93</v>
      </c>
      <c r="E228" s="530">
        <v>31163.439999999999</v>
      </c>
      <c r="F228" s="283">
        <f t="shared" si="3"/>
        <v>3.3759805350056817</v>
      </c>
    </row>
    <row r="229" spans="1:6" ht="14">
      <c r="A229" s="42">
        <f>VLOOKUP(B229,'codes Ltd'!A:C,3,0)</f>
        <v>5430</v>
      </c>
      <c r="B229" s="2">
        <v>8402</v>
      </c>
      <c r="C229" s="41" t="s">
        <v>823</v>
      </c>
      <c r="D229" s="18">
        <v>30845.74</v>
      </c>
      <c r="E229" s="530">
        <v>104094.56</v>
      </c>
      <c r="F229" s="283">
        <f t="shared" si="3"/>
        <v>3.3746818847594513</v>
      </c>
    </row>
    <row r="230" spans="1:6" ht="14">
      <c r="A230" s="42">
        <f>VLOOKUP(B230,'codes Ltd'!A:C,3,0)</f>
        <v>5550</v>
      </c>
      <c r="B230" s="2">
        <v>8403</v>
      </c>
      <c r="C230" s="41" t="s">
        <v>824</v>
      </c>
      <c r="D230" s="18">
        <v>412</v>
      </c>
      <c r="E230" s="530">
        <v>1377</v>
      </c>
      <c r="F230" s="283">
        <f t="shared" si="3"/>
        <v>3.342233009708738</v>
      </c>
    </row>
    <row r="231" spans="1:6" ht="14">
      <c r="A231" s="42">
        <f>VLOOKUP(B231,'codes Ltd'!A:C,3,0)</f>
        <v>5700</v>
      </c>
      <c r="B231" s="2">
        <v>9000</v>
      </c>
      <c r="C231" s="41" t="s">
        <v>825</v>
      </c>
      <c r="D231" s="18">
        <v>107.62</v>
      </c>
      <c r="E231" s="530">
        <v>350.31</v>
      </c>
      <c r="F231" s="283">
        <f t="shared" si="3"/>
        <v>3.2550641144768631</v>
      </c>
    </row>
    <row r="232" spans="1:6" ht="14">
      <c r="A232" s="42">
        <f>VLOOKUP(B232,'codes Ltd'!A:C,3,0)</f>
        <v>5700</v>
      </c>
      <c r="B232" s="2">
        <v>9001</v>
      </c>
      <c r="C232" s="41" t="s">
        <v>826</v>
      </c>
      <c r="D232" s="18">
        <v>-1482.49</v>
      </c>
      <c r="E232" s="530">
        <v>-4826.8999999999996</v>
      </c>
      <c r="F232" s="283">
        <f t="shared" si="3"/>
        <v>3.2559410181518929</v>
      </c>
    </row>
    <row r="233" spans="1:6" ht="14">
      <c r="A233" s="42">
        <f>VLOOKUP(B233,'codes Ltd'!A:C,3,0)</f>
        <v>5700</v>
      </c>
      <c r="B233" s="2">
        <v>9005</v>
      </c>
      <c r="C233" s="41" t="s">
        <v>827</v>
      </c>
      <c r="D233" s="18">
        <v>-40.53</v>
      </c>
      <c r="E233" s="530">
        <v>-127.68</v>
      </c>
      <c r="F233" s="283">
        <f t="shared" si="3"/>
        <v>3.150259067357513</v>
      </c>
    </row>
    <row r="234" spans="1:6" ht="14">
      <c r="A234" s="42">
        <f>VLOOKUP(B234,'codes Ltd'!A:C,3,0)</f>
        <v>5700</v>
      </c>
      <c r="B234" s="2">
        <v>9006</v>
      </c>
      <c r="C234" s="41" t="s">
        <v>828</v>
      </c>
      <c r="D234" s="18">
        <v>6073.4</v>
      </c>
      <c r="E234" s="530">
        <v>19574.21</v>
      </c>
      <c r="F234" s="283">
        <f t="shared" si="3"/>
        <v>3.2229410215036061</v>
      </c>
    </row>
    <row r="235" spans="1:6" ht="14">
      <c r="A235" s="42">
        <f>VLOOKUP(B235,'codes Ltd'!A:C,3,0)</f>
        <v>5700</v>
      </c>
      <c r="B235" s="2">
        <v>9007</v>
      </c>
      <c r="C235" s="41" t="s">
        <v>829</v>
      </c>
      <c r="D235" s="18">
        <v>130.55000000000001</v>
      </c>
      <c r="E235" s="530">
        <v>411.99</v>
      </c>
      <c r="F235" s="283">
        <f t="shared" si="3"/>
        <v>3.1558023745691304</v>
      </c>
    </row>
    <row r="236" spans="1:6" ht="14">
      <c r="A236" s="42">
        <f>VLOOKUP(B236,'codes Ltd'!A:C,3,0)</f>
        <v>5700</v>
      </c>
      <c r="B236" s="2">
        <v>9004</v>
      </c>
      <c r="C236" s="41" t="s">
        <v>602</v>
      </c>
      <c r="D236" s="18">
        <v>-4326.95</v>
      </c>
      <c r="E236" s="530">
        <v>-437296.01</v>
      </c>
      <c r="F236" s="283">
        <f t="shared" si="3"/>
        <v>101.06333791700852</v>
      </c>
    </row>
    <row r="237" spans="1:6" ht="14">
      <c r="A237" s="42">
        <f>VLOOKUP(B237,'codes Ltd'!A:C,3,0)</f>
        <v>5700</v>
      </c>
      <c r="B237" s="2">
        <v>9999</v>
      </c>
      <c r="C237" s="41" t="s">
        <v>830</v>
      </c>
      <c r="D237" s="18">
        <v>2.09</v>
      </c>
      <c r="E237" s="530">
        <v>6.5</v>
      </c>
      <c r="F237" s="283">
        <f t="shared" si="3"/>
        <v>3.1100478468899522</v>
      </c>
    </row>
    <row r="241" spans="10:14">
      <c r="J241" s="531"/>
      <c r="K241" s="531"/>
      <c r="L241" s="531"/>
      <c r="M241" s="531"/>
      <c r="N241" s="531"/>
    </row>
    <row r="242" spans="10:14">
      <c r="J242" s="531"/>
      <c r="K242" s="531"/>
      <c r="L242" s="531"/>
      <c r="M242" s="531"/>
      <c r="N242" s="531"/>
    </row>
    <row r="243" spans="10:14">
      <c r="J243" s="531"/>
      <c r="K243" s="531"/>
      <c r="L243" s="531"/>
      <c r="M243" s="531"/>
      <c r="N243" s="531"/>
    </row>
    <row r="244" spans="10:14">
      <c r="J244" s="531"/>
      <c r="K244" s="531"/>
      <c r="L244" s="531"/>
      <c r="M244" s="531"/>
      <c r="N244" s="531"/>
    </row>
    <row r="245" spans="10:14">
      <c r="J245" s="531"/>
      <c r="K245" s="531"/>
      <c r="L245" s="531"/>
      <c r="M245" s="531"/>
      <c r="N245" s="531"/>
    </row>
    <row r="246" spans="10:14">
      <c r="J246" s="531"/>
      <c r="K246" s="531"/>
      <c r="L246" s="531"/>
      <c r="M246" s="531"/>
      <c r="N246" s="531"/>
    </row>
  </sheetData>
  <autoFilter ref="A1:F237" xr:uid="{00000000-0009-0000-0000-000008000000}"/>
  <sortState xmlns:xlrd2="http://schemas.microsoft.com/office/spreadsheetml/2017/richdata2" ref="B22:E84">
    <sortCondition ref="B22:B84"/>
  </sortState>
  <pageMargins left="0.7" right="0.7" top="0.75" bottom="0.75" header="0.3" footer="0.3"/>
  <pageSetup paperSize="9" scale="90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גיליון2">
    <pageSetUpPr fitToPage="1"/>
  </sheetPr>
  <dimension ref="A1:M249"/>
  <sheetViews>
    <sheetView tabSelected="1" zoomScaleNormal="100" workbookViewId="0">
      <pane ySplit="3" topLeftCell="A25" activePane="bottomLeft" state="frozen"/>
      <selection activeCell="H29" sqref="H29"/>
      <selection pane="bottomLeft" activeCell="I64" sqref="I64"/>
    </sheetView>
  </sheetViews>
  <sheetFormatPr baseColWidth="10" defaultColWidth="8.85546875" defaultRowHeight="13" outlineLevelCol="1"/>
  <cols>
    <col min="1" max="1" width="5" style="11" customWidth="1"/>
    <col min="2" max="2" width="7" style="20" bestFit="1" customWidth="1"/>
    <col min="3" max="3" width="11.42578125" style="20" bestFit="1" customWidth="1"/>
    <col min="4" max="4" width="11.5703125" style="11" bestFit="1" customWidth="1" outlineLevel="1"/>
    <col min="5" max="5" width="11.42578125" style="11" bestFit="1" customWidth="1" outlineLevel="1"/>
    <col min="6" max="6" width="11.5703125" style="11" customWidth="1" outlineLevel="1"/>
    <col min="7" max="7" width="13.140625" style="11" customWidth="1" outlineLevel="1"/>
    <col min="8" max="8" width="34.85546875" style="21" bestFit="1" customWidth="1"/>
    <col min="9" max="9" width="33.42578125" style="133" bestFit="1" customWidth="1"/>
    <col min="10" max="10" width="11.85546875" style="22" bestFit="1" customWidth="1"/>
    <col min="11" max="11" width="9.42578125" style="11" bestFit="1" customWidth="1"/>
    <col min="12" max="12" width="10.42578125" style="11" bestFit="1" customWidth="1"/>
    <col min="13" max="13" width="13.85546875" style="11" bestFit="1" customWidth="1"/>
    <col min="14" max="14" width="8.85546875" style="11"/>
    <col min="15" max="15" width="11" style="11" bestFit="1" customWidth="1"/>
    <col min="16" max="16384" width="8.85546875" style="11"/>
  </cols>
  <sheetData>
    <row r="1" spans="1:12">
      <c r="A1" s="73" t="str">
        <f>+'HARKAVA '!B4</f>
        <v>Mitiga Security Inc.</v>
      </c>
      <c r="B1" s="73"/>
      <c r="C1" s="73"/>
      <c r="D1" s="73"/>
      <c r="E1" s="73"/>
      <c r="F1" s="73"/>
      <c r="G1" s="73"/>
      <c r="H1" s="73"/>
      <c r="I1" s="73"/>
    </row>
    <row r="2" spans="1:12" s="1" customFormat="1" ht="28.5" customHeight="1">
      <c r="A2" s="56" t="s">
        <v>831</v>
      </c>
      <c r="B2" s="57" t="s">
        <v>832</v>
      </c>
      <c r="C2" s="58" t="s">
        <v>833</v>
      </c>
      <c r="D2" s="554" t="s">
        <v>15</v>
      </c>
      <c r="E2" s="554"/>
      <c r="F2" s="59" t="s">
        <v>834</v>
      </c>
      <c r="G2" s="60"/>
      <c r="H2" s="49">
        <f>SUM(D:D)-SUM(E:E)</f>
        <v>0</v>
      </c>
      <c r="I2" s="61"/>
      <c r="J2" s="23"/>
    </row>
    <row r="3" spans="1:12" s="1" customFormat="1">
      <c r="A3" s="56" t="s">
        <v>835</v>
      </c>
      <c r="B3" s="58"/>
      <c r="C3" s="58" t="s">
        <v>836</v>
      </c>
      <c r="D3" s="56" t="s">
        <v>837</v>
      </c>
      <c r="E3" s="56" t="s">
        <v>838</v>
      </c>
      <c r="F3" s="56" t="s">
        <v>837</v>
      </c>
      <c r="G3" s="56" t="s">
        <v>838</v>
      </c>
      <c r="H3" s="49" t="s">
        <v>839</v>
      </c>
      <c r="I3" s="61" t="s">
        <v>840</v>
      </c>
      <c r="J3" s="23"/>
    </row>
    <row r="4" spans="1:12" ht="15.75" customHeight="1">
      <c r="D4" s="22"/>
      <c r="F4" s="22"/>
    </row>
    <row r="5" spans="1:12" ht="15.75" customHeight="1">
      <c r="B5" s="20">
        <v>5603</v>
      </c>
      <c r="D5" s="385">
        <v>1402</v>
      </c>
      <c r="E5" s="385"/>
      <c r="F5" s="22">
        <f>ROUND(D5*3.3275,0)</f>
        <v>4665</v>
      </c>
      <c r="G5" s="22"/>
      <c r="H5" s="21" t="str">
        <f>IF(B5&gt;0,VLOOKUP(B5,'HARKAVA '!_xlnm.Print_Titles,2,0)," ")</f>
        <v>G&amp;A non budgeted items</v>
      </c>
      <c r="I5" s="133" t="s">
        <v>120</v>
      </c>
      <c r="K5" s="22"/>
      <c r="L5" s="22"/>
    </row>
    <row r="6" spans="1:12" ht="15.75" customHeight="1">
      <c r="B6" s="20">
        <v>5603</v>
      </c>
      <c r="D6" s="385">
        <v>2425</v>
      </c>
      <c r="E6" s="385"/>
      <c r="F6" s="22">
        <f>ROUND(D6*3.3275,0)</f>
        <v>8069</v>
      </c>
      <c r="G6" s="22"/>
      <c r="H6" s="21" t="str">
        <f>IF(B6&gt;0,VLOOKUP(B6,'HARKAVA '!_xlnm.Print_Titles,2,0)," ")</f>
        <v>G&amp;A non budgeted items</v>
      </c>
      <c r="K6" s="22"/>
      <c r="L6" s="22"/>
    </row>
    <row r="7" spans="1:12" ht="15.75" customHeight="1">
      <c r="B7" s="20">
        <v>5411</v>
      </c>
      <c r="D7" s="385">
        <v>17010.777276885503</v>
      </c>
      <c r="E7" s="385"/>
      <c r="F7" s="22">
        <f>ROUNDUP(D7*3.41005,0)</f>
        <v>58008</v>
      </c>
      <c r="H7" s="21" t="str">
        <f>IF(B7&gt;0,VLOOKUP(B7,'HARKAVA '!_xlnm.Print_Titles,2,0)," ")</f>
        <v>R&amp;D expenses: non budgeted items (esop, vacation provision)</v>
      </c>
      <c r="K7" s="22"/>
      <c r="L7" s="22"/>
    </row>
    <row r="8" spans="1:12" ht="15.75" customHeight="1">
      <c r="B8" s="20">
        <v>5311</v>
      </c>
      <c r="D8" s="385">
        <v>6909.1703129703346</v>
      </c>
      <c r="E8" s="385"/>
      <c r="F8" s="22">
        <f>D8*3.3593</f>
        <v>23209.975832361248</v>
      </c>
      <c r="H8" s="21" t="str">
        <f>IF(B8&gt;0,VLOOKUP(B8,'HARKAVA '!_xlnm.Print_Titles,2,0)," ")</f>
        <v>Cost of goods sold: non budgeted items (esop, vacation provision)</v>
      </c>
      <c r="K8" s="22"/>
      <c r="L8" s="22"/>
    </row>
    <row r="9" spans="1:12" ht="15.75" customHeight="1">
      <c r="B9" s="20">
        <v>5110</v>
      </c>
      <c r="D9" s="385"/>
      <c r="E9" s="385"/>
      <c r="F9" s="22"/>
      <c r="H9" s="21" t="str">
        <f>IF(B9&gt;0,VLOOKUP(B9,'HARKAVA '!_xlnm.Print_Titles,2,0)," ")</f>
        <v>Retained earning prior years</v>
      </c>
      <c r="K9" s="38"/>
      <c r="L9" s="38"/>
    </row>
    <row r="10" spans="1:12" ht="15.75" customHeight="1">
      <c r="B10" s="20">
        <v>5100</v>
      </c>
      <c r="D10" s="385"/>
      <c r="E10" s="385">
        <f>SUM(D5:D9)</f>
        <v>27746.947589855838</v>
      </c>
      <c r="F10" s="22"/>
      <c r="G10" s="22">
        <f>SUM(F5:F8)</f>
        <v>93951.975832361248</v>
      </c>
      <c r="H10" s="21" t="str">
        <f>IF(B10&gt;0,VLOOKUP(B10,'HARKAVA '!_xlnm.Print_Titles,2,0)," ")</f>
        <v>Share based payments</v>
      </c>
    </row>
    <row r="11" spans="1:12" ht="15.75" customHeight="1">
      <c r="D11" s="22"/>
      <c r="F11" s="22"/>
      <c r="H11" s="21" t="str">
        <f>IF(B11&gt;0,VLOOKUP(B11,'HARKAVA '!_xlnm.Print_Titles,2,0)," ")</f>
        <v xml:space="preserve"> </v>
      </c>
    </row>
    <row r="12" spans="1:12" ht="15.75" customHeight="1">
      <c r="B12" s="20">
        <v>5330</v>
      </c>
      <c r="D12" s="385">
        <v>203147.40900479053</v>
      </c>
      <c r="E12" s="385"/>
      <c r="F12" s="22">
        <f>D12*3.20106</f>
        <v>650287.04506887484</v>
      </c>
      <c r="G12" s="24"/>
      <c r="H12" s="21" t="str">
        <f>IF(B12&gt;0,VLOOKUP(B12,'HARKAVA '!_xlnm.Print_Titles,2,0)," ")</f>
        <v>Cost of goods sold:Other</v>
      </c>
      <c r="I12" s="133" t="s">
        <v>841</v>
      </c>
    </row>
    <row r="13" spans="1:12" ht="15.75" customHeight="1">
      <c r="B13" s="20">
        <v>5416</v>
      </c>
      <c r="D13" s="385">
        <v>288506.97547239414</v>
      </c>
      <c r="E13" s="385"/>
      <c r="F13" s="22">
        <f>D13*3.20105</f>
        <v>923525.25383590721</v>
      </c>
      <c r="G13" s="24"/>
      <c r="H13" s="21" t="str">
        <f>IF(B13&gt;0,VLOOKUP(B13,'HARKAVA '!_xlnm.Print_Titles,2,0)," ")</f>
        <v>R&amp;D Expenses: Other</v>
      </c>
    </row>
    <row r="14" spans="1:12" ht="15.75" customHeight="1">
      <c r="B14" s="20">
        <v>5620</v>
      </c>
      <c r="D14" s="387"/>
      <c r="E14" s="387">
        <v>291746.6317694317</v>
      </c>
      <c r="F14" s="24"/>
      <c r="G14" s="24">
        <f>E14*3.201055</f>
        <v>933897.01435869827</v>
      </c>
      <c r="H14" s="21" t="str">
        <f>IF(B14&gt;0,VLOOKUP(B14,'HARKAVA '!_xlnm.Print_Titles,2,0)," ")</f>
        <v>G&amp;A Rent, insurance, communication and office maintenance</v>
      </c>
    </row>
    <row r="15" spans="1:12" ht="15.75" customHeight="1">
      <c r="B15" s="20">
        <v>5660</v>
      </c>
      <c r="D15" s="387"/>
      <c r="E15" s="387">
        <v>199907.75270775301</v>
      </c>
      <c r="F15" s="24"/>
      <c r="G15" s="24">
        <f>E15*3.201055</f>
        <v>639915.71134391637</v>
      </c>
      <c r="H15" s="21" t="str">
        <f>IF(B15&gt;0,VLOOKUP(B15,'HARKAVA '!_xlnm.Print_Titles,2,0)," ")</f>
        <v>G&amp;A Other</v>
      </c>
    </row>
    <row r="16" spans="1:12" ht="15.75" customHeight="1">
      <c r="D16" s="22"/>
      <c r="E16" s="24"/>
      <c r="F16" s="24"/>
      <c r="G16" s="24"/>
      <c r="H16" s="21" t="str">
        <f>IF(B16&gt;0,VLOOKUP(B16,'HARKAVA '!_xlnm.Print_Titles,2,0)," ")</f>
        <v xml:space="preserve"> </v>
      </c>
    </row>
    <row r="17" spans="2:9">
      <c r="B17" s="20">
        <v>5400</v>
      </c>
      <c r="D17" s="515">
        <v>1118927.9649999999</v>
      </c>
      <c r="E17" s="386"/>
      <c r="F17" s="24">
        <f>D17*3.2319911</f>
        <v>3616365.2244211109</v>
      </c>
      <c r="H17" s="21" t="str">
        <f>IF(B17&gt;0,VLOOKUP(B17,'HARKAVA '!_xlnm.Print_Titles,2,0)," ")</f>
        <v>R&amp;D expenses:  Salaries and related expenses</v>
      </c>
      <c r="I17" s="133" t="s">
        <v>842</v>
      </c>
    </row>
    <row r="18" spans="2:9">
      <c r="B18" s="20">
        <v>5405</v>
      </c>
      <c r="D18" s="515">
        <v>13541.735000000001</v>
      </c>
      <c r="E18" s="386"/>
      <c r="F18" s="24">
        <f t="shared" ref="F18:F20" si="0">D18*3.2319911</f>
        <v>43766.766998558502</v>
      </c>
      <c r="H18" s="21" t="str">
        <f>IF(B18&gt;0,VLOOKUP(B18,'HARKAVA '!_xlnm.Print_Titles,2,0)," ")</f>
        <v>R&amp;D expenses:  management fee</v>
      </c>
    </row>
    <row r="19" spans="2:9">
      <c r="B19" s="20">
        <v>5411</v>
      </c>
      <c r="D19" s="515">
        <v>6583.8050000000003</v>
      </c>
      <c r="E19" s="386"/>
      <c r="F19" s="24">
        <f t="shared" si="0"/>
        <v>21278.7991641355</v>
      </c>
      <c r="H19" s="21" t="str">
        <f>IF(B19&gt;0,VLOOKUP(B19,'HARKAVA '!_xlnm.Print_Titles,2,0)," ")</f>
        <v>R&amp;D expenses: non budgeted items (esop, vacation provision)</v>
      </c>
    </row>
    <row r="20" spans="2:9">
      <c r="B20" s="20">
        <v>5410</v>
      </c>
      <c r="D20" s="515">
        <v>13576.715000000011</v>
      </c>
      <c r="E20" s="386"/>
      <c r="F20" s="24">
        <f t="shared" si="0"/>
        <v>43879.822047236536</v>
      </c>
      <c r="H20" s="21" t="str">
        <f>IF(B20&gt;0,VLOOKUP(B20,'HARKAVA '!_xlnm.Print_Titles,2,0)," ")</f>
        <v>R&amp;D Expenses: outsource</v>
      </c>
    </row>
    <row r="21" spans="2:9">
      <c r="B21" s="20">
        <v>5416</v>
      </c>
      <c r="D21" s="515">
        <v>40936.294502395263</v>
      </c>
      <c r="E21" s="386"/>
      <c r="F21" s="24">
        <f>D21*3.2319911</f>
        <v>132305.73949872042</v>
      </c>
      <c r="H21" s="21" t="str">
        <f>IF(B21&gt;0,VLOOKUP(B21,'HARKAVA '!_xlnm.Print_Titles,2,0)," ")</f>
        <v>R&amp;D Expenses: Other</v>
      </c>
    </row>
    <row r="22" spans="2:9">
      <c r="B22" s="48">
        <v>5300</v>
      </c>
      <c r="D22" s="515"/>
      <c r="E22" s="515">
        <f>D17</f>
        <v>1118927.9649999999</v>
      </c>
      <c r="F22" s="24"/>
      <c r="G22" s="26">
        <f>F17</f>
        <v>3616365.2244211109</v>
      </c>
      <c r="H22" s="21" t="str">
        <f>IF(B22&gt;0,VLOOKUP(B22,'HARKAVA '!_xlnm.Print_Titles,2,0)," ")</f>
        <v>Cost of goods sold:salaries and relatedexpenses</v>
      </c>
    </row>
    <row r="23" spans="2:9">
      <c r="B23" s="48">
        <v>5310</v>
      </c>
      <c r="D23" s="515"/>
      <c r="E23" s="515">
        <f>D18</f>
        <v>13541.735000000001</v>
      </c>
      <c r="F23" s="24"/>
      <c r="G23" s="26">
        <f t="shared" ref="G23:G26" si="1">F18</f>
        <v>43766.766998558502</v>
      </c>
      <c r="H23" s="21" t="str">
        <f>IF(B23&gt;0,VLOOKUP(B23,'HARKAVA '!_xlnm.Print_Titles,2,0)," ")</f>
        <v>Cost of goods sold:management fee</v>
      </c>
    </row>
    <row r="24" spans="2:9">
      <c r="B24" s="48">
        <v>5311</v>
      </c>
      <c r="D24" s="515"/>
      <c r="E24" s="515">
        <f>D19</f>
        <v>6583.8050000000003</v>
      </c>
      <c r="F24" s="24"/>
      <c r="G24" s="26">
        <f t="shared" si="1"/>
        <v>21278.7991641355</v>
      </c>
      <c r="H24" s="21" t="str">
        <f>IF(B24&gt;0,VLOOKUP(B24,'HARKAVA '!_xlnm.Print_Titles,2,0)," ")</f>
        <v>Cost of goods sold: non budgeted items (esop, vacation provision)</v>
      </c>
    </row>
    <row r="25" spans="2:9">
      <c r="B25" s="48">
        <v>5320</v>
      </c>
      <c r="D25" s="515"/>
      <c r="E25" s="515">
        <f>D20</f>
        <v>13576.715000000011</v>
      </c>
      <c r="F25" s="24"/>
      <c r="G25" s="26">
        <f t="shared" si="1"/>
        <v>43879.822047236536</v>
      </c>
      <c r="H25" s="21" t="str">
        <f>IF(B25&gt;0,VLOOKUP(B25,'HARKAVA '!_xlnm.Print_Titles,2,0)," ")</f>
        <v xml:space="preserve">Cost of goods sold:subcontractors </v>
      </c>
    </row>
    <row r="26" spans="2:9">
      <c r="B26" s="48">
        <v>5330</v>
      </c>
      <c r="D26" s="515"/>
      <c r="E26" s="515">
        <f>D21</f>
        <v>40936.294502395263</v>
      </c>
      <c r="G26" s="26">
        <f t="shared" si="1"/>
        <v>132305.73949872042</v>
      </c>
      <c r="H26" s="21" t="str">
        <f>IF(B26&gt;0,VLOOKUP(B26,'HARKAVA '!_xlnm.Print_Titles,2,0)," ")</f>
        <v>Cost of goods sold:Other</v>
      </c>
    </row>
    <row r="27" spans="2:9">
      <c r="B27" s="48"/>
      <c r="E27" s="26"/>
      <c r="G27" s="24"/>
      <c r="H27" s="21" t="str">
        <f>IF(B27&gt;0,VLOOKUP(B27,'HARKAVA '!_xlnm.Print_Titles,2,0)," ")</f>
        <v xml:space="preserve"> </v>
      </c>
    </row>
    <row r="28" spans="2:9" ht="16.5" customHeight="1">
      <c r="D28" s="22"/>
      <c r="E28" s="22"/>
      <c r="F28" s="22"/>
      <c r="G28" s="22"/>
      <c r="H28" s="21" t="str">
        <f>IF(B28&gt;0,VLOOKUP(B28,'HARKAVA '!_xlnm.Print_Titles,2,0)," ")</f>
        <v xml:space="preserve"> </v>
      </c>
    </row>
    <row r="29" spans="2:9" ht="16.5" customHeight="1">
      <c r="B29" s="20">
        <v>5600</v>
      </c>
      <c r="D29" s="385">
        <f>E30+E31+E32</f>
        <v>169421.5</v>
      </c>
      <c r="E29" s="385"/>
      <c r="F29" s="22">
        <f>SUM(G30:G32)</f>
        <v>548450</v>
      </c>
      <c r="G29" s="22"/>
      <c r="H29" s="21" t="str">
        <f>IF(B29&gt;0,VLOOKUP(B29,'HARKAVA '!_xlnm.Print_Titles,2,0)," ")</f>
        <v>G&amp;A Salaries and related expenses</v>
      </c>
      <c r="I29" s="133" t="s">
        <v>843</v>
      </c>
    </row>
    <row r="30" spans="2:9" ht="15" customHeight="1">
      <c r="B30" s="20">
        <v>5310</v>
      </c>
      <c r="D30" s="386"/>
      <c r="E30" s="385">
        <f>189301*0.5</f>
        <v>94650.5</v>
      </c>
      <c r="F30" s="22"/>
      <c r="G30" s="22">
        <f>ROUNDUP(E30*3.274,0)+1</f>
        <v>309887</v>
      </c>
      <c r="H30" s="21" t="str">
        <f>IF(B30&gt;0,VLOOKUP(B30,'HARKAVA '!_xlnm.Print_Titles,2,0)," ")</f>
        <v>Cost of goods sold:management fee</v>
      </c>
    </row>
    <row r="31" spans="2:9" ht="16.5" customHeight="1">
      <c r="B31" s="20">
        <v>5405</v>
      </c>
      <c r="D31" s="385"/>
      <c r="E31" s="385">
        <f>273855*0.2</f>
        <v>54771</v>
      </c>
      <c r="F31" s="22"/>
      <c r="G31" s="22">
        <f>ROUNDUP(E31*3.22,0)</f>
        <v>176363</v>
      </c>
      <c r="H31" s="21" t="str">
        <f>IF(B31&gt;0,VLOOKUP(B31,'HARKAVA '!_xlnm.Print_Titles,2,0)," ")</f>
        <v>R&amp;D expenses:  management fee</v>
      </c>
    </row>
    <row r="32" spans="2:9" ht="16.5" customHeight="1">
      <c r="B32" s="20">
        <v>5400</v>
      </c>
      <c r="D32" s="385"/>
      <c r="E32" s="385">
        <f>100000*0.2</f>
        <v>20000</v>
      </c>
      <c r="F32" s="22"/>
      <c r="G32" s="22">
        <f>E32*3.11</f>
        <v>62200</v>
      </c>
      <c r="H32" s="21" t="str">
        <f>IF(B32&gt;0,VLOOKUP(B32,'HARKAVA '!_xlnm.Print_Titles,2,0)," ")</f>
        <v>R&amp;D expenses:  Salaries and related expenses</v>
      </c>
      <c r="I32" s="133" t="s">
        <v>844</v>
      </c>
    </row>
    <row r="33" spans="2:9" ht="16.5" customHeight="1">
      <c r="D33" s="385"/>
      <c r="E33" s="385"/>
      <c r="F33" s="22"/>
      <c r="G33" s="22"/>
    </row>
    <row r="34" spans="2:9" ht="16.5" customHeight="1">
      <c r="B34" s="20">
        <f>VLOOKUP(C34,'codes Ltd'!A:C,3,0)</f>
        <v>5200</v>
      </c>
      <c r="C34" s="20">
        <v>7003</v>
      </c>
      <c r="D34" s="22"/>
      <c r="E34" s="22"/>
      <c r="F34" s="22"/>
      <c r="G34" s="22"/>
      <c r="H34" s="21" t="str">
        <f>IF(B34&gt;0,VLOOKUP(B34,'HARKAVA '!_xlnm.Print_Titles,2,0)," ")</f>
        <v>Sales</v>
      </c>
      <c r="I34" s="133" t="s">
        <v>845</v>
      </c>
    </row>
    <row r="35" spans="2:9" ht="16.5" customHeight="1">
      <c r="B35" s="20">
        <v>1450</v>
      </c>
      <c r="D35" s="22"/>
      <c r="E35" s="22"/>
      <c r="F35" s="22"/>
      <c r="G35" s="22"/>
      <c r="H35" s="21" t="str">
        <f>IF(B35&gt;0,VLOOKUP(B35,'HARKAVA '!_xlnm.Print_Titles,2,0)," ")</f>
        <v>Income receivable</v>
      </c>
    </row>
    <row r="36" spans="2:9" ht="16.5" customHeight="1">
      <c r="B36" s="20">
        <v>3800</v>
      </c>
      <c r="D36" s="22"/>
      <c r="E36" s="22"/>
      <c r="F36" s="38"/>
      <c r="G36" s="38"/>
      <c r="H36" s="21" t="str">
        <f>IF(B36&gt;0,VLOOKUP(B36,'HARKAVA '!_xlnm.Print_Titles,2,0)," ")</f>
        <v>Deferred income</v>
      </c>
    </row>
    <row r="37" spans="2:9" ht="16.5" customHeight="1">
      <c r="D37" s="22"/>
      <c r="E37" s="22"/>
      <c r="F37" s="38"/>
      <c r="H37" s="21" t="str">
        <f>IF(B37&gt;0,VLOOKUP(B37,'HARKAVA '!_xlnm.Print_Titles,2,0)," ")</f>
        <v xml:space="preserve"> </v>
      </c>
    </row>
    <row r="38" spans="2:9" ht="16.5" customHeight="1">
      <c r="B38" s="20">
        <v>3500</v>
      </c>
      <c r="D38" s="385">
        <f>61840*1</f>
        <v>61840</v>
      </c>
      <c r="E38" s="385"/>
      <c r="F38" s="38">
        <f>D38*3.11</f>
        <v>192322.4</v>
      </c>
      <c r="H38" s="21" t="str">
        <f>IF(B38&gt;0,VLOOKUP(B38,'HARKAVA '!_xlnm.Print_Titles,2,0)," ")</f>
        <v>consolidated company</v>
      </c>
      <c r="I38" s="133" t="s">
        <v>128</v>
      </c>
    </row>
    <row r="39" spans="2:9" ht="16.5" customHeight="1">
      <c r="B39" s="20">
        <v>5201</v>
      </c>
      <c r="D39" s="385"/>
      <c r="E39" s="385">
        <f>D38</f>
        <v>61840</v>
      </c>
      <c r="F39" s="38"/>
      <c r="G39" s="38">
        <f>F38</f>
        <v>192322.4</v>
      </c>
      <c r="H39" s="21" t="str">
        <f>IF(B39&gt;0,VLOOKUP(B39,'HARKAVA '!_xlnm.Print_Titles,2,0)," ")</f>
        <v>Intercompany revenues</v>
      </c>
    </row>
    <row r="40" spans="2:9" ht="16.5" customHeight="1">
      <c r="D40" s="385"/>
      <c r="E40" s="385"/>
      <c r="F40" s="38"/>
      <c r="G40" s="22"/>
      <c r="H40" s="21" t="str">
        <f>IF(B40&gt;0,VLOOKUP(B40,'HARKAVA '!_xlnm.Print_Titles,2,0)," ")</f>
        <v xml:space="preserve"> </v>
      </c>
    </row>
    <row r="41" spans="2:9" ht="16.5" customHeight="1">
      <c r="B41" s="20">
        <v>5551</v>
      </c>
      <c r="D41" s="385">
        <v>2728174</v>
      </c>
      <c r="E41" s="385"/>
      <c r="F41" s="38">
        <f>D41*3.11</f>
        <v>8484621.1399999987</v>
      </c>
      <c r="H41" s="21" t="str">
        <f>IF(B41&gt;0,VLOOKUP(B41,'HARKAVA '!_xlnm.Print_Titles,2,0)," ")</f>
        <v>Intercompany expenses</v>
      </c>
      <c r="I41" s="133" t="s">
        <v>128</v>
      </c>
    </row>
    <row r="42" spans="2:9" ht="16.5" customHeight="1">
      <c r="B42" s="20">
        <v>3500</v>
      </c>
      <c r="D42" s="385"/>
      <c r="E42" s="385">
        <f>D41</f>
        <v>2728174</v>
      </c>
      <c r="F42" s="38"/>
      <c r="G42" s="38">
        <f>F41</f>
        <v>8484621.1399999987</v>
      </c>
      <c r="H42" s="21" t="str">
        <f>IF(B42&gt;0,VLOOKUP(B42,'HARKAVA '!_xlnm.Print_Titles,2,0)," ")</f>
        <v>consolidated company</v>
      </c>
    </row>
    <row r="43" spans="2:9" ht="16.5" customHeight="1">
      <c r="D43" s="22"/>
      <c r="E43" s="22"/>
      <c r="F43" s="38"/>
    </row>
    <row r="44" spans="2:9" ht="16.5" customHeight="1">
      <c r="D44" s="22"/>
      <c r="E44" s="22"/>
      <c r="F44" s="38"/>
      <c r="H44" s="21" t="str">
        <f>IF(B44&gt;0,VLOOKUP(B44,'HARKAVA '!_xlnm.Print_Titles,2,0)," ")</f>
        <v xml:space="preserve"> </v>
      </c>
    </row>
    <row r="45" spans="2:9" ht="16.5" customHeight="1">
      <c r="B45" s="20">
        <v>3400</v>
      </c>
      <c r="D45" s="385"/>
      <c r="E45" s="385">
        <f>G45/3.11</f>
        <v>2081.9935691318328</v>
      </c>
      <c r="F45" s="385"/>
      <c r="G45" s="385">
        <v>6475</v>
      </c>
      <c r="H45" s="21" t="str">
        <f>IF(B45&gt;0,VLOOKUP(B45,'HARKAVA '!_xlnm.Print_Titles,2,0)," ")</f>
        <v>Trade payables</v>
      </c>
      <c r="I45" s="133" t="s">
        <v>846</v>
      </c>
    </row>
    <row r="46" spans="2:9" ht="16.5" customHeight="1">
      <c r="B46" s="20">
        <v>3910</v>
      </c>
      <c r="D46" s="385">
        <f>E45+E47</f>
        <v>27483.922829581992</v>
      </c>
      <c r="E46" s="385"/>
      <c r="F46" s="385">
        <f>G45+G47</f>
        <v>85475</v>
      </c>
      <c r="G46" s="385"/>
      <c r="H46" s="21" t="str">
        <f>IF(B46&gt;0,VLOOKUP(B46,'HARKAVA '!_xlnm.Print_Titles,2,0)," ")</f>
        <v>Accrued expenses</v>
      </c>
      <c r="I46" s="133" t="s">
        <v>847</v>
      </c>
    </row>
    <row r="47" spans="2:9" ht="16.5" customHeight="1">
      <c r="B47" s="20">
        <v>3900</v>
      </c>
      <c r="D47" s="385"/>
      <c r="E47" s="385">
        <f>G47/3.11</f>
        <v>25401.929260450161</v>
      </c>
      <c r="F47" s="385"/>
      <c r="G47" s="385">
        <v>79000</v>
      </c>
      <c r="H47" s="21" t="str">
        <f>IF(B47&gt;0,VLOOKUP(B47,'HARKAVA '!_xlnm.Print_Titles,2,0)," ")</f>
        <v>Related parties</v>
      </c>
    </row>
    <row r="48" spans="2:9" ht="16.5" customHeight="1">
      <c r="D48" s="22"/>
      <c r="E48" s="22"/>
      <c r="F48" s="38"/>
      <c r="H48" s="21" t="str">
        <f>IF(B48&gt;0,VLOOKUP(B48,'HARKAVA '!_xlnm.Print_Titles,2,0)," ")</f>
        <v xml:space="preserve"> </v>
      </c>
    </row>
    <row r="49" spans="2:10" ht="16.5" customHeight="1">
      <c r="D49" s="22"/>
      <c r="E49" s="22"/>
      <c r="F49" s="38"/>
      <c r="H49" s="21" t="str">
        <f>IF(B49&gt;0,VLOOKUP(B49,'HARKAVA '!_xlnm.Print_Titles,2,0)," ")</f>
        <v xml:space="preserve"> </v>
      </c>
    </row>
    <row r="50" spans="2:10" ht="16.5" customHeight="1">
      <c r="D50" s="22"/>
      <c r="E50" s="22"/>
      <c r="F50" s="38"/>
      <c r="H50" s="21" t="str">
        <f>IF(B50&gt;0,VLOOKUP(B50,'HARKAVA '!_xlnm.Print_Titles,2,0)," ")</f>
        <v xml:space="preserve"> </v>
      </c>
    </row>
    <row r="51" spans="2:10" ht="16.5" customHeight="1">
      <c r="D51" s="38"/>
      <c r="F51" s="38"/>
      <c r="H51" s="21" t="str">
        <f>IF(B51&gt;0,VLOOKUP(B51,'HARKAVA '!_xlnm.Print_Titles,2,0)," ")</f>
        <v xml:space="preserve"> </v>
      </c>
    </row>
    <row r="52" spans="2:10" ht="16.5" customHeight="1">
      <c r="B52" s="20">
        <v>3500</v>
      </c>
      <c r="D52" s="385"/>
      <c r="E52" s="385">
        <f>D53</f>
        <v>3000000</v>
      </c>
      <c r="F52" s="22"/>
      <c r="G52" s="38">
        <f>E52*3.11</f>
        <v>9330000</v>
      </c>
      <c r="H52" s="21" t="str">
        <f>IF(B52&gt;0,VLOOKUP(B52,'HARKAVA '!_xlnm.Print_Titles,2,0)," ")</f>
        <v>consolidated company</v>
      </c>
      <c r="I52" s="549" t="s">
        <v>848</v>
      </c>
      <c r="J52" s="18"/>
    </row>
    <row r="53" spans="2:10" ht="16.5" customHeight="1">
      <c r="B53" s="20">
        <v>1100</v>
      </c>
      <c r="D53" s="385">
        <v>3000000</v>
      </c>
      <c r="E53" s="385"/>
      <c r="F53" s="22">
        <f>G52</f>
        <v>9330000</v>
      </c>
      <c r="G53" s="22"/>
      <c r="H53" s="21" t="str">
        <f>IF(B53&gt;0,VLOOKUP(B53,'HARKAVA '!_xlnm.Print_Titles,2,0)," ")</f>
        <v>Cash and cash equivalents- in $</v>
      </c>
      <c r="I53" s="549"/>
    </row>
    <row r="54" spans="2:10" ht="16.5" customHeight="1">
      <c r="D54" s="22"/>
      <c r="E54" s="38"/>
      <c r="G54" s="38"/>
      <c r="H54" s="21" t="str">
        <f>IF(B54&gt;0,VLOOKUP(B54,'HARKAVA '!_xlnm.Print_Titles,2,0)," ")</f>
        <v xml:space="preserve"> </v>
      </c>
    </row>
    <row r="55" spans="2:10" ht="16.5" customHeight="1">
      <c r="B55" s="20">
        <v>5610</v>
      </c>
      <c r="D55" s="22">
        <f>E56</f>
        <v>34894.910000000003</v>
      </c>
      <c r="F55" s="533">
        <f>G56</f>
        <v>113509.14</v>
      </c>
      <c r="H55" s="21" t="str">
        <f>IF(B55&gt;0,VLOOKUP(B55,'HARKAVA '!_xlnm.Print_Titles,2,0)," ")</f>
        <v>G&amp;A Professional fees</v>
      </c>
      <c r="I55" s="120" t="s">
        <v>1190</v>
      </c>
      <c r="J55" s="23"/>
    </row>
    <row r="56" spans="2:10" ht="16.5" customHeight="1">
      <c r="B56" s="20">
        <v>4900</v>
      </c>
      <c r="D56" s="22"/>
      <c r="E56" s="38">
        <f>34999.55-104.64</f>
        <v>34894.910000000003</v>
      </c>
      <c r="F56" s="76"/>
      <c r="G56" s="532">
        <f>113853.52-344.38</f>
        <v>113509.14</v>
      </c>
      <c r="H56" s="21" t="str">
        <f>IF(B56&gt;0,VLOOKUP(B56,'HARKAVA '!_xlnm.Print_Titles,2,0)," ")</f>
        <v>Premium on shares</v>
      </c>
    </row>
    <row r="57" spans="2:10" ht="16.5" customHeight="1">
      <c r="D57" s="22"/>
      <c r="F57" s="76"/>
      <c r="H57" s="21" t="str">
        <f>IF(B57&gt;0,VLOOKUP(B57,'HARKAVA '!_xlnm.Print_Titles,2,0)," ")</f>
        <v xml:space="preserve"> </v>
      </c>
    </row>
    <row r="58" spans="2:10" ht="16.5" customHeight="1">
      <c r="B58" s="20">
        <v>5110</v>
      </c>
      <c r="D58" s="22"/>
      <c r="F58" s="76">
        <v>20000</v>
      </c>
      <c r="H58" s="21" t="str">
        <f>IF(B58&gt;0,VLOOKUP(B58,'[6]HARKAVA '!_xlnm.Print_Titles,2,0)," ")</f>
        <v>Retained earning prior years</v>
      </c>
      <c r="I58" s="133" t="s">
        <v>1191</v>
      </c>
    </row>
    <row r="59" spans="2:10" ht="16.5" customHeight="1">
      <c r="B59" s="20">
        <v>4900</v>
      </c>
      <c r="D59" s="22"/>
      <c r="E59" s="38"/>
      <c r="G59" s="76">
        <f>F58</f>
        <v>20000</v>
      </c>
      <c r="H59" s="21" t="str">
        <f>IF(B59&gt;0,VLOOKUP(B59,'[6]HARKAVA '!_xlnm.Print_Titles,2,0)," ")</f>
        <v>Premium on shares</v>
      </c>
    </row>
    <row r="60" spans="2:10" ht="16.5" customHeight="1">
      <c r="D60" s="22"/>
      <c r="E60" s="22"/>
      <c r="H60" s="21" t="str">
        <f>IF(B60&gt;0,VLOOKUP(B60,'HARKAVA '!_xlnm.Print_Titles,2,0)," ")</f>
        <v xml:space="preserve"> </v>
      </c>
    </row>
    <row r="61" spans="2:10" ht="16.5" customHeight="1">
      <c r="B61" s="20">
        <v>1600</v>
      </c>
      <c r="D61" s="22">
        <f>'[6]TB Mitiga LTD'!D35</f>
        <v>11383.25</v>
      </c>
      <c r="E61" s="22"/>
      <c r="F61" s="269">
        <f>'[6]TB Mitiga LTD'!E35</f>
        <v>35615.699999999997</v>
      </c>
      <c r="H61" s="21" t="str">
        <f>IF(B61&gt;0,VLOOKUP(B61,'[6]HARKAVA '!_xlnm.Print_Titles,2,0)," ")</f>
        <v>Prepaid expenses</v>
      </c>
      <c r="I61" s="133" t="s">
        <v>1192</v>
      </c>
    </row>
    <row r="62" spans="2:10" ht="16.5" customHeight="1">
      <c r="B62" s="20">
        <v>3100</v>
      </c>
      <c r="D62" s="22"/>
      <c r="E62" s="22">
        <f>D61</f>
        <v>11383.25</v>
      </c>
      <c r="G62" s="269">
        <f>F61</f>
        <v>35615.699999999997</v>
      </c>
      <c r="H62" s="21" t="str">
        <f>IF(B62&gt;0,VLOOKUP(B62,'[6]HARKAVA '!_xlnm.Print_Titles,2,0)," ")</f>
        <v>Fixed assets-cost</v>
      </c>
    </row>
    <row r="63" spans="2:10" ht="16.5" customHeight="1">
      <c r="D63" s="22"/>
      <c r="E63" s="22"/>
      <c r="H63" s="21" t="str">
        <f>IF(B63&gt;0,VLOOKUP(B63,'HARKAVA '!_xlnm.Print_Titles,2,0)," ")</f>
        <v xml:space="preserve"> </v>
      </c>
    </row>
    <row r="64" spans="2:10" ht="16.5" customHeight="1">
      <c r="B64" s="20">
        <v>5800</v>
      </c>
      <c r="D64" s="22">
        <v>43788</v>
      </c>
      <c r="E64" s="22"/>
      <c r="F64" s="269">
        <f>G65</f>
        <v>136180.68</v>
      </c>
      <c r="H64" s="21" t="str">
        <f>IF(B64&gt;0,VLOOKUP(B64,'HARKAVA '!_xlnm.Print_Titles,2,0)," ")</f>
        <v>Other expenses</v>
      </c>
      <c r="I64" s="133" t="s">
        <v>1193</v>
      </c>
    </row>
    <row r="65" spans="2:10" ht="16.5" customHeight="1">
      <c r="B65" s="20">
        <v>3500</v>
      </c>
      <c r="C65" s="2"/>
      <c r="D65" s="22"/>
      <c r="E65" s="22">
        <f>D64</f>
        <v>43788</v>
      </c>
      <c r="G65" s="269">
        <f>F38+'TB Mitiga LTD'!E19</f>
        <v>136180.68</v>
      </c>
      <c r="H65" s="21" t="str">
        <f>IF(B65&gt;0,VLOOKUP(B65,'HARKAVA '!_xlnm.Print_Titles,2,0)," ")</f>
        <v>consolidated company</v>
      </c>
      <c r="J65" s="557"/>
    </row>
    <row r="66" spans="2:10" ht="16.5" customHeight="1">
      <c r="D66" s="22"/>
      <c r="E66" s="22"/>
      <c r="H66" s="21" t="str">
        <f>IF(B66&gt;0,VLOOKUP(B66,'HARKAVA '!_xlnm.Print_Titles,2,0)," ")</f>
        <v xml:space="preserve"> </v>
      </c>
    </row>
    <row r="67" spans="2:10" ht="16.5" customHeight="1">
      <c r="D67" s="22"/>
      <c r="E67" s="22"/>
      <c r="H67" s="21" t="str">
        <f>IF(B67&gt;0,VLOOKUP(B67,'HARKAVA '!_xlnm.Print_Titles,2,0)," ")</f>
        <v xml:space="preserve"> </v>
      </c>
      <c r="I67" s="53"/>
    </row>
    <row r="68" spans="2:10" ht="16.5" customHeight="1">
      <c r="D68" s="22"/>
      <c r="H68" s="21" t="str">
        <f>IF(B68&gt;0,VLOOKUP(B68,'HARKAVA '!_xlnm.Print_Titles,2,0)," ")</f>
        <v xml:space="preserve"> </v>
      </c>
      <c r="I68" s="54"/>
    </row>
    <row r="69" spans="2:10" ht="16.5" customHeight="1">
      <c r="D69" s="22"/>
      <c r="E69" s="22"/>
      <c r="H69" s="21" t="str">
        <f>IF(B69&gt;0,VLOOKUP(B69,'HARKAVA '!_xlnm.Print_Titles,2,0)," ")</f>
        <v xml:space="preserve"> </v>
      </c>
    </row>
    <row r="70" spans="2:10" ht="16.5" customHeight="1">
      <c r="D70" s="22"/>
      <c r="H70" s="21" t="str">
        <f>IF(B70&gt;0,VLOOKUP(B70,'HARKAVA '!_xlnm.Print_Titles,2,0)," ")</f>
        <v xml:space="preserve"> </v>
      </c>
    </row>
    <row r="71" spans="2:10" ht="16.5" customHeight="1">
      <c r="D71" s="22"/>
      <c r="H71" s="21" t="str">
        <f>IF(B71&gt;0,VLOOKUP(B71,'HARKAVA '!_xlnm.Print_Titles,2,0)," ")</f>
        <v xml:space="preserve"> </v>
      </c>
    </row>
    <row r="72" spans="2:10" ht="16.5" customHeight="1">
      <c r="D72" s="22"/>
    </row>
    <row r="73" spans="2:10" ht="16.5" customHeight="1">
      <c r="D73" s="22"/>
      <c r="E73" s="38"/>
    </row>
    <row r="74" spans="2:10" ht="16.5" customHeight="1">
      <c r="D74" s="22"/>
    </row>
    <row r="75" spans="2:10" ht="16.5" customHeight="1">
      <c r="D75" s="22"/>
    </row>
    <row r="76" spans="2:10" ht="16.5" customHeight="1">
      <c r="D76" s="22"/>
      <c r="E76" s="38"/>
    </row>
    <row r="77" spans="2:10" ht="16.5" customHeight="1">
      <c r="D77" s="22"/>
    </row>
    <row r="78" spans="2:10" ht="16.5" customHeight="1">
      <c r="D78" s="22"/>
    </row>
    <row r="79" spans="2:10" ht="16.5" customHeight="1">
      <c r="D79" s="22"/>
    </row>
    <row r="80" spans="2:10" ht="16.5" customHeight="1">
      <c r="D80" s="22"/>
    </row>
    <row r="81" spans="4:4" ht="16.5" customHeight="1">
      <c r="D81" s="22"/>
    </row>
    <row r="82" spans="4:4" ht="16.5" customHeight="1">
      <c r="D82" s="22"/>
    </row>
    <row r="83" spans="4:4" ht="16.5" customHeight="1">
      <c r="D83" s="22"/>
    </row>
    <row r="84" spans="4:4" ht="16.5" customHeight="1">
      <c r="D84" s="22"/>
    </row>
    <row r="85" spans="4:4" ht="16.5" customHeight="1">
      <c r="D85" s="22"/>
    </row>
    <row r="86" spans="4:4" ht="16.5" customHeight="1">
      <c r="D86" s="22"/>
    </row>
    <row r="87" spans="4:4" ht="16.5" customHeight="1">
      <c r="D87" s="22"/>
    </row>
    <row r="88" spans="4:4" ht="16.5" customHeight="1">
      <c r="D88" s="22"/>
    </row>
    <row r="89" spans="4:4" ht="16.5" customHeight="1">
      <c r="D89" s="22"/>
    </row>
    <row r="90" spans="4:4" ht="16.5" customHeight="1">
      <c r="D90" s="22"/>
    </row>
    <row r="91" spans="4:4" ht="16.5" customHeight="1">
      <c r="D91" s="22"/>
    </row>
    <row r="92" spans="4:4" ht="16.5" customHeight="1">
      <c r="D92" s="22"/>
    </row>
    <row r="93" spans="4:4" ht="16.5" customHeight="1">
      <c r="D93" s="22"/>
    </row>
    <row r="94" spans="4:4" ht="16.5" customHeight="1">
      <c r="D94" s="22"/>
    </row>
    <row r="95" spans="4:4" ht="16.5" customHeight="1">
      <c r="D95" s="22"/>
    </row>
    <row r="96" spans="4:4" ht="16.5" customHeight="1">
      <c r="D96" s="22"/>
    </row>
    <row r="97" spans="4:8" ht="16.5" customHeight="1">
      <c r="D97" s="22"/>
    </row>
    <row r="98" spans="4:8" ht="16.5" customHeight="1">
      <c r="D98" s="22"/>
    </row>
    <row r="99" spans="4:8" ht="16.5" customHeight="1">
      <c r="D99" s="22"/>
    </row>
    <row r="100" spans="4:8" ht="16.5" customHeight="1">
      <c r="D100" s="22"/>
    </row>
    <row r="101" spans="4:8" ht="16.5" customHeight="1">
      <c r="D101" s="22"/>
    </row>
    <row r="102" spans="4:8" ht="16.5" customHeight="1">
      <c r="D102" s="22"/>
    </row>
    <row r="103" spans="4:8" ht="16.5" customHeight="1">
      <c r="D103" s="22"/>
    </row>
    <row r="104" spans="4:8" ht="16.5" customHeight="1">
      <c r="D104" s="22"/>
      <c r="H104" s="21" t="str">
        <f>IF(B104&gt;0,VLOOKUP(B104,'HARKAVA '!$A$1:$B$115,2,0)," ")</f>
        <v xml:space="preserve"> </v>
      </c>
    </row>
    <row r="105" spans="4:8" ht="16.5" customHeight="1">
      <c r="D105" s="22"/>
      <c r="H105" s="21" t="str">
        <f>IF(B105&gt;0,VLOOKUP(B105,'HARKAVA '!$A$1:$B$115,2,0)," ")</f>
        <v xml:space="preserve"> </v>
      </c>
    </row>
    <row r="106" spans="4:8" ht="16.5" customHeight="1">
      <c r="D106" s="22"/>
      <c r="H106" s="21" t="str">
        <f>IF(B106&gt;0,VLOOKUP(B106,'HARKAVA '!$A$1:$B$115,2,0)," ")</f>
        <v xml:space="preserve"> </v>
      </c>
    </row>
    <row r="107" spans="4:8" ht="16.5" customHeight="1">
      <c r="D107" s="22"/>
      <c r="H107" s="21" t="str">
        <f>IF(B107&gt;0,VLOOKUP(B107,'HARKAVA '!$A$1:$B$115,2,0)," ")</f>
        <v xml:space="preserve"> </v>
      </c>
    </row>
    <row r="108" spans="4:8" ht="16.5" customHeight="1">
      <c r="D108" s="22"/>
      <c r="H108" s="21" t="str">
        <f>IF(B108&gt;0,VLOOKUP(B108,'HARKAVA '!$A$1:$B$115,2,0)," ")</f>
        <v xml:space="preserve"> </v>
      </c>
    </row>
    <row r="109" spans="4:8" ht="16.5" customHeight="1">
      <c r="D109" s="22"/>
      <c r="H109" s="21" t="str">
        <f>IF(B109&gt;0,VLOOKUP(B109,'HARKAVA '!$A$1:$B$115,2,0)," ")</f>
        <v xml:space="preserve"> </v>
      </c>
    </row>
    <row r="110" spans="4:8" ht="16.5" customHeight="1">
      <c r="D110" s="22"/>
    </row>
    <row r="111" spans="4:8" ht="16.5" customHeight="1">
      <c r="D111" s="22"/>
    </row>
    <row r="112" spans="4:8" ht="16.5" customHeight="1">
      <c r="D112" s="22"/>
    </row>
    <row r="113" spans="4:4" ht="16.5" customHeight="1">
      <c r="D113" s="22"/>
    </row>
    <row r="114" spans="4:4" ht="16.5" customHeight="1">
      <c r="D114" s="22"/>
    </row>
    <row r="115" spans="4:4" ht="16.5" customHeight="1">
      <c r="D115" s="22"/>
    </row>
    <row r="116" spans="4:4" ht="16.5" customHeight="1">
      <c r="D116" s="22"/>
    </row>
    <row r="117" spans="4:4" ht="16.5" customHeight="1">
      <c r="D117" s="22"/>
    </row>
    <row r="118" spans="4:4" ht="16.5" customHeight="1">
      <c r="D118" s="22"/>
    </row>
    <row r="119" spans="4:4" ht="16.5" customHeight="1">
      <c r="D119" s="22"/>
    </row>
    <row r="120" spans="4:4" ht="16.5" customHeight="1">
      <c r="D120" s="22"/>
    </row>
    <row r="121" spans="4:4" ht="16.5" customHeight="1">
      <c r="D121" s="22"/>
    </row>
    <row r="122" spans="4:4" ht="16.5" customHeight="1">
      <c r="D122" s="22"/>
    </row>
    <row r="123" spans="4:4" ht="16.5" customHeight="1">
      <c r="D123" s="22"/>
    </row>
    <row r="124" spans="4:4" ht="16.5" customHeight="1">
      <c r="D124" s="22"/>
    </row>
    <row r="125" spans="4:4" ht="16.5" customHeight="1">
      <c r="D125" s="22"/>
    </row>
    <row r="126" spans="4:4" ht="16.5" customHeight="1">
      <c r="D126" s="22"/>
    </row>
    <row r="127" spans="4:4" ht="16.5" customHeight="1">
      <c r="D127" s="22"/>
    </row>
    <row r="128" spans="4:4" ht="16.5" customHeight="1">
      <c r="D128" s="22"/>
    </row>
    <row r="129" spans="1:4" ht="16.5" customHeight="1">
      <c r="A129" s="11">
        <v>20</v>
      </c>
      <c r="D129" s="22"/>
    </row>
    <row r="130" spans="1:4" ht="16.5" customHeight="1">
      <c r="A130" s="11">
        <v>20</v>
      </c>
      <c r="D130" s="22"/>
    </row>
    <row r="131" spans="1:4" ht="16.5" customHeight="1">
      <c r="A131" s="11">
        <v>20</v>
      </c>
      <c r="D131" s="22"/>
    </row>
    <row r="132" spans="1:4" ht="16.5" customHeight="1">
      <c r="A132" s="11">
        <v>20</v>
      </c>
      <c r="D132" s="22"/>
    </row>
    <row r="133" spans="1:4" ht="16.5" customHeight="1">
      <c r="A133" s="11">
        <v>20</v>
      </c>
      <c r="D133" s="22"/>
    </row>
    <row r="134" spans="1:4" ht="16.5" customHeight="1">
      <c r="A134" s="11">
        <v>20</v>
      </c>
      <c r="D134" s="22"/>
    </row>
    <row r="135" spans="1:4" ht="16.5" customHeight="1">
      <c r="A135" s="11">
        <v>20</v>
      </c>
      <c r="D135" s="22"/>
    </row>
    <row r="136" spans="1:4" ht="16.5" customHeight="1">
      <c r="A136" s="11">
        <v>20</v>
      </c>
      <c r="D136" s="22"/>
    </row>
    <row r="137" spans="1:4" ht="16.5" customHeight="1">
      <c r="A137" s="11">
        <v>20</v>
      </c>
      <c r="D137" s="22"/>
    </row>
    <row r="138" spans="1:4" ht="16.5" customHeight="1">
      <c r="A138" s="11">
        <v>20</v>
      </c>
      <c r="D138" s="22"/>
    </row>
    <row r="139" spans="1:4" ht="16.5" customHeight="1">
      <c r="A139" s="11">
        <v>20</v>
      </c>
      <c r="D139" s="22"/>
    </row>
    <row r="140" spans="1:4" ht="16.5" customHeight="1">
      <c r="A140" s="11">
        <v>20</v>
      </c>
      <c r="D140" s="22"/>
    </row>
    <row r="141" spans="1:4" ht="16.5" customHeight="1">
      <c r="A141" s="11">
        <v>20</v>
      </c>
      <c r="D141" s="22"/>
    </row>
    <row r="142" spans="1:4" ht="16.5" customHeight="1">
      <c r="A142" s="11">
        <v>20</v>
      </c>
      <c r="D142" s="22"/>
    </row>
    <row r="143" spans="1:4" ht="16.5" customHeight="1">
      <c r="A143" s="11">
        <v>20</v>
      </c>
      <c r="D143" s="22"/>
    </row>
    <row r="144" spans="1:4" ht="16.5" customHeight="1">
      <c r="A144" s="11">
        <v>20</v>
      </c>
      <c r="D144" s="22"/>
    </row>
    <row r="145" spans="1:7" ht="16.5" customHeight="1">
      <c r="A145" s="11">
        <v>20</v>
      </c>
      <c r="D145" s="22"/>
    </row>
    <row r="146" spans="1:7" ht="16.5" customHeight="1">
      <c r="A146" s="11">
        <v>20</v>
      </c>
      <c r="D146" s="22"/>
    </row>
    <row r="147" spans="1:7" ht="16.5" customHeight="1">
      <c r="A147" s="11">
        <v>20</v>
      </c>
      <c r="D147" s="22"/>
    </row>
    <row r="148" spans="1:7" ht="16.5" customHeight="1">
      <c r="A148" s="11">
        <v>20</v>
      </c>
      <c r="D148" s="22"/>
    </row>
    <row r="149" spans="1:7" ht="16.5" customHeight="1">
      <c r="A149" s="11">
        <v>20</v>
      </c>
      <c r="D149" s="22"/>
    </row>
    <row r="150" spans="1:7" ht="16.5" customHeight="1">
      <c r="A150" s="11">
        <v>20</v>
      </c>
      <c r="D150" s="22"/>
    </row>
    <row r="151" spans="1:7" ht="16.5" customHeight="1">
      <c r="A151" s="11">
        <v>20</v>
      </c>
      <c r="D151" s="22"/>
    </row>
    <row r="152" spans="1:7" ht="16.5" customHeight="1">
      <c r="A152" s="11">
        <v>20</v>
      </c>
      <c r="D152" s="22"/>
    </row>
    <row r="153" spans="1:7" ht="16.5" customHeight="1">
      <c r="A153" s="11">
        <v>20</v>
      </c>
      <c r="D153" s="22"/>
    </row>
    <row r="154" spans="1:7" ht="16.5" customHeight="1">
      <c r="A154" s="11">
        <v>20</v>
      </c>
      <c r="D154" s="22"/>
    </row>
    <row r="155" spans="1:7" ht="16.5" customHeight="1">
      <c r="A155" s="11">
        <v>20</v>
      </c>
      <c r="D155" s="22"/>
    </row>
    <row r="156" spans="1:7" ht="16.5" customHeight="1">
      <c r="A156" s="11">
        <v>20</v>
      </c>
      <c r="D156" s="22"/>
    </row>
    <row r="157" spans="1:7" ht="16.5" customHeight="1">
      <c r="A157" s="11">
        <v>20</v>
      </c>
      <c r="D157" s="22"/>
    </row>
    <row r="158" spans="1:7" ht="16.5" customHeight="1">
      <c r="A158" s="11">
        <v>20</v>
      </c>
      <c r="D158" s="22"/>
    </row>
    <row r="159" spans="1:7" ht="16.5" customHeight="1">
      <c r="A159" s="11">
        <v>20</v>
      </c>
      <c r="D159" s="22"/>
    </row>
    <row r="160" spans="1:7" ht="16.5" customHeight="1">
      <c r="A160" s="11">
        <v>20</v>
      </c>
      <c r="D160" s="22"/>
      <c r="E160" s="24"/>
      <c r="F160" s="24"/>
      <c r="G160" s="24"/>
    </row>
    <row r="161" spans="1:12" ht="16.5" customHeight="1">
      <c r="A161" s="11">
        <v>20</v>
      </c>
      <c r="E161" s="24"/>
      <c r="F161" s="24"/>
      <c r="G161" s="24"/>
    </row>
    <row r="162" spans="1:12" ht="16.5" customHeight="1">
      <c r="A162" s="11">
        <v>20</v>
      </c>
      <c r="E162" s="24"/>
      <c r="F162" s="24"/>
      <c r="G162" s="24"/>
    </row>
    <row r="163" spans="1:12" ht="16.5" customHeight="1">
      <c r="A163" s="11">
        <v>20</v>
      </c>
      <c r="E163" s="24"/>
      <c r="F163" s="24"/>
      <c r="G163" s="24"/>
    </row>
    <row r="164" spans="1:12" ht="16.5" customHeight="1">
      <c r="A164" s="11">
        <v>20</v>
      </c>
      <c r="E164" s="24"/>
      <c r="F164" s="24"/>
      <c r="G164" s="24"/>
    </row>
    <row r="165" spans="1:12" ht="16.5" customHeight="1">
      <c r="A165" s="11">
        <v>20</v>
      </c>
      <c r="E165" s="24"/>
      <c r="F165" s="24"/>
      <c r="G165" s="24"/>
    </row>
    <row r="166" spans="1:12" ht="16.5" customHeight="1">
      <c r="A166" s="11">
        <v>20</v>
      </c>
      <c r="E166" s="24"/>
      <c r="F166" s="24"/>
      <c r="G166" s="24"/>
    </row>
    <row r="167" spans="1:12" ht="16.5" customHeight="1">
      <c r="A167" s="11">
        <v>20</v>
      </c>
      <c r="E167" s="24"/>
      <c r="F167" s="24"/>
      <c r="G167" s="24"/>
    </row>
    <row r="168" spans="1:12" ht="16.5" customHeight="1" thickBot="1">
      <c r="A168" s="11">
        <v>20</v>
      </c>
      <c r="B168" s="28"/>
      <c r="C168" s="28"/>
      <c r="D168" s="29"/>
      <c r="E168" s="30"/>
      <c r="F168" s="30"/>
      <c r="G168" s="30"/>
      <c r="H168" s="31"/>
      <c r="I168" s="52"/>
    </row>
    <row r="169" spans="1:12" ht="15.75" customHeight="1">
      <c r="A169" s="11">
        <v>21</v>
      </c>
      <c r="D169" s="32"/>
      <c r="E169" s="32"/>
      <c r="F169" s="32"/>
      <c r="G169" s="32"/>
      <c r="I169" s="552"/>
      <c r="J169" s="551"/>
      <c r="K169" s="549"/>
    </row>
    <row r="170" spans="1:12" ht="15.75" customHeight="1">
      <c r="A170" s="11">
        <v>21</v>
      </c>
      <c r="D170" s="32"/>
      <c r="E170" s="32"/>
      <c r="F170" s="32"/>
      <c r="G170" s="32"/>
      <c r="I170" s="553"/>
      <c r="J170" s="551"/>
      <c r="K170" s="549"/>
    </row>
    <row r="171" spans="1:12" ht="15.75" customHeight="1">
      <c r="A171" s="11">
        <v>21</v>
      </c>
      <c r="D171" s="32"/>
      <c r="E171" s="32"/>
      <c r="F171" s="32"/>
      <c r="G171" s="32"/>
      <c r="I171" s="553"/>
      <c r="J171" s="551"/>
      <c r="K171" s="549"/>
    </row>
    <row r="172" spans="1:12" ht="15.75" customHeight="1">
      <c r="A172" s="11">
        <v>21</v>
      </c>
      <c r="D172" s="32"/>
      <c r="E172" s="32"/>
      <c r="F172" s="32"/>
      <c r="G172" s="32"/>
      <c r="I172" s="553"/>
      <c r="J172" s="551"/>
      <c r="K172" s="549"/>
      <c r="L172" s="32"/>
    </row>
    <row r="173" spans="1:12" ht="15.75" customHeight="1">
      <c r="A173" s="11">
        <v>22</v>
      </c>
      <c r="D173" s="32"/>
      <c r="E173" s="32"/>
      <c r="F173" s="32"/>
      <c r="G173" s="32"/>
      <c r="I173" s="546"/>
      <c r="J173" s="551"/>
      <c r="K173" s="549"/>
    </row>
    <row r="174" spans="1:12" ht="15.75" customHeight="1">
      <c r="A174" s="11">
        <v>22</v>
      </c>
      <c r="D174" s="32"/>
      <c r="E174" s="32"/>
      <c r="F174" s="32"/>
      <c r="G174" s="32"/>
      <c r="I174" s="546"/>
      <c r="J174" s="551"/>
      <c r="K174" s="549"/>
    </row>
    <row r="175" spans="1:12" ht="16.5" customHeight="1">
      <c r="A175" s="11">
        <v>23</v>
      </c>
      <c r="D175" s="32"/>
      <c r="E175" s="32"/>
      <c r="F175" s="32"/>
      <c r="G175" s="32"/>
      <c r="I175" s="546"/>
      <c r="J175" s="551"/>
      <c r="K175" s="548"/>
    </row>
    <row r="176" spans="1:12" ht="16.5" customHeight="1">
      <c r="A176" s="11">
        <v>23</v>
      </c>
      <c r="D176" s="32"/>
      <c r="E176" s="32"/>
      <c r="F176" s="32"/>
      <c r="G176" s="32"/>
      <c r="I176" s="546"/>
      <c r="J176" s="551"/>
      <c r="K176" s="548"/>
    </row>
    <row r="177" spans="1:13" ht="15.75" customHeight="1">
      <c r="A177" s="11">
        <v>24</v>
      </c>
      <c r="D177" s="32"/>
      <c r="E177" s="32"/>
      <c r="F177" s="32"/>
      <c r="G177" s="32"/>
      <c r="I177" s="553"/>
      <c r="J177" s="551"/>
      <c r="K177" s="548"/>
    </row>
    <row r="178" spans="1:13" ht="15" customHeight="1">
      <c r="A178" s="11">
        <v>24</v>
      </c>
      <c r="D178" s="32"/>
      <c r="E178" s="32"/>
      <c r="F178" s="32"/>
      <c r="G178" s="32"/>
      <c r="I178" s="553"/>
      <c r="J178" s="551"/>
      <c r="K178" s="548"/>
    </row>
    <row r="179" spans="1:13" ht="15.75" customHeight="1">
      <c r="A179" s="11">
        <v>25</v>
      </c>
      <c r="D179" s="32"/>
      <c r="E179" s="32"/>
      <c r="F179" s="32"/>
      <c r="G179" s="32"/>
      <c r="I179" s="546"/>
      <c r="J179" s="551"/>
    </row>
    <row r="180" spans="1:13" ht="15.75" customHeight="1">
      <c r="A180" s="11">
        <v>25</v>
      </c>
      <c r="D180" s="32"/>
      <c r="E180" s="32"/>
      <c r="F180" s="32"/>
      <c r="G180" s="32"/>
      <c r="I180" s="546"/>
      <c r="J180" s="551"/>
      <c r="L180" s="33"/>
      <c r="M180" s="34"/>
    </row>
    <row r="181" spans="1:13" ht="15.75" customHeight="1">
      <c r="A181" s="11">
        <v>26</v>
      </c>
      <c r="D181" s="32"/>
      <c r="I181" s="545"/>
      <c r="J181" s="551"/>
      <c r="L181" s="33"/>
      <c r="M181" s="35"/>
    </row>
    <row r="182" spans="1:13" ht="15.75" customHeight="1">
      <c r="A182" s="11">
        <v>26</v>
      </c>
      <c r="E182" s="32"/>
      <c r="F182" s="32"/>
      <c r="G182" s="32"/>
      <c r="I182" s="545"/>
      <c r="J182" s="551"/>
      <c r="L182" s="33"/>
      <c r="M182" s="35"/>
    </row>
    <row r="183" spans="1:13" ht="16.5" customHeight="1" thickBot="1">
      <c r="A183" s="11">
        <v>27</v>
      </c>
      <c r="D183" s="32"/>
      <c r="I183" s="546"/>
      <c r="J183" s="551"/>
      <c r="L183" s="36"/>
      <c r="M183" s="37"/>
    </row>
    <row r="184" spans="1:13" ht="16.5" customHeight="1" thickTop="1">
      <c r="A184" s="11">
        <v>27</v>
      </c>
      <c r="E184" s="32"/>
      <c r="F184" s="32"/>
      <c r="G184" s="32"/>
      <c r="I184" s="546"/>
      <c r="J184" s="551"/>
    </row>
    <row r="185" spans="1:13" ht="15.75" customHeight="1">
      <c r="A185" s="11">
        <v>28</v>
      </c>
      <c r="D185" s="32"/>
      <c r="E185" s="32"/>
      <c r="F185" s="32"/>
      <c r="G185" s="32"/>
      <c r="I185" s="553"/>
      <c r="J185" s="551"/>
      <c r="L185" s="32"/>
    </row>
    <row r="186" spans="1:13" ht="15.75" customHeight="1">
      <c r="A186" s="11">
        <v>28</v>
      </c>
      <c r="D186" s="32"/>
      <c r="E186" s="32"/>
      <c r="F186" s="32"/>
      <c r="G186" s="32"/>
      <c r="I186" s="553"/>
      <c r="J186" s="551"/>
    </row>
    <row r="187" spans="1:13" ht="15.75" customHeight="1">
      <c r="A187" s="11">
        <v>28</v>
      </c>
      <c r="D187" s="32"/>
      <c r="E187" s="32"/>
      <c r="F187" s="32"/>
      <c r="G187" s="32"/>
      <c r="I187" s="553"/>
      <c r="J187" s="551"/>
    </row>
    <row r="188" spans="1:13" ht="15.75" customHeight="1">
      <c r="A188" s="11">
        <v>28</v>
      </c>
      <c r="D188" s="32"/>
      <c r="E188" s="32"/>
      <c r="F188" s="32"/>
      <c r="G188" s="32"/>
      <c r="I188" s="553"/>
      <c r="J188" s="551"/>
    </row>
    <row r="189" spans="1:13" ht="32.25" customHeight="1">
      <c r="A189" s="11">
        <v>29</v>
      </c>
      <c r="D189" s="32"/>
      <c r="E189" s="32"/>
      <c r="F189" s="32"/>
      <c r="G189" s="32"/>
      <c r="I189" s="553"/>
      <c r="J189" s="551"/>
      <c r="K189" s="550"/>
    </row>
    <row r="190" spans="1:13" ht="15" customHeight="1">
      <c r="A190" s="11">
        <v>29</v>
      </c>
      <c r="D190" s="32"/>
      <c r="E190" s="32"/>
      <c r="F190" s="32"/>
      <c r="G190" s="32"/>
      <c r="I190" s="553"/>
      <c r="J190" s="551"/>
      <c r="K190" s="550"/>
    </row>
    <row r="191" spans="1:13" ht="15.75" customHeight="1">
      <c r="A191" s="11">
        <v>29</v>
      </c>
      <c r="D191" s="32"/>
      <c r="E191" s="32"/>
      <c r="F191" s="32"/>
      <c r="G191" s="32"/>
      <c r="I191" s="553"/>
      <c r="J191" s="551"/>
      <c r="K191" s="134"/>
    </row>
    <row r="192" spans="1:13" ht="15.75" customHeight="1">
      <c r="A192" s="11">
        <v>29</v>
      </c>
      <c r="D192" s="32"/>
      <c r="E192" s="32"/>
      <c r="F192" s="32"/>
      <c r="G192" s="32"/>
      <c r="I192" s="553"/>
      <c r="J192" s="551"/>
      <c r="K192" s="134"/>
    </row>
    <row r="193" spans="1:10" ht="15.75" customHeight="1">
      <c r="A193" s="11">
        <v>31</v>
      </c>
      <c r="D193" s="32"/>
      <c r="E193" s="32"/>
      <c r="F193" s="32"/>
      <c r="G193" s="32"/>
      <c r="I193" s="546"/>
      <c r="J193" s="551"/>
    </row>
    <row r="194" spans="1:10" ht="15.75" customHeight="1">
      <c r="A194" s="11">
        <v>31</v>
      </c>
      <c r="D194" s="32"/>
      <c r="E194" s="32"/>
      <c r="F194" s="32"/>
      <c r="G194" s="32"/>
      <c r="I194" s="546"/>
      <c r="J194" s="551"/>
    </row>
    <row r="195" spans="1:10" ht="15.75" customHeight="1">
      <c r="A195" s="11">
        <v>235</v>
      </c>
      <c r="D195" s="32"/>
      <c r="E195" s="32"/>
      <c r="F195" s="32"/>
      <c r="G195" s="32"/>
      <c r="I195" s="545"/>
      <c r="J195" s="551"/>
    </row>
    <row r="196" spans="1:10" ht="15.75" customHeight="1">
      <c r="A196" s="11">
        <v>236</v>
      </c>
      <c r="D196" s="32"/>
      <c r="E196" s="32"/>
      <c r="F196" s="32"/>
      <c r="G196" s="32"/>
      <c r="I196" s="545"/>
      <c r="J196" s="551"/>
    </row>
    <row r="197" spans="1:10" ht="15.75" customHeight="1">
      <c r="A197" s="11">
        <v>237</v>
      </c>
      <c r="D197" s="32"/>
      <c r="E197" s="32"/>
      <c r="F197" s="32"/>
      <c r="G197" s="32"/>
      <c r="I197" s="545"/>
    </row>
    <row r="198" spans="1:10" ht="15.75" customHeight="1">
      <c r="A198" s="11">
        <v>238</v>
      </c>
      <c r="D198" s="32"/>
      <c r="E198" s="32"/>
      <c r="F198" s="32"/>
      <c r="G198" s="32"/>
      <c r="I198" s="545"/>
    </row>
    <row r="199" spans="1:10" ht="15.75" customHeight="1">
      <c r="A199" s="11">
        <v>239</v>
      </c>
      <c r="D199" s="32"/>
      <c r="E199" s="32"/>
      <c r="F199" s="32"/>
      <c r="G199" s="32"/>
      <c r="I199" s="546"/>
    </row>
    <row r="200" spans="1:10" ht="15.75" customHeight="1">
      <c r="A200" s="11">
        <v>240</v>
      </c>
      <c r="D200" s="22"/>
      <c r="E200" s="32"/>
      <c r="F200" s="32"/>
      <c r="G200" s="32"/>
      <c r="I200" s="546"/>
    </row>
    <row r="201" spans="1:10" ht="15.75" customHeight="1">
      <c r="A201" s="11">
        <v>243</v>
      </c>
      <c r="D201" s="22"/>
      <c r="I201" s="553"/>
    </row>
    <row r="202" spans="1:10" ht="15.75" customHeight="1">
      <c r="A202" s="11">
        <v>244</v>
      </c>
      <c r="D202" s="22"/>
      <c r="E202" s="22"/>
      <c r="F202" s="22"/>
      <c r="G202" s="22"/>
      <c r="I202" s="553"/>
    </row>
    <row r="203" spans="1:10" ht="15.75" customHeight="1">
      <c r="A203" s="11">
        <v>245</v>
      </c>
      <c r="D203" s="22"/>
      <c r="E203" s="22"/>
      <c r="F203" s="22"/>
      <c r="G203" s="22"/>
      <c r="I203" s="553"/>
    </row>
    <row r="204" spans="1:10" ht="15" customHeight="1">
      <c r="A204" s="11">
        <v>246</v>
      </c>
      <c r="D204" s="22"/>
      <c r="E204" s="22"/>
      <c r="F204" s="22"/>
      <c r="G204" s="22"/>
      <c r="I204" s="553"/>
    </row>
    <row r="205" spans="1:10" ht="15" customHeight="1">
      <c r="A205" s="11">
        <v>247</v>
      </c>
      <c r="D205" s="22"/>
      <c r="E205" s="22"/>
      <c r="F205" s="22"/>
      <c r="G205" s="22"/>
      <c r="I205" s="553"/>
    </row>
    <row r="206" spans="1:10" ht="15" customHeight="1">
      <c r="A206" s="11">
        <v>248</v>
      </c>
      <c r="E206" s="22"/>
      <c r="F206" s="22"/>
      <c r="G206" s="22"/>
      <c r="I206" s="553"/>
    </row>
    <row r="207" spans="1:10" ht="15" customHeight="1">
      <c r="A207" s="11">
        <v>249</v>
      </c>
      <c r="D207" s="38"/>
      <c r="E207" s="22"/>
      <c r="F207" s="22"/>
      <c r="G207" s="22"/>
      <c r="I207" s="553"/>
    </row>
    <row r="208" spans="1:10" ht="15" customHeight="1">
      <c r="A208" s="11">
        <v>250</v>
      </c>
      <c r="E208" s="22"/>
      <c r="F208" s="22"/>
      <c r="G208" s="22"/>
      <c r="I208" s="553"/>
    </row>
    <row r="209" spans="1:9" ht="15" customHeight="1">
      <c r="A209" s="11">
        <v>251</v>
      </c>
      <c r="D209" s="22"/>
      <c r="E209" s="22"/>
      <c r="F209" s="22"/>
      <c r="G209" s="22"/>
      <c r="I209" s="546"/>
    </row>
    <row r="210" spans="1:9" ht="15" customHeight="1">
      <c r="A210" s="11">
        <v>251</v>
      </c>
      <c r="D210" s="22"/>
      <c r="E210" s="22"/>
      <c r="F210" s="22"/>
      <c r="G210" s="22"/>
      <c r="I210" s="546"/>
    </row>
    <row r="211" spans="1:9" ht="15" customHeight="1">
      <c r="A211" s="11">
        <v>252</v>
      </c>
      <c r="D211" s="22"/>
      <c r="E211" s="22"/>
      <c r="F211" s="22"/>
      <c r="G211" s="22"/>
      <c r="I211" s="546"/>
    </row>
    <row r="212" spans="1:9" ht="15" customHeight="1">
      <c r="A212" s="11">
        <v>253</v>
      </c>
      <c r="D212" s="22"/>
      <c r="E212" s="22"/>
      <c r="F212" s="22"/>
      <c r="G212" s="22"/>
      <c r="I212" s="546"/>
    </row>
    <row r="213" spans="1:9" ht="15" customHeight="1">
      <c r="A213" s="11">
        <v>254</v>
      </c>
      <c r="D213" s="22"/>
      <c r="E213" s="22"/>
      <c r="F213" s="22"/>
      <c r="G213" s="22"/>
      <c r="I213" s="546"/>
    </row>
    <row r="214" spans="1:9" ht="15" customHeight="1">
      <c r="A214" s="11">
        <v>255</v>
      </c>
      <c r="D214" s="22"/>
      <c r="E214" s="22"/>
      <c r="F214" s="22"/>
      <c r="G214" s="22"/>
      <c r="I214" s="547"/>
    </row>
    <row r="215" spans="1:9" ht="15" customHeight="1">
      <c r="A215" s="11">
        <v>256</v>
      </c>
      <c r="D215" s="22"/>
      <c r="E215" s="22"/>
      <c r="F215" s="22"/>
      <c r="G215" s="22"/>
      <c r="I215" s="547"/>
    </row>
    <row r="216" spans="1:9" ht="15" customHeight="1">
      <c r="A216" s="11">
        <v>257</v>
      </c>
      <c r="D216" s="22"/>
      <c r="E216" s="22"/>
      <c r="F216" s="22"/>
      <c r="G216" s="22"/>
      <c r="I216" s="546"/>
    </row>
    <row r="217" spans="1:9" ht="15" customHeight="1">
      <c r="A217" s="11">
        <v>258</v>
      </c>
      <c r="D217" s="22"/>
      <c r="E217" s="22"/>
      <c r="F217" s="22"/>
      <c r="G217" s="22"/>
      <c r="I217" s="546"/>
    </row>
    <row r="218" spans="1:9" ht="15" customHeight="1">
      <c r="A218" s="11">
        <v>259</v>
      </c>
      <c r="D218" s="22"/>
      <c r="E218" s="22"/>
      <c r="F218" s="22"/>
      <c r="G218" s="22"/>
      <c r="I218" s="545"/>
    </row>
    <row r="219" spans="1:9" ht="15" customHeight="1">
      <c r="A219" s="11">
        <v>260</v>
      </c>
      <c r="D219" s="22"/>
      <c r="E219" s="22"/>
      <c r="F219" s="22"/>
      <c r="G219" s="22"/>
      <c r="I219" s="545"/>
    </row>
    <row r="220" spans="1:9" ht="15" customHeight="1">
      <c r="A220" s="11">
        <v>261</v>
      </c>
      <c r="D220" s="22"/>
      <c r="E220" s="22"/>
      <c r="F220" s="22"/>
      <c r="G220" s="22"/>
      <c r="I220" s="547"/>
    </row>
    <row r="221" spans="1:9" ht="15" customHeight="1">
      <c r="A221" s="11">
        <v>262</v>
      </c>
      <c r="D221" s="22"/>
      <c r="E221" s="22"/>
      <c r="F221" s="22"/>
      <c r="G221" s="22"/>
      <c r="I221" s="547"/>
    </row>
    <row r="222" spans="1:9" ht="15" customHeight="1">
      <c r="A222" s="11">
        <v>263</v>
      </c>
      <c r="E222" s="22"/>
      <c r="F222" s="22"/>
      <c r="G222" s="22"/>
      <c r="I222" s="547"/>
    </row>
    <row r="223" spans="1:9" ht="15" customHeight="1">
      <c r="A223" s="11">
        <v>264</v>
      </c>
      <c r="D223" s="22"/>
      <c r="E223" s="22"/>
      <c r="F223" s="22"/>
      <c r="G223" s="22"/>
      <c r="I223" s="547"/>
    </row>
    <row r="224" spans="1:9" ht="15" customHeight="1">
      <c r="A224" s="11">
        <v>265</v>
      </c>
      <c r="D224" s="22"/>
      <c r="E224" s="22"/>
      <c r="F224" s="22"/>
      <c r="G224" s="22"/>
      <c r="I224" s="547"/>
    </row>
    <row r="225" spans="1:9" ht="15" customHeight="1">
      <c r="A225" s="11">
        <v>266</v>
      </c>
      <c r="D225" s="22"/>
      <c r="E225" s="22"/>
      <c r="F225" s="22"/>
      <c r="G225" s="22"/>
      <c r="I225" s="547"/>
    </row>
    <row r="226" spans="1:9" ht="15" customHeight="1">
      <c r="A226" s="11">
        <v>267</v>
      </c>
      <c r="D226" s="22"/>
      <c r="E226" s="22"/>
      <c r="F226" s="22"/>
      <c r="G226" s="22"/>
      <c r="I226" s="547"/>
    </row>
    <row r="227" spans="1:9" ht="15" customHeight="1">
      <c r="A227" s="11">
        <v>268</v>
      </c>
      <c r="E227" s="38"/>
      <c r="F227" s="38"/>
      <c r="G227" s="38"/>
      <c r="I227" s="547"/>
    </row>
    <row r="228" spans="1:9" ht="15" customHeight="1">
      <c r="A228" s="11">
        <v>269</v>
      </c>
      <c r="D228" s="32"/>
      <c r="E228" s="32"/>
      <c r="F228" s="32"/>
      <c r="G228" s="32"/>
      <c r="I228" s="545"/>
    </row>
    <row r="229" spans="1:9" ht="15" customHeight="1">
      <c r="A229" s="11">
        <v>270</v>
      </c>
      <c r="D229" s="32"/>
      <c r="E229" s="32"/>
      <c r="F229" s="32"/>
      <c r="G229" s="32"/>
      <c r="I229" s="545"/>
    </row>
    <row r="230" spans="1:9" ht="15" customHeight="1">
      <c r="A230" s="11">
        <v>271</v>
      </c>
      <c r="D230" s="32"/>
      <c r="E230" s="32"/>
      <c r="F230" s="32"/>
      <c r="G230" s="32"/>
      <c r="I230" s="545"/>
    </row>
    <row r="231" spans="1:9" ht="15" customHeight="1">
      <c r="A231" s="11">
        <v>272</v>
      </c>
      <c r="D231" s="32"/>
      <c r="E231" s="32"/>
      <c r="F231" s="32"/>
      <c r="G231" s="32"/>
      <c r="I231" s="545"/>
    </row>
    <row r="232" spans="1:9" ht="15" customHeight="1">
      <c r="A232" s="11">
        <v>273</v>
      </c>
      <c r="D232" s="32"/>
      <c r="E232" s="32"/>
      <c r="F232" s="32"/>
      <c r="G232" s="32"/>
      <c r="I232" s="545"/>
    </row>
    <row r="233" spans="1:9" ht="15" customHeight="1">
      <c r="A233" s="11">
        <v>274</v>
      </c>
      <c r="D233" s="32"/>
      <c r="E233" s="32"/>
      <c r="F233" s="32"/>
      <c r="G233" s="32"/>
      <c r="I233" s="545"/>
    </row>
    <row r="234" spans="1:9">
      <c r="A234" s="11">
        <v>275</v>
      </c>
      <c r="I234" s="545"/>
    </row>
    <row r="235" spans="1:9">
      <c r="A235" s="11">
        <v>276</v>
      </c>
      <c r="I235" s="545"/>
    </row>
    <row r="236" spans="1:9">
      <c r="A236" s="11">
        <v>277</v>
      </c>
      <c r="D236" s="32"/>
      <c r="E236" s="32"/>
      <c r="F236" s="32"/>
      <c r="G236" s="32"/>
      <c r="I236" s="545"/>
    </row>
    <row r="237" spans="1:9">
      <c r="A237" s="11">
        <v>278</v>
      </c>
      <c r="D237" s="32"/>
      <c r="E237" s="32"/>
      <c r="F237" s="32"/>
      <c r="G237" s="32"/>
      <c r="I237" s="545"/>
    </row>
    <row r="238" spans="1:9" ht="48" customHeight="1">
      <c r="A238" s="11">
        <v>279</v>
      </c>
      <c r="I238" s="546"/>
    </row>
    <row r="239" spans="1:9" ht="54.75" customHeight="1">
      <c r="A239" s="11">
        <v>280</v>
      </c>
      <c r="I239" s="546"/>
    </row>
    <row r="240" spans="1:9">
      <c r="A240" s="11">
        <v>281</v>
      </c>
      <c r="I240" s="546"/>
    </row>
    <row r="241" spans="1:9">
      <c r="A241" s="11">
        <v>282</v>
      </c>
      <c r="D241" s="26"/>
      <c r="I241" s="546"/>
    </row>
    <row r="242" spans="1:9">
      <c r="A242" s="11">
        <v>283</v>
      </c>
      <c r="D242" s="22"/>
      <c r="I242" s="546"/>
    </row>
    <row r="243" spans="1:9">
      <c r="A243" s="11">
        <v>284</v>
      </c>
      <c r="E243" s="38"/>
      <c r="F243" s="38"/>
      <c r="G243" s="38"/>
      <c r="I243" s="546"/>
    </row>
    <row r="244" spans="1:9">
      <c r="A244" s="11">
        <v>285</v>
      </c>
      <c r="D244" s="22"/>
      <c r="I244" s="545"/>
    </row>
    <row r="245" spans="1:9">
      <c r="A245" s="11">
        <v>286</v>
      </c>
      <c r="E245" s="38"/>
      <c r="F245" s="38"/>
      <c r="G245" s="38"/>
      <c r="I245" s="545"/>
    </row>
    <row r="246" spans="1:9">
      <c r="A246" s="11">
        <v>287</v>
      </c>
      <c r="I246" s="545"/>
    </row>
    <row r="247" spans="1:9">
      <c r="A247" s="11">
        <v>288</v>
      </c>
      <c r="I247" s="545"/>
    </row>
    <row r="248" spans="1:9">
      <c r="A248" s="11">
        <v>289</v>
      </c>
      <c r="E248" s="32"/>
      <c r="F248" s="32"/>
      <c r="G248" s="32"/>
    </row>
    <row r="249" spans="1:9">
      <c r="A249" s="11">
        <v>290</v>
      </c>
      <c r="D249" s="32"/>
    </row>
  </sheetData>
  <autoFilter ref="A3:M249" xr:uid="{00000000-0009-0000-0000-000009000000}"/>
  <mergeCells count="39">
    <mergeCell ref="D2:E2"/>
    <mergeCell ref="I189:I192"/>
    <mergeCell ref="I199:I200"/>
    <mergeCell ref="I238:I239"/>
    <mergeCell ref="I220:I222"/>
    <mergeCell ref="I201:I206"/>
    <mergeCell ref="I207:I208"/>
    <mergeCell ref="I197:I198"/>
    <mergeCell ref="I52:I53"/>
    <mergeCell ref="K175:K176"/>
    <mergeCell ref="I175:I176"/>
    <mergeCell ref="I195:I196"/>
    <mergeCell ref="K169:K172"/>
    <mergeCell ref="K177:K178"/>
    <mergeCell ref="I179:I180"/>
    <mergeCell ref="I193:I194"/>
    <mergeCell ref="K189:K190"/>
    <mergeCell ref="K173:K174"/>
    <mergeCell ref="I181:I182"/>
    <mergeCell ref="J169:J196"/>
    <mergeCell ref="I169:I172"/>
    <mergeCell ref="I183:I184"/>
    <mergeCell ref="I185:I188"/>
    <mergeCell ref="I177:I178"/>
    <mergeCell ref="I173:I174"/>
    <mergeCell ref="I244:I245"/>
    <mergeCell ref="I246:I247"/>
    <mergeCell ref="I209:I211"/>
    <mergeCell ref="I212:I213"/>
    <mergeCell ref="I214:I215"/>
    <mergeCell ref="I216:I217"/>
    <mergeCell ref="I218:I219"/>
    <mergeCell ref="I242:I243"/>
    <mergeCell ref="I223:I227"/>
    <mergeCell ref="I240:I241"/>
    <mergeCell ref="I228:I229"/>
    <mergeCell ref="I230:I233"/>
    <mergeCell ref="I234:I235"/>
    <mergeCell ref="I236:I237"/>
  </mergeCells>
  <phoneticPr fontId="0" type="noConversion"/>
  <pageMargins left="0.74803149606299213" right="0.74803149606299213" top="0.98425196850393704" bottom="0.98425196850393704" header="0.51181102362204722" footer="0.51181102362204722"/>
  <pageSetup paperSize="9" scale="78" fitToHeight="8" orientation="landscape" r:id="rId1"/>
  <headerFooter alignWithMargins="0">
    <oddHeader>&amp;A</oddHeader>
    <oddFooter>עמוד &amp;P</oddFooter>
  </headerFooter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2"/>
  <dimension ref="A1:F352"/>
  <sheetViews>
    <sheetView zoomScaleNormal="100" workbookViewId="0">
      <selection activeCell="J17" sqref="J17"/>
    </sheetView>
  </sheetViews>
  <sheetFormatPr baseColWidth="10" defaultColWidth="8.85546875" defaultRowHeight="13"/>
  <cols>
    <col min="1" max="1" width="7" style="3" customWidth="1"/>
    <col min="2" max="2" width="30.140625" style="41" bestFit="1" customWidth="1"/>
    <col min="3" max="3" width="6.5703125" style="2" bestFit="1" customWidth="1"/>
    <col min="4" max="4" width="8.85546875" style="2"/>
    <col min="5" max="5" width="25.42578125" style="2" bestFit="1" customWidth="1"/>
    <col min="6" max="16384" width="8.85546875" style="2"/>
  </cols>
  <sheetData>
    <row r="1" spans="1:6">
      <c r="A1" s="49" t="s">
        <v>618</v>
      </c>
      <c r="B1" s="61" t="s">
        <v>849</v>
      </c>
      <c r="C1" s="79" t="s">
        <v>850</v>
      </c>
    </row>
    <row r="2" spans="1:6">
      <c r="A2" s="2">
        <v>1100</v>
      </c>
      <c r="B2" s="41" t="str">
        <f>"עו""ש בנק הפועלים 662227 ש""ח"</f>
        <v>עו"ש בנק הפועלים 662227 ש"ח</v>
      </c>
      <c r="C2" s="2">
        <v>1110</v>
      </c>
      <c r="E2" s="115"/>
      <c r="F2" s="116"/>
    </row>
    <row r="3" spans="1:6">
      <c r="A3" s="2">
        <v>1101</v>
      </c>
      <c r="B3" s="41" t="str">
        <f>"עו""ש בנק הפועלים 662227 $"</f>
        <v>עו"ש בנק הפועלים 662227 $</v>
      </c>
      <c r="C3" s="2">
        <v>1100</v>
      </c>
      <c r="D3" s="124"/>
      <c r="E3" s="115"/>
      <c r="F3" s="116"/>
    </row>
    <row r="4" spans="1:6">
      <c r="A4" s="2">
        <v>1102</v>
      </c>
      <c r="B4" s="41" t="str">
        <f>"עו""ש בנק הפועלים GBP 662227"</f>
        <v>עו"ש בנק הפועלים GBP 662227</v>
      </c>
      <c r="C4" s="2">
        <v>1110</v>
      </c>
      <c r="D4" s="125"/>
      <c r="E4" s="115"/>
      <c r="F4" s="117"/>
    </row>
    <row r="5" spans="1:6">
      <c r="A5" s="2">
        <v>1103</v>
      </c>
      <c r="B5" s="41" t="str">
        <f>"עו""ש בנק הפועלים Eur 662227"</f>
        <v>עו"ש בנק הפועלים Eur 662227</v>
      </c>
      <c r="C5" s="2">
        <v>1110</v>
      </c>
      <c r="D5" s="125"/>
      <c r="E5" s="115"/>
      <c r="F5" s="117"/>
    </row>
    <row r="6" spans="1:6">
      <c r="A6" s="2">
        <v>1106</v>
      </c>
      <c r="B6" s="41" t="str">
        <f>"פקדון בנק פועלים"</f>
        <v>פקדון בנק פועלים</v>
      </c>
      <c r="C6" s="2">
        <v>1300</v>
      </c>
      <c r="D6" s="124"/>
      <c r="E6" s="115"/>
      <c r="F6" s="117"/>
    </row>
    <row r="7" spans="1:6">
      <c r="A7" s="2">
        <v>1107</v>
      </c>
      <c r="B7" s="41" t="str">
        <f>"פקדון בנק פועלים  $"</f>
        <v>פקדון בנק פועלים  $</v>
      </c>
      <c r="C7" s="2">
        <v>1100</v>
      </c>
      <c r="D7" s="125"/>
      <c r="E7" s="115"/>
      <c r="F7" s="117"/>
    </row>
    <row r="8" spans="1:6">
      <c r="A8" s="2">
        <v>1200</v>
      </c>
      <c r="B8" s="41" t="str">
        <f>"כ.אשראי 6362 - ש""ח"</f>
        <v>כ.אשראי 6362 - ש"ח</v>
      </c>
      <c r="C8" s="2">
        <v>3400</v>
      </c>
      <c r="D8" s="125"/>
      <c r="E8" s="115"/>
      <c r="F8" s="117"/>
    </row>
    <row r="9" spans="1:6">
      <c r="A9" s="2">
        <v>1201</v>
      </c>
      <c r="B9" s="41" t="s">
        <v>851</v>
      </c>
      <c r="C9" s="2">
        <v>3400</v>
      </c>
      <c r="D9" s="125"/>
      <c r="E9" s="115"/>
      <c r="F9" s="116"/>
    </row>
    <row r="10" spans="1:6">
      <c r="A10" s="2">
        <v>1202</v>
      </c>
      <c r="B10" s="41" t="str">
        <f>"כ.אשראי  6370 - ש""ח"</f>
        <v>כ.אשראי  6370 - ש"ח</v>
      </c>
      <c r="C10" s="2">
        <v>3400</v>
      </c>
      <c r="D10" s="125"/>
      <c r="E10" s="115"/>
      <c r="F10" s="117"/>
    </row>
    <row r="11" spans="1:6">
      <c r="A11" s="2">
        <v>1206</v>
      </c>
      <c r="B11" s="41" t="s">
        <v>852</v>
      </c>
      <c r="C11" s="2">
        <v>3400</v>
      </c>
      <c r="D11" s="124"/>
      <c r="E11" s="115"/>
      <c r="F11" s="116"/>
    </row>
    <row r="12" spans="1:6">
      <c r="A12" s="2">
        <v>1207</v>
      </c>
      <c r="B12" s="41" t="s">
        <v>853</v>
      </c>
      <c r="C12" s="2">
        <v>3400</v>
      </c>
      <c r="D12" s="124"/>
      <c r="E12" s="115"/>
      <c r="F12" s="117"/>
    </row>
    <row r="13" spans="1:6" ht="15" customHeight="1">
      <c r="A13" s="2">
        <v>3000</v>
      </c>
      <c r="B13" s="41" t="str">
        <f>"א. ארי תקשורת ומחשבים"</f>
        <v>א. ארי תקשורת ומחשבים</v>
      </c>
      <c r="C13" s="2">
        <v>3400</v>
      </c>
      <c r="D13" s="124"/>
      <c r="E13" s="115"/>
      <c r="F13" s="117"/>
    </row>
    <row r="14" spans="1:6">
      <c r="A14" s="2">
        <v>3001</v>
      </c>
      <c r="B14" s="41" t="str">
        <f>"בנאי עזריאל שטרן - עורכי דין"</f>
        <v>בנאי עזריאל שטרן - עורכי דין</v>
      </c>
      <c r="C14" s="2">
        <v>3400</v>
      </c>
      <c r="D14" s="457"/>
      <c r="E14" s="115"/>
      <c r="F14" s="117"/>
    </row>
    <row r="15" spans="1:6">
      <c r="A15" s="2">
        <v>3002</v>
      </c>
      <c r="B15" s="41" t="str">
        <f>"פרנס אריאל"</f>
        <v>פרנס אריאל</v>
      </c>
      <c r="C15" s="2">
        <v>3900</v>
      </c>
      <c r="D15" s="124"/>
      <c r="E15" s="115"/>
      <c r="F15" s="117"/>
    </row>
    <row r="16" spans="1:6">
      <c r="A16" s="2">
        <v>3003</v>
      </c>
      <c r="B16" s="41" t="str">
        <f>"אריאל פרנס ייעוץ בע""מ"</f>
        <v>אריאל פרנס ייעוץ בע"מ</v>
      </c>
      <c r="C16" s="2">
        <v>3900</v>
      </c>
      <c r="D16" s="124"/>
      <c r="E16" s="115"/>
      <c r="F16" s="117"/>
    </row>
    <row r="17" spans="1:6">
      <c r="A17" s="2">
        <v>3004</v>
      </c>
      <c r="B17" s="41" t="str">
        <f>"ולטיקם בע""מ"</f>
        <v>ולטיקם בע"מ</v>
      </c>
      <c r="C17" s="2">
        <v>3900</v>
      </c>
      <c r="D17" s="457"/>
      <c r="E17" s="115"/>
      <c r="F17" s="117"/>
    </row>
    <row r="18" spans="1:6">
      <c r="A18" s="2">
        <v>3006</v>
      </c>
      <c r="B18" s="41" t="str">
        <f>"לאבס תל אביב בע""מ"</f>
        <v>לאבס תל אביב בע"מ</v>
      </c>
      <c r="C18" s="2">
        <v>3400</v>
      </c>
      <c r="D18" s="124"/>
      <c r="E18" s="115"/>
      <c r="F18" s="116"/>
    </row>
    <row r="19" spans="1:6">
      <c r="A19" s="2">
        <v>3008</v>
      </c>
      <c r="B19" s="41" t="str">
        <f>"גוברמן יעוץ בע""מ"</f>
        <v>גוברמן יעוץ בע"מ</v>
      </c>
      <c r="C19" s="2">
        <v>3400</v>
      </c>
      <c r="D19" s="125"/>
      <c r="E19" s="115"/>
      <c r="F19" s="117"/>
    </row>
    <row r="20" spans="1:6">
      <c r="A20" s="2">
        <v>3009</v>
      </c>
      <c r="B20" s="41" t="str">
        <f>"Ignision law"</f>
        <v>Ignision law</v>
      </c>
      <c r="C20" s="2">
        <v>3400</v>
      </c>
      <c r="D20" s="125"/>
      <c r="E20" s="115"/>
    </row>
    <row r="21" spans="1:6">
      <c r="A21" s="2">
        <v>3013</v>
      </c>
      <c r="B21" s="41" t="str">
        <f>"תן ביס"</f>
        <v>תן ביס</v>
      </c>
      <c r="C21" s="2">
        <v>3400</v>
      </c>
      <c r="D21" s="125"/>
      <c r="E21" s="115"/>
      <c r="F21" s="117"/>
    </row>
    <row r="22" spans="1:6">
      <c r="A22" s="2">
        <v>3018</v>
      </c>
      <c r="B22" s="41" t="s">
        <v>854</v>
      </c>
      <c r="C22" s="2">
        <v>3400</v>
      </c>
      <c r="D22" s="125"/>
      <c r="E22" s="115"/>
      <c r="F22" s="117"/>
    </row>
    <row r="23" spans="1:6">
      <c r="A23" s="2">
        <v>3026</v>
      </c>
      <c r="B23" s="41" t="str">
        <f>"חניון מרכז עזריאלי  מע""מ"</f>
        <v>חניון מרכז עזריאלי  מע"מ</v>
      </c>
      <c r="C23" s="2">
        <v>3400</v>
      </c>
      <c r="D23" s="124"/>
      <c r="E23" s="115"/>
      <c r="F23" s="116"/>
    </row>
    <row r="24" spans="1:6">
      <c r="A24" s="2">
        <v>3027</v>
      </c>
      <c r="B24" s="41" t="str">
        <f>"אמזון ווב סרביסס אימאה(AMAZON)"</f>
        <v>אמזון ווב סרביסס אימאה(AMAZON)</v>
      </c>
      <c r="C24" s="2">
        <v>3400</v>
      </c>
      <c r="D24" s="125"/>
      <c r="E24" s="115"/>
      <c r="F24" s="117"/>
    </row>
    <row r="25" spans="1:6">
      <c r="A25" s="2">
        <v>3029</v>
      </c>
      <c r="B25" s="41" t="str">
        <f>"ג'יטי גט טקסי סרוויס בע""מ"</f>
        <v>ג'יטי גט טקסי סרוויס בע"מ</v>
      </c>
      <c r="C25" s="2">
        <v>3400</v>
      </c>
      <c r="D25" s="125"/>
      <c r="E25" s="115"/>
      <c r="F25" s="117"/>
    </row>
    <row r="26" spans="1:6">
      <c r="A26" s="2">
        <v>3034</v>
      </c>
      <c r="B26" s="41" t="str">
        <f>"WILLIAM BEER"</f>
        <v>WILLIAM BEER</v>
      </c>
      <c r="C26" s="2">
        <v>3400</v>
      </c>
      <c r="D26" s="125"/>
      <c r="E26" s="115"/>
      <c r="F26" s="117"/>
    </row>
    <row r="27" spans="1:6">
      <c r="A27" s="2">
        <v>3036</v>
      </c>
      <c r="B27" s="41" t="s">
        <v>855</v>
      </c>
      <c r="C27" s="2">
        <v>3400</v>
      </c>
      <c r="D27" s="125"/>
      <c r="E27" s="115"/>
      <c r="F27" s="89"/>
    </row>
    <row r="28" spans="1:6">
      <c r="A28" s="2">
        <v>3042</v>
      </c>
      <c r="B28" s="41" t="str">
        <f>"EXPENSIFY.COM"</f>
        <v>EXPENSIFY.COM</v>
      </c>
      <c r="C28" s="2">
        <v>3400</v>
      </c>
      <c r="D28" s="125"/>
      <c r="E28" s="115"/>
      <c r="F28" s="117"/>
    </row>
    <row r="29" spans="1:6">
      <c r="A29" s="2">
        <v>3044</v>
      </c>
      <c r="B29" s="41" t="str">
        <f>"NOTION LABS INC"</f>
        <v>NOTION LABS INC</v>
      </c>
      <c r="C29" s="2">
        <v>3400</v>
      </c>
      <c r="D29" s="458"/>
      <c r="E29" s="115"/>
      <c r="F29" s="117"/>
    </row>
    <row r="30" spans="1:6">
      <c r="A30" s="2">
        <v>3052</v>
      </c>
      <c r="B30" s="41" t="str">
        <f>"צ""פטר 2"</f>
        <v>צ"פטר 2</v>
      </c>
      <c r="C30" s="2">
        <v>3400</v>
      </c>
      <c r="D30" s="125"/>
      <c r="E30" s="115"/>
      <c r="F30" s="117"/>
    </row>
    <row r="31" spans="1:6">
      <c r="A31" s="2">
        <v>3054</v>
      </c>
      <c r="B31" s="41" t="str">
        <f>"אגם לידרים (ישראל) סוכנות לביטוח (2003) בע""מ"</f>
        <v>אגם לידרים (ישראל) סוכנות לביטוח (2003) בע"מ</v>
      </c>
      <c r="C31" s="2">
        <v>3400</v>
      </c>
      <c r="D31" s="125"/>
      <c r="E31" s="115"/>
      <c r="F31" s="117"/>
    </row>
    <row r="32" spans="1:6">
      <c r="A32" s="2">
        <v>3055</v>
      </c>
      <c r="B32" s="41" t="str">
        <f>"LOEB&amp;LOEB LLP"</f>
        <v>LOEB&amp;LOEB LLP</v>
      </c>
      <c r="C32" s="2">
        <v>3400</v>
      </c>
      <c r="D32" s="125"/>
      <c r="E32" s="115"/>
      <c r="F32" s="117"/>
    </row>
    <row r="33" spans="1:6">
      <c r="A33" s="2">
        <v>3056</v>
      </c>
      <c r="B33" s="41" t="str">
        <f>"SFDC IRELAND"</f>
        <v>SFDC IRELAND</v>
      </c>
      <c r="C33" s="2">
        <v>3400</v>
      </c>
      <c r="D33" s="125"/>
      <c r="E33" s="115"/>
      <c r="F33" s="116"/>
    </row>
    <row r="34" spans="1:6">
      <c r="A34" s="2">
        <v>3060</v>
      </c>
      <c r="B34" s="41" t="str">
        <f>"COMMERCIAL TYPE"</f>
        <v>COMMERCIAL TYPE</v>
      </c>
      <c r="C34" s="2">
        <v>3400</v>
      </c>
      <c r="D34" s="125"/>
      <c r="E34" s="115"/>
      <c r="F34" s="116"/>
    </row>
    <row r="35" spans="1:6">
      <c r="A35" s="2">
        <v>3065</v>
      </c>
      <c r="B35" s="41" t="str">
        <f>"קוסט פורר גבאי קסירר"</f>
        <v>קוסט פורר גבאי קסירר</v>
      </c>
      <c r="C35" s="2">
        <v>3400</v>
      </c>
      <c r="D35" s="125"/>
      <c r="E35" s="115"/>
      <c r="F35" s="117"/>
    </row>
    <row r="36" spans="1:6">
      <c r="A36" s="2">
        <v>3071</v>
      </c>
      <c r="B36" s="41" t="str">
        <f>"AMZN.COM/BILL"</f>
        <v>AMZN.COM/BILL</v>
      </c>
      <c r="C36" s="2">
        <v>3400</v>
      </c>
      <c r="D36" s="125"/>
      <c r="E36" s="115"/>
      <c r="F36" s="117"/>
    </row>
    <row r="37" spans="1:6">
      <c r="A37" s="2">
        <v>3072</v>
      </c>
      <c r="B37" s="41" t="str">
        <f>"אס.טי.טי.אס STTS"</f>
        <v>אס.טי.טי.אס STTS</v>
      </c>
      <c r="C37" s="2">
        <v>3400</v>
      </c>
      <c r="D37" s="125"/>
      <c r="E37" s="115"/>
      <c r="F37" s="117"/>
    </row>
    <row r="38" spans="1:6">
      <c r="A38" s="2">
        <v>3074</v>
      </c>
      <c r="B38" s="41" t="str">
        <f>"אורן פראג"</f>
        <v>אורן פראג</v>
      </c>
      <c r="C38" s="2">
        <v>3400</v>
      </c>
      <c r="D38" s="125"/>
      <c r="E38" s="115"/>
      <c r="F38" s="117"/>
    </row>
    <row r="39" spans="1:6">
      <c r="A39" s="2">
        <v>3075</v>
      </c>
      <c r="B39" s="41" t="str">
        <f>"אהרון רביב"</f>
        <v>אהרון רביב</v>
      </c>
      <c r="C39" s="2">
        <v>3400</v>
      </c>
      <c r="D39" s="459"/>
      <c r="E39" s="115"/>
      <c r="F39" s="117"/>
    </row>
    <row r="40" spans="1:6">
      <c r="A40" s="2">
        <v>3076</v>
      </c>
      <c r="B40" s="41" t="str">
        <f>"מלכה רנד"</f>
        <v>מלכה רנד</v>
      </c>
      <c r="C40" s="2">
        <v>3400</v>
      </c>
      <c r="D40" s="459"/>
      <c r="E40" s="115"/>
      <c r="F40" s="117"/>
    </row>
    <row r="41" spans="1:6">
      <c r="A41" s="2">
        <v>3078</v>
      </c>
      <c r="B41" s="41" t="str">
        <f>"טיימקלוק 365 בע""מ"</f>
        <v>טיימקלוק 365 בע"מ</v>
      </c>
      <c r="C41" s="2">
        <v>3400</v>
      </c>
      <c r="D41" s="124"/>
      <c r="E41" s="115"/>
      <c r="F41" s="117"/>
    </row>
    <row r="42" spans="1:6">
      <c r="A42" s="2">
        <v>3080</v>
      </c>
      <c r="B42" s="41" t="str">
        <f>"גוטפרנדס בע""מ"</f>
        <v>גוטפרנדס בע"מ</v>
      </c>
      <c r="C42" s="2">
        <v>3400</v>
      </c>
      <c r="D42" s="459"/>
      <c r="E42" s="115"/>
      <c r="F42" s="117"/>
    </row>
    <row r="43" spans="1:6" ht="13.5" customHeight="1">
      <c r="A43" s="2">
        <v>3085</v>
      </c>
      <c r="B43" s="41" t="s">
        <v>856</v>
      </c>
      <c r="C43" s="2">
        <v>3400</v>
      </c>
      <c r="D43" s="457"/>
      <c r="E43" s="115"/>
      <c r="F43" s="117"/>
    </row>
    <row r="44" spans="1:6" ht="13.5" customHeight="1">
      <c r="A44" s="2">
        <v>3086</v>
      </c>
      <c r="B44" s="41" t="s">
        <v>857</v>
      </c>
      <c r="C44" s="2">
        <v>3400</v>
      </c>
      <c r="D44" s="125"/>
      <c r="E44" s="115"/>
      <c r="F44" s="117"/>
    </row>
    <row r="45" spans="1:6" ht="13.5" customHeight="1">
      <c r="A45" s="2">
        <v>3087</v>
      </c>
      <c r="B45" s="41" t="s">
        <v>858</v>
      </c>
      <c r="C45" s="2">
        <v>3400</v>
      </c>
      <c r="D45" s="125"/>
      <c r="E45" s="115"/>
      <c r="F45" s="117"/>
    </row>
    <row r="46" spans="1:6" ht="13.5" customHeight="1">
      <c r="A46" s="152">
        <v>3091</v>
      </c>
      <c r="B46" s="151" t="s">
        <v>859</v>
      </c>
      <c r="C46" s="2">
        <v>3400</v>
      </c>
      <c r="D46" s="457"/>
      <c r="E46" s="115"/>
      <c r="F46" s="117"/>
    </row>
    <row r="47" spans="1:6" ht="13.5" customHeight="1">
      <c r="A47" s="2">
        <v>3099</v>
      </c>
      <c r="B47" s="41" t="s">
        <v>860</v>
      </c>
      <c r="C47" s="2">
        <v>3400</v>
      </c>
      <c r="D47" s="125"/>
      <c r="E47" s="115"/>
      <c r="F47" s="117"/>
    </row>
    <row r="48" spans="1:6" ht="13.5" customHeight="1">
      <c r="A48" s="2">
        <v>3102</v>
      </c>
      <c r="B48" s="41" t="s">
        <v>397</v>
      </c>
      <c r="C48" s="2">
        <v>3400</v>
      </c>
      <c r="D48" s="457"/>
      <c r="E48" s="115"/>
      <c r="F48" s="117"/>
    </row>
    <row r="49" spans="1:6">
      <c r="A49" s="2">
        <v>3103</v>
      </c>
      <c r="B49" s="41" t="s">
        <v>861</v>
      </c>
      <c r="C49" s="2">
        <v>3400</v>
      </c>
      <c r="D49" s="459"/>
      <c r="E49" s="115"/>
      <c r="F49" s="117"/>
    </row>
    <row r="50" spans="1:6">
      <c r="A50" s="2">
        <v>3104</v>
      </c>
      <c r="B50" s="41" t="s">
        <v>862</v>
      </c>
      <c r="C50" s="2">
        <v>3400</v>
      </c>
      <c r="D50" s="125"/>
      <c r="E50" s="115"/>
      <c r="F50" s="117"/>
    </row>
    <row r="51" spans="1:6">
      <c r="A51" s="2">
        <v>3106</v>
      </c>
      <c r="B51" s="41" t="s">
        <v>863</v>
      </c>
      <c r="C51" s="2">
        <v>3400</v>
      </c>
      <c r="D51" s="459"/>
      <c r="E51" s="115"/>
      <c r="F51" s="117"/>
    </row>
    <row r="52" spans="1:6">
      <c r="A52" s="2">
        <v>3107</v>
      </c>
      <c r="B52" s="41" t="s">
        <v>864</v>
      </c>
      <c r="C52" s="2">
        <v>3400</v>
      </c>
      <c r="D52" s="457"/>
      <c r="E52" s="115"/>
      <c r="F52" s="117"/>
    </row>
    <row r="53" spans="1:6">
      <c r="A53" s="2">
        <v>3110</v>
      </c>
      <c r="B53" s="41" t="s">
        <v>865</v>
      </c>
      <c r="C53" s="2">
        <v>3400</v>
      </c>
      <c r="D53" s="124"/>
      <c r="E53" s="115"/>
      <c r="F53" s="117"/>
    </row>
    <row r="54" spans="1:6">
      <c r="A54" s="2">
        <v>3112</v>
      </c>
      <c r="B54" s="41" t="s">
        <v>866</v>
      </c>
      <c r="C54" s="2">
        <v>3400</v>
      </c>
      <c r="D54" s="124"/>
      <c r="E54" s="115"/>
      <c r="F54" s="117"/>
    </row>
    <row r="55" spans="1:6" ht="14">
      <c r="A55" s="152">
        <v>3114</v>
      </c>
      <c r="B55" s="151" t="s">
        <v>867</v>
      </c>
      <c r="C55" s="2">
        <v>3400</v>
      </c>
      <c r="D55" s="124"/>
      <c r="E55" s="115"/>
      <c r="F55" s="117"/>
    </row>
    <row r="56" spans="1:6" ht="14">
      <c r="A56" s="152">
        <v>3115</v>
      </c>
      <c r="B56" s="151" t="s">
        <v>868</v>
      </c>
      <c r="C56" s="2">
        <v>3400</v>
      </c>
      <c r="D56" s="124"/>
      <c r="E56" s="115"/>
      <c r="F56" s="117"/>
    </row>
    <row r="57" spans="1:6">
      <c r="A57" s="2">
        <v>4000</v>
      </c>
      <c r="B57" s="41" t="s">
        <v>869</v>
      </c>
      <c r="C57" s="2">
        <v>1620</v>
      </c>
      <c r="D57" s="124"/>
      <c r="E57" s="115"/>
      <c r="F57" s="117"/>
    </row>
    <row r="58" spans="1:6">
      <c r="A58" s="2">
        <v>4001</v>
      </c>
      <c r="B58" s="41" t="s">
        <v>870</v>
      </c>
      <c r="C58" s="2">
        <v>1620</v>
      </c>
      <c r="D58" s="125"/>
      <c r="E58" s="115"/>
      <c r="F58" s="117"/>
    </row>
    <row r="59" spans="1:6">
      <c r="A59" s="2">
        <v>4002</v>
      </c>
      <c r="B59" s="41" t="str">
        <f>"מע""מ תשומות"</f>
        <v>מע"מ תשומות</v>
      </c>
      <c r="C59" s="2">
        <v>1620</v>
      </c>
      <c r="D59" s="459"/>
      <c r="E59" s="115"/>
      <c r="F59" s="117"/>
    </row>
    <row r="60" spans="1:6">
      <c r="A60" s="2">
        <v>4003</v>
      </c>
      <c r="B60" s="41" t="str">
        <f>"מע""מ תשומות ציוד ונכסים"</f>
        <v>מע"מ תשומות ציוד ונכסים</v>
      </c>
      <c r="C60" s="2">
        <v>1620</v>
      </c>
      <c r="D60" s="125"/>
      <c r="E60" s="115"/>
      <c r="F60" s="117"/>
    </row>
    <row r="61" spans="1:6" ht="14">
      <c r="A61" s="152">
        <v>4008</v>
      </c>
      <c r="B61" s="151" t="s">
        <v>693</v>
      </c>
      <c r="C61" s="2">
        <v>1610</v>
      </c>
      <c r="D61" s="459"/>
      <c r="E61" s="115"/>
      <c r="F61" s="117"/>
    </row>
    <row r="62" spans="1:6">
      <c r="A62" s="2">
        <v>4009</v>
      </c>
      <c r="B62" s="41" t="str">
        <f>"ניכוי במקור ספקים"</f>
        <v>ניכוי במקור ספקים</v>
      </c>
      <c r="C62" s="2">
        <v>3600</v>
      </c>
      <c r="D62" s="459"/>
      <c r="E62" s="115"/>
      <c r="F62" s="117"/>
    </row>
    <row r="63" spans="1:6">
      <c r="A63" s="2">
        <v>4010</v>
      </c>
      <c r="B63" s="41" t="str">
        <f>"מס הכנסה ניכויים"</f>
        <v>מס הכנסה ניכויים</v>
      </c>
      <c r="C63" s="2">
        <v>3600</v>
      </c>
      <c r="D63" s="459"/>
      <c r="E63" s="115"/>
      <c r="F63" s="117"/>
    </row>
    <row r="64" spans="1:6">
      <c r="A64" s="2">
        <v>4011</v>
      </c>
      <c r="B64" s="41" t="str">
        <f>"ביטוח לאומי ניכויים"</f>
        <v>ביטוח לאומי ניכויים</v>
      </c>
      <c r="C64" s="2">
        <v>3600</v>
      </c>
      <c r="D64" s="124"/>
      <c r="E64" s="115"/>
      <c r="F64" s="117"/>
    </row>
    <row r="65" spans="1:6">
      <c r="A65" s="2">
        <v>4012</v>
      </c>
      <c r="B65" s="41" t="str">
        <f>"אגרות בנק הדואר סילב"</f>
        <v>אגרות בנק הדואר סילב</v>
      </c>
      <c r="C65" s="2">
        <v>5660</v>
      </c>
      <c r="D65" s="459"/>
      <c r="E65" s="115"/>
      <c r="F65" s="117"/>
    </row>
    <row r="66" spans="1:6">
      <c r="A66" s="2">
        <v>5000</v>
      </c>
      <c r="B66" s="41" t="s">
        <v>871</v>
      </c>
      <c r="C66" s="2">
        <v>3500</v>
      </c>
      <c r="D66" s="457"/>
      <c r="E66" s="115"/>
      <c r="F66" s="117"/>
    </row>
    <row r="67" spans="1:6">
      <c r="A67" s="2">
        <v>5001</v>
      </c>
      <c r="B67" s="41" t="str">
        <f>"חו""ז MITIGA US"</f>
        <v>חו"ז MITIGA US</v>
      </c>
      <c r="C67" s="2">
        <v>3500</v>
      </c>
      <c r="D67" s="459"/>
      <c r="E67" s="115"/>
      <c r="F67" s="117"/>
    </row>
    <row r="68" spans="1:6">
      <c r="A68" s="2">
        <v>5002</v>
      </c>
      <c r="B68" s="41" t="str">
        <f>"חו""ז טל מוזס"</f>
        <v>חו"ז טל מוזס</v>
      </c>
      <c r="C68" s="2">
        <v>1500</v>
      </c>
      <c r="D68" s="457"/>
      <c r="E68" s="115"/>
      <c r="F68" s="117"/>
    </row>
    <row r="69" spans="1:6">
      <c r="A69" s="2">
        <v>5003</v>
      </c>
      <c r="B69" s="41" t="str">
        <f>"חו""ז MITIGA UK"</f>
        <v>חו"ז MITIGA UK</v>
      </c>
      <c r="C69" s="2">
        <v>1500</v>
      </c>
      <c r="D69" s="457"/>
      <c r="E69" s="115"/>
      <c r="F69" s="117"/>
    </row>
    <row r="70" spans="1:6">
      <c r="A70" s="2">
        <v>5004</v>
      </c>
      <c r="B70" s="41" t="str">
        <f>"חו""ז בעלים עופר מאור"</f>
        <v>חו"ז בעלים עופר מאור</v>
      </c>
      <c r="C70" s="2">
        <v>3900</v>
      </c>
      <c r="D70" s="124"/>
      <c r="E70" s="115"/>
      <c r="F70" s="117"/>
    </row>
    <row r="71" spans="1:6">
      <c r="A71" s="2">
        <v>5005</v>
      </c>
      <c r="B71" s="41" t="str">
        <f>"חו""ז בעלים אריאל פרנס"</f>
        <v>חו"ז בעלים אריאל פרנס</v>
      </c>
      <c r="C71" s="2">
        <v>1500</v>
      </c>
      <c r="D71" s="124"/>
      <c r="E71" s="115"/>
      <c r="F71" s="117"/>
    </row>
    <row r="72" spans="1:6">
      <c r="A72" s="2">
        <v>5006</v>
      </c>
      <c r="B72" s="41" t="str">
        <f>"חו""ז בעלים אריה קליינשטיין"</f>
        <v>חו"ז בעלים אריה קליינשטיין</v>
      </c>
      <c r="C72" s="2">
        <v>1500</v>
      </c>
      <c r="D72" s="457"/>
      <c r="E72" s="115"/>
      <c r="F72" s="117"/>
    </row>
    <row r="73" spans="1:6">
      <c r="A73" s="2">
        <v>5007</v>
      </c>
      <c r="B73" s="41" t="str">
        <f>"חו""ז בעלים יעקוב סמבורבסקי"</f>
        <v>חו"ז בעלים יעקוב סמבורבסקי</v>
      </c>
      <c r="C73" s="2">
        <v>1500</v>
      </c>
      <c r="D73" s="124"/>
      <c r="E73" s="115"/>
      <c r="F73" s="117"/>
    </row>
    <row r="74" spans="1:6">
      <c r="A74" s="2">
        <v>5008</v>
      </c>
      <c r="B74" s="41" t="str">
        <f>"הוצאות לשלם"</f>
        <v>הוצאות לשלם</v>
      </c>
      <c r="C74" s="2">
        <v>3910</v>
      </c>
      <c r="D74" s="457"/>
      <c r="E74" s="115"/>
      <c r="F74" s="117"/>
    </row>
    <row r="75" spans="1:6">
      <c r="A75" s="2">
        <v>5009</v>
      </c>
      <c r="B75" s="41" t="str">
        <f>"הפרשה לחופשה"</f>
        <v>הפרשה לחופשה</v>
      </c>
      <c r="C75" s="2">
        <v>3600</v>
      </c>
      <c r="D75" s="124"/>
      <c r="E75" s="115"/>
      <c r="F75" s="117"/>
    </row>
    <row r="76" spans="1:6">
      <c r="A76" s="2">
        <v>5010</v>
      </c>
      <c r="B76" s="41" t="str">
        <f>"הפרשה לספקים בחובה"</f>
        <v>הפרשה לספקים בחובה</v>
      </c>
      <c r="C76" s="2">
        <v>3400</v>
      </c>
      <c r="D76" s="459"/>
      <c r="E76" s="115"/>
      <c r="F76" s="117"/>
    </row>
    <row r="77" spans="1:6">
      <c r="A77" s="2">
        <v>5102</v>
      </c>
      <c r="B77" s="41" t="str">
        <f>"אמית נעה"</f>
        <v>אמית נעה</v>
      </c>
      <c r="C77" s="2">
        <v>3600</v>
      </c>
      <c r="D77" s="459"/>
      <c r="E77" s="115"/>
      <c r="F77" s="117"/>
    </row>
    <row r="78" spans="1:6" ht="15">
      <c r="A78" s="155">
        <v>5115</v>
      </c>
      <c r="B78" s="156" t="s">
        <v>872</v>
      </c>
      <c r="C78" s="2">
        <v>3600</v>
      </c>
      <c r="D78" s="124"/>
      <c r="E78" s="115"/>
      <c r="F78" s="117"/>
    </row>
    <row r="79" spans="1:6">
      <c r="A79" s="2">
        <v>5200</v>
      </c>
      <c r="B79" s="41" t="str">
        <f>"חו""ז עובדים"</f>
        <v>חו"ז עובדים</v>
      </c>
      <c r="C79" s="2">
        <v>3600</v>
      </c>
      <c r="D79" s="459"/>
      <c r="E79" s="115"/>
      <c r="F79" s="117"/>
    </row>
    <row r="80" spans="1:6">
      <c r="A80" s="2">
        <v>5307</v>
      </c>
      <c r="B80" s="41" t="str">
        <f>"אגם לידרים - קופות עובדים"</f>
        <v>אגם לידרים - קופות עובדים</v>
      </c>
      <c r="C80" s="2">
        <v>3600</v>
      </c>
      <c r="D80" s="124"/>
      <c r="E80" s="115"/>
      <c r="F80" s="117"/>
    </row>
    <row r="81" spans="1:6">
      <c r="A81" s="2">
        <v>6000</v>
      </c>
      <c r="B81" s="41" t="s">
        <v>641</v>
      </c>
      <c r="C81" s="2">
        <v>1450</v>
      </c>
      <c r="D81" s="124"/>
      <c r="E81" s="115"/>
      <c r="F81" s="117"/>
    </row>
    <row r="82" spans="1:6">
      <c r="A82" s="2">
        <v>6001</v>
      </c>
      <c r="B82" s="41" t="s">
        <v>689</v>
      </c>
      <c r="C82" s="2">
        <v>3800</v>
      </c>
      <c r="D82" s="124"/>
      <c r="E82" s="115"/>
      <c r="F82" s="117"/>
    </row>
    <row r="83" spans="1:6">
      <c r="A83" s="2">
        <v>6002</v>
      </c>
      <c r="B83" s="41" t="s">
        <v>873</v>
      </c>
      <c r="C83" s="2">
        <v>1640</v>
      </c>
      <c r="D83" s="457"/>
      <c r="E83" s="115"/>
      <c r="F83" s="117"/>
    </row>
    <row r="84" spans="1:6">
      <c r="A84" s="2">
        <v>6003</v>
      </c>
      <c r="B84" s="41" t="str">
        <f>"פיקדון שכ""ד - לאבס ת""א"</f>
        <v>פיקדון שכ"ד - לאבס ת"א</v>
      </c>
      <c r="C84" s="2">
        <v>1650</v>
      </c>
      <c r="D84" s="459"/>
      <c r="E84" s="48"/>
      <c r="F84" s="81"/>
    </row>
    <row r="85" spans="1:6">
      <c r="A85" s="2">
        <v>6004</v>
      </c>
      <c r="B85" s="41" t="str">
        <f>"הוצאות מראש"</f>
        <v>הוצאות מראש</v>
      </c>
      <c r="C85" s="2">
        <v>1600</v>
      </c>
      <c r="D85" s="459"/>
      <c r="E85" s="48"/>
      <c r="F85" s="81"/>
    </row>
    <row r="86" spans="1:6">
      <c r="A86" s="2">
        <v>6005</v>
      </c>
      <c r="B86" s="41" t="str">
        <f>"הוצאות מראש רשיונות תוכנה"</f>
        <v>הוצאות מראש רשיונות תוכנה</v>
      </c>
      <c r="C86" s="2">
        <v>1600</v>
      </c>
      <c r="D86" s="459"/>
      <c r="E86" s="48"/>
      <c r="F86" s="81"/>
    </row>
    <row r="87" spans="1:6">
      <c r="A87" s="2">
        <v>6006</v>
      </c>
      <c r="B87" s="41" t="s">
        <v>874</v>
      </c>
      <c r="C87" s="2">
        <v>1600</v>
      </c>
      <c r="D87" s="124"/>
      <c r="E87" s="48"/>
      <c r="F87" s="81"/>
    </row>
    <row r="88" spans="1:6">
      <c r="A88" s="2">
        <v>6007</v>
      </c>
      <c r="B88" s="41" t="s">
        <v>644</v>
      </c>
      <c r="C88" s="2">
        <v>1600</v>
      </c>
      <c r="D88" s="459"/>
      <c r="E88" s="48"/>
      <c r="F88" s="81"/>
    </row>
    <row r="89" spans="1:6">
      <c r="A89" s="2">
        <v>6008</v>
      </c>
      <c r="B89" s="41" t="s">
        <v>875</v>
      </c>
      <c r="C89" s="2">
        <v>1600</v>
      </c>
      <c r="D89" s="459"/>
      <c r="E89" s="48"/>
      <c r="F89" s="81"/>
    </row>
    <row r="90" spans="1:6">
      <c r="A90" s="2">
        <v>6009</v>
      </c>
      <c r="B90" s="41" t="s">
        <v>876</v>
      </c>
      <c r="C90" s="2">
        <v>1600</v>
      </c>
      <c r="D90" s="124"/>
      <c r="E90" s="48"/>
      <c r="F90" s="81"/>
    </row>
    <row r="91" spans="1:6">
      <c r="A91" s="2">
        <v>6010</v>
      </c>
      <c r="B91" s="41" t="s">
        <v>877</v>
      </c>
      <c r="C91" s="2">
        <v>1600</v>
      </c>
      <c r="D91" s="459"/>
      <c r="E91" s="48"/>
      <c r="F91" s="81"/>
    </row>
    <row r="92" spans="1:6">
      <c r="A92" s="2">
        <v>6702</v>
      </c>
      <c r="B92" s="41" t="str">
        <f>"פחת נצבר מחשבים ותוכנות"</f>
        <v>פחת נצבר מחשבים ותוכנות</v>
      </c>
      <c r="C92" s="2">
        <v>3110</v>
      </c>
      <c r="D92" s="459"/>
      <c r="E92" s="48"/>
      <c r="F92" s="81"/>
    </row>
    <row r="93" spans="1:6">
      <c r="A93" s="2">
        <v>6703</v>
      </c>
      <c r="B93" s="41" t="s">
        <v>654</v>
      </c>
      <c r="C93" s="2">
        <v>3110</v>
      </c>
      <c r="D93" s="459"/>
      <c r="E93" s="48"/>
      <c r="F93" s="81"/>
    </row>
    <row r="94" spans="1:6">
      <c r="A94" s="2">
        <v>6705</v>
      </c>
      <c r="B94" s="41" t="str">
        <f>"מחשבים ותוכנות"</f>
        <v>מחשבים ותוכנות</v>
      </c>
      <c r="C94" s="2">
        <v>3100</v>
      </c>
      <c r="D94" s="459"/>
      <c r="E94" s="48"/>
      <c r="F94" s="81"/>
    </row>
    <row r="95" spans="1:6">
      <c r="A95" s="2">
        <v>6706</v>
      </c>
      <c r="B95" s="41" t="s">
        <v>649</v>
      </c>
      <c r="C95" s="2">
        <v>3100</v>
      </c>
      <c r="D95" s="459"/>
      <c r="E95" s="48"/>
      <c r="F95" s="81"/>
    </row>
    <row r="96" spans="1:6">
      <c r="A96" s="2">
        <v>7000</v>
      </c>
      <c r="B96" s="41" t="s">
        <v>721</v>
      </c>
      <c r="C96" s="2">
        <v>5200</v>
      </c>
      <c r="D96" s="459"/>
      <c r="E96" s="48"/>
      <c r="F96" s="81"/>
    </row>
    <row r="97" spans="1:6">
      <c r="A97" s="2">
        <v>7001</v>
      </c>
      <c r="B97" s="41" t="s">
        <v>723</v>
      </c>
      <c r="C97" s="2">
        <v>5200</v>
      </c>
      <c r="D97" s="459"/>
      <c r="E97" s="48"/>
      <c r="F97" s="81"/>
    </row>
    <row r="98" spans="1:6">
      <c r="A98" s="2">
        <v>7003</v>
      </c>
      <c r="B98" s="41" t="s">
        <v>878</v>
      </c>
      <c r="C98" s="2">
        <v>5200</v>
      </c>
      <c r="D98" s="459"/>
      <c r="E98" s="48"/>
      <c r="F98" s="81"/>
    </row>
    <row r="99" spans="1:6" ht="14">
      <c r="A99" s="152">
        <v>7100</v>
      </c>
      <c r="B99" s="151" t="s">
        <v>727</v>
      </c>
      <c r="C99" s="2">
        <v>5320</v>
      </c>
      <c r="D99" s="459"/>
      <c r="E99" s="48"/>
      <c r="F99" s="81"/>
    </row>
    <row r="100" spans="1:6">
      <c r="A100" s="2">
        <v>7101</v>
      </c>
      <c r="B100" s="41" t="str">
        <f>"הכנסות מחשבונית עצמית זכות"</f>
        <v>הכנסות מחשבונית עצמית זכות</v>
      </c>
      <c r="C100" s="2">
        <v>5200</v>
      </c>
      <c r="D100" s="459"/>
      <c r="E100" s="48"/>
      <c r="F100" s="81"/>
    </row>
    <row r="101" spans="1:6">
      <c r="A101" s="2">
        <v>7102</v>
      </c>
      <c r="B101" s="41" t="str">
        <f>"הכנסות מחשבונית עצמית חובה"</f>
        <v>הכנסות מחשבונית עצמית חובה</v>
      </c>
      <c r="C101" s="2">
        <v>5200</v>
      </c>
      <c r="D101" s="459"/>
      <c r="E101" s="48"/>
      <c r="F101" s="81"/>
    </row>
    <row r="102" spans="1:6">
      <c r="A102" s="2">
        <v>8001</v>
      </c>
      <c r="B102" s="41" t="str">
        <f>"Ofer Maor - services"</f>
        <v>Ofer Maor - services</v>
      </c>
      <c r="C102" s="2">
        <v>5405</v>
      </c>
      <c r="D102" s="459"/>
      <c r="E102" s="48"/>
      <c r="F102" s="81"/>
    </row>
    <row r="103" spans="1:6">
      <c r="A103" s="2">
        <v>8002</v>
      </c>
      <c r="B103" s="41" t="str">
        <f>"Ariel Parnes - services"</f>
        <v>Ariel Parnes - services</v>
      </c>
      <c r="C103" s="2">
        <v>5310</v>
      </c>
      <c r="D103" s="459"/>
      <c r="E103" s="48"/>
      <c r="F103" s="81"/>
    </row>
    <row r="104" spans="1:6">
      <c r="A104" s="2">
        <v>8003</v>
      </c>
      <c r="B104" s="41" t="str">
        <f>"שירות לפרויקטים"</f>
        <v>שירות לפרויקטים</v>
      </c>
      <c r="C104" s="2">
        <v>5320</v>
      </c>
      <c r="D104" s="459"/>
      <c r="E104" s="48"/>
      <c r="F104" s="81"/>
    </row>
    <row r="105" spans="1:6">
      <c r="A105" s="2">
        <v>8004</v>
      </c>
      <c r="B105" s="41" t="s">
        <v>879</v>
      </c>
      <c r="C105" s="2">
        <v>5610</v>
      </c>
      <c r="D105" s="459"/>
      <c r="E105" s="48"/>
      <c r="F105" s="81"/>
    </row>
    <row r="106" spans="1:6">
      <c r="A106" s="2">
        <v>8005</v>
      </c>
      <c r="B106" s="41" t="str">
        <f>"IT expenses G&amp;A"</f>
        <v>IT expenses G&amp;A</v>
      </c>
      <c r="C106" s="2">
        <v>5660</v>
      </c>
      <c r="D106" s="459"/>
      <c r="E106" s="48"/>
      <c r="F106" s="81"/>
    </row>
    <row r="107" spans="1:6">
      <c r="A107" s="2">
        <v>8006</v>
      </c>
      <c r="B107" s="41" t="str">
        <f>"Welfare G&amp;A"</f>
        <v>Welfare G&amp;A</v>
      </c>
      <c r="C107" s="2">
        <v>5660</v>
      </c>
      <c r="D107" s="459"/>
      <c r="E107" s="48"/>
      <c r="F107" s="81"/>
    </row>
    <row r="108" spans="1:6">
      <c r="A108" s="2">
        <v>8008</v>
      </c>
      <c r="B108" s="41" t="str">
        <f>"Communication expenses G&amp;A"</f>
        <v>Communication expenses G&amp;A</v>
      </c>
      <c r="C108" s="2">
        <v>5660</v>
      </c>
      <c r="D108" s="459"/>
      <c r="E108" s="48"/>
      <c r="F108" s="81"/>
    </row>
    <row r="109" spans="1:6">
      <c r="A109" s="2">
        <v>8009</v>
      </c>
      <c r="B109" s="41" t="str">
        <f>"Rent - Offices, Israel"</f>
        <v>Rent - Offices, Israel</v>
      </c>
      <c r="C109" s="2">
        <v>5620</v>
      </c>
      <c r="D109" s="459"/>
      <c r="E109" s="48"/>
      <c r="F109" s="81"/>
    </row>
    <row r="110" spans="1:6">
      <c r="A110" s="2">
        <v>8011</v>
      </c>
      <c r="B110" s="41" t="str">
        <f>"Travel expenses"</f>
        <v>Travel expenses</v>
      </c>
      <c r="C110" s="2">
        <v>5540</v>
      </c>
      <c r="D110" s="459"/>
      <c r="E110" s="48"/>
      <c r="F110" s="81"/>
    </row>
    <row r="111" spans="1:6">
      <c r="A111" s="2">
        <v>8012</v>
      </c>
      <c r="B111" s="41" t="str">
        <f>"Legal Retainer"</f>
        <v>Legal Retainer</v>
      </c>
      <c r="C111" s="2">
        <v>5610</v>
      </c>
      <c r="D111" s="459"/>
      <c r="E111" s="48"/>
      <c r="F111" s="81"/>
    </row>
    <row r="112" spans="1:6">
      <c r="A112" s="2">
        <v>8013</v>
      </c>
      <c r="B112" s="41" t="str">
        <f>"Legal - Round / Special Fees"</f>
        <v>Legal - Round / Special Fees</v>
      </c>
      <c r="C112" s="2">
        <v>4900</v>
      </c>
      <c r="D112" s="459"/>
      <c r="E112" s="48"/>
      <c r="F112" s="81"/>
    </row>
    <row r="113" spans="1:6">
      <c r="A113" s="2">
        <v>8014</v>
      </c>
      <c r="B113" s="41" t="str">
        <f>"Finance - Audit"</f>
        <v>Finance - Audit</v>
      </c>
      <c r="C113" s="2">
        <v>5610</v>
      </c>
      <c r="D113" s="459"/>
      <c r="E113" s="48"/>
      <c r="F113" s="81"/>
    </row>
    <row r="114" spans="1:6">
      <c r="A114" s="2">
        <v>8015</v>
      </c>
      <c r="B114" s="41" t="str">
        <f>"Finance - UK Setup"</f>
        <v>Finance - UK Setup</v>
      </c>
      <c r="C114" s="2">
        <v>5610</v>
      </c>
      <c r="D114" s="124"/>
      <c r="E114" s="48"/>
      <c r="F114" s="81"/>
    </row>
    <row r="115" spans="1:6">
      <c r="A115" s="2">
        <v>8016</v>
      </c>
      <c r="B115" s="41" t="str">
        <f>"Finance - Bookkeeping"</f>
        <v>Finance - Bookkeeping</v>
      </c>
      <c r="C115" s="2">
        <v>5610</v>
      </c>
      <c r="D115" s="124"/>
      <c r="E115" s="48"/>
      <c r="F115" s="81"/>
    </row>
    <row r="116" spans="1:6">
      <c r="A116" s="2">
        <v>8017</v>
      </c>
      <c r="B116" s="41" t="s">
        <v>880</v>
      </c>
      <c r="C116" s="2">
        <v>5610</v>
      </c>
      <c r="D116" s="457"/>
      <c r="E116" s="48"/>
      <c r="F116" s="81"/>
    </row>
    <row r="117" spans="1:6">
      <c r="A117" s="2">
        <v>8018</v>
      </c>
      <c r="B117" s="41" t="str">
        <f>"HR Retainer"</f>
        <v>HR Retainer</v>
      </c>
      <c r="C117" s="2">
        <v>5610</v>
      </c>
      <c r="D117" s="457"/>
      <c r="E117" s="48"/>
      <c r="F117" s="81"/>
    </row>
    <row r="118" spans="1:6">
      <c r="A118" s="2">
        <v>8019</v>
      </c>
      <c r="B118" s="41" t="str">
        <f>"Miscellenous"</f>
        <v>Miscellenous</v>
      </c>
      <c r="C118" s="2">
        <v>5660</v>
      </c>
      <c r="D118" s="124"/>
      <c r="E118" s="48"/>
      <c r="F118" s="81"/>
    </row>
    <row r="119" spans="1:6">
      <c r="A119" s="2">
        <v>8020</v>
      </c>
      <c r="B119" s="41" t="str">
        <f>"Director &amp; Company Insurance"</f>
        <v>Director &amp; Company Insurance</v>
      </c>
      <c r="C119" s="2">
        <v>5660</v>
      </c>
      <c r="D119" s="124"/>
      <c r="E119" s="48"/>
      <c r="F119" s="81"/>
    </row>
    <row r="120" spans="1:6">
      <c r="A120" s="2">
        <v>8021</v>
      </c>
      <c r="B120" s="41" t="str">
        <f>"Professional Insurance"</f>
        <v>Professional Insurance</v>
      </c>
      <c r="C120" s="2">
        <v>5660</v>
      </c>
      <c r="D120" s="124"/>
      <c r="E120" s="48"/>
      <c r="F120" s="81"/>
    </row>
    <row r="121" spans="1:6">
      <c r="A121" s="2">
        <v>8022</v>
      </c>
      <c r="B121" s="41" t="str">
        <f>"Refreshments"</f>
        <v>Refreshments</v>
      </c>
      <c r="C121" s="2">
        <v>5660</v>
      </c>
      <c r="D121" s="124"/>
      <c r="E121" s="48"/>
      <c r="F121" s="81"/>
    </row>
    <row r="122" spans="1:6">
      <c r="A122" s="2">
        <v>8023</v>
      </c>
      <c r="B122" s="41" t="str">
        <f>"Parking"</f>
        <v>Parking</v>
      </c>
      <c r="C122" s="2">
        <v>5660</v>
      </c>
      <c r="D122" s="459"/>
      <c r="E122" s="48"/>
    </row>
    <row r="123" spans="1:6">
      <c r="A123" s="2">
        <v>8024</v>
      </c>
      <c r="B123" s="41" t="str">
        <f>"Office Insurance"</f>
        <v>Office Insurance</v>
      </c>
      <c r="C123" s="2">
        <v>5660</v>
      </c>
      <c r="D123" s="459"/>
      <c r="E123" s="48"/>
    </row>
    <row r="124" spans="1:6">
      <c r="A124" s="2">
        <v>8025</v>
      </c>
      <c r="B124" s="41" t="str">
        <f>"Hosting overseas guests"</f>
        <v>Hosting overseas guests</v>
      </c>
      <c r="C124" s="2">
        <v>5660</v>
      </c>
      <c r="D124" s="459"/>
      <c r="E124" s="48"/>
    </row>
    <row r="125" spans="1:6">
      <c r="A125" s="2">
        <v>8027</v>
      </c>
      <c r="B125" s="41" t="str">
        <f>"Employees meals"</f>
        <v>Employees meals</v>
      </c>
      <c r="C125" s="2">
        <v>5660</v>
      </c>
      <c r="D125" s="459"/>
      <c r="E125" s="48"/>
      <c r="F125" s="81"/>
    </row>
    <row r="126" spans="1:6">
      <c r="A126" s="2">
        <v>8028</v>
      </c>
      <c r="B126" s="41" t="str">
        <f>"Gifts"</f>
        <v>Gifts</v>
      </c>
      <c r="C126" s="2">
        <v>5660</v>
      </c>
      <c r="D126" s="459"/>
      <c r="E126" s="48"/>
      <c r="F126" s="81"/>
    </row>
    <row r="127" spans="1:6">
      <c r="A127" s="2">
        <v>8029</v>
      </c>
      <c r="B127" s="41" t="str">
        <f>"Taxes and fees"</f>
        <v>Taxes and fees</v>
      </c>
      <c r="C127" s="2">
        <v>5660</v>
      </c>
      <c r="D127" s="459"/>
      <c r="E127" s="48"/>
      <c r="F127" s="81"/>
    </row>
    <row r="128" spans="1:6">
      <c r="A128" s="2">
        <v>8030</v>
      </c>
      <c r="B128" s="41" t="str">
        <f>"Office expenses"</f>
        <v>Office expenses</v>
      </c>
      <c r="C128" s="2">
        <v>5620</v>
      </c>
      <c r="D128" s="459"/>
      <c r="E128" s="48"/>
      <c r="F128" s="81"/>
    </row>
    <row r="129" spans="1:6">
      <c r="A129" s="2">
        <v>8032</v>
      </c>
      <c r="B129" s="41" t="s">
        <v>744</v>
      </c>
      <c r="C129" s="2">
        <v>5410</v>
      </c>
      <c r="D129" s="124"/>
      <c r="E129" s="48"/>
      <c r="F129" s="81"/>
    </row>
    <row r="130" spans="1:6">
      <c r="A130" s="2">
        <v>8033</v>
      </c>
      <c r="B130" s="41" t="str">
        <f>"Licenses G&amp;A"</f>
        <v>Licenses G&amp;A</v>
      </c>
      <c r="C130" s="2">
        <v>5660</v>
      </c>
      <c r="D130" s="459"/>
      <c r="E130" s="48"/>
      <c r="F130" s="81"/>
    </row>
    <row r="131" spans="1:6">
      <c r="A131" s="2">
        <v>8034</v>
      </c>
      <c r="B131" s="41" t="str">
        <f>"Credit card fees"</f>
        <v>Credit card fees</v>
      </c>
      <c r="C131" s="2">
        <v>5700</v>
      </c>
      <c r="D131" s="124"/>
      <c r="E131" s="48"/>
      <c r="F131" s="81"/>
    </row>
    <row r="132" spans="1:6">
      <c r="A132" s="2">
        <v>8035</v>
      </c>
      <c r="B132" s="41" t="str">
        <f>"Welfare - G&amp;A"</f>
        <v>Welfare - G&amp;A</v>
      </c>
      <c r="C132" s="2">
        <v>5660</v>
      </c>
      <c r="D132" s="124"/>
      <c r="E132" s="48"/>
      <c r="F132" s="81"/>
    </row>
    <row r="133" spans="1:6">
      <c r="A133" s="2">
        <v>8036</v>
      </c>
      <c r="B133" s="41" t="str">
        <f>"Employee funds services"</f>
        <v>Employee funds services</v>
      </c>
      <c r="C133" s="2">
        <v>5610</v>
      </c>
      <c r="D133" s="124"/>
      <c r="E133" s="48"/>
      <c r="F133" s="81"/>
    </row>
    <row r="134" spans="1:6">
      <c r="A134" s="2">
        <v>8037</v>
      </c>
      <c r="B134" s="41" t="str">
        <f>"Travel, errands"</f>
        <v>Travel, errands</v>
      </c>
      <c r="C134" s="2">
        <v>5680</v>
      </c>
      <c r="D134" s="124"/>
      <c r="E134" s="48"/>
      <c r="F134" s="81"/>
    </row>
    <row r="135" spans="1:6">
      <c r="A135" s="2">
        <v>8038</v>
      </c>
      <c r="B135" s="41" t="str">
        <f>"Meals"</f>
        <v>Meals</v>
      </c>
      <c r="C135" s="2">
        <v>5660</v>
      </c>
      <c r="D135" s="124"/>
      <c r="E135" s="48"/>
      <c r="F135" s="81"/>
    </row>
    <row r="136" spans="1:6">
      <c r="A136" s="2">
        <v>8039</v>
      </c>
      <c r="B136" s="41" t="str">
        <f>"קנסות ממוסדות"</f>
        <v>קנסות ממוסדות</v>
      </c>
      <c r="C136" s="2">
        <v>5660</v>
      </c>
      <c r="D136" s="124"/>
      <c r="E136" s="48"/>
      <c r="F136" s="81"/>
    </row>
    <row r="137" spans="1:6">
      <c r="A137" s="2">
        <v>8040</v>
      </c>
      <c r="B137" s="41" t="str">
        <f>"Recruitment"</f>
        <v>Recruitment</v>
      </c>
      <c r="C137" s="2">
        <v>5610</v>
      </c>
      <c r="D137" s="124"/>
      <c r="E137" s="48"/>
      <c r="F137" s="81"/>
    </row>
    <row r="138" spans="1:6">
      <c r="A138" s="2">
        <v>8041</v>
      </c>
      <c r="B138" s="41" t="str">
        <f>"אחזקת מחשבים ותוכנות"</f>
        <v>אחזקת מחשבים ותוכנות</v>
      </c>
      <c r="C138" s="2">
        <v>5660</v>
      </c>
      <c r="D138" s="124"/>
      <c r="E138" s="48"/>
      <c r="F138" s="81"/>
    </row>
    <row r="139" spans="1:6" ht="14">
      <c r="A139" s="152">
        <v>8042</v>
      </c>
      <c r="B139" s="151" t="s">
        <v>577</v>
      </c>
      <c r="C139" s="2">
        <v>5320</v>
      </c>
      <c r="D139" s="124"/>
      <c r="E139" s="48"/>
      <c r="F139" s="81"/>
    </row>
    <row r="140" spans="1:6" ht="14">
      <c r="A140" s="152">
        <v>8043</v>
      </c>
      <c r="B140" s="151" t="s">
        <v>746</v>
      </c>
      <c r="C140" s="2">
        <v>5510</v>
      </c>
      <c r="D140" s="459"/>
      <c r="E140" s="48"/>
      <c r="F140" s="81"/>
    </row>
    <row r="141" spans="1:6" ht="14">
      <c r="A141" s="152">
        <v>8044</v>
      </c>
      <c r="B141" s="151" t="s">
        <v>747</v>
      </c>
      <c r="C141" s="2">
        <v>5660</v>
      </c>
      <c r="D141" s="459"/>
      <c r="E141" s="48"/>
      <c r="F141" s="81"/>
    </row>
    <row r="142" spans="1:6" ht="14">
      <c r="A142" s="152">
        <v>8045</v>
      </c>
      <c r="B142" s="151" t="s">
        <v>578</v>
      </c>
      <c r="C142" s="2">
        <v>5320</v>
      </c>
      <c r="D142" s="124"/>
      <c r="E142" s="48"/>
      <c r="F142" s="81"/>
    </row>
    <row r="143" spans="1:6">
      <c r="A143" s="2">
        <v>8050</v>
      </c>
      <c r="B143" s="41" t="str">
        <f>"Salary expenses G&amp;A"</f>
        <v>Salary expenses G&amp;A</v>
      </c>
      <c r="C143" s="2">
        <v>5600</v>
      </c>
      <c r="D143" s="124"/>
      <c r="E143" s="48"/>
      <c r="F143" s="81"/>
    </row>
    <row r="144" spans="1:6">
      <c r="A144" s="2">
        <v>8051</v>
      </c>
      <c r="B144" s="41" t="str">
        <f>"Social sec expenses G&amp;A"</f>
        <v>Social sec expenses G&amp;A</v>
      </c>
      <c r="C144" s="2">
        <v>5600</v>
      </c>
      <c r="D144" s="124"/>
      <c r="E144" s="48"/>
      <c r="F144" s="81"/>
    </row>
    <row r="145" spans="1:6">
      <c r="A145" s="2">
        <v>8052</v>
      </c>
      <c r="B145" s="41" t="str">
        <f>"Employer pension expenses G&amp;A"</f>
        <v>Employer pension expenses G&amp;A</v>
      </c>
      <c r="C145" s="2">
        <v>5600</v>
      </c>
      <c r="D145" s="459"/>
      <c r="E145" s="48"/>
      <c r="F145" s="81"/>
    </row>
    <row r="146" spans="1:6">
      <c r="A146" s="2">
        <v>8053</v>
      </c>
      <c r="B146" s="41" t="str">
        <f>"Employer study fund expenses G&amp;A"</f>
        <v>Employer study fund expenses G&amp;A</v>
      </c>
      <c r="C146" s="2">
        <v>5600</v>
      </c>
      <c r="D146" s="124"/>
      <c r="E146" s="48"/>
      <c r="F146" s="81"/>
    </row>
    <row r="147" spans="1:6">
      <c r="A147" s="2">
        <v>8054</v>
      </c>
      <c r="B147" s="41" t="str">
        <f>"Shovi credit G&amp;A"</f>
        <v>Shovi credit G&amp;A</v>
      </c>
      <c r="C147" s="2">
        <v>5600</v>
      </c>
      <c r="D147" s="124"/>
      <c r="E147" s="48"/>
      <c r="F147" s="81"/>
    </row>
    <row r="148" spans="1:6">
      <c r="A148" s="2">
        <v>8055</v>
      </c>
      <c r="B148" s="41" t="str">
        <f>"Shovi debit G&amp;A"</f>
        <v>Shovi debit G&amp;A</v>
      </c>
      <c r="C148" s="2">
        <v>5600</v>
      </c>
      <c r="D148" s="124"/>
      <c r="E148" s="48"/>
      <c r="F148" s="81"/>
    </row>
    <row r="149" spans="1:6">
      <c r="A149" s="2">
        <v>8056</v>
      </c>
      <c r="B149" s="41" t="str">
        <f>"Reserve rewards"</f>
        <v>Reserve rewards</v>
      </c>
      <c r="C149" s="193">
        <v>5603</v>
      </c>
      <c r="D149" s="124"/>
      <c r="E149" s="48"/>
      <c r="F149" s="81"/>
    </row>
    <row r="150" spans="1:6">
      <c r="A150" s="2">
        <v>8057</v>
      </c>
      <c r="B150" s="41" t="str">
        <f>"הוצאות חופשה"</f>
        <v>הוצאות חופשה</v>
      </c>
      <c r="C150" s="193">
        <v>5603</v>
      </c>
      <c r="D150" s="124"/>
      <c r="E150" s="48"/>
      <c r="F150" s="81"/>
    </row>
    <row r="151" spans="1:6">
      <c r="A151" s="2">
        <v>8058</v>
      </c>
      <c r="B151" s="41" t="s">
        <v>881</v>
      </c>
      <c r="C151" s="2">
        <v>5411</v>
      </c>
      <c r="D151" s="124"/>
      <c r="E151" s="48"/>
      <c r="F151" s="81"/>
    </row>
    <row r="152" spans="1:6">
      <c r="A152" s="2">
        <v>8059</v>
      </c>
      <c r="B152" s="41" t="s">
        <v>737</v>
      </c>
      <c r="C152" s="2">
        <v>5311</v>
      </c>
      <c r="D152" s="124"/>
      <c r="E152" s="48"/>
      <c r="F152" s="81"/>
    </row>
    <row r="153" spans="1:6">
      <c r="A153" s="2">
        <v>8060</v>
      </c>
      <c r="B153" s="41" t="s">
        <v>882</v>
      </c>
      <c r="C153" s="2">
        <v>5610</v>
      </c>
      <c r="D153" s="124"/>
      <c r="E153" s="48"/>
      <c r="F153" s="81"/>
    </row>
    <row r="154" spans="1:6">
      <c r="A154" s="2">
        <v>8061</v>
      </c>
      <c r="B154" s="41" t="s">
        <v>883</v>
      </c>
      <c r="C154" s="2">
        <v>5420</v>
      </c>
      <c r="D154" s="124"/>
      <c r="E154" s="48"/>
      <c r="F154" s="81"/>
    </row>
    <row r="155" spans="1:6">
      <c r="A155" s="2">
        <v>8064</v>
      </c>
      <c r="B155" s="41" t="str">
        <f>"Travel"</f>
        <v>Travel</v>
      </c>
      <c r="C155" s="2">
        <v>5540</v>
      </c>
      <c r="D155" s="125"/>
      <c r="E155" s="48"/>
      <c r="F155" s="81"/>
    </row>
    <row r="156" spans="1:6">
      <c r="A156" s="2">
        <v>8065</v>
      </c>
      <c r="B156" s="41" t="str">
        <f>"Ariel-USA 23/02/20-29/02/20"</f>
        <v>Ariel-USA 23/02/20-29/02/20</v>
      </c>
      <c r="C156" s="2">
        <v>5540</v>
      </c>
      <c r="D156" s="124"/>
      <c r="E156" s="48"/>
      <c r="F156" s="81"/>
    </row>
    <row r="157" spans="1:6">
      <c r="A157" s="2">
        <v>8066</v>
      </c>
      <c r="B157" s="41" t="str">
        <f>"Ariel-New York 11/01/20-17/01/20"</f>
        <v>Ariel-New York 11/01/20-17/01/20</v>
      </c>
      <c r="C157" s="2">
        <v>5540</v>
      </c>
      <c r="D157" s="124"/>
      <c r="E157" s="48"/>
      <c r="F157" s="81"/>
    </row>
    <row r="158" spans="1:6">
      <c r="A158" s="2">
        <v>8067</v>
      </c>
      <c r="B158" s="41" t="str">
        <f>"Ofer Maorl-NYC 09/02/20-15/02/20"</f>
        <v>Ofer Maorl-NYC 09/02/20-15/02/20</v>
      </c>
      <c r="C158" s="2">
        <v>5540</v>
      </c>
      <c r="D158" s="124"/>
      <c r="E158" s="48"/>
      <c r="F158" s="81"/>
    </row>
    <row r="159" spans="1:6" ht="14">
      <c r="A159" s="152">
        <v>8068</v>
      </c>
      <c r="B159" s="151" t="s">
        <v>884</v>
      </c>
      <c r="C159" s="2">
        <v>5680</v>
      </c>
      <c r="D159" s="124"/>
      <c r="E159" s="48"/>
      <c r="F159" s="81"/>
    </row>
    <row r="160" spans="1:6" ht="14">
      <c r="A160" s="152">
        <v>8080</v>
      </c>
      <c r="B160" s="151" t="s">
        <v>753</v>
      </c>
      <c r="C160" s="2">
        <v>5416</v>
      </c>
      <c r="D160" s="124"/>
      <c r="E160" s="48"/>
      <c r="F160" s="81"/>
    </row>
    <row r="161" spans="1:5" ht="14">
      <c r="A161" s="152">
        <v>8081</v>
      </c>
      <c r="B161" s="151" t="s">
        <v>754</v>
      </c>
      <c r="C161" s="2">
        <v>5330</v>
      </c>
      <c r="D161" s="124"/>
      <c r="E161" s="460"/>
    </row>
    <row r="162" spans="1:5" ht="14">
      <c r="A162" s="152">
        <v>8082</v>
      </c>
      <c r="B162" s="151" t="s">
        <v>190</v>
      </c>
      <c r="C162" s="2">
        <v>5660</v>
      </c>
      <c r="D162" s="124"/>
      <c r="E162" s="460"/>
    </row>
    <row r="163" spans="1:5" ht="14">
      <c r="A163" s="152">
        <v>8083</v>
      </c>
      <c r="B163" s="151" t="s">
        <v>197</v>
      </c>
      <c r="C163" s="2">
        <v>5416</v>
      </c>
      <c r="D163" s="124"/>
      <c r="E163" s="460"/>
    </row>
    <row r="164" spans="1:5">
      <c r="A164" s="2">
        <v>8100</v>
      </c>
      <c r="B164" s="41" t="str">
        <f>"US Manager"</f>
        <v>US Manager</v>
      </c>
      <c r="C164" s="2">
        <v>5500</v>
      </c>
      <c r="D164" s="124"/>
      <c r="E164" s="460"/>
    </row>
    <row r="165" spans="1:5">
      <c r="A165" s="2">
        <v>8101</v>
      </c>
      <c r="B165" s="41" t="str">
        <f>"IT expenses S&amp;M"</f>
        <v>IT expenses S&amp;M</v>
      </c>
      <c r="C165" s="2">
        <v>5620</v>
      </c>
      <c r="D165" s="124"/>
      <c r="E165" s="460"/>
    </row>
    <row r="166" spans="1:5">
      <c r="A166" s="2">
        <v>8106</v>
      </c>
      <c r="B166" s="41" t="str">
        <f>"Branding &amp; Website"</f>
        <v>Branding &amp; Website</v>
      </c>
      <c r="C166" s="2">
        <v>5510</v>
      </c>
      <c r="D166" s="3"/>
      <c r="E166" s="460"/>
    </row>
    <row r="167" spans="1:5">
      <c r="A167" s="2">
        <v>8107</v>
      </c>
      <c r="B167" s="41" t="str">
        <f>"Marketing"</f>
        <v>Marketing</v>
      </c>
      <c r="C167" s="2">
        <v>5510</v>
      </c>
      <c r="D167" s="124"/>
      <c r="E167" s="460"/>
    </row>
    <row r="168" spans="1:5">
      <c r="A168" s="2">
        <v>8108</v>
      </c>
      <c r="B168" s="41" t="str">
        <f>"CMO Marketing"</f>
        <v>CMO Marketing</v>
      </c>
      <c r="C168" s="2">
        <v>5510</v>
      </c>
      <c r="D168" s="126"/>
      <c r="E168" s="460"/>
    </row>
    <row r="169" spans="1:5">
      <c r="A169" s="2">
        <v>8109</v>
      </c>
      <c r="B169" s="41" t="str">
        <f>"Welfare US"</f>
        <v>Welfare US</v>
      </c>
      <c r="C169" s="2">
        <v>5550</v>
      </c>
      <c r="D169" s="126"/>
      <c r="E169" s="460"/>
    </row>
    <row r="170" spans="1:5" ht="14">
      <c r="A170" s="152">
        <v>8110</v>
      </c>
      <c r="B170" s="151" t="s">
        <v>593</v>
      </c>
      <c r="C170" s="2">
        <v>5500</v>
      </c>
      <c r="D170" s="126"/>
      <c r="E170" s="460"/>
    </row>
    <row r="171" spans="1:5">
      <c r="A171" s="2">
        <v>8160</v>
      </c>
      <c r="B171" s="41" t="str">
        <f>"Travel William Beer  TelAviv"</f>
        <v>Travel William Beer  TelAviv</v>
      </c>
      <c r="C171" s="2">
        <v>5540</v>
      </c>
      <c r="D171" s="126"/>
      <c r="E171" s="127"/>
    </row>
    <row r="172" spans="1:5">
      <c r="A172" s="2">
        <v>8161</v>
      </c>
      <c r="B172" s="41" t="str">
        <f>"Travel 2"</f>
        <v>Travel 2</v>
      </c>
      <c r="C172" s="2">
        <v>5540</v>
      </c>
      <c r="D172" s="126"/>
      <c r="E172" s="127"/>
    </row>
    <row r="173" spans="1:5">
      <c r="A173" s="2">
        <v>8208</v>
      </c>
      <c r="B173" s="41" t="str">
        <f>"Cloud Services / Licenses Cyber Cap"</f>
        <v>Cloud Services / Licenses Cyber Cap</v>
      </c>
      <c r="C173" s="2">
        <v>5410</v>
      </c>
      <c r="E173" s="461"/>
    </row>
    <row r="174" spans="1:5">
      <c r="A174" s="2">
        <v>8250</v>
      </c>
      <c r="B174" s="41" t="str">
        <f>"Salary expenses R&amp;D"</f>
        <v>Salary expenses R&amp;D</v>
      </c>
      <c r="C174" s="2">
        <v>5400</v>
      </c>
      <c r="E174" s="461"/>
    </row>
    <row r="175" spans="1:5">
      <c r="A175" s="2">
        <v>8251</v>
      </c>
      <c r="B175" s="41" t="str">
        <f>"Social sec expenses R&amp;D"</f>
        <v>Social sec expenses R&amp;D</v>
      </c>
      <c r="C175" s="2">
        <v>5400</v>
      </c>
      <c r="E175" s="127"/>
    </row>
    <row r="176" spans="1:5">
      <c r="A176" s="2">
        <v>8252</v>
      </c>
      <c r="B176" s="41" t="str">
        <f>"Employer pension expenses R&amp;D"</f>
        <v>Employer pension expenses R&amp;D</v>
      </c>
      <c r="C176" s="2">
        <v>5400</v>
      </c>
      <c r="E176" s="127"/>
    </row>
    <row r="177" spans="1:5">
      <c r="A177" s="2">
        <v>8253</v>
      </c>
      <c r="B177" s="41" t="str">
        <f>"Employer study fund expenses R&amp;D"</f>
        <v>Employer study fund expenses R&amp;D</v>
      </c>
      <c r="C177" s="2">
        <v>5400</v>
      </c>
      <c r="E177" s="127"/>
    </row>
    <row r="178" spans="1:5">
      <c r="A178" s="2">
        <v>8254</v>
      </c>
      <c r="B178" s="41" t="str">
        <f>"Shovi credit R&amp;D"</f>
        <v>Shovi credit R&amp;D</v>
      </c>
      <c r="C178" s="2">
        <v>5400</v>
      </c>
      <c r="E178" s="127"/>
    </row>
    <row r="179" spans="1:5">
      <c r="A179" s="2">
        <v>8255</v>
      </c>
      <c r="B179" s="41" t="str">
        <f>"Shovi debit R&amp;D"</f>
        <v>Shovi debit R&amp;D</v>
      </c>
      <c r="C179" s="2">
        <v>5400</v>
      </c>
      <c r="E179" s="460"/>
    </row>
    <row r="180" spans="1:5">
      <c r="A180" s="2">
        <v>8260</v>
      </c>
      <c r="B180" s="41" t="s">
        <v>885</v>
      </c>
      <c r="C180" s="2">
        <v>5410</v>
      </c>
      <c r="E180" s="460"/>
    </row>
    <row r="181" spans="1:5">
      <c r="A181" s="2">
        <v>8320</v>
      </c>
      <c r="B181" s="41" t="s">
        <v>886</v>
      </c>
      <c r="C181" s="2">
        <v>5416</v>
      </c>
      <c r="E181" s="460"/>
    </row>
    <row r="182" spans="1:5">
      <c r="A182" s="2">
        <v>8321</v>
      </c>
      <c r="B182" s="41" t="s">
        <v>818</v>
      </c>
      <c r="C182" s="2">
        <v>5410</v>
      </c>
      <c r="E182" s="460"/>
    </row>
    <row r="183" spans="1:5">
      <c r="A183" s="2">
        <v>8325</v>
      </c>
      <c r="B183" s="41" t="str">
        <f>"Cloud / Licensing / Feeds"</f>
        <v>Cloud / Licensing / Feeds</v>
      </c>
      <c r="C183" s="2">
        <v>5410</v>
      </c>
      <c r="E183" s="460"/>
    </row>
    <row r="184" spans="1:5">
      <c r="A184" s="2">
        <v>8326</v>
      </c>
      <c r="B184" s="41" t="s">
        <v>819</v>
      </c>
      <c r="C184" s="2">
        <v>5410</v>
      </c>
      <c r="E184" s="460"/>
    </row>
    <row r="185" spans="1:5" ht="14">
      <c r="A185" s="152">
        <v>8327</v>
      </c>
      <c r="B185" s="151" t="s">
        <v>887</v>
      </c>
      <c r="C185" s="2">
        <v>5410</v>
      </c>
      <c r="E185" s="460"/>
    </row>
    <row r="186" spans="1:5">
      <c r="A186" s="2">
        <v>8340</v>
      </c>
      <c r="B186" s="41" t="str">
        <f>"Welfare - Services"</f>
        <v>Welfare - Services</v>
      </c>
      <c r="C186" s="2">
        <v>5330</v>
      </c>
      <c r="E186" s="127"/>
    </row>
    <row r="187" spans="1:5" ht="14">
      <c r="A187" s="152">
        <v>8341</v>
      </c>
      <c r="B187" s="151" t="s">
        <v>756</v>
      </c>
      <c r="C187" s="2">
        <v>5660</v>
      </c>
      <c r="E187" s="460"/>
    </row>
    <row r="188" spans="1:5" ht="14">
      <c r="A188" s="152">
        <v>8342</v>
      </c>
      <c r="B188" s="151" t="s">
        <v>757</v>
      </c>
      <c r="C188" s="2">
        <v>5416</v>
      </c>
      <c r="E188" s="127"/>
    </row>
    <row r="189" spans="1:5" ht="14">
      <c r="A189" s="152">
        <v>8343</v>
      </c>
      <c r="B189" s="151" t="s">
        <v>758</v>
      </c>
      <c r="C189" s="2">
        <v>5550</v>
      </c>
      <c r="E189" s="127"/>
    </row>
    <row r="190" spans="1:5">
      <c r="A190" s="2">
        <v>8350</v>
      </c>
      <c r="B190" s="41" t="str">
        <f>"Salary expenses Cyber Oper"</f>
        <v>Salary expenses Cyber Oper</v>
      </c>
      <c r="C190" s="2">
        <v>5300</v>
      </c>
      <c r="E190" s="127"/>
    </row>
    <row r="191" spans="1:5">
      <c r="A191" s="2">
        <v>8351</v>
      </c>
      <c r="B191" s="41" t="str">
        <f>"Social sec expenses Cyber Oper"</f>
        <v>Social sec expenses Cyber Oper</v>
      </c>
      <c r="C191" s="2">
        <v>5300</v>
      </c>
      <c r="E191" s="127"/>
    </row>
    <row r="192" spans="1:5">
      <c r="A192" s="2">
        <v>8352</v>
      </c>
      <c r="B192" s="41" t="str">
        <f>"Employer pension expenses Cyber Oper"</f>
        <v>Employer pension expenses Cyber Oper</v>
      </c>
      <c r="C192" s="2">
        <v>5300</v>
      </c>
      <c r="E192" s="127"/>
    </row>
    <row r="193" spans="1:5">
      <c r="A193" s="2">
        <v>8353</v>
      </c>
      <c r="B193" s="41" t="str">
        <f>"Employer study fund expenses Cyber Oper"</f>
        <v>Employer study fund expenses Cyber Oper</v>
      </c>
      <c r="C193" s="2">
        <v>5300</v>
      </c>
      <c r="E193" s="127"/>
    </row>
    <row r="194" spans="1:5">
      <c r="A194" s="2">
        <v>8354</v>
      </c>
      <c r="B194" s="41" t="str">
        <f>"Shovi credit Cyber Oper"</f>
        <v>Shovi credit Cyber Oper</v>
      </c>
      <c r="C194" s="2">
        <v>5300</v>
      </c>
      <c r="E194" s="127"/>
    </row>
    <row r="195" spans="1:5">
      <c r="A195" s="2">
        <v>8355</v>
      </c>
      <c r="B195" s="41" t="str">
        <f>"Shovi debit Cyber Oper"</f>
        <v>Shovi debit Cyber Oper</v>
      </c>
      <c r="C195" s="2">
        <v>5300</v>
      </c>
      <c r="E195" s="127"/>
    </row>
    <row r="196" spans="1:5">
      <c r="A196" s="2">
        <v>8360</v>
      </c>
      <c r="B196" s="41" t="str">
        <f>"Andrey Shomer -London 11/01/20-14/01/20"</f>
        <v>Andrey Shomer -London 11/01/20-14/01/20</v>
      </c>
      <c r="C196" s="2">
        <v>5540</v>
      </c>
      <c r="E196" s="127"/>
    </row>
    <row r="197" spans="1:5">
      <c r="A197" s="2">
        <v>8400</v>
      </c>
      <c r="B197" s="41" t="str">
        <f>"Depreciation"</f>
        <v>Depreciation</v>
      </c>
      <c r="C197" s="2">
        <v>5330</v>
      </c>
      <c r="E197" s="460"/>
    </row>
    <row r="198" spans="1:5">
      <c r="A198" s="2">
        <v>8401</v>
      </c>
      <c r="B198" s="41" t="s">
        <v>822</v>
      </c>
      <c r="C198" s="2">
        <v>5670</v>
      </c>
      <c r="E198" s="460"/>
    </row>
    <row r="199" spans="1:5">
      <c r="A199" s="2">
        <v>8402</v>
      </c>
      <c r="B199" s="41" t="s">
        <v>823</v>
      </c>
      <c r="C199" s="2">
        <v>5430</v>
      </c>
      <c r="E199" s="127"/>
    </row>
    <row r="200" spans="1:5">
      <c r="A200" s="2">
        <v>9000</v>
      </c>
      <c r="B200" s="41" t="str">
        <f>"ריבית בנקים"</f>
        <v>ריבית בנקים</v>
      </c>
      <c r="C200" s="2">
        <v>5700</v>
      </c>
      <c r="E200" s="127"/>
    </row>
    <row r="201" spans="1:5">
      <c r="A201" s="2">
        <v>9001</v>
      </c>
      <c r="B201" s="41" t="str">
        <f>"ריבית מפקדון"</f>
        <v>ריבית מפקדון</v>
      </c>
      <c r="C201" s="2">
        <v>5700</v>
      </c>
      <c r="E201" s="127"/>
    </row>
    <row r="202" spans="1:5">
      <c r="A202" s="2">
        <v>9004</v>
      </c>
      <c r="B202" s="41" t="str">
        <f>"הפרשי שער"</f>
        <v>הפרשי שער</v>
      </c>
      <c r="C202" s="2">
        <v>5700</v>
      </c>
      <c r="E202" s="460"/>
    </row>
    <row r="203" spans="1:5">
      <c r="A203" s="2">
        <v>9006</v>
      </c>
      <c r="B203" s="41" t="str">
        <f>"עמלות בנקים"</f>
        <v>עמלות בנקים</v>
      </c>
      <c r="C203" s="2">
        <v>5700</v>
      </c>
      <c r="E203" s="127"/>
    </row>
    <row r="204" spans="1:5">
      <c r="A204" s="2">
        <v>9007</v>
      </c>
      <c r="B204" s="41" t="str">
        <f>"עמלות כרטיסי אשראי"</f>
        <v>עמלות כרטיסי אשראי</v>
      </c>
      <c r="C204" s="2">
        <v>5700</v>
      </c>
      <c r="E204" s="127"/>
    </row>
    <row r="205" spans="1:5">
      <c r="A205" s="2">
        <v>9901</v>
      </c>
      <c r="B205" s="41" t="str">
        <f>"רם יולוס - השקעה ש""ח"</f>
        <v>רם יולוס - השקעה ש"ח</v>
      </c>
      <c r="C205" s="2">
        <v>4900</v>
      </c>
      <c r="E205" s="127"/>
    </row>
    <row r="206" spans="1:5">
      <c r="A206" s="2">
        <v>9902</v>
      </c>
      <c r="B206" s="41" t="str">
        <f>"Ram Joulus - השקעה יורו"</f>
        <v>Ram Joulus - השקעה יורו</v>
      </c>
      <c r="C206" s="2">
        <v>4900</v>
      </c>
      <c r="E206" s="127"/>
    </row>
    <row r="207" spans="1:5">
      <c r="A207" s="2">
        <v>9903</v>
      </c>
      <c r="B207" s="41" t="str">
        <f>"David Buchler - השקעה"</f>
        <v>David Buchler - השקעה</v>
      </c>
      <c r="C207" s="2">
        <v>4900</v>
      </c>
      <c r="E207" s="127"/>
    </row>
    <row r="208" spans="1:5">
      <c r="A208" s="2">
        <v>9904</v>
      </c>
      <c r="B208" s="41" t="str">
        <f>"Rain Capital - השקעה"</f>
        <v>Rain Capital - השקעה</v>
      </c>
      <c r="C208" s="2">
        <v>4900</v>
      </c>
      <c r="E208" s="127"/>
    </row>
    <row r="209" spans="1:5">
      <c r="A209" s="2">
        <v>9905</v>
      </c>
      <c r="B209" s="41" t="str">
        <f>"Direct Roun D L - השקעה"</f>
        <v>Direct Roun D L - השקעה</v>
      </c>
      <c r="C209" s="2">
        <v>4900</v>
      </c>
      <c r="E209" s="127"/>
    </row>
    <row r="210" spans="1:5">
      <c r="A210" s="2">
        <v>9906</v>
      </c>
      <c r="B210" s="41" t="str">
        <f>"Blu Ocean OPP - השקעה"</f>
        <v>Blu Ocean OPP - השקעה</v>
      </c>
      <c r="C210" s="2">
        <v>4900</v>
      </c>
      <c r="E210" s="127"/>
    </row>
    <row r="211" spans="1:5">
      <c r="A211" s="2">
        <v>9907</v>
      </c>
      <c r="B211" s="41" t="str">
        <f>"Karen Kipman R - השקעה"</f>
        <v>Karen Kipman R - השקעה</v>
      </c>
      <c r="C211" s="2">
        <v>4900</v>
      </c>
      <c r="E211" s="127"/>
    </row>
    <row r="212" spans="1:5">
      <c r="A212" s="2">
        <v>9908</v>
      </c>
      <c r="B212" s="41" t="str">
        <f>"במות השקעות- השקעה"</f>
        <v>במות השקעות- השקעה</v>
      </c>
      <c r="C212" s="2">
        <v>4900</v>
      </c>
      <c r="E212" s="128"/>
    </row>
    <row r="213" spans="1:5">
      <c r="A213" s="2">
        <v>9909</v>
      </c>
      <c r="B213" s="41" t="str">
        <f>"Key Capital - השקעה"</f>
        <v>Key Capital - השקעה</v>
      </c>
      <c r="C213" s="2">
        <v>4900</v>
      </c>
      <c r="E213" s="127"/>
    </row>
    <row r="214" spans="1:5">
      <c r="A214" s="2">
        <v>9910</v>
      </c>
      <c r="B214" s="41" t="str">
        <f>"קלינשטיין אריה - השקעה"</f>
        <v>קלינשטיין אריה - השקעה</v>
      </c>
      <c r="C214" s="2">
        <v>4900</v>
      </c>
      <c r="E214" s="127"/>
    </row>
    <row r="215" spans="1:5">
      <c r="A215" s="2">
        <v>9911</v>
      </c>
      <c r="B215" s="41" t="str">
        <f>"Samborski An - השקעה"</f>
        <v>Samborski An - השקעה</v>
      </c>
      <c r="C215" s="2">
        <v>4900</v>
      </c>
      <c r="E215" s="127"/>
    </row>
    <row r="216" spans="1:5">
      <c r="A216" s="2">
        <v>9912</v>
      </c>
      <c r="B216" s="41" t="str">
        <f>"Janis Johns - השקעה"</f>
        <v>Janis Johns - השקעה</v>
      </c>
      <c r="C216" s="2">
        <v>4900</v>
      </c>
      <c r="E216" s="127"/>
    </row>
    <row r="217" spans="1:5">
      <c r="A217" s="2">
        <v>9913</v>
      </c>
      <c r="B217" s="41" t="str">
        <f>"Pico Partner - השקעה"</f>
        <v>Pico Partner - השקעה</v>
      </c>
      <c r="C217" s="2">
        <v>4900</v>
      </c>
      <c r="E217" s="127"/>
    </row>
    <row r="218" spans="1:5">
      <c r="A218" s="2">
        <v>9914</v>
      </c>
      <c r="B218" s="41" t="str">
        <f>"Assaf Rappap - השקעה"</f>
        <v>Assaf Rappap - השקעה</v>
      </c>
      <c r="C218" s="2">
        <v>4900</v>
      </c>
      <c r="E218" s="127"/>
    </row>
    <row r="219" spans="1:5">
      <c r="A219" s="2">
        <v>9915</v>
      </c>
      <c r="B219" s="41" t="str">
        <f>"Boyle Law pll-השקעה"</f>
        <v>Boyle Law pll-השקעה</v>
      </c>
      <c r="C219" s="2">
        <v>4900</v>
      </c>
      <c r="E219" s="127"/>
    </row>
    <row r="220" spans="1:5">
      <c r="A220" s="2">
        <v>9916</v>
      </c>
      <c r="B220" s="41" t="str">
        <f>"Clearsky secur-השקעה"</f>
        <v>Clearsky secur-השקעה</v>
      </c>
      <c r="C220" s="2">
        <v>4900</v>
      </c>
      <c r="E220" s="127"/>
    </row>
    <row r="221" spans="1:5">
      <c r="A221" s="2">
        <v>9917</v>
      </c>
      <c r="B221" s="41" t="str">
        <f>"הון מניות רגילות"</f>
        <v>הון מניות רגילות</v>
      </c>
      <c r="C221" s="2">
        <v>4900</v>
      </c>
      <c r="E221" s="127"/>
    </row>
    <row r="222" spans="1:5">
      <c r="A222" s="2">
        <v>9918</v>
      </c>
      <c r="B222" s="41" t="str">
        <f>"הון מניות בכורה סיד1"</f>
        <v>הון מניות בכורה סיד1</v>
      </c>
      <c r="C222" s="2">
        <v>4900</v>
      </c>
      <c r="E222" s="127"/>
    </row>
    <row r="223" spans="1:5">
      <c r="A223" s="2">
        <v>9919</v>
      </c>
      <c r="B223" s="41" t="str">
        <f>"FLIN CAPITAL - השקעה"</f>
        <v>FLIN CAPITAL - השקעה</v>
      </c>
      <c r="C223" s="2">
        <v>4900</v>
      </c>
      <c r="E223" s="3"/>
    </row>
    <row r="224" spans="1:5">
      <c r="A224" s="2">
        <v>9920</v>
      </c>
      <c r="B224" s="41" t="str">
        <f>"הון מניות בכורה סיד2"</f>
        <v>הון מניות בכורה סיד2</v>
      </c>
      <c r="C224" s="2">
        <v>4900</v>
      </c>
      <c r="E224" s="127"/>
    </row>
    <row r="225" spans="1:5">
      <c r="A225" s="2">
        <v>9921</v>
      </c>
      <c r="B225" s="41" t="str">
        <f>"NEX PARTNERS - השקעה"</f>
        <v>NEX PARTNERS - השקעה</v>
      </c>
      <c r="C225" s="2">
        <v>4900</v>
      </c>
      <c r="E225" s="129"/>
    </row>
    <row r="226" spans="1:5" ht="14">
      <c r="A226" s="152">
        <v>9990</v>
      </c>
      <c r="B226" s="151" t="s">
        <v>718</v>
      </c>
      <c r="C226" s="2">
        <v>4900</v>
      </c>
      <c r="E226" s="129"/>
    </row>
    <row r="227" spans="1:5">
      <c r="A227" s="2">
        <v>9991</v>
      </c>
      <c r="B227" s="41" t="str">
        <f>"יתרת רווח/הפסד"</f>
        <v>יתרת רווח/הפסד</v>
      </c>
      <c r="C227" s="2">
        <v>5110</v>
      </c>
      <c r="E227" s="129"/>
    </row>
    <row r="228" spans="1:5">
      <c r="A228" s="2">
        <v>9999</v>
      </c>
      <c r="B228" s="41" t="str">
        <f>"ביטול יתרות"</f>
        <v>ביטול יתרות</v>
      </c>
      <c r="C228" s="2">
        <v>5700</v>
      </c>
      <c r="E228" s="129"/>
    </row>
    <row r="229" spans="1:5">
      <c r="A229" s="2">
        <v>10800</v>
      </c>
      <c r="B229" s="41" t="s">
        <v>359</v>
      </c>
      <c r="C229" s="2">
        <v>1400</v>
      </c>
      <c r="E229" s="129"/>
    </row>
    <row r="230" spans="1:5" ht="14">
      <c r="A230" s="152">
        <v>10803</v>
      </c>
      <c r="B230" s="151" t="s">
        <v>628</v>
      </c>
      <c r="C230" s="2">
        <v>1400</v>
      </c>
    </row>
    <row r="231" spans="1:5">
      <c r="A231" s="2">
        <v>10805</v>
      </c>
      <c r="B231" s="41" t="s">
        <v>888</v>
      </c>
      <c r="C231" s="2">
        <v>1400</v>
      </c>
    </row>
    <row r="232" spans="1:5" ht="14">
      <c r="A232" s="152">
        <v>10806</v>
      </c>
      <c r="B232" s="151" t="s">
        <v>349</v>
      </c>
      <c r="C232" s="2">
        <v>1400</v>
      </c>
    </row>
    <row r="233" spans="1:5" ht="14">
      <c r="A233" s="152">
        <v>10807</v>
      </c>
      <c r="B233" s="151" t="s">
        <v>889</v>
      </c>
      <c r="C233" s="2">
        <v>1400</v>
      </c>
    </row>
    <row r="234" spans="1:5" ht="14">
      <c r="A234" s="152">
        <v>10810</v>
      </c>
      <c r="B234" s="151" t="s">
        <v>353</v>
      </c>
      <c r="C234" s="2">
        <v>1400</v>
      </c>
    </row>
    <row r="235" spans="1:5">
      <c r="A235" s="2">
        <v>10811</v>
      </c>
      <c r="B235" s="41" t="s">
        <v>890</v>
      </c>
      <c r="C235" s="2">
        <v>1400</v>
      </c>
    </row>
    <row r="236" spans="1:5">
      <c r="A236" s="2">
        <v>6012</v>
      </c>
      <c r="B236" s="41" t="s">
        <v>647</v>
      </c>
      <c r="C236" s="2">
        <v>1600</v>
      </c>
    </row>
    <row r="237" spans="1:5">
      <c r="A237" s="2">
        <v>3015</v>
      </c>
      <c r="B237" s="41" t="s">
        <v>659</v>
      </c>
      <c r="C237" s="2">
        <v>3400</v>
      </c>
    </row>
    <row r="238" spans="1:5">
      <c r="A238" s="2">
        <v>3121</v>
      </c>
      <c r="B238" s="41" t="s">
        <v>891</v>
      </c>
      <c r="C238" s="2">
        <v>3400</v>
      </c>
    </row>
    <row r="239" spans="1:5">
      <c r="A239" s="2">
        <v>3122</v>
      </c>
      <c r="B239" s="41" t="s">
        <v>892</v>
      </c>
      <c r="C239" s="2">
        <v>3400</v>
      </c>
    </row>
    <row r="240" spans="1:5">
      <c r="A240" s="2">
        <v>3123</v>
      </c>
      <c r="B240" s="41" t="s">
        <v>893</v>
      </c>
      <c r="C240" s="2">
        <v>3400</v>
      </c>
    </row>
    <row r="241" spans="1:3">
      <c r="A241" s="2">
        <v>3124</v>
      </c>
      <c r="B241" s="41" t="s">
        <v>894</v>
      </c>
      <c r="C241" s="2">
        <v>3400</v>
      </c>
    </row>
    <row r="242" spans="1:3">
      <c r="A242" s="2">
        <v>3125</v>
      </c>
      <c r="B242" s="41" t="s">
        <v>895</v>
      </c>
      <c r="C242" s="2">
        <v>3400</v>
      </c>
    </row>
    <row r="243" spans="1:3">
      <c r="A243" s="2">
        <v>3126</v>
      </c>
      <c r="B243" s="41" t="s">
        <v>896</v>
      </c>
      <c r="C243" s="2">
        <v>3400</v>
      </c>
    </row>
    <row r="244" spans="1:3">
      <c r="A244" s="2">
        <v>3128</v>
      </c>
      <c r="B244" s="41" t="s">
        <v>897</v>
      </c>
      <c r="C244" s="2">
        <v>3400</v>
      </c>
    </row>
    <row r="245" spans="1:3">
      <c r="A245" s="2">
        <v>3135</v>
      </c>
      <c r="B245" s="41" t="s">
        <v>898</v>
      </c>
      <c r="C245" s="2">
        <v>3400</v>
      </c>
    </row>
    <row r="246" spans="1:3">
      <c r="A246" s="2">
        <v>3127</v>
      </c>
      <c r="B246" s="41" t="s">
        <v>899</v>
      </c>
      <c r="C246" s="2">
        <v>3400</v>
      </c>
    </row>
    <row r="247" spans="1:3">
      <c r="A247" s="2">
        <v>5100</v>
      </c>
      <c r="B247" s="41" t="s">
        <v>900</v>
      </c>
      <c r="C247" s="2">
        <v>3600</v>
      </c>
    </row>
    <row r="248" spans="1:3">
      <c r="A248" s="2">
        <v>8344</v>
      </c>
      <c r="B248" s="41" t="s">
        <v>759</v>
      </c>
      <c r="C248" s="2">
        <v>5330</v>
      </c>
    </row>
    <row r="249" spans="1:3">
      <c r="A249" s="2">
        <v>8345</v>
      </c>
      <c r="B249" s="41" t="s">
        <v>760</v>
      </c>
      <c r="C249" s="2">
        <v>5660</v>
      </c>
    </row>
    <row r="250" spans="1:3">
      <c r="A250" s="2">
        <v>8069</v>
      </c>
      <c r="B250" s="41" t="s">
        <v>767</v>
      </c>
      <c r="C250" s="2">
        <v>5680</v>
      </c>
    </row>
    <row r="251" spans="1:3">
      <c r="A251" s="2">
        <v>8450</v>
      </c>
      <c r="B251" s="41" t="s">
        <v>795</v>
      </c>
      <c r="C251" s="2">
        <v>5600</v>
      </c>
    </row>
    <row r="252" spans="1:3">
      <c r="A252" s="2">
        <v>8451</v>
      </c>
      <c r="B252" s="41" t="s">
        <v>796</v>
      </c>
      <c r="C252" s="2">
        <v>5600</v>
      </c>
    </row>
    <row r="253" spans="1:3">
      <c r="A253" s="2">
        <v>8454</v>
      </c>
      <c r="B253" s="41" t="s">
        <v>799</v>
      </c>
      <c r="C253" s="2">
        <v>5600</v>
      </c>
    </row>
    <row r="254" spans="1:3">
      <c r="A254" s="2">
        <v>8455</v>
      </c>
      <c r="B254" s="41" t="s">
        <v>800</v>
      </c>
      <c r="C254" s="2">
        <v>5600</v>
      </c>
    </row>
    <row r="255" spans="1:3">
      <c r="A255" s="2">
        <v>8356</v>
      </c>
      <c r="B255" s="41" t="s">
        <v>815</v>
      </c>
      <c r="C255" s="2">
        <v>5300</v>
      </c>
    </row>
    <row r="256" spans="1:3">
      <c r="A256" s="2">
        <v>6013</v>
      </c>
      <c r="B256" s="41" t="s">
        <v>901</v>
      </c>
      <c r="C256" s="2">
        <v>1600</v>
      </c>
    </row>
    <row r="257" spans="1:5">
      <c r="A257" s="2">
        <v>10811</v>
      </c>
      <c r="B257" s="41" t="s">
        <v>890</v>
      </c>
      <c r="C257" s="2">
        <v>1400</v>
      </c>
    </row>
    <row r="258" spans="1:5" ht="14">
      <c r="A258" s="263">
        <v>10809</v>
      </c>
      <c r="B258" s="264" t="s">
        <v>902</v>
      </c>
      <c r="C258" s="2">
        <v>1500</v>
      </c>
    </row>
    <row r="259" spans="1:5" ht="14">
      <c r="A259" s="263">
        <v>10812</v>
      </c>
      <c r="B259" s="264" t="s">
        <v>629</v>
      </c>
      <c r="C259" s="2">
        <v>1400</v>
      </c>
    </row>
    <row r="260" spans="1:5" ht="14">
      <c r="A260" s="263">
        <v>3130</v>
      </c>
      <c r="B260" s="264" t="s">
        <v>903</v>
      </c>
      <c r="C260" s="2">
        <v>3400</v>
      </c>
    </row>
    <row r="261" spans="1:5" ht="14">
      <c r="A261" s="263">
        <v>3136</v>
      </c>
      <c r="B261" s="264" t="s">
        <v>904</v>
      </c>
      <c r="C261" s="2">
        <v>3400</v>
      </c>
    </row>
    <row r="262" spans="1:5" ht="14">
      <c r="A262" s="263">
        <v>3137</v>
      </c>
      <c r="B262" s="264" t="s">
        <v>905</v>
      </c>
      <c r="C262" s="2">
        <v>3400</v>
      </c>
    </row>
    <row r="263" spans="1:5" ht="14">
      <c r="A263" s="263">
        <v>3140</v>
      </c>
      <c r="B263" s="264" t="s">
        <v>668</v>
      </c>
      <c r="C263" s="2">
        <v>3400</v>
      </c>
    </row>
    <row r="264" spans="1:5" ht="14">
      <c r="A264" s="263">
        <v>8104</v>
      </c>
      <c r="B264" s="264" t="s">
        <v>749</v>
      </c>
      <c r="C264" s="2">
        <v>5416</v>
      </c>
    </row>
    <row r="265" spans="1:5" ht="14">
      <c r="A265" s="263">
        <v>8070</v>
      </c>
      <c r="B265" s="264" t="s">
        <v>768</v>
      </c>
      <c r="C265" s="2">
        <v>5420</v>
      </c>
    </row>
    <row r="266" spans="1:5" ht="14">
      <c r="A266" s="263">
        <v>8162</v>
      </c>
      <c r="B266" s="264" t="s">
        <v>791</v>
      </c>
      <c r="C266" s="2">
        <v>5510</v>
      </c>
    </row>
    <row r="267" spans="1:5" ht="14">
      <c r="A267" s="263">
        <v>8452</v>
      </c>
      <c r="B267" s="264" t="s">
        <v>797</v>
      </c>
      <c r="C267" s="2">
        <v>5600</v>
      </c>
    </row>
    <row r="268" spans="1:5" ht="14">
      <c r="A268" s="263">
        <v>8453</v>
      </c>
      <c r="B268" s="264" t="s">
        <v>798</v>
      </c>
      <c r="C268" s="2">
        <v>5600</v>
      </c>
    </row>
    <row r="269" spans="1:5">
      <c r="A269" s="2">
        <v>3058</v>
      </c>
      <c r="B269" s="41" t="s">
        <v>906</v>
      </c>
      <c r="C269" s="2">
        <v>3400</v>
      </c>
      <c r="D269" s="124"/>
      <c r="E269" s="460"/>
    </row>
    <row r="270" spans="1:5">
      <c r="A270" s="2">
        <v>1208</v>
      </c>
      <c r="B270" s="41" t="s">
        <v>907</v>
      </c>
      <c r="C270" s="2">
        <v>3400</v>
      </c>
      <c r="D270" s="124"/>
      <c r="E270" s="460"/>
    </row>
    <row r="271" spans="1:5">
      <c r="A271" s="2">
        <v>3147</v>
      </c>
      <c r="B271" s="41" t="s">
        <v>908</v>
      </c>
      <c r="C271" s="2">
        <v>3400</v>
      </c>
    </row>
    <row r="272" spans="1:5">
      <c r="A272" s="2">
        <v>5103</v>
      </c>
      <c r="B272" s="41" t="s">
        <v>909</v>
      </c>
      <c r="C272" s="2">
        <v>3600</v>
      </c>
    </row>
    <row r="273" spans="1:3">
      <c r="A273" s="2">
        <v>5117</v>
      </c>
      <c r="B273" s="41" t="s">
        <v>910</v>
      </c>
      <c r="C273" s="2">
        <v>3600</v>
      </c>
    </row>
    <row r="274" spans="1:3">
      <c r="A274" s="2">
        <v>5118</v>
      </c>
      <c r="B274" s="41" t="s">
        <v>911</v>
      </c>
      <c r="C274" s="2">
        <v>3600</v>
      </c>
    </row>
    <row r="275" spans="1:3">
      <c r="A275" s="2">
        <v>5121</v>
      </c>
      <c r="B275" s="41" t="s">
        <v>912</v>
      </c>
      <c r="C275" s="2">
        <v>3600</v>
      </c>
    </row>
    <row r="276" spans="1:3">
      <c r="A276" s="2">
        <v>1203</v>
      </c>
      <c r="B276" s="41" t="s">
        <v>913</v>
      </c>
      <c r="C276" s="2">
        <v>3400</v>
      </c>
    </row>
    <row r="277" spans="1:3">
      <c r="A277" s="2">
        <v>8084</v>
      </c>
      <c r="B277" s="41" t="s">
        <v>782</v>
      </c>
      <c r="C277" s="2">
        <v>5410</v>
      </c>
    </row>
    <row r="278" spans="1:3">
      <c r="A278" s="2">
        <v>8111</v>
      </c>
      <c r="B278" s="41" t="s">
        <v>794</v>
      </c>
      <c r="C278" s="2">
        <v>5660</v>
      </c>
    </row>
    <row r="279" spans="1:3">
      <c r="A279" s="2">
        <v>1108</v>
      </c>
      <c r="B279" s="41" t="s">
        <v>627</v>
      </c>
      <c r="C279" s="2">
        <v>1300</v>
      </c>
    </row>
    <row r="280" spans="1:3">
      <c r="A280" s="2">
        <v>6014</v>
      </c>
      <c r="B280" s="41" t="s">
        <v>648</v>
      </c>
      <c r="C280" s="2">
        <v>1640</v>
      </c>
    </row>
    <row r="281" spans="1:3">
      <c r="A281" s="2">
        <v>3138</v>
      </c>
      <c r="B281" s="41" t="s">
        <v>914</v>
      </c>
      <c r="C281" s="2">
        <v>3400</v>
      </c>
    </row>
    <row r="282" spans="1:3">
      <c r="A282" s="2">
        <v>3139</v>
      </c>
      <c r="B282" s="41" t="s">
        <v>915</v>
      </c>
      <c r="C282" s="2">
        <v>3400</v>
      </c>
    </row>
    <row r="283" spans="1:3">
      <c r="A283" s="2">
        <v>3143</v>
      </c>
      <c r="B283" s="41" t="s">
        <v>669</v>
      </c>
      <c r="C283" s="2">
        <v>3400</v>
      </c>
    </row>
    <row r="284" spans="1:3">
      <c r="A284" s="2">
        <v>3144</v>
      </c>
      <c r="B284" s="41" t="s">
        <v>916</v>
      </c>
      <c r="C284" s="2">
        <v>3400</v>
      </c>
    </row>
    <row r="285" spans="1:3">
      <c r="A285" s="2">
        <v>3148</v>
      </c>
      <c r="B285" s="41" t="s">
        <v>917</v>
      </c>
      <c r="C285" s="2">
        <v>3400</v>
      </c>
    </row>
    <row r="286" spans="1:3">
      <c r="A286" s="2">
        <v>3150</v>
      </c>
      <c r="B286" s="41" t="s">
        <v>918</v>
      </c>
      <c r="C286" s="2">
        <v>3400</v>
      </c>
    </row>
    <row r="287" spans="1:3">
      <c r="A287" s="2">
        <v>3046</v>
      </c>
      <c r="B287" s="41" t="s">
        <v>919</v>
      </c>
      <c r="C287" s="2">
        <v>3400</v>
      </c>
    </row>
    <row r="288" spans="1:3">
      <c r="A288" s="2">
        <v>3083</v>
      </c>
      <c r="B288" s="41" t="s">
        <v>920</v>
      </c>
      <c r="C288" s="2">
        <v>3400</v>
      </c>
    </row>
    <row r="289" spans="1:3">
      <c r="A289" s="2">
        <v>7006</v>
      </c>
      <c r="B289" s="41" t="s">
        <v>726</v>
      </c>
      <c r="C289" s="2">
        <v>5660</v>
      </c>
    </row>
    <row r="290" spans="1:3">
      <c r="A290" s="2">
        <v>8007</v>
      </c>
      <c r="B290" s="41" t="s">
        <v>750</v>
      </c>
      <c r="C290" s="2">
        <v>5660</v>
      </c>
    </row>
    <row r="291" spans="1:3">
      <c r="A291" s="2">
        <v>6015</v>
      </c>
      <c r="B291" s="41" t="s">
        <v>921</v>
      </c>
      <c r="C291" s="2">
        <v>3100</v>
      </c>
    </row>
    <row r="292" spans="1:3">
      <c r="A292" s="2">
        <v>6707</v>
      </c>
      <c r="B292" s="41" t="s">
        <v>650</v>
      </c>
      <c r="C292" s="2">
        <v>3100</v>
      </c>
    </row>
    <row r="293" spans="1:3">
      <c r="A293" s="2">
        <v>3153</v>
      </c>
      <c r="B293" s="41" t="s">
        <v>671</v>
      </c>
      <c r="C293" s="2">
        <v>3400</v>
      </c>
    </row>
    <row r="294" spans="1:3">
      <c r="A294" s="2">
        <v>3154</v>
      </c>
      <c r="B294" s="41" t="s">
        <v>672</v>
      </c>
      <c r="C294" s="2">
        <v>3400</v>
      </c>
    </row>
    <row r="295" spans="1:3">
      <c r="A295" s="2">
        <v>3155</v>
      </c>
      <c r="B295" s="41" t="s">
        <v>922</v>
      </c>
      <c r="C295" s="2">
        <v>3400</v>
      </c>
    </row>
    <row r="296" spans="1:3">
      <c r="A296" s="2">
        <v>3157</v>
      </c>
      <c r="B296" s="41" t="s">
        <v>923</v>
      </c>
      <c r="C296" s="2">
        <v>3400</v>
      </c>
    </row>
    <row r="297" spans="1:3">
      <c r="A297" s="2">
        <v>3158</v>
      </c>
      <c r="B297" s="41" t="s">
        <v>924</v>
      </c>
      <c r="C297" s="2">
        <v>3400</v>
      </c>
    </row>
    <row r="298" spans="1:3">
      <c r="A298" s="2">
        <v>3160</v>
      </c>
      <c r="B298" s="41" t="s">
        <v>925</v>
      </c>
      <c r="C298" s="2">
        <v>3400</v>
      </c>
    </row>
    <row r="299" spans="1:3">
      <c r="A299" s="2">
        <v>7004</v>
      </c>
      <c r="B299" s="41" t="s">
        <v>724</v>
      </c>
      <c r="C299" s="2">
        <v>5660</v>
      </c>
    </row>
    <row r="300" spans="1:3">
      <c r="A300" s="2">
        <v>7005</v>
      </c>
      <c r="B300" s="41" t="s">
        <v>725</v>
      </c>
      <c r="C300" s="2">
        <v>5660</v>
      </c>
    </row>
    <row r="301" spans="1:3">
      <c r="A301" s="2">
        <v>8071</v>
      </c>
      <c r="B301" s="41" t="s">
        <v>926</v>
      </c>
      <c r="C301" s="2">
        <v>5420</v>
      </c>
    </row>
    <row r="302" spans="1:3">
      <c r="A302" s="2">
        <v>8328</v>
      </c>
      <c r="B302" s="41" t="s">
        <v>820</v>
      </c>
      <c r="C302" s="2">
        <v>5410</v>
      </c>
    </row>
    <row r="303" spans="1:3">
      <c r="A303" s="2">
        <v>10814</v>
      </c>
      <c r="B303" s="41" t="s">
        <v>630</v>
      </c>
      <c r="C303" s="2">
        <v>1650</v>
      </c>
    </row>
    <row r="304" spans="1:3">
      <c r="A304" s="2">
        <v>5011</v>
      </c>
      <c r="B304" s="41" t="s">
        <v>640</v>
      </c>
      <c r="C304" s="2">
        <v>2400</v>
      </c>
    </row>
    <row r="305" spans="1:3">
      <c r="A305" s="2">
        <v>3151</v>
      </c>
      <c r="B305" s="41" t="s">
        <v>670</v>
      </c>
      <c r="C305" s="2">
        <v>3400</v>
      </c>
    </row>
    <row r="306" spans="1:3">
      <c r="A306" s="2">
        <v>3167</v>
      </c>
      <c r="B306" s="41" t="s">
        <v>927</v>
      </c>
      <c r="C306" s="2">
        <v>3400</v>
      </c>
    </row>
    <row r="307" spans="1:3">
      <c r="A307" s="2">
        <v>3171</v>
      </c>
      <c r="B307" s="41" t="s">
        <v>928</v>
      </c>
      <c r="C307" s="2">
        <v>3400</v>
      </c>
    </row>
    <row r="308" spans="1:3">
      <c r="A308" s="2">
        <v>3172</v>
      </c>
      <c r="B308" s="41" t="s">
        <v>929</v>
      </c>
      <c r="C308" s="2">
        <v>3400</v>
      </c>
    </row>
    <row r="309" spans="1:3">
      <c r="A309" s="2">
        <v>3173</v>
      </c>
      <c r="B309" s="41" t="s">
        <v>930</v>
      </c>
      <c r="C309" s="2">
        <v>3400</v>
      </c>
    </row>
    <row r="310" spans="1:3">
      <c r="A310" s="2">
        <v>6016</v>
      </c>
      <c r="B310" s="41" t="s">
        <v>690</v>
      </c>
      <c r="C310" s="2">
        <v>4600</v>
      </c>
    </row>
    <row r="311" spans="1:3">
      <c r="A311" s="2">
        <v>1205</v>
      </c>
      <c r="B311" s="41" t="s">
        <v>931</v>
      </c>
      <c r="C311" s="2">
        <v>3400</v>
      </c>
    </row>
    <row r="312" spans="1:3">
      <c r="A312" s="2">
        <v>9992</v>
      </c>
      <c r="B312" s="41" t="s">
        <v>720</v>
      </c>
      <c r="C312" s="2">
        <v>5100</v>
      </c>
    </row>
    <row r="313" spans="1:3">
      <c r="A313" s="2">
        <v>8085</v>
      </c>
      <c r="B313" s="41" t="s">
        <v>748</v>
      </c>
      <c r="C313" s="2">
        <v>5620</v>
      </c>
    </row>
    <row r="314" spans="1:3">
      <c r="A314" s="2">
        <v>8079</v>
      </c>
      <c r="B314" s="41" t="s">
        <v>752</v>
      </c>
      <c r="C314" s="2">
        <v>5550</v>
      </c>
    </row>
    <row r="315" spans="1:3">
      <c r="A315" s="2">
        <v>8072</v>
      </c>
      <c r="B315" s="41" t="s">
        <v>770</v>
      </c>
      <c r="C315" s="2">
        <v>5420</v>
      </c>
    </row>
    <row r="316" spans="1:3">
      <c r="A316" s="2">
        <v>8073</v>
      </c>
      <c r="B316" s="41" t="s">
        <v>771</v>
      </c>
      <c r="C316" s="2">
        <v>5680</v>
      </c>
    </row>
    <row r="317" spans="1:3">
      <c r="A317" s="2">
        <v>8150</v>
      </c>
      <c r="B317" s="41" t="s">
        <v>784</v>
      </c>
      <c r="C317" s="2">
        <v>5500</v>
      </c>
    </row>
    <row r="318" spans="1:3">
      <c r="A318" s="2">
        <v>8151</v>
      </c>
      <c r="B318" s="41" t="s">
        <v>785</v>
      </c>
      <c r="C318" s="2">
        <v>5500</v>
      </c>
    </row>
    <row r="319" spans="1:3">
      <c r="A319" s="2">
        <v>8152</v>
      </c>
      <c r="B319" s="41" t="s">
        <v>786</v>
      </c>
      <c r="C319" s="2">
        <v>5500</v>
      </c>
    </row>
    <row r="320" spans="1:3">
      <c r="A320" s="2">
        <v>8153</v>
      </c>
      <c r="B320" s="41" t="s">
        <v>787</v>
      </c>
      <c r="C320" s="2">
        <v>5500</v>
      </c>
    </row>
    <row r="321" spans="1:3">
      <c r="A321" s="2">
        <v>8154</v>
      </c>
      <c r="B321" s="41" t="s">
        <v>788</v>
      </c>
      <c r="C321" s="2">
        <v>5500</v>
      </c>
    </row>
    <row r="322" spans="1:3">
      <c r="A322" s="2">
        <v>8155</v>
      </c>
      <c r="B322" s="41" t="s">
        <v>789</v>
      </c>
      <c r="C322" s="2">
        <v>5500</v>
      </c>
    </row>
    <row r="323" spans="1:3">
      <c r="A323" s="2">
        <v>10816</v>
      </c>
      <c r="B323" s="41" t="s">
        <v>355</v>
      </c>
      <c r="C323" s="2">
        <v>1400</v>
      </c>
    </row>
    <row r="324" spans="1:3">
      <c r="A324" s="2">
        <v>10815</v>
      </c>
      <c r="B324" s="41" t="s">
        <v>363</v>
      </c>
      <c r="C324" s="2">
        <v>1400</v>
      </c>
    </row>
    <row r="325" spans="1:3">
      <c r="A325" s="2">
        <v>6011</v>
      </c>
      <c r="B325" s="41" t="s">
        <v>646</v>
      </c>
      <c r="C325" s="2">
        <v>1600</v>
      </c>
    </row>
    <row r="326" spans="1:3">
      <c r="A326" s="2">
        <v>6708</v>
      </c>
      <c r="B326" s="41" t="s">
        <v>651</v>
      </c>
      <c r="C326" s="2">
        <v>3100</v>
      </c>
    </row>
    <row r="327" spans="1:3">
      <c r="A327" s="2">
        <v>6704</v>
      </c>
      <c r="B327" s="41" t="s">
        <v>655</v>
      </c>
      <c r="C327" s="2">
        <v>3110</v>
      </c>
    </row>
    <row r="328" spans="1:3">
      <c r="A328" s="2">
        <v>3031</v>
      </c>
      <c r="B328" s="41" t="s">
        <v>660</v>
      </c>
      <c r="C328" s="2">
        <v>3400</v>
      </c>
    </row>
    <row r="329" spans="1:3">
      <c r="A329" s="2">
        <v>3051</v>
      </c>
      <c r="B329" s="41" t="s">
        <v>662</v>
      </c>
      <c r="C329" s="2">
        <v>3400</v>
      </c>
    </row>
    <row r="330" spans="1:3">
      <c r="A330" s="2">
        <v>3174</v>
      </c>
      <c r="B330" s="41" t="s">
        <v>673</v>
      </c>
      <c r="C330" s="2">
        <v>3400</v>
      </c>
    </row>
    <row r="331" spans="1:3">
      <c r="A331" s="2">
        <v>3181</v>
      </c>
      <c r="B331" s="41" t="s">
        <v>932</v>
      </c>
      <c r="C331" s="2">
        <v>3400</v>
      </c>
    </row>
    <row r="332" spans="1:3">
      <c r="A332" s="2">
        <v>3182</v>
      </c>
      <c r="B332" s="41" t="s">
        <v>674</v>
      </c>
      <c r="C332" s="2">
        <v>3400</v>
      </c>
    </row>
    <row r="333" spans="1:3">
      <c r="A333" s="2">
        <v>3185</v>
      </c>
      <c r="B333" s="41" t="s">
        <v>675</v>
      </c>
      <c r="C333" s="2">
        <v>3400</v>
      </c>
    </row>
    <row r="334" spans="1:3">
      <c r="A334" s="2">
        <v>3186</v>
      </c>
      <c r="B334" s="41" t="s">
        <v>676</v>
      </c>
      <c r="C334" s="2">
        <v>3400</v>
      </c>
    </row>
    <row r="335" spans="1:3">
      <c r="A335" s="2">
        <v>3187</v>
      </c>
      <c r="B335" s="41" t="s">
        <v>677</v>
      </c>
      <c r="C335" s="2">
        <v>3400</v>
      </c>
    </row>
    <row r="336" spans="1:3">
      <c r="A336" s="2">
        <v>3190</v>
      </c>
      <c r="B336" s="41" t="s">
        <v>678</v>
      </c>
      <c r="C336" s="2">
        <v>3400</v>
      </c>
    </row>
    <row r="337" spans="1:3">
      <c r="A337" s="2">
        <v>5012</v>
      </c>
      <c r="B337" s="41" t="s">
        <v>685</v>
      </c>
      <c r="C337" s="2">
        <v>3600</v>
      </c>
    </row>
    <row r="338" spans="1:3">
      <c r="A338" s="2">
        <v>5013</v>
      </c>
      <c r="B338" s="41" t="s">
        <v>686</v>
      </c>
      <c r="C338" s="2">
        <v>3600</v>
      </c>
    </row>
    <row r="339" spans="1:3">
      <c r="A339" s="2">
        <v>8062</v>
      </c>
      <c r="B339" s="41" t="s">
        <v>738</v>
      </c>
      <c r="C339" s="2">
        <v>5505</v>
      </c>
    </row>
    <row r="340" spans="1:3">
      <c r="A340" s="2">
        <v>8074</v>
      </c>
      <c r="B340" s="41" t="s">
        <v>772</v>
      </c>
      <c r="C340" s="2">
        <v>5420</v>
      </c>
    </row>
    <row r="341" spans="1:3">
      <c r="A341" s="2">
        <v>8163</v>
      </c>
      <c r="B341" s="41" t="s">
        <v>792</v>
      </c>
      <c r="C341" s="2">
        <v>5660</v>
      </c>
    </row>
    <row r="342" spans="1:3">
      <c r="A342" s="2">
        <v>8456</v>
      </c>
      <c r="B342" s="41" t="s">
        <v>801</v>
      </c>
      <c r="C342" s="2">
        <v>5600</v>
      </c>
    </row>
    <row r="343" spans="1:3">
      <c r="A343" s="2">
        <v>8256</v>
      </c>
      <c r="B343" s="41" t="s">
        <v>808</v>
      </c>
      <c r="C343" s="2">
        <v>5400</v>
      </c>
    </row>
    <row r="344" spans="1:3">
      <c r="A344" s="2">
        <v>8357</v>
      </c>
      <c r="B344" s="41" t="s">
        <v>816</v>
      </c>
      <c r="C344" s="2">
        <v>5300</v>
      </c>
    </row>
    <row r="345" spans="1:3">
      <c r="A345" s="2">
        <v>8403</v>
      </c>
      <c r="B345" s="41" t="s">
        <v>824</v>
      </c>
      <c r="C345" s="2">
        <v>5550</v>
      </c>
    </row>
    <row r="346" spans="1:3">
      <c r="A346" s="2">
        <v>9005</v>
      </c>
      <c r="B346" s="41" t="s">
        <v>827</v>
      </c>
      <c r="C346" s="2">
        <v>5700</v>
      </c>
    </row>
    <row r="347" spans="1:3">
      <c r="A347" s="2">
        <v>3081</v>
      </c>
      <c r="B347" s="41" t="s">
        <v>666</v>
      </c>
      <c r="C347" s="2">
        <v>3400</v>
      </c>
    </row>
    <row r="348" spans="1:3">
      <c r="A348" s="2">
        <v>3203</v>
      </c>
      <c r="B348" s="41" t="s">
        <v>679</v>
      </c>
      <c r="C348" s="2">
        <v>3400</v>
      </c>
    </row>
    <row r="349" spans="1:3">
      <c r="A349" s="2">
        <v>3204</v>
      </c>
      <c r="B349" s="41" t="s">
        <v>680</v>
      </c>
      <c r="C349" s="2">
        <v>3400</v>
      </c>
    </row>
    <row r="350" spans="1:3">
      <c r="A350" s="2">
        <v>3205</v>
      </c>
      <c r="B350" s="41" t="s">
        <v>681</v>
      </c>
      <c r="C350" s="2">
        <v>3400</v>
      </c>
    </row>
    <row r="351" spans="1:3">
      <c r="A351" s="2">
        <v>8075</v>
      </c>
      <c r="B351" s="41" t="s">
        <v>773</v>
      </c>
      <c r="C351" s="2">
        <v>5680</v>
      </c>
    </row>
    <row r="352" spans="1:3">
      <c r="A352" s="2"/>
    </row>
  </sheetData>
  <autoFilter ref="A1:C270" xr:uid="{00000000-0009-0000-0000-00000A000000}">
    <sortState xmlns:xlrd2="http://schemas.microsoft.com/office/spreadsheetml/2017/richdata2" ref="A2:C465">
      <sortCondition ref="A1:A465"/>
    </sortState>
  </autoFilter>
  <sortState xmlns:xlrd2="http://schemas.microsoft.com/office/spreadsheetml/2017/richdata2" ref="A3:C274">
    <sortCondition ref="C1"/>
  </sortState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M1048504"/>
  <sheetViews>
    <sheetView zoomScaleNormal="100" workbookViewId="0">
      <selection activeCell="D3" sqref="D3"/>
    </sheetView>
  </sheetViews>
  <sheetFormatPr baseColWidth="10" defaultColWidth="8.85546875" defaultRowHeight="13"/>
  <cols>
    <col min="1" max="1" width="7.5703125" style="2" bestFit="1" customWidth="1"/>
    <col min="2" max="2" width="7.140625" style="2"/>
    <col min="3" max="3" width="24.42578125" style="2" bestFit="1" customWidth="1"/>
    <col min="4" max="4" width="10.140625" style="18" bestFit="1" customWidth="1"/>
    <col min="5" max="5" width="5.5703125" style="2" customWidth="1"/>
    <col min="6" max="6" width="21.85546875" style="2" bestFit="1" customWidth="1"/>
    <col min="7" max="7" width="41.140625" style="42" customWidth="1"/>
    <col min="8" max="8" width="12" style="42" customWidth="1"/>
    <col min="9" max="9" width="10.5703125" style="2" customWidth="1"/>
    <col min="10" max="10" width="7" style="2" bestFit="1" customWidth="1"/>
    <col min="11" max="11" width="39.5703125" style="2" bestFit="1" customWidth="1"/>
    <col min="12" max="13" width="11.85546875" style="2" bestFit="1" customWidth="1"/>
    <col min="14" max="16384" width="8.85546875" style="2"/>
  </cols>
  <sheetData>
    <row r="1" spans="1:13" s="79" customFormat="1" ht="15">
      <c r="A1" s="2" t="s">
        <v>850</v>
      </c>
      <c r="B1" s="265" t="s">
        <v>618</v>
      </c>
      <c r="C1" s="265" t="s">
        <v>933</v>
      </c>
      <c r="D1" s="274" t="s">
        <v>934</v>
      </c>
      <c r="E1" s="2"/>
      <c r="F1" s="66" t="s">
        <v>935</v>
      </c>
    </row>
    <row r="2" spans="1:13" ht="12.75" customHeight="1">
      <c r="A2" s="2">
        <f>VLOOKUP(B2,'codes US'!A:C,3,0)</f>
        <v>1500</v>
      </c>
      <c r="B2" s="265">
        <v>5002</v>
      </c>
      <c r="C2" s="265" t="s">
        <v>342</v>
      </c>
      <c r="D2" s="282">
        <v>48990.28</v>
      </c>
      <c r="E2" s="47"/>
      <c r="F2" s="50"/>
      <c r="G2" s="69"/>
      <c r="H2" s="47"/>
      <c r="M2" s="47"/>
    </row>
    <row r="3" spans="1:13" ht="12.75" customHeight="1">
      <c r="A3" s="2">
        <f>VLOOKUP(B3,'codes US'!A:C,3,0)</f>
        <v>3500</v>
      </c>
      <c r="B3" s="265">
        <v>5001</v>
      </c>
      <c r="C3" s="265" t="s">
        <v>936</v>
      </c>
      <c r="D3" s="282">
        <v>-2502.0300000000002</v>
      </c>
      <c r="E3" s="47"/>
      <c r="F3" s="50"/>
      <c r="G3" s="69"/>
      <c r="H3" s="47"/>
      <c r="L3" s="47"/>
      <c r="M3" s="47"/>
    </row>
    <row r="4" spans="1:13" ht="12.75" customHeight="1">
      <c r="A4" s="2">
        <f>VLOOKUP(B4,'codes US'!A:C,3,0)</f>
        <v>1500</v>
      </c>
      <c r="B4" s="265">
        <v>5003</v>
      </c>
      <c r="C4" s="265" t="s">
        <v>937</v>
      </c>
      <c r="D4" s="282">
        <v>18052</v>
      </c>
      <c r="E4" s="47"/>
      <c r="F4" s="18"/>
      <c r="G4" s="69"/>
      <c r="L4" s="47"/>
      <c r="M4" s="47"/>
    </row>
    <row r="5" spans="1:13" ht="12.75" customHeight="1">
      <c r="A5" s="2">
        <f>VLOOKUP(B5,'codes US'!A:C,3,0)</f>
        <v>5110</v>
      </c>
      <c r="B5" s="265">
        <v>9991</v>
      </c>
      <c r="C5" s="265" t="s">
        <v>938</v>
      </c>
      <c r="D5" s="282">
        <v>-1079.8499999999999</v>
      </c>
      <c r="E5" s="47"/>
      <c r="F5" s="50"/>
      <c r="G5" s="71"/>
      <c r="H5" s="47"/>
      <c r="L5" s="47"/>
      <c r="M5" s="47"/>
    </row>
    <row r="6" spans="1:13" ht="12.75" customHeight="1">
      <c r="A6" s="2">
        <f>VLOOKUP(B6,'codes US'!A:C,3,0)</f>
        <v>5200</v>
      </c>
      <c r="B6" s="265">
        <v>7003</v>
      </c>
      <c r="C6" s="265" t="s">
        <v>939</v>
      </c>
      <c r="D6" s="282">
        <v>-27000</v>
      </c>
      <c r="E6" s="47"/>
      <c r="F6" s="50"/>
      <c r="G6" s="69"/>
      <c r="H6" s="47"/>
      <c r="L6" s="47"/>
      <c r="M6" s="47"/>
    </row>
    <row r="7" spans="1:13" ht="12.75" customHeight="1">
      <c r="A7" s="2">
        <f>VLOOKUP(B7,'codes US'!A:C,3,0)</f>
        <v>5200</v>
      </c>
      <c r="B7" s="265">
        <v>40200</v>
      </c>
      <c r="C7" s="265" t="s">
        <v>435</v>
      </c>
      <c r="D7" s="282">
        <v>-37800</v>
      </c>
      <c r="E7" s="47"/>
      <c r="F7" s="50"/>
      <c r="G7" s="69"/>
      <c r="H7" s="47"/>
      <c r="L7" s="47"/>
      <c r="M7" s="47"/>
    </row>
    <row r="8" spans="1:13" ht="12.75" customHeight="1">
      <c r="A8" s="2">
        <f>VLOOKUP(B8,'codes US'!A:C,3,0)</f>
        <v>5660</v>
      </c>
      <c r="B8" s="265">
        <v>8029</v>
      </c>
      <c r="C8" s="265" t="s">
        <v>940</v>
      </c>
      <c r="D8" s="282">
        <v>321</v>
      </c>
      <c r="E8" s="47"/>
      <c r="F8" s="50"/>
      <c r="G8" s="69"/>
      <c r="L8" s="47"/>
      <c r="M8" s="47"/>
    </row>
    <row r="9" spans="1:13" ht="12.75" customHeight="1">
      <c r="A9" s="2">
        <f>VLOOKUP(B9,'codes US'!A:C,3,0)</f>
        <v>5660</v>
      </c>
      <c r="B9" s="265">
        <v>6130</v>
      </c>
      <c r="C9" s="265" t="s">
        <v>941</v>
      </c>
      <c r="D9" s="282">
        <v>486.1</v>
      </c>
      <c r="E9" s="47"/>
      <c r="F9" s="50"/>
      <c r="G9" s="69"/>
      <c r="H9" s="2"/>
      <c r="L9" s="47"/>
      <c r="M9" s="47"/>
    </row>
    <row r="10" spans="1:13" ht="12.75" customHeight="1">
      <c r="A10" s="2">
        <f>VLOOKUP(B10,'codes US'!A:C,3,0)</f>
        <v>5660</v>
      </c>
      <c r="B10" s="265">
        <v>6131</v>
      </c>
      <c r="C10" s="265" t="s">
        <v>942</v>
      </c>
      <c r="D10" s="282">
        <v>472.5</v>
      </c>
      <c r="E10" s="47"/>
      <c r="F10" s="50"/>
      <c r="G10" s="69"/>
      <c r="L10" s="47"/>
      <c r="M10" s="47"/>
    </row>
    <row r="11" spans="1:13" ht="12.75" customHeight="1">
      <c r="A11" s="2">
        <f>VLOOKUP(B11,'codes US'!A:C,3,0)</f>
        <v>5700</v>
      </c>
      <c r="B11" s="265">
        <v>9006</v>
      </c>
      <c r="C11" s="265" t="s">
        <v>943</v>
      </c>
      <c r="D11" s="282">
        <v>60</v>
      </c>
      <c r="E11" s="47"/>
      <c r="F11" s="50"/>
      <c r="G11" s="69"/>
      <c r="H11" s="2"/>
      <c r="L11" s="47"/>
      <c r="M11" s="47"/>
    </row>
    <row r="12" spans="1:13" ht="12.75" customHeight="1">
      <c r="E12" s="47"/>
      <c r="F12" s="50"/>
      <c r="G12" s="69"/>
      <c r="L12" s="47"/>
      <c r="M12" s="47"/>
    </row>
    <row r="13" spans="1:13" ht="12.75" customHeight="1">
      <c r="E13" s="47"/>
      <c r="F13" s="50"/>
      <c r="G13" s="69"/>
      <c r="H13" s="2"/>
      <c r="L13" s="47"/>
      <c r="M13" s="47"/>
    </row>
    <row r="14" spans="1:13" ht="12.75" customHeight="1">
      <c r="E14" s="47"/>
      <c r="F14" s="50"/>
      <c r="G14" s="69"/>
      <c r="H14" s="47"/>
      <c r="L14" s="47"/>
      <c r="M14" s="47"/>
    </row>
    <row r="15" spans="1:13" ht="12.75" customHeight="1">
      <c r="E15" s="47"/>
      <c r="F15" s="50"/>
      <c r="G15" s="69"/>
      <c r="H15" s="2"/>
      <c r="L15" s="47"/>
      <c r="M15" s="47"/>
    </row>
    <row r="16" spans="1:13" ht="12.75" customHeight="1">
      <c r="E16" s="47"/>
      <c r="F16" s="50"/>
      <c r="G16" s="71"/>
      <c r="H16" s="47"/>
      <c r="L16" s="47"/>
      <c r="M16" s="47"/>
    </row>
    <row r="17" spans="5:13" ht="12.75" customHeight="1">
      <c r="E17" s="47"/>
      <c r="F17" s="50"/>
      <c r="G17" s="69"/>
      <c r="H17" s="47"/>
      <c r="L17" s="47"/>
      <c r="M17" s="47"/>
    </row>
    <row r="18" spans="5:13" ht="12.75" customHeight="1">
      <c r="E18" s="47"/>
      <c r="F18" s="50"/>
      <c r="G18" s="70"/>
      <c r="H18" s="47"/>
      <c r="M18" s="47"/>
    </row>
    <row r="19" spans="5:13" ht="12.75" customHeight="1">
      <c r="E19" s="47"/>
      <c r="F19" s="50"/>
      <c r="G19" s="51"/>
      <c r="H19" s="47"/>
      <c r="L19" s="47"/>
      <c r="M19" s="47"/>
    </row>
    <row r="20" spans="5:13" ht="12.75" customHeight="1">
      <c r="E20" s="47"/>
      <c r="F20" s="50"/>
      <c r="G20" s="69"/>
      <c r="H20" s="47"/>
      <c r="K20" s="47"/>
      <c r="M20" s="47"/>
    </row>
    <row r="21" spans="5:13" ht="12.75" customHeight="1">
      <c r="F21" s="50"/>
      <c r="G21" s="71"/>
      <c r="H21" s="47"/>
    </row>
    <row r="22" spans="5:13" ht="12.75" customHeight="1">
      <c r="E22" s="47"/>
      <c r="F22" s="50"/>
      <c r="G22" s="51"/>
      <c r="H22" s="47"/>
    </row>
    <row r="23" spans="5:13" ht="12.75" customHeight="1">
      <c r="E23" s="47"/>
      <c r="F23" s="50"/>
      <c r="G23" s="69"/>
      <c r="H23" s="47"/>
      <c r="L23" s="47"/>
      <c r="M23" s="47"/>
    </row>
    <row r="24" spans="5:13" ht="13.5" customHeight="1">
      <c r="E24" s="47"/>
      <c r="F24" s="50"/>
      <c r="G24" s="69"/>
      <c r="H24" s="2"/>
      <c r="L24" s="47"/>
      <c r="M24" s="47"/>
    </row>
    <row r="25" spans="5:13">
      <c r="E25" s="47"/>
      <c r="F25" s="50"/>
      <c r="G25" s="69"/>
      <c r="H25" s="2"/>
      <c r="L25" s="47"/>
      <c r="M25" s="47"/>
    </row>
    <row r="26" spans="5:13" ht="12.75" customHeight="1">
      <c r="E26" s="47"/>
      <c r="F26" s="50"/>
      <c r="G26" s="69"/>
      <c r="H26" s="2"/>
      <c r="L26" s="47"/>
      <c r="M26" s="47"/>
    </row>
    <row r="27" spans="5:13" ht="12.75" customHeight="1">
      <c r="E27" s="47"/>
      <c r="F27" s="50"/>
      <c r="G27" s="71"/>
      <c r="H27" s="47"/>
      <c r="M27" s="47"/>
    </row>
    <row r="28" spans="5:13" ht="12.75" customHeight="1">
      <c r="F28" s="50"/>
      <c r="G28" s="69"/>
      <c r="H28" s="47"/>
      <c r="L28" s="47"/>
      <c r="M28" s="47"/>
    </row>
    <row r="29" spans="5:13" ht="12.75" customHeight="1">
      <c r="E29" s="47"/>
      <c r="F29" s="50"/>
      <c r="G29" s="69"/>
      <c r="L29" s="47"/>
      <c r="M29" s="47"/>
    </row>
    <row r="30" spans="5:13" ht="12.75" customHeight="1">
      <c r="F30" s="50"/>
      <c r="G30" s="69"/>
      <c r="L30" s="47"/>
      <c r="M30" s="47"/>
    </row>
    <row r="31" spans="5:13">
      <c r="F31" s="50"/>
      <c r="G31" s="69"/>
      <c r="L31" s="47"/>
      <c r="M31" s="47"/>
    </row>
    <row r="32" spans="5:13">
      <c r="E32" s="47"/>
      <c r="F32" s="50"/>
      <c r="G32" s="69"/>
      <c r="H32" s="2"/>
    </row>
    <row r="33" spans="5:13" ht="12.75" customHeight="1">
      <c r="E33" s="47"/>
      <c r="F33" s="50"/>
    </row>
    <row r="34" spans="5:13" ht="12.75" customHeight="1">
      <c r="E34" s="47"/>
      <c r="F34" s="50"/>
      <c r="G34" s="69"/>
      <c r="H34" s="2"/>
      <c r="L34" s="47"/>
      <c r="M34" s="47"/>
    </row>
    <row r="35" spans="5:13" ht="12.75" customHeight="1">
      <c r="F35" s="50"/>
      <c r="G35" s="69"/>
      <c r="H35" s="47"/>
      <c r="L35" s="47"/>
      <c r="M35" s="47"/>
    </row>
    <row r="36" spans="5:13" ht="12.75" customHeight="1">
      <c r="F36" s="50"/>
      <c r="G36" s="69"/>
      <c r="H36" s="47"/>
      <c r="L36" s="47"/>
      <c r="M36" s="47"/>
    </row>
    <row r="37" spans="5:13" ht="12.75" customHeight="1">
      <c r="E37" s="47"/>
      <c r="F37" s="50"/>
      <c r="G37" s="69"/>
      <c r="L37" s="47"/>
      <c r="M37" s="47"/>
    </row>
    <row r="38" spans="5:13" ht="12.75" customHeight="1">
      <c r="E38" s="47"/>
      <c r="F38" s="50"/>
      <c r="G38" s="69"/>
      <c r="L38" s="47"/>
      <c r="M38" s="47"/>
    </row>
    <row r="39" spans="5:13" ht="12.75" customHeight="1">
      <c r="E39" s="47"/>
      <c r="F39" s="50"/>
      <c r="G39" s="69"/>
      <c r="H39" s="2"/>
      <c r="L39" s="47"/>
      <c r="M39" s="47"/>
    </row>
    <row r="40" spans="5:13" ht="12.75" customHeight="1">
      <c r="E40" s="47"/>
      <c r="F40" s="50"/>
      <c r="G40" s="69"/>
      <c r="H40" s="47"/>
      <c r="L40" s="47"/>
      <c r="M40" s="47"/>
    </row>
    <row r="41" spans="5:13" ht="12.75" customHeight="1">
      <c r="E41" s="47"/>
      <c r="F41" s="50"/>
      <c r="L41" s="47"/>
      <c r="M41" s="47"/>
    </row>
    <row r="42" spans="5:13" ht="12.75" customHeight="1">
      <c r="E42" s="47"/>
      <c r="F42" s="50"/>
      <c r="L42" s="47"/>
      <c r="M42" s="47"/>
    </row>
    <row r="43" spans="5:13" ht="12.75" customHeight="1">
      <c r="E43" s="47"/>
      <c r="F43" s="50"/>
      <c r="G43" s="71"/>
      <c r="L43" s="47"/>
      <c r="M43" s="47"/>
    </row>
    <row r="44" spans="5:13" ht="12.75" customHeight="1">
      <c r="E44" s="47"/>
      <c r="F44" s="50"/>
      <c r="L44" s="47"/>
      <c r="M44" s="47"/>
    </row>
    <row r="45" spans="5:13" ht="12.75" customHeight="1">
      <c r="E45" s="47"/>
      <c r="F45" s="50"/>
      <c r="G45" s="69"/>
      <c r="H45" s="47"/>
      <c r="L45" s="47"/>
      <c r="M45" s="47"/>
    </row>
    <row r="46" spans="5:13">
      <c r="E46" s="47"/>
      <c r="F46" s="50"/>
      <c r="G46" s="69"/>
      <c r="H46" s="47"/>
      <c r="L46" s="47"/>
      <c r="M46" s="47"/>
    </row>
    <row r="47" spans="5:13">
      <c r="E47" s="47"/>
      <c r="F47" s="50"/>
      <c r="G47" s="69"/>
      <c r="L47" s="47"/>
      <c r="M47" s="47"/>
    </row>
    <row r="48" spans="5:13">
      <c r="E48" s="47"/>
      <c r="F48" s="50"/>
      <c r="H48" s="47"/>
      <c r="L48" s="47"/>
      <c r="M48" s="47"/>
    </row>
    <row r="49" spans="5:13">
      <c r="E49" s="47"/>
      <c r="F49" s="50"/>
      <c r="G49" s="69"/>
      <c r="H49" s="47"/>
      <c r="L49" s="47"/>
      <c r="M49" s="47"/>
    </row>
    <row r="50" spans="5:13">
      <c r="E50" s="47"/>
      <c r="F50" s="50"/>
      <c r="G50" s="69"/>
      <c r="H50" s="47"/>
      <c r="L50" s="47"/>
      <c r="M50" s="47"/>
    </row>
    <row r="51" spans="5:13">
      <c r="E51" s="47"/>
      <c r="F51" s="50"/>
      <c r="G51" s="68"/>
      <c r="H51" s="47"/>
      <c r="L51" s="47"/>
      <c r="M51" s="47"/>
    </row>
    <row r="52" spans="5:13">
      <c r="E52" s="47"/>
      <c r="F52" s="50"/>
      <c r="G52" s="69"/>
      <c r="H52" s="2"/>
      <c r="L52" s="47"/>
      <c r="M52" s="47"/>
    </row>
    <row r="53" spans="5:13">
      <c r="E53" s="47"/>
      <c r="F53" s="50"/>
      <c r="G53" s="69"/>
      <c r="H53" s="2"/>
      <c r="L53" s="47"/>
      <c r="M53" s="47"/>
    </row>
    <row r="54" spans="5:13">
      <c r="E54" s="47"/>
      <c r="F54" s="50"/>
      <c r="G54" s="69"/>
      <c r="H54" s="2"/>
      <c r="L54" s="47"/>
      <c r="M54" s="47"/>
    </row>
    <row r="55" spans="5:13">
      <c r="E55" s="47"/>
      <c r="F55" s="50"/>
      <c r="G55" s="69"/>
      <c r="H55" s="47"/>
      <c r="K55" s="47"/>
      <c r="L55" s="47"/>
      <c r="M55" s="47"/>
    </row>
    <row r="56" spans="5:13">
      <c r="E56" s="47"/>
      <c r="F56" s="50"/>
      <c r="G56" s="71"/>
      <c r="H56" s="47"/>
      <c r="L56" s="47"/>
      <c r="M56" s="47"/>
    </row>
    <row r="57" spans="5:13">
      <c r="E57" s="47"/>
      <c r="F57" s="50"/>
      <c r="G57" s="71"/>
      <c r="H57" s="47"/>
      <c r="L57" s="47"/>
      <c r="M57" s="47"/>
    </row>
    <row r="58" spans="5:13">
      <c r="E58" s="47"/>
      <c r="F58" s="50"/>
      <c r="G58" s="71"/>
      <c r="H58" s="47"/>
      <c r="L58" s="47"/>
      <c r="M58" s="47"/>
    </row>
    <row r="59" spans="5:13">
      <c r="E59" s="47"/>
      <c r="F59" s="50"/>
      <c r="G59" s="69"/>
      <c r="H59" s="47"/>
      <c r="L59" s="47"/>
      <c r="M59" s="47"/>
    </row>
    <row r="60" spans="5:13">
      <c r="E60" s="47"/>
      <c r="F60" s="50"/>
      <c r="G60" s="68"/>
      <c r="H60" s="2"/>
      <c r="L60" s="47"/>
      <c r="M60" s="47"/>
    </row>
    <row r="61" spans="5:13">
      <c r="E61" s="47"/>
      <c r="F61" s="50"/>
      <c r="G61" s="68"/>
      <c r="H61" s="47"/>
      <c r="L61" s="47"/>
      <c r="M61" s="47"/>
    </row>
    <row r="62" spans="5:13">
      <c r="E62" s="47"/>
      <c r="F62" s="50"/>
      <c r="G62" s="68"/>
      <c r="H62" s="47"/>
      <c r="I62" s="47"/>
      <c r="L62" s="47"/>
      <c r="M62" s="47"/>
    </row>
    <row r="63" spans="5:13">
      <c r="E63" s="47"/>
      <c r="F63" s="50"/>
      <c r="G63" s="68"/>
      <c r="H63" s="2"/>
      <c r="L63" s="47"/>
      <c r="M63" s="47"/>
    </row>
    <row r="64" spans="5:13">
      <c r="E64" s="47"/>
      <c r="F64" s="50"/>
      <c r="G64" s="68"/>
      <c r="H64" s="2"/>
      <c r="L64" s="47"/>
      <c r="M64" s="47"/>
    </row>
    <row r="65" spans="5:13">
      <c r="E65" s="47"/>
      <c r="F65" s="50"/>
      <c r="G65" s="68"/>
      <c r="H65" s="2"/>
      <c r="L65" s="47"/>
      <c r="M65" s="47"/>
    </row>
    <row r="66" spans="5:13">
      <c r="E66" s="47"/>
      <c r="F66" s="50"/>
      <c r="G66" s="69"/>
      <c r="H66" s="2"/>
      <c r="M66" s="47"/>
    </row>
    <row r="67" spans="5:13">
      <c r="E67" s="47"/>
      <c r="F67" s="50"/>
      <c r="G67" s="71"/>
      <c r="H67" s="2"/>
      <c r="L67" s="47"/>
      <c r="M67" s="47"/>
    </row>
    <row r="68" spans="5:13">
      <c r="E68" s="47"/>
      <c r="F68" s="50"/>
      <c r="G68" s="69"/>
      <c r="H68" s="2"/>
      <c r="L68" s="47"/>
      <c r="M68" s="47"/>
    </row>
    <row r="69" spans="5:13">
      <c r="E69" s="47"/>
      <c r="L69" s="47"/>
      <c r="M69" s="47"/>
    </row>
    <row r="70" spans="5:13">
      <c r="E70" s="47"/>
      <c r="M70" s="47"/>
    </row>
    <row r="71" spans="5:13">
      <c r="E71" s="47"/>
    </row>
    <row r="72" spans="5:13">
      <c r="E72" s="47"/>
      <c r="L72" s="47"/>
      <c r="M72" s="47"/>
    </row>
    <row r="73" spans="5:13">
      <c r="E73" s="47"/>
      <c r="L73" s="47"/>
      <c r="M73" s="47"/>
    </row>
    <row r="74" spans="5:13">
      <c r="E74" s="47"/>
      <c r="G74" s="123"/>
      <c r="L74" s="47"/>
      <c r="M74" s="47"/>
    </row>
    <row r="75" spans="5:13">
      <c r="E75" s="47"/>
    </row>
    <row r="76" spans="5:13">
      <c r="E76" s="47"/>
      <c r="L76" s="47"/>
      <c r="M76" s="47"/>
    </row>
    <row r="77" spans="5:13">
      <c r="E77" s="47"/>
      <c r="L77" s="47"/>
      <c r="M77" s="47"/>
    </row>
    <row r="78" spans="5:13">
      <c r="E78" s="47"/>
      <c r="L78" s="47"/>
      <c r="M78" s="47"/>
    </row>
    <row r="79" spans="5:13">
      <c r="E79" s="47"/>
    </row>
    <row r="80" spans="5:13">
      <c r="E80" s="47"/>
      <c r="L80" s="47"/>
      <c r="M80" s="47"/>
    </row>
    <row r="81" spans="5:13">
      <c r="E81" s="47"/>
      <c r="L81" s="47"/>
      <c r="M81" s="47"/>
    </row>
    <row r="82" spans="5:13">
      <c r="E82" s="47"/>
      <c r="F82" s="50"/>
      <c r="L82" s="47"/>
      <c r="M82" s="47"/>
    </row>
    <row r="83" spans="5:13">
      <c r="E83" s="47"/>
      <c r="L83" s="47"/>
      <c r="M83" s="47"/>
    </row>
    <row r="84" spans="5:13">
      <c r="E84" s="47"/>
      <c r="L84" s="47"/>
      <c r="M84" s="47"/>
    </row>
    <row r="85" spans="5:13">
      <c r="E85" s="47"/>
      <c r="M85" s="47"/>
    </row>
    <row r="86" spans="5:13">
      <c r="E86" s="47"/>
      <c r="M86" s="47"/>
    </row>
    <row r="87" spans="5:13">
      <c r="E87" s="47"/>
      <c r="L87" s="47"/>
      <c r="M87" s="47"/>
    </row>
    <row r="88" spans="5:13">
      <c r="E88" s="47"/>
      <c r="M88" s="47"/>
    </row>
    <row r="89" spans="5:13">
      <c r="E89" s="47"/>
      <c r="L89" s="47"/>
      <c r="M89" s="47"/>
    </row>
    <row r="90" spans="5:13">
      <c r="E90" s="47"/>
      <c r="I90" s="18"/>
      <c r="L90" s="47"/>
      <c r="M90" s="47"/>
    </row>
    <row r="91" spans="5:13">
      <c r="E91" s="47"/>
      <c r="L91" s="47"/>
      <c r="M91" s="47"/>
    </row>
    <row r="92" spans="5:13">
      <c r="E92" s="47"/>
      <c r="L92" s="47"/>
      <c r="M92" s="47"/>
    </row>
    <row r="93" spans="5:13">
      <c r="E93" s="47"/>
      <c r="L93" s="47"/>
      <c r="M93" s="47"/>
    </row>
    <row r="94" spans="5:13">
      <c r="E94" s="47"/>
      <c r="M94" s="47"/>
    </row>
    <row r="95" spans="5:13">
      <c r="E95" s="47"/>
      <c r="L95" s="47"/>
      <c r="M95" s="47"/>
    </row>
    <row r="96" spans="5:13">
      <c r="E96" s="47"/>
      <c r="L96" s="47"/>
      <c r="M96" s="47"/>
    </row>
    <row r="97" spans="5:13">
      <c r="E97" s="47"/>
      <c r="M97" s="47"/>
    </row>
    <row r="98" spans="5:13">
      <c r="L98" s="47"/>
      <c r="M98" s="47"/>
    </row>
    <row r="99" spans="5:13">
      <c r="E99" s="47"/>
    </row>
    <row r="101" spans="5:13">
      <c r="E101" s="47"/>
      <c r="L101" s="47"/>
      <c r="M101" s="47"/>
    </row>
    <row r="102" spans="5:13">
      <c r="E102" s="47"/>
    </row>
    <row r="103" spans="5:13">
      <c r="E103" s="47"/>
      <c r="L103" s="47"/>
      <c r="M103" s="47"/>
    </row>
    <row r="104" spans="5:13">
      <c r="E104" s="47"/>
      <c r="L104" s="47"/>
      <c r="M104" s="47"/>
    </row>
    <row r="105" spans="5:13">
      <c r="E105" s="47"/>
      <c r="L105" s="47"/>
      <c r="M105" s="47"/>
    </row>
    <row r="106" spans="5:13">
      <c r="E106" s="47"/>
      <c r="M106" s="47"/>
    </row>
    <row r="107" spans="5:13">
      <c r="E107" s="47"/>
      <c r="L107" s="47"/>
      <c r="M107" s="47"/>
    </row>
    <row r="108" spans="5:13">
      <c r="E108" s="47"/>
      <c r="L108" s="47"/>
      <c r="M108" s="47"/>
    </row>
    <row r="109" spans="5:13">
      <c r="E109" s="47"/>
      <c r="L109" s="47"/>
      <c r="M109" s="47"/>
    </row>
    <row r="110" spans="5:13">
      <c r="E110" s="47"/>
      <c r="L110" s="47"/>
      <c r="M110" s="47"/>
    </row>
    <row r="111" spans="5:13">
      <c r="E111" s="47"/>
      <c r="F111" s="18"/>
      <c r="G111" s="18"/>
      <c r="H111" s="18"/>
      <c r="M111" s="47"/>
    </row>
    <row r="112" spans="5:13">
      <c r="E112" s="47"/>
    </row>
    <row r="113" spans="5:13">
      <c r="E113" s="47"/>
      <c r="L113" s="47"/>
      <c r="M113" s="47"/>
    </row>
    <row r="114" spans="5:13">
      <c r="E114" s="47"/>
    </row>
    <row r="115" spans="5:13">
      <c r="E115" s="47"/>
      <c r="M115" s="47"/>
    </row>
    <row r="116" spans="5:13">
      <c r="E116" s="47"/>
    </row>
    <row r="117" spans="5:13">
      <c r="E117" s="47"/>
    </row>
    <row r="118" spans="5:13">
      <c r="E118" s="47"/>
    </row>
    <row r="119" spans="5:13">
      <c r="E119" s="47"/>
    </row>
    <row r="120" spans="5:13">
      <c r="E120" s="47"/>
    </row>
    <row r="121" spans="5:13">
      <c r="E121" s="47"/>
      <c r="F121" s="50"/>
    </row>
    <row r="122" spans="5:13">
      <c r="E122" s="47"/>
    </row>
    <row r="123" spans="5:13">
      <c r="E123" s="47"/>
      <c r="F123" s="50"/>
      <c r="I123" s="18"/>
    </row>
    <row r="124" spans="5:13">
      <c r="E124" s="47"/>
      <c r="F124" s="50"/>
      <c r="I124" s="18"/>
    </row>
    <row r="125" spans="5:13">
      <c r="E125" s="47"/>
      <c r="I125" s="18"/>
    </row>
    <row r="126" spans="5:13">
      <c r="E126" s="47"/>
      <c r="I126" s="18"/>
    </row>
    <row r="127" spans="5:13">
      <c r="E127" s="47"/>
    </row>
    <row r="128" spans="5:13">
      <c r="E128" s="47"/>
    </row>
    <row r="129" spans="1:6">
      <c r="E129" s="47"/>
    </row>
    <row r="130" spans="1:6">
      <c r="E130" s="47"/>
    </row>
    <row r="131" spans="1:6">
      <c r="E131" s="47"/>
    </row>
    <row r="132" spans="1:6">
      <c r="E132" s="47"/>
    </row>
    <row r="133" spans="1:6">
      <c r="E133" s="47"/>
    </row>
    <row r="134" spans="1:6">
      <c r="E134" s="47"/>
    </row>
    <row r="135" spans="1:6">
      <c r="E135" s="47"/>
    </row>
    <row r="136" spans="1:6">
      <c r="E136" s="47"/>
    </row>
    <row r="137" spans="1:6">
      <c r="E137" s="47"/>
    </row>
    <row r="139" spans="1:6">
      <c r="E139" s="47"/>
    </row>
    <row r="140" spans="1:6">
      <c r="E140" s="47"/>
    </row>
    <row r="141" spans="1:6">
      <c r="E141" s="47"/>
    </row>
    <row r="142" spans="1:6">
      <c r="E142" s="47"/>
    </row>
    <row r="143" spans="1:6">
      <c r="E143" s="47"/>
    </row>
    <row r="144" spans="1:6" s="42" customFormat="1">
      <c r="A144" s="2"/>
      <c r="B144" s="2"/>
      <c r="C144" s="2"/>
      <c r="D144" s="18"/>
      <c r="E144" s="47"/>
      <c r="F144" s="2"/>
    </row>
    <row r="145" spans="1:7" s="42" customFormat="1">
      <c r="A145" s="2"/>
      <c r="B145" s="2"/>
      <c r="C145" s="2"/>
      <c r="D145" s="18"/>
      <c r="E145" s="47"/>
      <c r="F145" s="2"/>
    </row>
    <row r="146" spans="1:7" s="42" customFormat="1">
      <c r="A146" s="2"/>
      <c r="B146" s="2"/>
      <c r="C146" s="2"/>
      <c r="D146" s="18"/>
      <c r="E146" s="47"/>
      <c r="F146" s="2"/>
    </row>
    <row r="147" spans="1:7" s="42" customFormat="1">
      <c r="A147" s="2"/>
      <c r="B147" s="2"/>
      <c r="C147" s="2"/>
      <c r="D147" s="18"/>
      <c r="E147" s="47"/>
      <c r="F147" s="2"/>
    </row>
    <row r="148" spans="1:7" s="42" customFormat="1">
      <c r="A148" s="2"/>
      <c r="B148" s="2"/>
      <c r="C148" s="2"/>
      <c r="D148" s="18"/>
      <c r="E148" s="47"/>
      <c r="F148" s="2"/>
      <c r="G148" s="69"/>
    </row>
    <row r="149" spans="1:7" s="42" customFormat="1">
      <c r="A149" s="2"/>
      <c r="B149" s="2"/>
      <c r="C149" s="2"/>
      <c r="D149" s="18"/>
      <c r="E149" s="2"/>
      <c r="F149" s="2"/>
    </row>
    <row r="150" spans="1:7" s="42" customFormat="1">
      <c r="A150" s="2"/>
      <c r="B150" s="2"/>
      <c r="C150" s="2"/>
      <c r="D150" s="18"/>
      <c r="E150" s="47"/>
      <c r="F150" s="2"/>
    </row>
    <row r="151" spans="1:7" s="42" customFormat="1">
      <c r="A151" s="2"/>
      <c r="B151" s="2"/>
      <c r="C151" s="2"/>
      <c r="D151" s="18"/>
      <c r="E151" s="47"/>
      <c r="F151" s="2"/>
    </row>
    <row r="152" spans="1:7" s="42" customFormat="1">
      <c r="A152" s="2"/>
      <c r="B152" s="2"/>
      <c r="C152" s="2"/>
      <c r="D152" s="18"/>
      <c r="E152" s="47"/>
      <c r="F152" s="2"/>
    </row>
    <row r="153" spans="1:7" s="42" customFormat="1">
      <c r="A153" s="2"/>
      <c r="B153" s="2"/>
      <c r="C153" s="2"/>
      <c r="D153" s="18"/>
      <c r="E153" s="2"/>
      <c r="F153" s="2"/>
    </row>
    <row r="154" spans="1:7" s="42" customFormat="1">
      <c r="A154" s="2"/>
      <c r="B154" s="2"/>
      <c r="C154" s="2"/>
      <c r="D154" s="18"/>
      <c r="E154" s="47"/>
      <c r="F154" s="2"/>
    </row>
    <row r="155" spans="1:7" s="42" customFormat="1">
      <c r="A155" s="2"/>
      <c r="B155" s="2"/>
      <c r="C155" s="2"/>
      <c r="D155" s="18"/>
      <c r="E155" s="47"/>
      <c r="F155" s="2"/>
    </row>
    <row r="156" spans="1:7" s="42" customFormat="1">
      <c r="A156" s="2"/>
      <c r="B156" s="2"/>
      <c r="C156" s="2"/>
      <c r="D156" s="18"/>
      <c r="E156" s="47"/>
      <c r="F156" s="2"/>
    </row>
    <row r="157" spans="1:7" s="42" customFormat="1">
      <c r="A157" s="2"/>
      <c r="B157" s="2"/>
      <c r="C157" s="2"/>
      <c r="D157" s="18"/>
      <c r="E157" s="47"/>
      <c r="F157" s="2"/>
    </row>
    <row r="158" spans="1:7" s="42" customFormat="1">
      <c r="A158" s="2"/>
      <c r="B158" s="2"/>
      <c r="C158" s="2"/>
      <c r="D158" s="18"/>
      <c r="E158" s="47"/>
      <c r="F158" s="2"/>
    </row>
    <row r="159" spans="1:7" s="42" customFormat="1">
      <c r="A159" s="2"/>
      <c r="B159" s="2"/>
      <c r="C159" s="2"/>
      <c r="D159" s="18"/>
      <c r="E159" s="47"/>
      <c r="F159" s="2"/>
    </row>
    <row r="160" spans="1:7">
      <c r="E160" s="47"/>
    </row>
    <row r="161" spans="5:5">
      <c r="E161" s="47"/>
    </row>
    <row r="162" spans="5:5">
      <c r="E162" s="47"/>
    </row>
    <row r="163" spans="5:5">
      <c r="E163" s="47"/>
    </row>
    <row r="164" spans="5:5">
      <c r="E164" s="47"/>
    </row>
    <row r="165" spans="5:5">
      <c r="E165" s="47"/>
    </row>
    <row r="166" spans="5:5">
      <c r="E166" s="47"/>
    </row>
    <row r="167" spans="5:5">
      <c r="E167" s="47"/>
    </row>
    <row r="168" spans="5:5">
      <c r="E168" s="47"/>
    </row>
    <row r="169" spans="5:5">
      <c r="E169" s="47"/>
    </row>
    <row r="170" spans="5:5">
      <c r="E170" s="47"/>
    </row>
    <row r="171" spans="5:5">
      <c r="E171" s="47"/>
    </row>
    <row r="172" spans="5:5">
      <c r="E172" s="47"/>
    </row>
    <row r="173" spans="5:5">
      <c r="E173" s="47"/>
    </row>
    <row r="174" spans="5:5">
      <c r="E174" s="47"/>
    </row>
    <row r="175" spans="5:5">
      <c r="E175" s="47"/>
    </row>
    <row r="177" spans="5:8">
      <c r="E177" s="47"/>
      <c r="F177" s="50"/>
      <c r="G177" s="69"/>
      <c r="H177" s="2"/>
    </row>
    <row r="178" spans="5:8">
      <c r="E178" s="47"/>
      <c r="F178" s="50"/>
      <c r="G178" s="69"/>
      <c r="H178" s="2"/>
    </row>
    <row r="1048504" spans="9:9">
      <c r="I1048504" s="79"/>
    </row>
  </sheetData>
  <autoFilter ref="A1:F19" xr:uid="{00000000-0009-0000-0000-00000B000000}"/>
  <pageMargins left="0.7" right="0.7" top="0.75" bottom="0.75" header="0.3" footer="0.3"/>
  <pageSetup paperSize="9" scale="97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M247"/>
  <sheetViews>
    <sheetView workbookViewId="0">
      <selection activeCell="E5" sqref="E5"/>
    </sheetView>
  </sheetViews>
  <sheetFormatPr baseColWidth="10" defaultColWidth="8.85546875" defaultRowHeight="13" outlineLevelCol="1"/>
  <cols>
    <col min="1" max="1" width="7.85546875" style="11" bestFit="1" customWidth="1"/>
    <col min="2" max="2" width="10.140625" style="20" customWidth="1"/>
    <col min="3" max="3" width="7.85546875" style="20" bestFit="1" customWidth="1"/>
    <col min="4" max="5" width="9.42578125" style="11" bestFit="1" customWidth="1" outlineLevel="1"/>
    <col min="6" max="6" width="31.85546875" style="21" bestFit="1" customWidth="1"/>
    <col min="7" max="7" width="33.140625" style="133" bestFit="1" customWidth="1"/>
    <col min="8" max="8" width="11.85546875" style="22" bestFit="1" customWidth="1"/>
    <col min="9" max="9" width="8.85546875" style="11"/>
    <col min="10" max="10" width="9.42578125" style="11" bestFit="1" customWidth="1"/>
    <col min="11" max="11" width="13.85546875" style="11" bestFit="1" customWidth="1"/>
    <col min="12" max="16384" width="8.85546875" style="11"/>
  </cols>
  <sheetData>
    <row r="1" spans="1:8">
      <c r="A1" s="73"/>
      <c r="B1" s="73"/>
      <c r="C1" s="73"/>
      <c r="D1" s="73"/>
      <c r="E1" s="73"/>
      <c r="F1" s="73"/>
      <c r="G1" s="73"/>
    </row>
    <row r="2" spans="1:8" s="1" customFormat="1" ht="28.5" customHeight="1">
      <c r="C2" s="58" t="s">
        <v>833</v>
      </c>
      <c r="D2" s="554" t="s">
        <v>15</v>
      </c>
      <c r="E2" s="554"/>
      <c r="F2" s="49"/>
      <c r="G2" s="154">
        <f>SUM(D:D)-SUM(E:E)</f>
        <v>0</v>
      </c>
      <c r="H2" s="23"/>
    </row>
    <row r="3" spans="1:8" s="1" customFormat="1" ht="14">
      <c r="A3" s="62" t="s">
        <v>944</v>
      </c>
      <c r="B3" s="57" t="s">
        <v>832</v>
      </c>
      <c r="C3" s="63" t="s">
        <v>836</v>
      </c>
      <c r="D3" s="62" t="s">
        <v>837</v>
      </c>
      <c r="E3" s="62" t="s">
        <v>838</v>
      </c>
      <c r="F3" s="64" t="s">
        <v>839</v>
      </c>
      <c r="G3" s="65" t="s">
        <v>840</v>
      </c>
      <c r="H3" s="23"/>
    </row>
    <row r="4" spans="1:8" ht="15.75" customHeight="1">
      <c r="A4" s="11">
        <v>1</v>
      </c>
      <c r="B4" s="20">
        <v>5551</v>
      </c>
      <c r="D4" s="426">
        <f>61840*1</f>
        <v>61840</v>
      </c>
      <c r="E4" s="426"/>
      <c r="F4" s="3" t="str">
        <f>IF(B4&gt;0,VLOOKUP(B4,'HARKAVA '!$A$1:$B$115,2,0)," ")</f>
        <v>Intercompany expenses</v>
      </c>
      <c r="G4" s="133" t="s">
        <v>128</v>
      </c>
    </row>
    <row r="5" spans="1:8" ht="15.75" customHeight="1">
      <c r="A5" s="11">
        <v>1</v>
      </c>
      <c r="B5" s="20">
        <v>3500</v>
      </c>
      <c r="C5" s="25"/>
      <c r="D5" s="426"/>
      <c r="E5" s="426">
        <f>D4</f>
        <v>61840</v>
      </c>
      <c r="F5" s="3" t="str">
        <f>IF(B5&gt;0,VLOOKUP(B5,'HARKAVA '!$A$1:$B$115,2,0)," ")</f>
        <v>consolidated company</v>
      </c>
      <c r="G5" s="11"/>
    </row>
    <row r="6" spans="1:8" ht="15.75" customHeight="1">
      <c r="C6" s="25"/>
      <c r="D6" s="22"/>
      <c r="E6" s="24"/>
      <c r="F6" s="3" t="str">
        <f>IF(B6&gt;0,VLOOKUP(B6,'HARKAVA '!$A$1:$B$115,2,0)," ")</f>
        <v xml:space="preserve"> </v>
      </c>
    </row>
    <row r="7" spans="1:8" ht="15.75" customHeight="1">
      <c r="A7" s="11">
        <v>2</v>
      </c>
      <c r="B7" s="20">
        <v>1450</v>
      </c>
      <c r="D7" s="18"/>
      <c r="E7" s="18"/>
      <c r="F7" s="21" t="str">
        <f>IF(B7&gt;0,VLOOKUP(B7,'HARKAVA '!$A$1:$B$115,2,0)," ")</f>
        <v>Income receivable</v>
      </c>
      <c r="G7" s="133" t="s">
        <v>945</v>
      </c>
    </row>
    <row r="8" spans="1:8" ht="15.75" customHeight="1">
      <c r="A8" s="11">
        <v>2</v>
      </c>
      <c r="B8" s="20">
        <v>3800</v>
      </c>
      <c r="D8" s="18"/>
      <c r="E8" s="18"/>
    </row>
    <row r="9" spans="1:8" ht="15.75" customHeight="1">
      <c r="A9" s="11">
        <v>2</v>
      </c>
      <c r="B9" s="20">
        <v>5200</v>
      </c>
      <c r="D9" s="18"/>
      <c r="E9" s="18"/>
      <c r="F9" s="21" t="str">
        <f>IF(B9&gt;0,VLOOKUP(B9,'HARKAVA '!$A$1:$B$115,2,0)," ")</f>
        <v>Sales</v>
      </c>
    </row>
    <row r="10" spans="1:8" ht="15.75" customHeight="1">
      <c r="C10" s="105"/>
      <c r="D10" s="22"/>
      <c r="E10" s="24"/>
    </row>
    <row r="11" spans="1:8">
      <c r="A11" s="11">
        <v>3</v>
      </c>
      <c r="B11" s="20">
        <v>5551</v>
      </c>
      <c r="D11" s="22"/>
      <c r="E11" s="22"/>
      <c r="F11" s="21" t="str">
        <f>IF(B11&gt;0,VLOOKUP(B11,'HARKAVA '!$A$1:$B$115,2,0)," ")</f>
        <v>Intercompany expenses</v>
      </c>
    </row>
    <row r="12" spans="1:8">
      <c r="A12" s="11">
        <v>3</v>
      </c>
      <c r="B12" s="20">
        <v>3500</v>
      </c>
      <c r="D12" s="22"/>
      <c r="E12" s="22"/>
      <c r="F12" s="21" t="str">
        <f>IF(B12&gt;0,VLOOKUP(B12,'HARKAVA '!$A$1:$B$115,2,0)," ")</f>
        <v>consolidated company</v>
      </c>
      <c r="G12" s="11"/>
    </row>
    <row r="13" spans="1:8" ht="15.75" customHeight="1">
      <c r="D13" s="22"/>
      <c r="E13" s="22"/>
      <c r="G13" s="21"/>
    </row>
    <row r="14" spans="1:8" ht="15.75" customHeight="1">
      <c r="B14" s="20">
        <v>5500</v>
      </c>
      <c r="D14" s="22"/>
      <c r="E14" s="22"/>
      <c r="F14" s="21" t="str">
        <f>IF(B14&gt;0,VLOOKUP(B14,'HARKAVA '!$A$1:$B$115,2,0)," ")</f>
        <v>S&amp;M Salaries and related expenses</v>
      </c>
      <c r="G14" s="21"/>
    </row>
    <row r="15" spans="1:8" ht="15.75" customHeight="1">
      <c r="B15" s="20">
        <v>5300</v>
      </c>
      <c r="D15" s="22"/>
      <c r="E15" s="22"/>
      <c r="F15" s="21" t="str">
        <f>IF(B15&gt;0,VLOOKUP(B15,'HARKAVA '!$A$1:$B$115,2,0)," ")</f>
        <v>Cost of goods sold:salaries and relatedexpenses</v>
      </c>
      <c r="G15" s="21"/>
    </row>
    <row r="16" spans="1:8" ht="15.75" customHeight="1">
      <c r="B16" s="20">
        <v>5600</v>
      </c>
      <c r="D16" s="24"/>
      <c r="E16" s="24"/>
      <c r="F16" s="21" t="str">
        <f>IF(B16&gt;0,VLOOKUP(B16,'HARKAVA '!$A$1:$B$115,2,0)," ")</f>
        <v>G&amp;A Salaries and related expenses</v>
      </c>
      <c r="G16" s="21"/>
    </row>
    <row r="17" spans="1:13" ht="15.75" customHeight="1">
      <c r="B17" s="20">
        <v>3600</v>
      </c>
      <c r="D17" s="24"/>
      <c r="E17" s="24"/>
      <c r="F17" s="21" t="str">
        <f>IF(B17&gt;0,VLOOKUP(B17,'HARKAVA '!$A$1:$B$115,2,0)," ")</f>
        <v>AP-employees and emp. Instit.</v>
      </c>
      <c r="G17" s="21"/>
    </row>
    <row r="18" spans="1:13" s="22" customFormat="1" ht="15.75" customHeight="1">
      <c r="A18" s="11"/>
      <c r="B18" s="20"/>
      <c r="C18" s="20"/>
      <c r="D18" s="24"/>
      <c r="E18" s="24"/>
      <c r="F18" s="21" t="str">
        <f>IF(B18&gt;0,VLOOKUP(B18,'HARKAVA '!$A$1:$B$115,2,0)," ")</f>
        <v xml:space="preserve"> </v>
      </c>
      <c r="G18" s="21"/>
      <c r="I18" s="11"/>
      <c r="J18" s="11"/>
      <c r="K18" s="11"/>
      <c r="L18" s="11"/>
      <c r="M18" s="11"/>
    </row>
    <row r="19" spans="1:13" s="22" customFormat="1" ht="15.75" customHeight="1">
      <c r="A19" s="11"/>
      <c r="B19" s="20"/>
      <c r="C19" s="20"/>
      <c r="D19" s="24"/>
      <c r="E19" s="24"/>
      <c r="F19" s="21" t="str">
        <f>IF(B19&gt;0,VLOOKUP(B19,'HARKAVA '!$A$1:$B$115,2,0)," ")</f>
        <v xml:space="preserve"> </v>
      </c>
      <c r="G19" s="133"/>
      <c r="I19" s="11"/>
      <c r="J19" s="11"/>
      <c r="K19" s="11"/>
      <c r="L19" s="11"/>
      <c r="M19" s="11"/>
    </row>
    <row r="20" spans="1:13" s="22" customFormat="1" ht="15.75" customHeight="1">
      <c r="A20" s="11"/>
      <c r="B20" s="20"/>
      <c r="C20" s="20"/>
      <c r="D20" s="11"/>
      <c r="E20" s="24"/>
      <c r="F20" s="21" t="str">
        <f>IF(B20&gt;0,VLOOKUP(B20,'HARKAVA '!$A$1:$B$115,2,0)," ")</f>
        <v xml:space="preserve"> </v>
      </c>
      <c r="G20" s="21"/>
      <c r="I20" s="11"/>
      <c r="J20" s="11"/>
      <c r="K20" s="11"/>
      <c r="L20" s="11"/>
      <c r="M20" s="11"/>
    </row>
    <row r="21" spans="1:13" s="22" customFormat="1" ht="15.75" customHeight="1">
      <c r="A21" s="11"/>
      <c r="B21" s="20"/>
      <c r="C21" s="20"/>
      <c r="D21" s="11"/>
      <c r="E21" s="24"/>
      <c r="F21" s="21" t="str">
        <f>IF(B21&gt;0,VLOOKUP(B21,'HARKAVA '!$A$1:$B$115,2,0)," ")</f>
        <v xml:space="preserve"> </v>
      </c>
      <c r="G21" s="21"/>
      <c r="I21" s="11"/>
      <c r="J21" s="11"/>
      <c r="K21" s="11"/>
      <c r="L21" s="11"/>
      <c r="M21" s="11"/>
    </row>
    <row r="22" spans="1:13" s="22" customFormat="1" ht="15.75" customHeight="1">
      <c r="A22" s="11"/>
      <c r="B22" s="20"/>
      <c r="C22" s="20"/>
      <c r="D22" s="11"/>
      <c r="E22" s="24"/>
      <c r="F22" s="21" t="str">
        <f>IF(B22&gt;0,VLOOKUP(B22,'HARKAVA '!$A$1:$B$115,2,0)," ")</f>
        <v xml:space="preserve"> </v>
      </c>
      <c r="G22" s="21"/>
      <c r="I22" s="11"/>
      <c r="J22" s="11"/>
      <c r="K22" s="11"/>
      <c r="L22" s="11"/>
      <c r="M22" s="11"/>
    </row>
    <row r="23" spans="1:13" s="22" customFormat="1" ht="15.75" customHeight="1">
      <c r="A23" s="11"/>
      <c r="B23" s="20"/>
      <c r="C23" s="20"/>
      <c r="D23" s="11"/>
      <c r="E23" s="24"/>
      <c r="F23" s="21" t="str">
        <f>IF(B23&gt;0,VLOOKUP(B23,'HARKAVA '!$A$1:$B$115,2,0)," ")</f>
        <v xml:space="preserve"> </v>
      </c>
      <c r="G23" s="21"/>
      <c r="I23" s="11"/>
      <c r="J23" s="11"/>
      <c r="K23" s="11"/>
      <c r="L23" s="11"/>
      <c r="M23" s="11"/>
    </row>
    <row r="24" spans="1:13" s="22" customFormat="1" ht="15.75" customHeight="1">
      <c r="A24" s="11"/>
      <c r="B24" s="20"/>
      <c r="C24" s="20"/>
      <c r="D24" s="11"/>
      <c r="E24" s="24"/>
      <c r="F24" s="21" t="str">
        <f>IF(B24&gt;0,VLOOKUP(B24,'HARKAVA '!$A$1:$B$115,2,0)," ")</f>
        <v xml:space="preserve"> </v>
      </c>
      <c r="G24" s="21"/>
      <c r="I24" s="11"/>
      <c r="J24" s="11"/>
      <c r="K24" s="11"/>
      <c r="L24" s="11"/>
      <c r="M24" s="11"/>
    </row>
    <row r="25" spans="1:13" s="22" customFormat="1" ht="15.75" customHeight="1">
      <c r="A25" s="11"/>
      <c r="B25" s="20"/>
      <c r="C25" s="20"/>
      <c r="D25" s="26"/>
      <c r="E25" s="24"/>
      <c r="F25" s="21" t="str">
        <f>IF(B25&gt;0,VLOOKUP(B25,'HARKAVA '!$A$1:$B$115,2,0)," ")</f>
        <v xml:space="preserve"> </v>
      </c>
      <c r="G25" s="21"/>
      <c r="I25" s="11"/>
      <c r="J25" s="11"/>
      <c r="K25" s="11"/>
      <c r="L25" s="11"/>
      <c r="M25" s="11"/>
    </row>
    <row r="26" spans="1:13" s="22" customFormat="1" ht="15.75" customHeight="1">
      <c r="A26" s="11"/>
      <c r="B26" s="20"/>
      <c r="C26" s="20"/>
      <c r="D26" s="11"/>
      <c r="E26" s="24"/>
      <c r="F26" s="21" t="str">
        <f>IF(B26&gt;0,VLOOKUP(B26,'HARKAVA '!$A$1:$B$115,2,0)," ")</f>
        <v xml:space="preserve"> </v>
      </c>
      <c r="G26" s="21"/>
      <c r="I26" s="11"/>
      <c r="J26" s="11"/>
      <c r="K26" s="11"/>
      <c r="L26" s="11"/>
      <c r="M26" s="11"/>
    </row>
    <row r="27" spans="1:13" s="22" customFormat="1" ht="15.75" customHeight="1">
      <c r="A27" s="11"/>
      <c r="B27" s="20"/>
      <c r="C27" s="20"/>
      <c r="D27" s="11"/>
      <c r="E27" s="11"/>
      <c r="F27" s="21" t="str">
        <f>IF(B27&gt;0,VLOOKUP(B27,'HARKAVA '!$A$1:$B$115,2,0)," ")</f>
        <v xml:space="preserve"> </v>
      </c>
      <c r="G27" s="133"/>
      <c r="I27" s="11"/>
      <c r="J27" s="11"/>
      <c r="K27" s="11"/>
      <c r="L27" s="11"/>
      <c r="M27" s="11"/>
    </row>
    <row r="28" spans="1:13" s="22" customFormat="1" ht="16.5" customHeight="1">
      <c r="A28" s="11"/>
      <c r="B28" s="20"/>
      <c r="C28" s="20"/>
      <c r="E28" s="11"/>
      <c r="F28" s="21" t="str">
        <f>IF(B28&gt;0,VLOOKUP(B28,'HARKAVA '!$A$1:$B$115,2,0)," ")</f>
        <v xml:space="preserve"> </v>
      </c>
      <c r="G28" s="21"/>
      <c r="I28" s="11"/>
      <c r="J28" s="11"/>
      <c r="K28" s="11"/>
      <c r="L28" s="11"/>
      <c r="M28" s="11"/>
    </row>
    <row r="29" spans="1:13" s="22" customFormat="1" ht="16.5" customHeight="1">
      <c r="A29" s="11"/>
      <c r="B29" s="20"/>
      <c r="C29" s="20"/>
      <c r="E29" s="11"/>
      <c r="F29" s="21" t="str">
        <f>IF(B29&gt;0,VLOOKUP(B29,'HARKAVA '!$A$1:$B$115,2,0)," ")</f>
        <v xml:space="preserve"> </v>
      </c>
      <c r="G29" s="21"/>
      <c r="I29" s="11"/>
      <c r="J29" s="11"/>
      <c r="K29" s="11"/>
      <c r="L29" s="11"/>
      <c r="M29" s="11"/>
    </row>
    <row r="30" spans="1:13" s="22" customFormat="1" ht="16.5" customHeight="1">
      <c r="A30" s="11"/>
      <c r="B30" s="20"/>
      <c r="C30" s="20"/>
      <c r="E30" s="11"/>
      <c r="F30" s="21" t="str">
        <f>IF(B30&gt;0,VLOOKUP(B30,'HARKAVA '!$A$1:$B$115,2,0)," ")</f>
        <v xml:space="preserve"> </v>
      </c>
      <c r="G30" s="21"/>
      <c r="I30" s="11"/>
      <c r="J30" s="11"/>
      <c r="K30" s="11"/>
      <c r="L30" s="11"/>
      <c r="M30" s="11"/>
    </row>
    <row r="31" spans="1:13" s="22" customFormat="1" ht="16.5" customHeight="1">
      <c r="A31" s="11"/>
      <c r="B31" s="20"/>
      <c r="C31" s="20"/>
      <c r="E31" s="11"/>
      <c r="F31" s="21" t="str">
        <f>IF(B31&gt;0,VLOOKUP(B31,'HARKAVA '!$A$1:$B$115,2,0)," ")</f>
        <v xml:space="preserve"> </v>
      </c>
      <c r="G31" s="21"/>
      <c r="I31" s="11"/>
      <c r="J31" s="11"/>
      <c r="K31" s="11"/>
      <c r="L31" s="11"/>
      <c r="M31" s="11"/>
    </row>
    <row r="32" spans="1:13" s="22" customFormat="1" ht="16.5" customHeight="1">
      <c r="A32" s="11"/>
      <c r="B32" s="20"/>
      <c r="C32" s="20"/>
      <c r="E32" s="11"/>
      <c r="F32" s="21"/>
      <c r="G32" s="21"/>
      <c r="I32" s="11"/>
      <c r="J32" s="11"/>
      <c r="K32" s="11"/>
      <c r="L32" s="11"/>
      <c r="M32" s="11"/>
    </row>
    <row r="33" spans="1:13" s="22" customFormat="1" ht="16.5" customHeight="1">
      <c r="A33" s="11"/>
      <c r="B33" s="20"/>
      <c r="C33" s="20"/>
      <c r="E33" s="11"/>
      <c r="F33" s="21"/>
      <c r="G33" s="21"/>
      <c r="I33" s="11"/>
      <c r="J33" s="11"/>
      <c r="K33" s="11"/>
      <c r="L33" s="11"/>
      <c r="M33" s="11"/>
    </row>
    <row r="34" spans="1:13" s="22" customFormat="1" ht="16.5" customHeight="1">
      <c r="A34" s="11"/>
      <c r="B34" s="20"/>
      <c r="C34" s="20"/>
      <c r="E34" s="11"/>
      <c r="F34" s="21"/>
      <c r="G34" s="21"/>
      <c r="I34" s="11"/>
      <c r="J34" s="11"/>
      <c r="K34" s="11"/>
      <c r="L34" s="11"/>
      <c r="M34" s="11"/>
    </row>
    <row r="35" spans="1:13" s="22" customFormat="1" ht="16.5" customHeight="1">
      <c r="A35" s="11"/>
      <c r="B35" s="20"/>
      <c r="C35" s="20"/>
      <c r="E35" s="11"/>
      <c r="F35" s="21"/>
      <c r="G35" s="21"/>
      <c r="I35" s="11"/>
      <c r="J35" s="11"/>
      <c r="K35" s="11"/>
      <c r="L35" s="11"/>
      <c r="M35" s="11"/>
    </row>
    <row r="36" spans="1:13" s="22" customFormat="1" ht="16.5" customHeight="1">
      <c r="A36" s="11"/>
      <c r="B36" s="20"/>
      <c r="C36" s="20"/>
      <c r="E36" s="11"/>
      <c r="F36" s="21"/>
      <c r="G36" s="21"/>
      <c r="I36" s="11"/>
      <c r="J36" s="11"/>
      <c r="K36" s="11"/>
      <c r="L36" s="11"/>
      <c r="M36" s="11"/>
    </row>
    <row r="37" spans="1:13" s="22" customFormat="1" ht="16.5" customHeight="1">
      <c r="A37" s="11"/>
      <c r="B37" s="20"/>
      <c r="C37" s="20"/>
      <c r="E37" s="11"/>
      <c r="F37" s="21"/>
      <c r="G37" s="21"/>
      <c r="I37" s="11"/>
      <c r="J37" s="11"/>
      <c r="K37" s="11"/>
      <c r="L37" s="11"/>
      <c r="M37" s="11"/>
    </row>
    <row r="38" spans="1:13" s="22" customFormat="1" ht="16.5" customHeight="1">
      <c r="A38" s="11"/>
      <c r="B38" s="20"/>
      <c r="C38" s="20"/>
      <c r="E38" s="11"/>
      <c r="F38" s="21"/>
      <c r="G38" s="21"/>
      <c r="I38" s="11"/>
      <c r="J38" s="11"/>
      <c r="K38" s="11"/>
      <c r="L38" s="11"/>
      <c r="M38" s="11"/>
    </row>
    <row r="39" spans="1:13" s="22" customFormat="1" ht="16.5" customHeight="1">
      <c r="A39" s="11"/>
      <c r="B39" s="20"/>
      <c r="C39" s="20"/>
      <c r="E39" s="11"/>
      <c r="F39" s="21"/>
      <c r="G39" s="21"/>
      <c r="I39" s="11"/>
      <c r="J39" s="11"/>
      <c r="K39" s="11"/>
      <c r="L39" s="11"/>
      <c r="M39" s="11"/>
    </row>
    <row r="40" spans="1:13" s="22" customFormat="1" ht="16.5" customHeight="1">
      <c r="A40" s="11"/>
      <c r="B40" s="20"/>
      <c r="C40" s="20"/>
      <c r="E40" s="11"/>
      <c r="F40" s="21"/>
      <c r="G40" s="21"/>
      <c r="I40" s="11"/>
      <c r="J40" s="11"/>
      <c r="K40" s="11"/>
      <c r="L40" s="11"/>
      <c r="M40" s="11"/>
    </row>
    <row r="41" spans="1:13" s="22" customFormat="1" ht="16.5" customHeight="1">
      <c r="A41" s="11"/>
      <c r="B41" s="20"/>
      <c r="C41" s="20"/>
      <c r="E41" s="11"/>
      <c r="F41" s="21"/>
      <c r="G41" s="21"/>
      <c r="I41" s="11"/>
      <c r="J41" s="11"/>
      <c r="K41" s="11"/>
      <c r="L41" s="11"/>
      <c r="M41" s="11"/>
    </row>
    <row r="42" spans="1:13" s="22" customFormat="1" ht="16.5" customHeight="1">
      <c r="A42" s="11"/>
      <c r="B42" s="20"/>
      <c r="C42" s="20"/>
      <c r="E42" s="11"/>
      <c r="F42" s="21"/>
      <c r="G42" s="21"/>
      <c r="I42" s="11"/>
      <c r="J42" s="11"/>
      <c r="K42" s="11"/>
      <c r="L42" s="11"/>
      <c r="M42" s="11"/>
    </row>
    <row r="43" spans="1:13" s="22" customFormat="1" ht="16.5" customHeight="1">
      <c r="A43" s="11"/>
      <c r="B43" s="20"/>
      <c r="C43" s="20"/>
      <c r="E43" s="11"/>
      <c r="F43" s="21"/>
      <c r="G43" s="21"/>
      <c r="I43" s="11"/>
      <c r="J43" s="11"/>
      <c r="K43" s="11"/>
      <c r="L43" s="11"/>
      <c r="M43" s="11"/>
    </row>
    <row r="44" spans="1:13" s="22" customFormat="1" ht="16.5" customHeight="1">
      <c r="A44" s="11"/>
      <c r="B44" s="20" t="e">
        <f>VLOOKUP(C44,'codes UK'!A:C,3,0)</f>
        <v>#N/A</v>
      </c>
      <c r="C44" s="20"/>
      <c r="E44" s="11"/>
      <c r="F44" s="21"/>
      <c r="G44" s="21"/>
      <c r="I44" s="11"/>
      <c r="J44" s="11"/>
      <c r="K44" s="11"/>
      <c r="L44" s="11"/>
      <c r="M44" s="11"/>
    </row>
    <row r="45" spans="1:13" s="22" customFormat="1" ht="16.5" customHeight="1">
      <c r="A45" s="11"/>
      <c r="B45" s="20" t="e">
        <f>VLOOKUP(C45,'codes UK'!A:C,3,0)</f>
        <v>#N/A</v>
      </c>
      <c r="C45" s="20"/>
      <c r="E45" s="11"/>
      <c r="F45" s="21"/>
      <c r="G45" s="21"/>
      <c r="I45" s="11"/>
      <c r="J45" s="11"/>
      <c r="K45" s="11"/>
      <c r="L45" s="11"/>
      <c r="M45" s="11"/>
    </row>
    <row r="46" spans="1:13" s="22" customFormat="1" ht="16.5" customHeight="1">
      <c r="A46" s="11"/>
      <c r="B46" s="20" t="e">
        <f>VLOOKUP(C46,'codes UK'!A:C,3,0)</f>
        <v>#N/A</v>
      </c>
      <c r="C46" s="20"/>
      <c r="E46" s="11"/>
      <c r="F46" s="21"/>
      <c r="G46" s="21"/>
      <c r="I46" s="11"/>
      <c r="J46" s="11"/>
      <c r="K46" s="11"/>
      <c r="L46" s="11"/>
      <c r="M46" s="11"/>
    </row>
    <row r="47" spans="1:13" s="22" customFormat="1" ht="16.5" customHeight="1">
      <c r="A47" s="11"/>
      <c r="B47" s="20" t="e">
        <f>VLOOKUP(C47,'codes UK'!A:C,3,0)</f>
        <v>#N/A</v>
      </c>
      <c r="C47" s="20"/>
      <c r="E47" s="11"/>
      <c r="F47" s="21"/>
      <c r="G47" s="21"/>
      <c r="I47" s="11"/>
      <c r="J47" s="11"/>
      <c r="K47" s="11"/>
      <c r="L47" s="11"/>
      <c r="M47" s="11"/>
    </row>
    <row r="48" spans="1:13" s="22" customFormat="1" ht="16.5" customHeight="1">
      <c r="A48" s="11"/>
      <c r="B48" s="20" t="e">
        <f>VLOOKUP(C48,'codes UK'!A:C,3,0)</f>
        <v>#N/A</v>
      </c>
      <c r="C48" s="20"/>
      <c r="E48" s="11"/>
      <c r="F48" s="21"/>
      <c r="G48" s="21"/>
      <c r="I48" s="11"/>
      <c r="J48" s="11"/>
      <c r="K48" s="11"/>
      <c r="L48" s="11"/>
      <c r="M48" s="11"/>
    </row>
    <row r="49" spans="1:13" s="22" customFormat="1" ht="16.5" customHeight="1">
      <c r="A49" s="11"/>
      <c r="B49" s="20" t="e">
        <f>VLOOKUP(C49,'codes UK'!A:C,3,0)</f>
        <v>#N/A</v>
      </c>
      <c r="C49" s="20"/>
      <c r="E49" s="11"/>
      <c r="F49" s="21"/>
      <c r="G49" s="21"/>
      <c r="I49" s="11"/>
      <c r="J49" s="11"/>
      <c r="K49" s="11"/>
      <c r="L49" s="11"/>
      <c r="M49" s="11"/>
    </row>
    <row r="50" spans="1:13" s="22" customFormat="1" ht="16.5" customHeight="1">
      <c r="A50" s="11"/>
      <c r="B50" s="20" t="e">
        <f>VLOOKUP(C50,'codes UK'!A:C,3,0)</f>
        <v>#N/A</v>
      </c>
      <c r="C50" s="20"/>
      <c r="E50" s="11"/>
      <c r="F50" s="21"/>
      <c r="G50" s="21"/>
      <c r="I50" s="11"/>
      <c r="J50" s="11"/>
      <c r="K50" s="11"/>
      <c r="L50" s="11"/>
      <c r="M50" s="11"/>
    </row>
    <row r="51" spans="1:13" s="22" customFormat="1" ht="16.5" customHeight="1">
      <c r="A51" s="11"/>
      <c r="B51" s="20" t="e">
        <f>VLOOKUP(C51,'codes UK'!A:C,3,0)</f>
        <v>#N/A</v>
      </c>
      <c r="C51" s="20"/>
      <c r="E51" s="27"/>
      <c r="F51" s="21"/>
      <c r="G51" s="21"/>
      <c r="I51" s="11"/>
      <c r="J51" s="11"/>
      <c r="K51" s="11"/>
      <c r="L51" s="11"/>
      <c r="M51" s="11"/>
    </row>
    <row r="52" spans="1:13" s="22" customFormat="1" ht="16.5" customHeight="1">
      <c r="A52" s="11"/>
      <c r="B52" s="20" t="e">
        <f>VLOOKUP(C52,'codes UK'!A:C,3,0)</f>
        <v>#N/A</v>
      </c>
      <c r="C52" s="20"/>
      <c r="E52" s="11"/>
      <c r="F52" s="21"/>
      <c r="G52" s="21"/>
      <c r="I52" s="11"/>
      <c r="J52" s="11"/>
      <c r="K52" s="11"/>
      <c r="L52" s="11"/>
      <c r="M52" s="11"/>
    </row>
    <row r="53" spans="1:13" s="22" customFormat="1" ht="16.5" customHeight="1">
      <c r="A53" s="11"/>
      <c r="B53" s="20" t="e">
        <f>VLOOKUP(C53,'codes UK'!A:C,3,0)</f>
        <v>#N/A</v>
      </c>
      <c r="C53" s="20"/>
      <c r="E53" s="11"/>
      <c r="F53" s="21"/>
      <c r="G53" s="21"/>
      <c r="I53" s="11"/>
      <c r="J53" s="11"/>
      <c r="K53" s="11"/>
      <c r="L53" s="11"/>
      <c r="M53" s="11"/>
    </row>
    <row r="54" spans="1:13" s="22" customFormat="1" ht="16.5" customHeight="1">
      <c r="A54" s="11"/>
      <c r="B54" s="20" t="e">
        <f>VLOOKUP(C54,'codes UK'!A:C,3,0)</f>
        <v>#N/A</v>
      </c>
      <c r="C54" s="20"/>
      <c r="E54" s="11"/>
      <c r="F54" s="21"/>
      <c r="G54" s="21"/>
      <c r="I54" s="11"/>
      <c r="J54" s="11"/>
      <c r="K54" s="11"/>
      <c r="L54" s="11"/>
      <c r="M54" s="11"/>
    </row>
    <row r="55" spans="1:13" s="22" customFormat="1" ht="16.5" customHeight="1">
      <c r="A55" s="11"/>
      <c r="B55" s="20" t="e">
        <f>VLOOKUP(C55,'codes UK'!A:C,3,0)</f>
        <v>#N/A</v>
      </c>
      <c r="C55" s="20"/>
      <c r="E55" s="11"/>
      <c r="F55" s="21"/>
      <c r="G55" s="21"/>
      <c r="I55" s="11"/>
      <c r="J55" s="11"/>
      <c r="K55" s="11"/>
      <c r="L55" s="11"/>
      <c r="M55" s="11"/>
    </row>
    <row r="56" spans="1:13" s="22" customFormat="1" ht="16.5" customHeight="1">
      <c r="A56" s="11"/>
      <c r="B56" s="20" t="e">
        <f>VLOOKUP(C56,'codes UK'!A:C,3,0)</f>
        <v>#N/A</v>
      </c>
      <c r="C56" s="20"/>
      <c r="E56" s="11"/>
      <c r="F56" s="21"/>
      <c r="G56" s="21"/>
      <c r="I56" s="11"/>
      <c r="J56" s="11"/>
      <c r="K56" s="11"/>
      <c r="L56" s="11"/>
      <c r="M56" s="11"/>
    </row>
    <row r="57" spans="1:13" s="22" customFormat="1" ht="16.5" customHeight="1">
      <c r="A57" s="11"/>
      <c r="B57" s="20" t="e">
        <f>VLOOKUP(C57,'codes UK'!A:C,3,0)</f>
        <v>#N/A</v>
      </c>
      <c r="C57" s="20"/>
      <c r="E57" s="11"/>
      <c r="F57" s="21"/>
      <c r="G57" s="21"/>
      <c r="I57" s="11"/>
      <c r="J57" s="11"/>
      <c r="K57" s="11"/>
      <c r="L57" s="11"/>
      <c r="M57" s="11"/>
    </row>
    <row r="58" spans="1:13" s="22" customFormat="1" ht="16.5" customHeight="1">
      <c r="A58" s="11"/>
      <c r="B58" s="20" t="e">
        <f>VLOOKUP(C58,'codes UK'!A:C,3,0)</f>
        <v>#N/A</v>
      </c>
      <c r="C58" s="20"/>
      <c r="E58" s="11"/>
      <c r="F58" s="21"/>
      <c r="G58" s="21"/>
      <c r="I58" s="11"/>
      <c r="J58" s="11"/>
      <c r="K58" s="11"/>
      <c r="L58" s="11"/>
      <c r="M58" s="11"/>
    </row>
    <row r="59" spans="1:13" s="22" customFormat="1" ht="16.5" customHeight="1">
      <c r="A59" s="11"/>
      <c r="B59" s="20" t="e">
        <f>VLOOKUP(C59,'codes UK'!A:C,3,0)</f>
        <v>#N/A</v>
      </c>
      <c r="C59" s="20"/>
      <c r="E59" s="11"/>
      <c r="F59" s="21"/>
      <c r="G59" s="21"/>
      <c r="I59" s="11"/>
      <c r="J59" s="11"/>
      <c r="K59" s="11"/>
      <c r="L59" s="11"/>
      <c r="M59" s="11"/>
    </row>
    <row r="60" spans="1:13" s="22" customFormat="1" ht="16.5" customHeight="1">
      <c r="A60" s="11"/>
      <c r="B60" s="20" t="e">
        <f>VLOOKUP(C60,'codes UK'!A:C,3,0)</f>
        <v>#N/A</v>
      </c>
      <c r="C60" s="20"/>
      <c r="E60" s="11"/>
      <c r="F60" s="21"/>
      <c r="G60" s="21"/>
      <c r="I60" s="11"/>
      <c r="J60" s="11"/>
      <c r="K60" s="11"/>
      <c r="L60" s="11"/>
      <c r="M60" s="11"/>
    </row>
    <row r="61" spans="1:13" s="22" customFormat="1" ht="16.5" customHeight="1">
      <c r="A61" s="11"/>
      <c r="B61" s="20" t="e">
        <f>VLOOKUP(C61,'codes UK'!A:C,3,0)</f>
        <v>#N/A</v>
      </c>
      <c r="C61" s="20"/>
      <c r="E61" s="11"/>
      <c r="F61" s="21"/>
      <c r="G61" s="21"/>
      <c r="I61" s="11"/>
      <c r="J61" s="11"/>
      <c r="K61" s="11"/>
      <c r="L61" s="11"/>
      <c r="M61" s="11"/>
    </row>
    <row r="62" spans="1:13" s="22" customFormat="1" ht="16.5" customHeight="1">
      <c r="A62" s="11"/>
      <c r="B62" s="20" t="e">
        <f>VLOOKUP(C62,'codes UK'!A:C,3,0)</f>
        <v>#N/A</v>
      </c>
      <c r="C62" s="20"/>
      <c r="E62" s="11"/>
      <c r="F62" s="21"/>
      <c r="G62" s="21"/>
      <c r="I62" s="11"/>
      <c r="J62" s="11"/>
      <c r="K62" s="11"/>
      <c r="L62" s="11"/>
      <c r="M62" s="11"/>
    </row>
    <row r="63" spans="1:13" s="22" customFormat="1" ht="16.5" customHeight="1">
      <c r="A63" s="11"/>
      <c r="B63" s="20" t="e">
        <f>VLOOKUP(C63,'codes UK'!A:C,3,0)</f>
        <v>#N/A</v>
      </c>
      <c r="C63" s="20"/>
      <c r="E63" s="11"/>
      <c r="F63" s="21"/>
      <c r="G63" s="21"/>
      <c r="I63" s="11"/>
      <c r="J63" s="11"/>
      <c r="K63" s="11"/>
      <c r="L63" s="11"/>
      <c r="M63" s="11"/>
    </row>
    <row r="64" spans="1:13" s="22" customFormat="1" ht="16.5" customHeight="1">
      <c r="A64" s="11"/>
      <c r="B64" s="20" t="e">
        <f>VLOOKUP(C64,'codes UK'!A:C,3,0)</f>
        <v>#N/A</v>
      </c>
      <c r="C64" s="20"/>
      <c r="E64" s="11"/>
      <c r="F64" s="21"/>
      <c r="G64" s="21"/>
      <c r="I64" s="11"/>
      <c r="J64" s="11"/>
      <c r="K64" s="11"/>
      <c r="L64" s="11"/>
      <c r="M64" s="11"/>
    </row>
    <row r="65" spans="1:13" s="22" customFormat="1" ht="16.5" customHeight="1">
      <c r="A65" s="11"/>
      <c r="B65" s="20" t="e">
        <f>VLOOKUP(C65,'codes UK'!A:C,3,0)</f>
        <v>#N/A</v>
      </c>
      <c r="C65" s="20"/>
      <c r="E65" s="11"/>
      <c r="F65" s="21"/>
      <c r="G65" s="21"/>
      <c r="I65" s="11"/>
      <c r="J65" s="11"/>
      <c r="K65" s="11"/>
      <c r="L65" s="11"/>
      <c r="M65" s="11"/>
    </row>
    <row r="66" spans="1:13" s="22" customFormat="1" ht="16.5" customHeight="1">
      <c r="A66" s="11"/>
      <c r="B66" s="20" t="e">
        <f>VLOOKUP(C66,'codes UK'!A:C,3,0)</f>
        <v>#N/A</v>
      </c>
      <c r="C66" s="20"/>
      <c r="E66" s="11"/>
      <c r="F66" s="21"/>
      <c r="G66" s="21"/>
      <c r="I66" s="11"/>
      <c r="J66" s="11"/>
      <c r="K66" s="11"/>
      <c r="L66" s="11"/>
      <c r="M66" s="11"/>
    </row>
    <row r="67" spans="1:13" s="22" customFormat="1" ht="16.5" customHeight="1">
      <c r="A67" s="11"/>
      <c r="B67" s="20" t="e">
        <f>VLOOKUP(C67,'codes UK'!A:C,3,0)</f>
        <v>#N/A</v>
      </c>
      <c r="C67" s="20"/>
      <c r="E67" s="11"/>
      <c r="F67" s="21"/>
      <c r="G67" s="21"/>
      <c r="I67" s="11"/>
      <c r="J67" s="11"/>
      <c r="K67" s="11"/>
      <c r="L67" s="11"/>
      <c r="M67" s="11"/>
    </row>
    <row r="68" spans="1:13" s="22" customFormat="1" ht="16.5" customHeight="1">
      <c r="A68" s="11"/>
      <c r="B68" s="20" t="e">
        <f>VLOOKUP(C68,'codes UK'!A:C,3,0)</f>
        <v>#N/A</v>
      </c>
      <c r="C68" s="20"/>
      <c r="E68" s="11"/>
      <c r="F68" s="21"/>
      <c r="G68" s="21"/>
      <c r="I68" s="11"/>
      <c r="J68" s="11"/>
      <c r="K68" s="11"/>
      <c r="L68" s="11"/>
      <c r="M68" s="11"/>
    </row>
    <row r="69" spans="1:13" s="22" customFormat="1" ht="16.5" customHeight="1">
      <c r="A69" s="11"/>
      <c r="B69" s="20" t="e">
        <f>VLOOKUP(C69,'codes UK'!A:C,3,0)</f>
        <v>#N/A</v>
      </c>
      <c r="C69" s="20"/>
      <c r="E69" s="11"/>
      <c r="F69" s="21"/>
      <c r="G69" s="21"/>
      <c r="I69" s="11"/>
      <c r="J69" s="11"/>
      <c r="K69" s="11"/>
      <c r="L69" s="11"/>
      <c r="M69" s="11"/>
    </row>
    <row r="70" spans="1:13" s="22" customFormat="1" ht="16.5" customHeight="1">
      <c r="A70" s="11"/>
      <c r="B70" s="20" t="e">
        <f>VLOOKUP(C70,'codes UK'!A:C,3,0)</f>
        <v>#N/A</v>
      </c>
      <c r="C70" s="20"/>
      <c r="E70" s="11"/>
      <c r="F70" s="21"/>
      <c r="G70" s="21"/>
      <c r="I70" s="11"/>
      <c r="J70" s="11"/>
      <c r="K70" s="11"/>
      <c r="L70" s="11"/>
      <c r="M70" s="11"/>
    </row>
    <row r="71" spans="1:13" s="22" customFormat="1" ht="16.5" customHeight="1">
      <c r="A71" s="11"/>
      <c r="B71" s="20" t="e">
        <f>VLOOKUP(C71,'codes UK'!A:C,3,0)</f>
        <v>#N/A</v>
      </c>
      <c r="C71" s="20"/>
      <c r="E71" s="11"/>
      <c r="F71" s="21"/>
      <c r="G71" s="21"/>
      <c r="I71" s="11"/>
      <c r="J71" s="11"/>
      <c r="K71" s="11"/>
      <c r="L71" s="11"/>
      <c r="M71" s="11"/>
    </row>
    <row r="72" spans="1:13" s="22" customFormat="1" ht="16.5" customHeight="1">
      <c r="A72" s="11"/>
      <c r="B72" s="20"/>
      <c r="C72" s="20"/>
      <c r="E72" s="11"/>
      <c r="F72" s="21"/>
      <c r="G72" s="21"/>
      <c r="I72" s="11"/>
      <c r="J72" s="11"/>
      <c r="K72" s="11"/>
      <c r="L72" s="11"/>
      <c r="M72" s="11"/>
    </row>
    <row r="73" spans="1:13" s="22" customFormat="1" ht="16.5" customHeight="1">
      <c r="A73" s="11"/>
      <c r="B73" s="20"/>
      <c r="C73" s="20"/>
      <c r="E73" s="11"/>
      <c r="F73" s="21"/>
      <c r="G73" s="21"/>
      <c r="I73" s="11"/>
      <c r="J73" s="11"/>
      <c r="K73" s="11"/>
      <c r="L73" s="11"/>
      <c r="M73" s="11"/>
    </row>
    <row r="74" spans="1:13" s="22" customFormat="1" ht="16.5" customHeight="1">
      <c r="A74" s="11"/>
      <c r="B74" s="20"/>
      <c r="C74" s="20"/>
      <c r="E74" s="11"/>
      <c r="F74" s="21"/>
      <c r="G74" s="21"/>
      <c r="I74" s="11"/>
      <c r="J74" s="11"/>
      <c r="K74" s="11"/>
      <c r="L74" s="11"/>
      <c r="M74" s="11"/>
    </row>
    <row r="75" spans="1:13" s="22" customFormat="1" ht="16.5" customHeight="1">
      <c r="A75" s="11"/>
      <c r="B75" s="20"/>
      <c r="C75" s="20"/>
      <c r="E75" s="11"/>
      <c r="F75" s="21"/>
      <c r="G75" s="21"/>
      <c r="I75" s="11"/>
      <c r="J75" s="11"/>
      <c r="K75" s="11"/>
      <c r="L75" s="11"/>
      <c r="M75" s="11"/>
    </row>
    <row r="76" spans="1:13" s="22" customFormat="1" ht="16.5" customHeight="1">
      <c r="A76" s="11"/>
      <c r="B76" s="20"/>
      <c r="C76" s="20"/>
      <c r="E76" s="11"/>
      <c r="F76" s="21"/>
      <c r="G76" s="21"/>
      <c r="I76" s="11"/>
      <c r="J76" s="11"/>
      <c r="K76" s="11"/>
      <c r="L76" s="11"/>
      <c r="M76" s="11"/>
    </row>
    <row r="77" spans="1:13" s="22" customFormat="1" ht="16.5" customHeight="1">
      <c r="A77" s="11"/>
      <c r="B77" s="20"/>
      <c r="C77" s="20"/>
      <c r="E77" s="11"/>
      <c r="F77" s="21"/>
      <c r="G77" s="21"/>
      <c r="I77" s="11"/>
      <c r="J77" s="11"/>
      <c r="K77" s="11"/>
      <c r="L77" s="11"/>
      <c r="M77" s="11"/>
    </row>
    <row r="78" spans="1:13" s="22" customFormat="1" ht="16.5" customHeight="1">
      <c r="A78" s="11"/>
      <c r="B78" s="20"/>
      <c r="C78" s="20"/>
      <c r="E78" s="11"/>
      <c r="F78" s="21"/>
      <c r="G78" s="21"/>
      <c r="I78" s="11"/>
      <c r="J78" s="11"/>
      <c r="K78" s="11"/>
      <c r="L78" s="11"/>
      <c r="M78" s="11"/>
    </row>
    <row r="79" spans="1:13" s="22" customFormat="1" ht="16.5" customHeight="1">
      <c r="A79" s="11"/>
      <c r="B79" s="20"/>
      <c r="C79" s="20"/>
      <c r="E79" s="11"/>
      <c r="F79" s="21"/>
      <c r="G79" s="21"/>
      <c r="I79" s="11"/>
      <c r="J79" s="11"/>
      <c r="K79" s="11"/>
      <c r="L79" s="11"/>
      <c r="M79" s="11"/>
    </row>
    <row r="80" spans="1:13" s="22" customFormat="1" ht="16.5" customHeight="1">
      <c r="A80" s="11"/>
      <c r="B80" s="20"/>
      <c r="C80" s="20"/>
      <c r="E80" s="11"/>
      <c r="F80" s="21"/>
      <c r="G80" s="21"/>
      <c r="I80" s="11"/>
      <c r="J80" s="11"/>
      <c r="K80" s="11"/>
      <c r="L80" s="11"/>
      <c r="M80" s="11"/>
    </row>
    <row r="81" spans="1:13" s="22" customFormat="1" ht="16.5" customHeight="1">
      <c r="A81" s="11"/>
      <c r="B81" s="20"/>
      <c r="C81" s="20"/>
      <c r="E81" s="11"/>
      <c r="F81" s="21"/>
      <c r="G81" s="21"/>
      <c r="I81" s="11"/>
      <c r="J81" s="11"/>
      <c r="K81" s="11"/>
      <c r="L81" s="11"/>
      <c r="M81" s="11"/>
    </row>
    <row r="82" spans="1:13" s="22" customFormat="1" ht="16.5" customHeight="1">
      <c r="A82" s="11"/>
      <c r="B82" s="20"/>
      <c r="C82" s="20"/>
      <c r="E82" s="11"/>
      <c r="F82" s="21"/>
      <c r="G82" s="21"/>
      <c r="I82" s="11"/>
      <c r="J82" s="11"/>
      <c r="K82" s="11"/>
      <c r="L82" s="11"/>
      <c r="M82" s="11"/>
    </row>
    <row r="83" spans="1:13" s="22" customFormat="1" ht="16.5" customHeight="1">
      <c r="A83" s="11"/>
      <c r="B83" s="20"/>
      <c r="C83" s="20"/>
      <c r="E83" s="11"/>
      <c r="F83" s="21"/>
      <c r="G83" s="21"/>
      <c r="I83" s="11"/>
      <c r="J83" s="11"/>
      <c r="K83" s="11"/>
      <c r="L83" s="11"/>
      <c r="M83" s="11"/>
    </row>
    <row r="84" spans="1:13" s="22" customFormat="1" ht="16.5" customHeight="1">
      <c r="A84" s="11"/>
      <c r="B84" s="20"/>
      <c r="C84" s="20"/>
      <c r="E84" s="11"/>
      <c r="F84" s="21"/>
      <c r="G84" s="21"/>
      <c r="I84" s="11"/>
      <c r="J84" s="11"/>
      <c r="K84" s="11"/>
      <c r="L84" s="11"/>
      <c r="M84" s="11"/>
    </row>
    <row r="85" spans="1:13" s="22" customFormat="1" ht="16.5" customHeight="1">
      <c r="A85" s="11"/>
      <c r="B85" s="20"/>
      <c r="C85" s="20"/>
      <c r="E85" s="11"/>
      <c r="F85" s="21"/>
      <c r="G85" s="21"/>
      <c r="I85" s="11"/>
      <c r="J85" s="11"/>
      <c r="K85" s="11"/>
      <c r="L85" s="11"/>
      <c r="M85" s="11"/>
    </row>
    <row r="86" spans="1:13" s="22" customFormat="1" ht="16.5" customHeight="1">
      <c r="A86" s="11"/>
      <c r="B86" s="20"/>
      <c r="C86" s="20"/>
      <c r="E86" s="11"/>
      <c r="F86" s="21"/>
      <c r="G86" s="21"/>
      <c r="I86" s="11"/>
      <c r="J86" s="11"/>
      <c r="K86" s="11"/>
      <c r="L86" s="11"/>
      <c r="M86" s="11"/>
    </row>
    <row r="87" spans="1:13" s="22" customFormat="1" ht="16.5" customHeight="1">
      <c r="A87" s="11"/>
      <c r="B87" s="20"/>
      <c r="C87" s="20"/>
      <c r="E87" s="11"/>
      <c r="F87" s="21"/>
      <c r="G87" s="21"/>
      <c r="I87" s="11"/>
      <c r="J87" s="11"/>
      <c r="K87" s="11"/>
      <c r="L87" s="11"/>
      <c r="M87" s="11"/>
    </row>
    <row r="88" spans="1:13" s="22" customFormat="1" ht="16.5" customHeight="1">
      <c r="A88" s="11"/>
      <c r="B88" s="20"/>
      <c r="C88" s="20"/>
      <c r="E88" s="11"/>
      <c r="F88" s="21"/>
      <c r="G88" s="21"/>
      <c r="I88" s="11"/>
      <c r="J88" s="11"/>
      <c r="K88" s="11"/>
      <c r="L88" s="11"/>
      <c r="M88" s="11"/>
    </row>
    <row r="89" spans="1:13" s="22" customFormat="1" ht="16.5" customHeight="1">
      <c r="A89" s="11"/>
      <c r="B89" s="20"/>
      <c r="C89" s="20"/>
      <c r="E89" s="11"/>
      <c r="F89" s="21"/>
      <c r="G89" s="21"/>
      <c r="I89" s="11"/>
      <c r="J89" s="11"/>
      <c r="K89" s="11"/>
      <c r="L89" s="11"/>
      <c r="M89" s="11"/>
    </row>
    <row r="90" spans="1:13" s="22" customFormat="1" ht="16.5" customHeight="1">
      <c r="A90" s="11"/>
      <c r="B90" s="20"/>
      <c r="C90" s="20"/>
      <c r="E90" s="11"/>
      <c r="F90" s="21"/>
      <c r="G90" s="21"/>
      <c r="I90" s="11"/>
      <c r="J90" s="11"/>
      <c r="K90" s="11"/>
      <c r="L90" s="11"/>
      <c r="M90" s="11"/>
    </row>
    <row r="91" spans="1:13" s="22" customFormat="1" ht="16.5" customHeight="1">
      <c r="A91" s="11"/>
      <c r="B91" s="20"/>
      <c r="C91" s="20"/>
      <c r="E91" s="11"/>
      <c r="F91" s="21"/>
      <c r="G91" s="21"/>
      <c r="I91" s="11"/>
      <c r="J91" s="11"/>
      <c r="K91" s="11"/>
      <c r="L91" s="11"/>
      <c r="M91" s="11"/>
    </row>
    <row r="92" spans="1:13" s="22" customFormat="1" ht="16.5" customHeight="1">
      <c r="A92" s="11"/>
      <c r="B92" s="20"/>
      <c r="C92" s="20"/>
      <c r="E92" s="11"/>
      <c r="F92" s="21"/>
      <c r="G92" s="21"/>
      <c r="I92" s="11"/>
      <c r="J92" s="11"/>
      <c r="K92" s="11"/>
      <c r="L92" s="11"/>
      <c r="M92" s="11"/>
    </row>
    <row r="93" spans="1:13" s="22" customFormat="1" ht="16.5" customHeight="1">
      <c r="A93" s="11"/>
      <c r="B93" s="20"/>
      <c r="C93" s="20"/>
      <c r="E93" s="11"/>
      <c r="F93" s="21"/>
      <c r="G93" s="21"/>
      <c r="I93" s="11"/>
      <c r="J93" s="11"/>
      <c r="K93" s="11"/>
      <c r="L93" s="11"/>
      <c r="M93" s="11"/>
    </row>
    <row r="94" spans="1:13" s="22" customFormat="1" ht="16.5" customHeight="1">
      <c r="A94" s="11"/>
      <c r="B94" s="20"/>
      <c r="C94" s="20"/>
      <c r="E94" s="11"/>
      <c r="F94" s="21"/>
      <c r="G94" s="21"/>
      <c r="I94" s="11"/>
      <c r="J94" s="11"/>
      <c r="K94" s="11"/>
      <c r="L94" s="11"/>
      <c r="M94" s="11"/>
    </row>
    <row r="95" spans="1:13" s="22" customFormat="1" ht="16.5" customHeight="1">
      <c r="A95" s="11"/>
      <c r="B95" s="20"/>
      <c r="C95" s="20"/>
      <c r="E95" s="11"/>
      <c r="F95" s="21"/>
      <c r="G95" s="21"/>
      <c r="I95" s="11"/>
      <c r="J95" s="11"/>
      <c r="K95" s="11"/>
      <c r="L95" s="11"/>
      <c r="M95" s="11"/>
    </row>
    <row r="96" spans="1:13" s="22" customFormat="1" ht="16.5" customHeight="1">
      <c r="A96" s="11"/>
      <c r="B96" s="20"/>
      <c r="C96" s="20"/>
      <c r="E96" s="11"/>
      <c r="F96" s="21"/>
      <c r="G96" s="21"/>
      <c r="I96" s="11"/>
      <c r="J96" s="11"/>
      <c r="K96" s="11"/>
      <c r="L96" s="11"/>
      <c r="M96" s="11"/>
    </row>
    <row r="97" spans="1:13" s="22" customFormat="1" ht="16.5" customHeight="1">
      <c r="A97" s="11"/>
      <c r="B97" s="20"/>
      <c r="C97" s="20"/>
      <c r="E97" s="11"/>
      <c r="F97" s="21"/>
      <c r="G97" s="21"/>
      <c r="I97" s="11"/>
      <c r="J97" s="11"/>
      <c r="K97" s="11"/>
      <c r="L97" s="11"/>
      <c r="M97" s="11"/>
    </row>
    <row r="98" spans="1:13" s="22" customFormat="1" ht="16.5" customHeight="1">
      <c r="A98" s="11"/>
      <c r="B98" s="20"/>
      <c r="C98" s="20"/>
      <c r="E98" s="11"/>
      <c r="F98" s="21"/>
      <c r="G98" s="21"/>
      <c r="I98" s="11"/>
      <c r="J98" s="11"/>
      <c r="K98" s="11"/>
      <c r="L98" s="11"/>
      <c r="M98" s="11"/>
    </row>
    <row r="99" spans="1:13" s="22" customFormat="1" ht="16.5" customHeight="1">
      <c r="A99" s="11"/>
      <c r="B99" s="20"/>
      <c r="C99" s="20"/>
      <c r="E99" s="11"/>
      <c r="F99" s="21"/>
      <c r="G99" s="21"/>
      <c r="I99" s="11"/>
      <c r="J99" s="11"/>
      <c r="K99" s="11"/>
      <c r="L99" s="11"/>
      <c r="M99" s="11"/>
    </row>
    <row r="100" spans="1:13" s="22" customFormat="1" ht="16.5" customHeight="1">
      <c r="A100" s="11"/>
      <c r="B100" s="20"/>
      <c r="C100" s="20"/>
      <c r="E100" s="11"/>
      <c r="F100" s="21"/>
      <c r="G100" s="21"/>
      <c r="I100" s="11"/>
      <c r="J100" s="11"/>
      <c r="K100" s="11"/>
      <c r="L100" s="11"/>
      <c r="M100" s="11"/>
    </row>
    <row r="101" spans="1:13" s="22" customFormat="1" ht="16.5" customHeight="1">
      <c r="A101" s="11"/>
      <c r="B101" s="20"/>
      <c r="C101" s="20"/>
      <c r="E101" s="11"/>
      <c r="F101" s="21"/>
      <c r="G101" s="21"/>
      <c r="I101" s="11"/>
      <c r="J101" s="11"/>
      <c r="K101" s="11"/>
      <c r="L101" s="11"/>
      <c r="M101" s="11"/>
    </row>
    <row r="102" spans="1:13" s="22" customFormat="1" ht="16.5" customHeight="1">
      <c r="A102" s="11"/>
      <c r="B102" s="20"/>
      <c r="C102" s="20"/>
      <c r="E102" s="11"/>
      <c r="F102" s="21"/>
      <c r="G102" s="21"/>
      <c r="I102" s="11"/>
      <c r="J102" s="11"/>
      <c r="K102" s="11"/>
      <c r="L102" s="11"/>
      <c r="M102" s="11"/>
    </row>
    <row r="103" spans="1:13" s="22" customFormat="1" ht="16.5" customHeight="1">
      <c r="A103" s="11"/>
      <c r="B103" s="20"/>
      <c r="C103" s="20"/>
      <c r="E103" s="11"/>
      <c r="F103" s="21"/>
      <c r="G103" s="21"/>
      <c r="I103" s="11"/>
      <c r="J103" s="11"/>
      <c r="K103" s="11"/>
      <c r="L103" s="11"/>
      <c r="M103" s="11"/>
    </row>
    <row r="104" spans="1:13" s="22" customFormat="1" ht="16.5" customHeight="1">
      <c r="A104" s="11"/>
      <c r="B104" s="20"/>
      <c r="C104" s="20"/>
      <c r="E104" s="11"/>
      <c r="F104" s="21"/>
      <c r="G104" s="21"/>
      <c r="I104" s="11"/>
      <c r="J104" s="11"/>
      <c r="K104" s="11"/>
      <c r="L104" s="11"/>
      <c r="M104" s="11"/>
    </row>
    <row r="105" spans="1:13" s="22" customFormat="1" ht="16.5" customHeight="1">
      <c r="A105" s="11"/>
      <c r="B105" s="20"/>
      <c r="C105" s="20"/>
      <c r="E105" s="11"/>
      <c r="F105" s="21"/>
      <c r="G105" s="21"/>
      <c r="I105" s="11"/>
      <c r="J105" s="11"/>
      <c r="K105" s="11"/>
      <c r="L105" s="11"/>
      <c r="M105" s="11"/>
    </row>
    <row r="106" spans="1:13" s="22" customFormat="1" ht="16.5" customHeight="1">
      <c r="A106" s="11"/>
      <c r="B106" s="20"/>
      <c r="C106" s="20"/>
      <c r="E106" s="11"/>
      <c r="F106" s="21"/>
      <c r="G106" s="21"/>
      <c r="I106" s="11"/>
      <c r="J106" s="11"/>
      <c r="K106" s="11"/>
      <c r="L106" s="11"/>
      <c r="M106" s="11"/>
    </row>
    <row r="107" spans="1:13" s="22" customFormat="1" ht="16.5" customHeight="1">
      <c r="A107" s="11"/>
      <c r="B107" s="20"/>
      <c r="C107" s="20"/>
      <c r="E107" s="11"/>
      <c r="F107" s="21"/>
      <c r="G107" s="21"/>
      <c r="I107" s="11"/>
      <c r="J107" s="11"/>
      <c r="K107" s="11"/>
      <c r="L107" s="11"/>
      <c r="M107" s="11"/>
    </row>
    <row r="108" spans="1:13" s="22" customFormat="1" ht="16.5" customHeight="1">
      <c r="A108" s="11"/>
      <c r="B108" s="20"/>
      <c r="C108" s="20"/>
      <c r="E108" s="11"/>
      <c r="F108" s="21"/>
      <c r="G108" s="21"/>
      <c r="I108" s="11"/>
      <c r="J108" s="11"/>
      <c r="K108" s="11"/>
      <c r="L108" s="11"/>
      <c r="M108" s="11"/>
    </row>
    <row r="109" spans="1:13" s="22" customFormat="1" ht="16.5" customHeight="1">
      <c r="A109" s="11"/>
      <c r="B109" s="20"/>
      <c r="C109" s="20"/>
      <c r="E109" s="11"/>
      <c r="F109" s="21"/>
      <c r="G109" s="21"/>
      <c r="I109" s="11"/>
      <c r="J109" s="11"/>
      <c r="K109" s="11"/>
      <c r="L109" s="11"/>
      <c r="M109" s="11"/>
    </row>
    <row r="110" spans="1:13" s="22" customFormat="1" ht="16.5" customHeight="1">
      <c r="A110" s="11"/>
      <c r="B110" s="20"/>
      <c r="C110" s="20"/>
      <c r="E110" s="11"/>
      <c r="F110" s="21"/>
      <c r="G110" s="21"/>
      <c r="I110" s="11"/>
      <c r="J110" s="11"/>
      <c r="K110" s="11"/>
      <c r="L110" s="11"/>
      <c r="M110" s="11"/>
    </row>
    <row r="111" spans="1:13" s="22" customFormat="1" ht="16.5" customHeight="1">
      <c r="A111" s="11"/>
      <c r="B111" s="20"/>
      <c r="C111" s="20"/>
      <c r="E111" s="11"/>
      <c r="F111" s="21"/>
      <c r="G111" s="21"/>
      <c r="I111" s="11"/>
      <c r="J111" s="11"/>
      <c r="K111" s="11"/>
      <c r="L111" s="11"/>
      <c r="M111" s="11"/>
    </row>
    <row r="112" spans="1:13" s="22" customFormat="1" ht="16.5" customHeight="1">
      <c r="A112" s="11"/>
      <c r="B112" s="20"/>
      <c r="C112" s="20"/>
      <c r="E112" s="11"/>
      <c r="F112" s="21"/>
      <c r="G112" s="21"/>
      <c r="I112" s="11"/>
      <c r="J112" s="11"/>
      <c r="K112" s="11"/>
      <c r="L112" s="11"/>
      <c r="M112" s="11"/>
    </row>
    <row r="113" spans="1:13" s="22" customFormat="1" ht="16.5" customHeight="1">
      <c r="A113" s="11"/>
      <c r="B113" s="20"/>
      <c r="C113" s="20"/>
      <c r="E113" s="11"/>
      <c r="F113" s="21"/>
      <c r="G113" s="21"/>
      <c r="I113" s="11"/>
      <c r="J113" s="11"/>
      <c r="K113" s="11"/>
      <c r="L113" s="11"/>
      <c r="M113" s="11"/>
    </row>
    <row r="114" spans="1:13" s="22" customFormat="1" ht="16.5" customHeight="1">
      <c r="A114" s="11"/>
      <c r="B114" s="20"/>
      <c r="C114" s="20"/>
      <c r="E114" s="11"/>
      <c r="F114" s="21"/>
      <c r="G114" s="21"/>
      <c r="I114" s="11"/>
      <c r="J114" s="11"/>
      <c r="K114" s="11"/>
      <c r="L114" s="11"/>
      <c r="M114" s="11"/>
    </row>
    <row r="115" spans="1:13" s="22" customFormat="1" ht="16.5" customHeight="1">
      <c r="A115" s="11"/>
      <c r="B115" s="20"/>
      <c r="C115" s="20"/>
      <c r="E115" s="11"/>
      <c r="F115" s="21"/>
      <c r="G115" s="21"/>
      <c r="I115" s="11"/>
      <c r="J115" s="11"/>
      <c r="K115" s="11"/>
      <c r="L115" s="11"/>
      <c r="M115" s="11"/>
    </row>
    <row r="116" spans="1:13" s="22" customFormat="1" ht="16.5" customHeight="1">
      <c r="A116" s="11"/>
      <c r="B116" s="20"/>
      <c r="C116" s="20"/>
      <c r="E116" s="11"/>
      <c r="F116" s="21"/>
      <c r="G116" s="21"/>
      <c r="I116" s="11"/>
      <c r="J116" s="11"/>
      <c r="K116" s="11"/>
      <c r="L116" s="11"/>
      <c r="M116" s="11"/>
    </row>
    <row r="117" spans="1:13" s="22" customFormat="1" ht="16.5" customHeight="1">
      <c r="A117" s="11"/>
      <c r="B117" s="20"/>
      <c r="C117" s="20"/>
      <c r="E117" s="11"/>
      <c r="F117" s="21"/>
      <c r="G117" s="21"/>
      <c r="I117" s="11"/>
      <c r="J117" s="11"/>
      <c r="K117" s="11"/>
      <c r="L117" s="11"/>
      <c r="M117" s="11"/>
    </row>
    <row r="118" spans="1:13" s="22" customFormat="1" ht="16.5" customHeight="1">
      <c r="A118" s="11"/>
      <c r="B118" s="20"/>
      <c r="C118" s="20"/>
      <c r="E118" s="11"/>
      <c r="F118" s="21"/>
      <c r="G118" s="21"/>
      <c r="I118" s="11"/>
      <c r="J118" s="11"/>
      <c r="K118" s="11"/>
      <c r="L118" s="11"/>
      <c r="M118" s="11"/>
    </row>
    <row r="119" spans="1:13" s="22" customFormat="1" ht="16.5" customHeight="1">
      <c r="A119" s="11"/>
      <c r="B119" s="20"/>
      <c r="C119" s="20"/>
      <c r="E119" s="11"/>
      <c r="F119" s="21"/>
      <c r="G119" s="21"/>
      <c r="I119" s="11"/>
      <c r="J119" s="11"/>
      <c r="K119" s="11"/>
      <c r="L119" s="11"/>
      <c r="M119" s="11"/>
    </row>
    <row r="120" spans="1:13" s="22" customFormat="1" ht="16.5" customHeight="1">
      <c r="A120" s="11"/>
      <c r="B120" s="20"/>
      <c r="C120" s="20"/>
      <c r="E120" s="11"/>
      <c r="F120" s="21"/>
      <c r="G120" s="21"/>
      <c r="I120" s="11"/>
      <c r="J120" s="11"/>
      <c r="K120" s="11"/>
      <c r="L120" s="11"/>
      <c r="M120" s="11"/>
    </row>
    <row r="121" spans="1:13" s="22" customFormat="1" ht="16.5" customHeight="1">
      <c r="A121" s="11"/>
      <c r="B121" s="20"/>
      <c r="C121" s="20"/>
      <c r="E121" s="11"/>
      <c r="F121" s="21"/>
      <c r="G121" s="21"/>
      <c r="I121" s="11"/>
      <c r="J121" s="11"/>
      <c r="K121" s="11"/>
      <c r="L121" s="11"/>
      <c r="M121" s="11"/>
    </row>
    <row r="122" spans="1:13" s="22" customFormat="1" ht="16.5" customHeight="1">
      <c r="A122" s="11"/>
      <c r="B122" s="20"/>
      <c r="C122" s="20"/>
      <c r="E122" s="11"/>
      <c r="F122" s="21"/>
      <c r="G122" s="21"/>
      <c r="I122" s="11"/>
      <c r="J122" s="11"/>
      <c r="K122" s="11"/>
      <c r="L122" s="11"/>
      <c r="M122" s="11"/>
    </row>
    <row r="123" spans="1:13" s="22" customFormat="1" ht="16.5" customHeight="1">
      <c r="A123" s="11"/>
      <c r="B123" s="20"/>
      <c r="C123" s="20"/>
      <c r="E123" s="11"/>
      <c r="F123" s="21"/>
      <c r="G123" s="21"/>
      <c r="I123" s="11"/>
      <c r="J123" s="11"/>
      <c r="K123" s="11"/>
      <c r="L123" s="11"/>
      <c r="M123" s="11"/>
    </row>
    <row r="124" spans="1:13" s="22" customFormat="1" ht="16.5" customHeight="1">
      <c r="A124" s="11"/>
      <c r="B124" s="20"/>
      <c r="C124" s="20"/>
      <c r="E124" s="11"/>
      <c r="F124" s="21"/>
      <c r="G124" s="21"/>
      <c r="I124" s="11"/>
      <c r="J124" s="11"/>
      <c r="K124" s="11"/>
      <c r="L124" s="11"/>
      <c r="M124" s="11"/>
    </row>
    <row r="125" spans="1:13" s="22" customFormat="1" ht="16.5" customHeight="1">
      <c r="A125" s="11"/>
      <c r="B125" s="20"/>
      <c r="C125" s="20"/>
      <c r="E125" s="11"/>
      <c r="F125" s="21"/>
      <c r="G125" s="21"/>
      <c r="I125" s="11"/>
      <c r="J125" s="11"/>
      <c r="K125" s="11"/>
      <c r="L125" s="11"/>
      <c r="M125" s="11"/>
    </row>
    <row r="126" spans="1:13" s="22" customFormat="1" ht="16.5" customHeight="1">
      <c r="A126" s="11"/>
      <c r="B126" s="20"/>
      <c r="C126" s="20"/>
      <c r="E126" s="11"/>
      <c r="F126" s="21"/>
      <c r="G126" s="21"/>
      <c r="I126" s="11"/>
      <c r="J126" s="11"/>
      <c r="K126" s="11"/>
      <c r="L126" s="11"/>
      <c r="M126" s="11"/>
    </row>
    <row r="127" spans="1:13" s="22" customFormat="1" ht="16.5" customHeight="1">
      <c r="A127" s="11">
        <v>20</v>
      </c>
      <c r="B127" s="20"/>
      <c r="C127" s="20"/>
      <c r="E127" s="11"/>
      <c r="F127" s="21"/>
      <c r="G127" s="21"/>
      <c r="I127" s="11"/>
      <c r="J127" s="11"/>
      <c r="K127" s="11"/>
      <c r="L127" s="11"/>
      <c r="M127" s="11"/>
    </row>
    <row r="128" spans="1:13" s="22" customFormat="1" ht="16.5" customHeight="1">
      <c r="A128" s="11">
        <v>20</v>
      </c>
      <c r="B128" s="20"/>
      <c r="C128" s="20"/>
      <c r="E128" s="11"/>
      <c r="F128" s="21"/>
      <c r="G128" s="21"/>
      <c r="I128" s="11"/>
      <c r="J128" s="11"/>
      <c r="K128" s="11"/>
      <c r="L128" s="11"/>
      <c r="M128" s="11"/>
    </row>
    <row r="129" spans="1:13" s="22" customFormat="1" ht="16.5" customHeight="1">
      <c r="A129" s="11">
        <v>20</v>
      </c>
      <c r="B129" s="20"/>
      <c r="C129" s="20"/>
      <c r="E129" s="11"/>
      <c r="F129" s="21"/>
      <c r="G129" s="21"/>
      <c r="I129" s="11"/>
      <c r="J129" s="11"/>
      <c r="K129" s="11"/>
      <c r="L129" s="11"/>
      <c r="M129" s="11"/>
    </row>
    <row r="130" spans="1:13" s="22" customFormat="1" ht="16.5" customHeight="1">
      <c r="A130" s="11">
        <v>20</v>
      </c>
      <c r="B130" s="20"/>
      <c r="C130" s="20"/>
      <c r="E130" s="11"/>
      <c r="F130" s="21"/>
      <c r="G130" s="21"/>
      <c r="I130" s="11"/>
      <c r="J130" s="11"/>
      <c r="K130" s="11"/>
      <c r="L130" s="11"/>
      <c r="M130" s="11"/>
    </row>
    <row r="131" spans="1:13" s="22" customFormat="1" ht="16.5" customHeight="1">
      <c r="A131" s="11">
        <v>20</v>
      </c>
      <c r="B131" s="20"/>
      <c r="C131" s="20"/>
      <c r="E131" s="11"/>
      <c r="F131" s="21"/>
      <c r="G131" s="21"/>
      <c r="I131" s="11"/>
      <c r="J131" s="11"/>
      <c r="K131" s="11"/>
      <c r="L131" s="11"/>
      <c r="M131" s="11"/>
    </row>
    <row r="132" spans="1:13" s="22" customFormat="1" ht="16.5" customHeight="1">
      <c r="A132" s="11">
        <v>20</v>
      </c>
      <c r="B132" s="20"/>
      <c r="C132" s="20"/>
      <c r="E132" s="11"/>
      <c r="F132" s="21"/>
      <c r="G132" s="21"/>
      <c r="I132" s="11"/>
      <c r="J132" s="11"/>
      <c r="K132" s="11"/>
      <c r="L132" s="11"/>
      <c r="M132" s="11"/>
    </row>
    <row r="133" spans="1:13" s="22" customFormat="1" ht="16.5" customHeight="1">
      <c r="A133" s="11">
        <v>20</v>
      </c>
      <c r="B133" s="20"/>
      <c r="C133" s="20"/>
      <c r="E133" s="11"/>
      <c r="F133" s="21"/>
      <c r="G133" s="21"/>
      <c r="I133" s="11"/>
      <c r="J133" s="11"/>
      <c r="K133" s="11"/>
      <c r="L133" s="11"/>
      <c r="M133" s="11"/>
    </row>
    <row r="134" spans="1:13" s="22" customFormat="1" ht="16.5" customHeight="1">
      <c r="A134" s="11">
        <v>20</v>
      </c>
      <c r="B134" s="20"/>
      <c r="C134" s="20"/>
      <c r="E134" s="11"/>
      <c r="F134" s="21"/>
      <c r="G134" s="21"/>
      <c r="I134" s="11"/>
      <c r="J134" s="11"/>
      <c r="K134" s="11"/>
      <c r="L134" s="11"/>
      <c r="M134" s="11"/>
    </row>
    <row r="135" spans="1:13" s="22" customFormat="1" ht="16.5" customHeight="1">
      <c r="A135" s="11">
        <v>20</v>
      </c>
      <c r="B135" s="20"/>
      <c r="C135" s="20"/>
      <c r="E135" s="11"/>
      <c r="F135" s="21"/>
      <c r="G135" s="21"/>
      <c r="I135" s="11"/>
      <c r="J135" s="11"/>
      <c r="K135" s="11"/>
      <c r="L135" s="11"/>
      <c r="M135" s="11"/>
    </row>
    <row r="136" spans="1:13" s="22" customFormat="1" ht="16.5" customHeight="1">
      <c r="A136" s="11">
        <v>20</v>
      </c>
      <c r="B136" s="20"/>
      <c r="C136" s="20"/>
      <c r="E136" s="11"/>
      <c r="F136" s="21"/>
      <c r="G136" s="21"/>
      <c r="I136" s="11"/>
      <c r="J136" s="11"/>
      <c r="K136" s="11"/>
      <c r="L136" s="11"/>
      <c r="M136" s="11"/>
    </row>
    <row r="137" spans="1:13" s="22" customFormat="1" ht="16.5" customHeight="1">
      <c r="A137" s="11">
        <v>20</v>
      </c>
      <c r="B137" s="20"/>
      <c r="C137" s="20"/>
      <c r="E137" s="11"/>
      <c r="F137" s="21"/>
      <c r="G137" s="21"/>
      <c r="I137" s="11"/>
      <c r="J137" s="11"/>
      <c r="K137" s="11"/>
      <c r="L137" s="11"/>
      <c r="M137" s="11"/>
    </row>
    <row r="138" spans="1:13" s="22" customFormat="1" ht="16.5" customHeight="1">
      <c r="A138" s="11">
        <v>20</v>
      </c>
      <c r="B138" s="20"/>
      <c r="C138" s="20"/>
      <c r="E138" s="11"/>
      <c r="F138" s="21"/>
      <c r="G138" s="21"/>
      <c r="I138" s="11"/>
      <c r="J138" s="11"/>
      <c r="K138" s="11"/>
      <c r="L138" s="11"/>
      <c r="M138" s="11"/>
    </row>
    <row r="139" spans="1:13" s="22" customFormat="1" ht="16.5" customHeight="1">
      <c r="A139" s="11">
        <v>20</v>
      </c>
      <c r="B139" s="20"/>
      <c r="C139" s="20"/>
      <c r="E139" s="11"/>
      <c r="F139" s="21"/>
      <c r="G139" s="21"/>
      <c r="I139" s="11"/>
      <c r="J139" s="11"/>
      <c r="K139" s="11"/>
      <c r="L139" s="11"/>
      <c r="M139" s="11"/>
    </row>
    <row r="140" spans="1:13" s="22" customFormat="1" ht="16.5" customHeight="1">
      <c r="A140" s="11">
        <v>20</v>
      </c>
      <c r="B140" s="20"/>
      <c r="C140" s="20"/>
      <c r="E140" s="11"/>
      <c r="F140" s="21"/>
      <c r="G140" s="21"/>
      <c r="I140" s="11"/>
      <c r="J140" s="11"/>
      <c r="K140" s="11"/>
      <c r="L140" s="11"/>
      <c r="M140" s="11"/>
    </row>
    <row r="141" spans="1:13" s="22" customFormat="1" ht="16.5" customHeight="1">
      <c r="A141" s="11">
        <v>20</v>
      </c>
      <c r="B141" s="20"/>
      <c r="C141" s="20"/>
      <c r="E141" s="11"/>
      <c r="F141" s="21"/>
      <c r="G141" s="21"/>
      <c r="I141" s="11"/>
      <c r="J141" s="11"/>
      <c r="K141" s="11"/>
      <c r="L141" s="11"/>
      <c r="M141" s="11"/>
    </row>
    <row r="142" spans="1:13" s="22" customFormat="1" ht="16.5" customHeight="1">
      <c r="A142" s="11">
        <v>20</v>
      </c>
      <c r="B142" s="20"/>
      <c r="C142" s="20"/>
      <c r="E142" s="11"/>
      <c r="F142" s="21"/>
      <c r="G142" s="21"/>
      <c r="I142" s="11"/>
      <c r="J142" s="11"/>
      <c r="K142" s="11"/>
      <c r="L142" s="11"/>
      <c r="M142" s="11"/>
    </row>
    <row r="143" spans="1:13" s="22" customFormat="1" ht="16.5" customHeight="1">
      <c r="A143" s="11">
        <v>20</v>
      </c>
      <c r="B143" s="20"/>
      <c r="C143" s="20"/>
      <c r="E143" s="11"/>
      <c r="F143" s="21"/>
      <c r="G143" s="21"/>
      <c r="I143" s="11"/>
      <c r="J143" s="11"/>
      <c r="K143" s="11"/>
      <c r="L143" s="11"/>
      <c r="M143" s="11"/>
    </row>
    <row r="144" spans="1:13" s="22" customFormat="1" ht="16.5" customHeight="1">
      <c r="A144" s="11">
        <v>20</v>
      </c>
      <c r="B144" s="20"/>
      <c r="C144" s="20"/>
      <c r="E144" s="11"/>
      <c r="F144" s="21"/>
      <c r="G144" s="21"/>
      <c r="I144" s="11"/>
      <c r="J144" s="11"/>
      <c r="K144" s="11"/>
      <c r="L144" s="11"/>
      <c r="M144" s="11"/>
    </row>
    <row r="145" spans="1:13" s="22" customFormat="1" ht="16.5" customHeight="1">
      <c r="A145" s="11">
        <v>20</v>
      </c>
      <c r="B145" s="20"/>
      <c r="C145" s="20"/>
      <c r="E145" s="11"/>
      <c r="F145" s="21"/>
      <c r="G145" s="21"/>
      <c r="I145" s="11"/>
      <c r="J145" s="11"/>
      <c r="K145" s="11"/>
      <c r="L145" s="11"/>
      <c r="M145" s="11"/>
    </row>
    <row r="146" spans="1:13" s="22" customFormat="1" ht="16.5" customHeight="1">
      <c r="A146" s="11">
        <v>20</v>
      </c>
      <c r="B146" s="20"/>
      <c r="C146" s="20"/>
      <c r="E146" s="11"/>
      <c r="F146" s="21"/>
      <c r="G146" s="21"/>
      <c r="I146" s="11"/>
      <c r="J146" s="11"/>
      <c r="K146" s="11"/>
      <c r="L146" s="11"/>
      <c r="M146" s="11"/>
    </row>
    <row r="147" spans="1:13" s="22" customFormat="1" ht="16.5" customHeight="1">
      <c r="A147" s="11">
        <v>20</v>
      </c>
      <c r="B147" s="20"/>
      <c r="C147" s="20"/>
      <c r="E147" s="11"/>
      <c r="F147" s="21"/>
      <c r="G147" s="21"/>
      <c r="I147" s="11"/>
      <c r="J147" s="11"/>
      <c r="K147" s="11"/>
      <c r="L147" s="11"/>
      <c r="M147" s="11"/>
    </row>
    <row r="148" spans="1:13" s="22" customFormat="1" ht="16.5" customHeight="1">
      <c r="A148" s="11">
        <v>20</v>
      </c>
      <c r="B148" s="20"/>
      <c r="C148" s="20"/>
      <c r="E148" s="11"/>
      <c r="F148" s="21"/>
      <c r="G148" s="21"/>
      <c r="I148" s="11"/>
      <c r="J148" s="11"/>
      <c r="K148" s="11"/>
      <c r="L148" s="11"/>
      <c r="M148" s="11"/>
    </row>
    <row r="149" spans="1:13" s="22" customFormat="1" ht="16.5" customHeight="1">
      <c r="A149" s="11">
        <v>20</v>
      </c>
      <c r="B149" s="20"/>
      <c r="C149" s="20"/>
      <c r="E149" s="11"/>
      <c r="F149" s="21"/>
      <c r="G149" s="21"/>
      <c r="I149" s="11"/>
      <c r="J149" s="11"/>
      <c r="K149" s="11"/>
      <c r="L149" s="11"/>
      <c r="M149" s="11"/>
    </row>
    <row r="150" spans="1:13" s="22" customFormat="1" ht="16.5" customHeight="1">
      <c r="A150" s="11">
        <v>20</v>
      </c>
      <c r="B150" s="20"/>
      <c r="C150" s="20"/>
      <c r="E150" s="11"/>
      <c r="F150" s="21"/>
      <c r="G150" s="21"/>
      <c r="I150" s="11"/>
      <c r="J150" s="11"/>
      <c r="K150" s="11"/>
      <c r="L150" s="11"/>
      <c r="M150" s="11"/>
    </row>
    <row r="151" spans="1:13" s="22" customFormat="1" ht="16.5" customHeight="1">
      <c r="A151" s="11">
        <v>20</v>
      </c>
      <c r="B151" s="20"/>
      <c r="C151" s="20"/>
      <c r="E151" s="11"/>
      <c r="F151" s="21"/>
      <c r="G151" s="21"/>
      <c r="I151" s="11"/>
      <c r="J151" s="11"/>
      <c r="K151" s="11"/>
      <c r="L151" s="11"/>
      <c r="M151" s="11"/>
    </row>
    <row r="152" spans="1:13" s="22" customFormat="1" ht="16.5" customHeight="1">
      <c r="A152" s="11">
        <v>20</v>
      </c>
      <c r="B152" s="20"/>
      <c r="C152" s="20"/>
      <c r="E152" s="11"/>
      <c r="F152" s="21"/>
      <c r="G152" s="21"/>
      <c r="I152" s="11"/>
      <c r="J152" s="11"/>
      <c r="K152" s="11"/>
      <c r="L152" s="11"/>
      <c r="M152" s="11"/>
    </row>
    <row r="153" spans="1:13" s="22" customFormat="1" ht="16.5" customHeight="1">
      <c r="A153" s="11">
        <v>20</v>
      </c>
      <c r="B153" s="20"/>
      <c r="C153" s="20"/>
      <c r="E153" s="11"/>
      <c r="F153" s="21"/>
      <c r="G153" s="21"/>
      <c r="I153" s="11"/>
      <c r="J153" s="11"/>
      <c r="K153" s="11"/>
      <c r="L153" s="11"/>
      <c r="M153" s="11"/>
    </row>
    <row r="154" spans="1:13" s="22" customFormat="1" ht="16.5" customHeight="1">
      <c r="A154" s="11">
        <v>20</v>
      </c>
      <c r="B154" s="20"/>
      <c r="C154" s="20"/>
      <c r="E154" s="11"/>
      <c r="F154" s="21"/>
      <c r="G154" s="21"/>
      <c r="I154" s="11"/>
      <c r="J154" s="11"/>
      <c r="K154" s="11"/>
      <c r="L154" s="11"/>
      <c r="M154" s="11"/>
    </row>
    <row r="155" spans="1:13" s="22" customFormat="1" ht="16.5" customHeight="1">
      <c r="A155" s="11">
        <v>20</v>
      </c>
      <c r="B155" s="20"/>
      <c r="C155" s="20"/>
      <c r="E155" s="11"/>
      <c r="F155" s="21"/>
      <c r="G155" s="21"/>
      <c r="I155" s="11"/>
      <c r="J155" s="11"/>
      <c r="K155" s="11"/>
      <c r="L155" s="11"/>
      <c r="M155" s="11"/>
    </row>
    <row r="156" spans="1:13" s="22" customFormat="1" ht="16.5" customHeight="1">
      <c r="A156" s="11">
        <v>20</v>
      </c>
      <c r="B156" s="20"/>
      <c r="C156" s="20"/>
      <c r="E156" s="11"/>
      <c r="F156" s="21"/>
      <c r="G156" s="21"/>
      <c r="I156" s="11"/>
      <c r="J156" s="11"/>
      <c r="K156" s="11"/>
      <c r="L156" s="11"/>
      <c r="M156" s="11"/>
    </row>
    <row r="157" spans="1:13" s="22" customFormat="1" ht="16.5" customHeight="1">
      <c r="A157" s="11">
        <v>20</v>
      </c>
      <c r="B157" s="20"/>
      <c r="C157" s="20"/>
      <c r="E157" s="11"/>
      <c r="F157" s="21"/>
      <c r="G157" s="21"/>
      <c r="I157" s="11"/>
      <c r="J157" s="11"/>
      <c r="K157" s="11"/>
      <c r="L157" s="11"/>
      <c r="M157" s="11"/>
    </row>
    <row r="158" spans="1:13" s="22" customFormat="1" ht="16.5" customHeight="1">
      <c r="A158" s="11">
        <v>20</v>
      </c>
      <c r="B158" s="20"/>
      <c r="C158" s="20"/>
      <c r="E158" s="24"/>
      <c r="F158" s="21"/>
      <c r="G158" s="21"/>
      <c r="I158" s="11"/>
      <c r="J158" s="11"/>
      <c r="K158" s="11"/>
      <c r="L158" s="11"/>
      <c r="M158" s="11"/>
    </row>
    <row r="159" spans="1:13" s="22" customFormat="1" ht="16.5" customHeight="1">
      <c r="A159" s="11">
        <v>20</v>
      </c>
      <c r="B159" s="20"/>
      <c r="C159" s="20"/>
      <c r="D159" s="11"/>
      <c r="E159" s="24"/>
      <c r="F159" s="21"/>
      <c r="G159" s="21"/>
      <c r="I159" s="11"/>
      <c r="J159" s="11"/>
      <c r="K159" s="11"/>
      <c r="L159" s="11"/>
      <c r="M159" s="11"/>
    </row>
    <row r="160" spans="1:13" s="22" customFormat="1" ht="16.5" customHeight="1">
      <c r="A160" s="11">
        <v>20</v>
      </c>
      <c r="B160" s="20"/>
      <c r="C160" s="20"/>
      <c r="D160" s="11"/>
      <c r="E160" s="24"/>
      <c r="F160" s="21"/>
      <c r="G160" s="21"/>
      <c r="I160" s="11"/>
      <c r="J160" s="11"/>
      <c r="K160" s="11"/>
      <c r="L160" s="11"/>
      <c r="M160" s="11"/>
    </row>
    <row r="161" spans="1:13" s="22" customFormat="1" ht="16.5" customHeight="1">
      <c r="A161" s="11">
        <v>20</v>
      </c>
      <c r="B161" s="20"/>
      <c r="C161" s="20"/>
      <c r="D161" s="11"/>
      <c r="E161" s="24"/>
      <c r="F161" s="21"/>
      <c r="G161" s="21"/>
      <c r="I161" s="11"/>
      <c r="J161" s="11"/>
      <c r="K161" s="11"/>
      <c r="L161" s="11"/>
      <c r="M161" s="11"/>
    </row>
    <row r="162" spans="1:13" ht="16.5" customHeight="1">
      <c r="A162" s="11">
        <v>20</v>
      </c>
      <c r="E162" s="24"/>
      <c r="G162" s="21"/>
    </row>
    <row r="163" spans="1:13" ht="16.5" customHeight="1">
      <c r="A163" s="11">
        <v>20</v>
      </c>
      <c r="E163" s="24"/>
      <c r="G163" s="21"/>
    </row>
    <row r="164" spans="1:13" ht="16.5" customHeight="1">
      <c r="A164" s="11">
        <v>20</v>
      </c>
      <c r="E164" s="24"/>
      <c r="G164" s="21"/>
    </row>
    <row r="165" spans="1:13" ht="16.5" customHeight="1">
      <c r="A165" s="11">
        <v>20</v>
      </c>
      <c r="E165" s="24"/>
      <c r="G165" s="21"/>
    </row>
    <row r="166" spans="1:13" ht="16.5" customHeight="1" thickBot="1">
      <c r="A166" s="11">
        <v>20</v>
      </c>
      <c r="B166" s="28"/>
      <c r="C166" s="28"/>
      <c r="D166" s="29"/>
      <c r="E166" s="30"/>
      <c r="F166" s="31"/>
      <c r="G166" s="31"/>
    </row>
    <row r="167" spans="1:13" ht="15.75" customHeight="1">
      <c r="A167" s="11">
        <v>21</v>
      </c>
      <c r="D167" s="32"/>
      <c r="E167" s="32"/>
      <c r="G167" s="555"/>
      <c r="H167" s="551"/>
      <c r="I167" s="549"/>
    </row>
    <row r="168" spans="1:13" ht="15.75" customHeight="1">
      <c r="A168" s="11">
        <v>21</v>
      </c>
      <c r="D168" s="32"/>
      <c r="E168" s="32"/>
      <c r="G168" s="556"/>
      <c r="H168" s="551"/>
      <c r="I168" s="549"/>
    </row>
    <row r="169" spans="1:13" ht="15.75" customHeight="1">
      <c r="A169" s="11">
        <v>21</v>
      </c>
      <c r="D169" s="32"/>
      <c r="E169" s="32"/>
      <c r="G169" s="556"/>
      <c r="H169" s="551"/>
      <c r="I169" s="549"/>
    </row>
    <row r="170" spans="1:13" ht="15.75" customHeight="1">
      <c r="A170" s="11">
        <v>21</v>
      </c>
      <c r="D170" s="32"/>
      <c r="E170" s="32"/>
      <c r="G170" s="556"/>
      <c r="H170" s="551"/>
      <c r="I170" s="549"/>
      <c r="J170" s="32"/>
    </row>
    <row r="171" spans="1:13" ht="15.75" customHeight="1">
      <c r="A171" s="11">
        <v>22</v>
      </c>
      <c r="D171" s="32"/>
      <c r="E171" s="32"/>
      <c r="G171" s="549"/>
      <c r="H171" s="551"/>
      <c r="I171" s="549"/>
    </row>
    <row r="172" spans="1:13" ht="15.75" customHeight="1">
      <c r="A172" s="11">
        <v>22</v>
      </c>
      <c r="D172" s="32"/>
      <c r="E172" s="32"/>
      <c r="G172" s="549"/>
      <c r="H172" s="551"/>
      <c r="I172" s="549"/>
    </row>
    <row r="173" spans="1:13" ht="16.5" customHeight="1">
      <c r="A173" s="11">
        <v>23</v>
      </c>
      <c r="D173" s="32"/>
      <c r="E173" s="32"/>
      <c r="G173" s="549"/>
      <c r="H173" s="551"/>
      <c r="I173" s="548"/>
    </row>
    <row r="174" spans="1:13" ht="16.5" customHeight="1">
      <c r="A174" s="11">
        <v>23</v>
      </c>
      <c r="D174" s="32"/>
      <c r="E174" s="32"/>
      <c r="G174" s="549"/>
      <c r="H174" s="551"/>
      <c r="I174" s="548"/>
    </row>
    <row r="175" spans="1:13" ht="15.75" customHeight="1">
      <c r="A175" s="11">
        <v>24</v>
      </c>
      <c r="D175" s="32"/>
      <c r="E175" s="32"/>
      <c r="G175" s="556"/>
      <c r="H175" s="551"/>
      <c r="I175" s="548"/>
    </row>
    <row r="176" spans="1:13" ht="15" customHeight="1">
      <c r="A176" s="11">
        <v>24</v>
      </c>
      <c r="D176" s="32"/>
      <c r="E176" s="32"/>
      <c r="G176" s="556"/>
      <c r="H176" s="551"/>
      <c r="I176" s="548"/>
    </row>
    <row r="177" spans="1:11" ht="15.75" customHeight="1">
      <c r="A177" s="11">
        <v>25</v>
      </c>
      <c r="D177" s="32"/>
      <c r="E177" s="32"/>
      <c r="G177" s="549"/>
      <c r="H177" s="551"/>
    </row>
    <row r="178" spans="1:11" ht="15.75" customHeight="1">
      <c r="A178" s="11">
        <v>25</v>
      </c>
      <c r="D178" s="32"/>
      <c r="E178" s="32"/>
      <c r="G178" s="549"/>
      <c r="H178" s="551"/>
      <c r="J178" s="33"/>
      <c r="K178" s="34"/>
    </row>
    <row r="179" spans="1:11" ht="15.75" customHeight="1">
      <c r="A179" s="11">
        <v>26</v>
      </c>
      <c r="D179" s="32"/>
      <c r="G179" s="550"/>
      <c r="H179" s="551"/>
      <c r="J179" s="33"/>
      <c r="K179" s="35"/>
    </row>
    <row r="180" spans="1:11" ht="15.75" customHeight="1">
      <c r="A180" s="11">
        <v>26</v>
      </c>
      <c r="E180" s="32"/>
      <c r="G180" s="550"/>
      <c r="H180" s="551"/>
      <c r="J180" s="33"/>
      <c r="K180" s="35"/>
    </row>
    <row r="181" spans="1:11" ht="16.5" customHeight="1" thickBot="1">
      <c r="A181" s="11">
        <v>27</v>
      </c>
      <c r="D181" s="32"/>
      <c r="G181" s="549"/>
      <c r="H181" s="551"/>
      <c r="J181" s="36"/>
      <c r="K181" s="37"/>
    </row>
    <row r="182" spans="1:11" ht="16.5" customHeight="1" thickTop="1">
      <c r="A182" s="11">
        <v>27</v>
      </c>
      <c r="E182" s="32"/>
      <c r="G182" s="549"/>
      <c r="H182" s="551"/>
    </row>
    <row r="183" spans="1:11" ht="15.75" customHeight="1">
      <c r="A183" s="11">
        <v>28</v>
      </c>
      <c r="D183" s="32"/>
      <c r="E183" s="32"/>
      <c r="G183" s="556"/>
      <c r="H183" s="551"/>
      <c r="J183" s="32"/>
    </row>
    <row r="184" spans="1:11" ht="15.75" customHeight="1">
      <c r="A184" s="11">
        <v>28</v>
      </c>
      <c r="D184" s="32"/>
      <c r="E184" s="32"/>
      <c r="G184" s="556"/>
      <c r="H184" s="551"/>
    </row>
    <row r="185" spans="1:11" ht="15.75" customHeight="1">
      <c r="A185" s="11">
        <v>28</v>
      </c>
      <c r="D185" s="32"/>
      <c r="E185" s="32"/>
      <c r="G185" s="556"/>
      <c r="H185" s="551"/>
    </row>
    <row r="186" spans="1:11" ht="15.75" customHeight="1">
      <c r="A186" s="11">
        <v>28</v>
      </c>
      <c r="D186" s="32"/>
      <c r="E186" s="32"/>
      <c r="G186" s="556"/>
      <c r="H186" s="551"/>
    </row>
    <row r="187" spans="1:11" ht="32.25" customHeight="1">
      <c r="A187" s="11">
        <v>29</v>
      </c>
      <c r="D187" s="32"/>
      <c r="E187" s="32"/>
      <c r="G187" s="556"/>
      <c r="H187" s="551"/>
      <c r="I187" s="550"/>
    </row>
    <row r="188" spans="1:11" ht="15" customHeight="1">
      <c r="A188" s="11">
        <v>29</v>
      </c>
      <c r="D188" s="32"/>
      <c r="E188" s="32"/>
      <c r="G188" s="556"/>
      <c r="H188" s="551"/>
      <c r="I188" s="550"/>
    </row>
    <row r="189" spans="1:11" ht="15.75" customHeight="1">
      <c r="A189" s="11">
        <v>29</v>
      </c>
      <c r="D189" s="32"/>
      <c r="E189" s="32"/>
      <c r="G189" s="556"/>
      <c r="H189" s="551"/>
      <c r="I189" s="134"/>
    </row>
    <row r="190" spans="1:11" ht="15.75" customHeight="1">
      <c r="A190" s="11">
        <v>29</v>
      </c>
      <c r="D190" s="32"/>
      <c r="E190" s="32"/>
      <c r="G190" s="556"/>
      <c r="H190" s="551"/>
      <c r="I190" s="134"/>
    </row>
    <row r="191" spans="1:11" ht="15.75" customHeight="1">
      <c r="A191" s="11">
        <v>31</v>
      </c>
      <c r="D191" s="32"/>
      <c r="E191" s="32"/>
      <c r="G191" s="549"/>
      <c r="H191" s="551"/>
    </row>
    <row r="192" spans="1:11" ht="15.75" customHeight="1">
      <c r="A192" s="11">
        <v>31</v>
      </c>
      <c r="D192" s="32"/>
      <c r="E192" s="32"/>
      <c r="G192" s="549"/>
      <c r="H192" s="551"/>
    </row>
    <row r="193" spans="1:8" ht="15.75" customHeight="1">
      <c r="A193" s="11">
        <v>235</v>
      </c>
      <c r="D193" s="32"/>
      <c r="E193" s="32"/>
      <c r="G193" s="550"/>
      <c r="H193" s="551"/>
    </row>
    <row r="194" spans="1:8" ht="15.75" customHeight="1">
      <c r="A194" s="11">
        <v>236</v>
      </c>
      <c r="D194" s="32"/>
      <c r="E194" s="32"/>
      <c r="G194" s="550"/>
      <c r="H194" s="551"/>
    </row>
    <row r="195" spans="1:8" ht="15.75" customHeight="1">
      <c r="A195" s="11">
        <v>237</v>
      </c>
      <c r="D195" s="32"/>
      <c r="E195" s="32"/>
      <c r="G195" s="550"/>
    </row>
    <row r="196" spans="1:8" ht="15.75" customHeight="1">
      <c r="A196" s="11">
        <v>238</v>
      </c>
      <c r="D196" s="32"/>
      <c r="E196" s="32"/>
      <c r="G196" s="550"/>
    </row>
    <row r="197" spans="1:8" ht="15.75" customHeight="1">
      <c r="A197" s="11">
        <v>239</v>
      </c>
      <c r="D197" s="32"/>
      <c r="E197" s="32"/>
      <c r="G197" s="549"/>
    </row>
    <row r="198" spans="1:8" ht="15.75" customHeight="1">
      <c r="A198" s="11">
        <v>240</v>
      </c>
      <c r="D198" s="22"/>
      <c r="E198" s="32"/>
      <c r="G198" s="549"/>
    </row>
    <row r="199" spans="1:8" ht="15.75" customHeight="1">
      <c r="A199" s="11">
        <v>243</v>
      </c>
      <c r="D199" s="22"/>
      <c r="G199" s="556"/>
    </row>
    <row r="200" spans="1:8" ht="15.75" customHeight="1">
      <c r="A200" s="11">
        <v>244</v>
      </c>
      <c r="D200" s="22"/>
      <c r="E200" s="22"/>
      <c r="G200" s="556"/>
    </row>
    <row r="201" spans="1:8" ht="15.75" customHeight="1">
      <c r="A201" s="11">
        <v>245</v>
      </c>
      <c r="D201" s="22"/>
      <c r="E201" s="22"/>
      <c r="G201" s="556"/>
    </row>
    <row r="202" spans="1:8" ht="15" customHeight="1">
      <c r="A202" s="11">
        <v>246</v>
      </c>
      <c r="D202" s="22"/>
      <c r="E202" s="22"/>
      <c r="G202" s="556"/>
    </row>
    <row r="203" spans="1:8" ht="15" customHeight="1">
      <c r="A203" s="11">
        <v>247</v>
      </c>
      <c r="D203" s="22"/>
      <c r="E203" s="22"/>
      <c r="G203" s="556"/>
    </row>
    <row r="204" spans="1:8" ht="15" customHeight="1">
      <c r="A204" s="11">
        <v>248</v>
      </c>
      <c r="E204" s="22"/>
      <c r="G204" s="556"/>
    </row>
    <row r="205" spans="1:8" ht="15" customHeight="1">
      <c r="A205" s="11">
        <v>249</v>
      </c>
      <c r="D205" s="38"/>
      <c r="E205" s="22"/>
      <c r="G205" s="556"/>
    </row>
    <row r="206" spans="1:8" ht="15" customHeight="1">
      <c r="A206" s="11">
        <v>250</v>
      </c>
      <c r="E206" s="22"/>
      <c r="G206" s="556"/>
    </row>
    <row r="207" spans="1:8" ht="15" customHeight="1">
      <c r="A207" s="11">
        <v>251</v>
      </c>
      <c r="D207" s="22"/>
      <c r="E207" s="22"/>
      <c r="G207" s="549"/>
    </row>
    <row r="208" spans="1:8" ht="15" customHeight="1">
      <c r="A208" s="11">
        <v>251</v>
      </c>
      <c r="D208" s="22"/>
      <c r="E208" s="22"/>
      <c r="G208" s="549"/>
    </row>
    <row r="209" spans="1:13" ht="15" customHeight="1">
      <c r="A209" s="11">
        <v>252</v>
      </c>
      <c r="D209" s="22"/>
      <c r="E209" s="22"/>
      <c r="G209" s="549"/>
    </row>
    <row r="210" spans="1:13" s="22" customFormat="1" ht="15" customHeight="1">
      <c r="A210" s="11">
        <v>253</v>
      </c>
      <c r="B210" s="20"/>
      <c r="C210" s="20"/>
      <c r="F210" s="21"/>
      <c r="G210" s="549"/>
      <c r="I210" s="11"/>
      <c r="J210" s="11"/>
      <c r="K210" s="11"/>
      <c r="L210" s="11"/>
      <c r="M210" s="11"/>
    </row>
    <row r="211" spans="1:13" s="22" customFormat="1" ht="15" customHeight="1">
      <c r="A211" s="11">
        <v>254</v>
      </c>
      <c r="B211" s="20"/>
      <c r="C211" s="20"/>
      <c r="F211" s="21"/>
      <c r="G211" s="549"/>
      <c r="I211" s="11"/>
      <c r="J211" s="11"/>
      <c r="K211" s="11"/>
      <c r="L211" s="11"/>
      <c r="M211" s="11"/>
    </row>
    <row r="212" spans="1:13" s="22" customFormat="1" ht="15" customHeight="1">
      <c r="A212" s="11">
        <v>255</v>
      </c>
      <c r="B212" s="20"/>
      <c r="C212" s="20"/>
      <c r="F212" s="21"/>
      <c r="G212" s="548"/>
      <c r="I212" s="11"/>
      <c r="J212" s="11"/>
      <c r="K212" s="11"/>
      <c r="L212" s="11"/>
      <c r="M212" s="11"/>
    </row>
    <row r="213" spans="1:13" s="22" customFormat="1" ht="15" customHeight="1">
      <c r="A213" s="11">
        <v>256</v>
      </c>
      <c r="B213" s="20"/>
      <c r="C213" s="20"/>
      <c r="F213" s="21"/>
      <c r="G213" s="548"/>
      <c r="I213" s="11"/>
      <c r="J213" s="11"/>
      <c r="K213" s="11"/>
      <c r="L213" s="11"/>
      <c r="M213" s="11"/>
    </row>
    <row r="214" spans="1:13" s="22" customFormat="1" ht="15" customHeight="1">
      <c r="A214" s="11">
        <v>257</v>
      </c>
      <c r="B214" s="20"/>
      <c r="C214" s="20"/>
      <c r="F214" s="21"/>
      <c r="G214" s="549"/>
      <c r="I214" s="11"/>
      <c r="J214" s="11"/>
      <c r="K214" s="11"/>
      <c r="L214" s="11"/>
      <c r="M214" s="11"/>
    </row>
    <row r="215" spans="1:13" s="22" customFormat="1" ht="15" customHeight="1">
      <c r="A215" s="11">
        <v>258</v>
      </c>
      <c r="B215" s="20"/>
      <c r="C215" s="20"/>
      <c r="F215" s="21"/>
      <c r="G215" s="549"/>
      <c r="I215" s="11"/>
      <c r="J215" s="11"/>
      <c r="K215" s="11"/>
      <c r="L215" s="11"/>
      <c r="M215" s="11"/>
    </row>
    <row r="216" spans="1:13" s="22" customFormat="1" ht="15" customHeight="1">
      <c r="A216" s="11">
        <v>259</v>
      </c>
      <c r="B216" s="20"/>
      <c r="C216" s="20"/>
      <c r="F216" s="21"/>
      <c r="G216" s="550"/>
      <c r="I216" s="11"/>
      <c r="J216" s="11"/>
      <c r="K216" s="11"/>
      <c r="L216" s="11"/>
      <c r="M216" s="11"/>
    </row>
    <row r="217" spans="1:13" s="22" customFormat="1" ht="15" customHeight="1">
      <c r="A217" s="11">
        <v>260</v>
      </c>
      <c r="B217" s="20"/>
      <c r="C217" s="20"/>
      <c r="F217" s="21"/>
      <c r="G217" s="550"/>
      <c r="I217" s="11"/>
      <c r="J217" s="11"/>
      <c r="K217" s="11"/>
      <c r="L217" s="11"/>
      <c r="M217" s="11"/>
    </row>
    <row r="218" spans="1:13" s="22" customFormat="1" ht="15" customHeight="1">
      <c r="A218" s="11">
        <v>261</v>
      </c>
      <c r="B218" s="20"/>
      <c r="C218" s="20"/>
      <c r="F218" s="21"/>
      <c r="G218" s="548"/>
      <c r="I218" s="11"/>
      <c r="J218" s="11"/>
      <c r="K218" s="11"/>
      <c r="L218" s="11"/>
      <c r="M218" s="11"/>
    </row>
    <row r="219" spans="1:13" s="22" customFormat="1" ht="15" customHeight="1">
      <c r="A219" s="11">
        <v>262</v>
      </c>
      <c r="B219" s="20"/>
      <c r="C219" s="20"/>
      <c r="F219" s="21"/>
      <c r="G219" s="548"/>
      <c r="I219" s="11"/>
      <c r="J219" s="11"/>
      <c r="K219" s="11"/>
      <c r="L219" s="11"/>
      <c r="M219" s="11"/>
    </row>
    <row r="220" spans="1:13" s="22" customFormat="1" ht="15" customHeight="1">
      <c r="A220" s="11">
        <v>263</v>
      </c>
      <c r="B220" s="20"/>
      <c r="C220" s="20"/>
      <c r="D220" s="11"/>
      <c r="F220" s="21"/>
      <c r="G220" s="548"/>
      <c r="I220" s="11"/>
      <c r="J220" s="11"/>
      <c r="K220" s="11"/>
      <c r="L220" s="11"/>
      <c r="M220" s="11"/>
    </row>
    <row r="221" spans="1:13" s="22" customFormat="1" ht="15" customHeight="1">
      <c r="A221" s="11">
        <v>264</v>
      </c>
      <c r="B221" s="20"/>
      <c r="C221" s="20"/>
      <c r="F221" s="21"/>
      <c r="G221" s="548"/>
      <c r="I221" s="11"/>
      <c r="J221" s="11"/>
      <c r="K221" s="11"/>
      <c r="L221" s="11"/>
      <c r="M221" s="11"/>
    </row>
    <row r="222" spans="1:13" s="22" customFormat="1" ht="15" customHeight="1">
      <c r="A222" s="11">
        <v>265</v>
      </c>
      <c r="B222" s="20"/>
      <c r="C222" s="20"/>
      <c r="F222" s="21"/>
      <c r="G222" s="548"/>
      <c r="I222" s="11"/>
      <c r="J222" s="11"/>
      <c r="K222" s="11"/>
      <c r="L222" s="11"/>
      <c r="M222" s="11"/>
    </row>
    <row r="223" spans="1:13" s="22" customFormat="1" ht="15" customHeight="1">
      <c r="A223" s="11">
        <v>266</v>
      </c>
      <c r="B223" s="20"/>
      <c r="C223" s="20"/>
      <c r="F223" s="21"/>
      <c r="G223" s="548"/>
      <c r="I223" s="11"/>
      <c r="J223" s="11"/>
      <c r="K223" s="11"/>
      <c r="L223" s="11"/>
      <c r="M223" s="11"/>
    </row>
    <row r="224" spans="1:13" s="22" customFormat="1" ht="15" customHeight="1">
      <c r="A224" s="11">
        <v>267</v>
      </c>
      <c r="B224" s="20"/>
      <c r="C224" s="20"/>
      <c r="F224" s="21"/>
      <c r="G224" s="548"/>
      <c r="I224" s="11"/>
      <c r="J224" s="11"/>
      <c r="K224" s="11"/>
      <c r="L224" s="11"/>
      <c r="M224" s="11"/>
    </row>
    <row r="225" spans="1:13" s="22" customFormat="1" ht="15" customHeight="1">
      <c r="A225" s="11">
        <v>268</v>
      </c>
      <c r="B225" s="20"/>
      <c r="C225" s="20"/>
      <c r="D225" s="11"/>
      <c r="E225" s="38"/>
      <c r="F225" s="21"/>
      <c r="G225" s="548"/>
      <c r="I225" s="11"/>
      <c r="J225" s="11"/>
      <c r="K225" s="11"/>
      <c r="L225" s="11"/>
      <c r="M225" s="11"/>
    </row>
    <row r="226" spans="1:13" s="22" customFormat="1" ht="15" customHeight="1">
      <c r="A226" s="11">
        <v>269</v>
      </c>
      <c r="B226" s="20"/>
      <c r="C226" s="20"/>
      <c r="D226" s="32"/>
      <c r="E226" s="32"/>
      <c r="F226" s="21"/>
      <c r="G226" s="550"/>
      <c r="I226" s="11"/>
      <c r="J226" s="11"/>
      <c r="K226" s="11"/>
      <c r="L226" s="11"/>
      <c r="M226" s="11"/>
    </row>
    <row r="227" spans="1:13" s="22" customFormat="1" ht="15" customHeight="1">
      <c r="A227" s="11">
        <v>270</v>
      </c>
      <c r="B227" s="20"/>
      <c r="C227" s="20"/>
      <c r="D227" s="32"/>
      <c r="E227" s="32"/>
      <c r="F227" s="21"/>
      <c r="G227" s="550"/>
      <c r="I227" s="11"/>
      <c r="J227" s="11"/>
      <c r="K227" s="11"/>
      <c r="L227" s="11"/>
      <c r="M227" s="11"/>
    </row>
    <row r="228" spans="1:13" s="22" customFormat="1" ht="15" customHeight="1">
      <c r="A228" s="11">
        <v>271</v>
      </c>
      <c r="B228" s="20"/>
      <c r="C228" s="20"/>
      <c r="D228" s="32"/>
      <c r="E228" s="32"/>
      <c r="F228" s="21"/>
      <c r="G228" s="550"/>
      <c r="I228" s="11"/>
      <c r="J228" s="11"/>
      <c r="K228" s="11"/>
      <c r="L228" s="11"/>
      <c r="M228" s="11"/>
    </row>
    <row r="229" spans="1:13" s="22" customFormat="1" ht="15" customHeight="1">
      <c r="A229" s="11">
        <v>272</v>
      </c>
      <c r="B229" s="20"/>
      <c r="C229" s="20"/>
      <c r="D229" s="32"/>
      <c r="E229" s="32"/>
      <c r="F229" s="21"/>
      <c r="G229" s="550"/>
      <c r="I229" s="11"/>
      <c r="J229" s="11"/>
      <c r="K229" s="11"/>
      <c r="L229" s="11"/>
      <c r="M229" s="11"/>
    </row>
    <row r="230" spans="1:13" s="22" customFormat="1" ht="15" customHeight="1">
      <c r="A230" s="11">
        <v>273</v>
      </c>
      <c r="B230" s="20"/>
      <c r="C230" s="20"/>
      <c r="D230" s="32"/>
      <c r="E230" s="32"/>
      <c r="F230" s="21"/>
      <c r="G230" s="550"/>
      <c r="I230" s="11"/>
      <c r="J230" s="11"/>
      <c r="K230" s="11"/>
      <c r="L230" s="11"/>
      <c r="M230" s="11"/>
    </row>
    <row r="231" spans="1:13" s="22" customFormat="1" ht="15" customHeight="1">
      <c r="A231" s="11">
        <v>274</v>
      </c>
      <c r="B231" s="20"/>
      <c r="C231" s="20"/>
      <c r="D231" s="32"/>
      <c r="E231" s="32"/>
      <c r="F231" s="21"/>
      <c r="G231" s="550"/>
      <c r="I231" s="11"/>
      <c r="J231" s="11"/>
      <c r="K231" s="11"/>
      <c r="L231" s="11"/>
      <c r="M231" s="11"/>
    </row>
    <row r="232" spans="1:13" s="22" customFormat="1">
      <c r="A232" s="11">
        <v>275</v>
      </c>
      <c r="B232" s="20"/>
      <c r="C232" s="20"/>
      <c r="D232" s="11"/>
      <c r="E232" s="11"/>
      <c r="F232" s="21"/>
      <c r="G232" s="550"/>
      <c r="I232" s="11"/>
      <c r="J232" s="11"/>
      <c r="K232" s="11"/>
      <c r="L232" s="11"/>
      <c r="M232" s="11"/>
    </row>
    <row r="233" spans="1:13" s="22" customFormat="1">
      <c r="A233" s="11">
        <v>276</v>
      </c>
      <c r="B233" s="20"/>
      <c r="C233" s="20"/>
      <c r="D233" s="11"/>
      <c r="E233" s="11"/>
      <c r="F233" s="21"/>
      <c r="G233" s="550"/>
      <c r="I233" s="11"/>
      <c r="J233" s="11"/>
      <c r="K233" s="11"/>
      <c r="L233" s="11"/>
      <c r="M233" s="11"/>
    </row>
    <row r="234" spans="1:13" s="22" customFormat="1">
      <c r="A234" s="11">
        <v>277</v>
      </c>
      <c r="B234" s="20"/>
      <c r="C234" s="20"/>
      <c r="D234" s="32"/>
      <c r="E234" s="32"/>
      <c r="F234" s="21"/>
      <c r="G234" s="550"/>
      <c r="I234" s="11"/>
      <c r="J234" s="11"/>
      <c r="K234" s="11"/>
      <c r="L234" s="11"/>
      <c r="M234" s="11"/>
    </row>
    <row r="235" spans="1:13" s="22" customFormat="1">
      <c r="A235" s="11">
        <v>278</v>
      </c>
      <c r="B235" s="20"/>
      <c r="C235" s="20"/>
      <c r="D235" s="32"/>
      <c r="E235" s="32"/>
      <c r="F235" s="21"/>
      <c r="G235" s="550"/>
      <c r="I235" s="11"/>
      <c r="J235" s="11"/>
      <c r="K235" s="11"/>
      <c r="L235" s="11"/>
      <c r="M235" s="11"/>
    </row>
    <row r="236" spans="1:13" s="22" customFormat="1" ht="48" customHeight="1">
      <c r="A236" s="11">
        <v>279</v>
      </c>
      <c r="B236" s="20"/>
      <c r="C236" s="20"/>
      <c r="D236" s="11"/>
      <c r="E236" s="11"/>
      <c r="F236" s="21"/>
      <c r="G236" s="549"/>
      <c r="I236" s="11"/>
      <c r="J236" s="11"/>
      <c r="K236" s="11"/>
      <c r="L236" s="11"/>
      <c r="M236" s="11"/>
    </row>
    <row r="237" spans="1:13" s="22" customFormat="1" ht="54.75" customHeight="1">
      <c r="A237" s="11">
        <v>280</v>
      </c>
      <c r="B237" s="20"/>
      <c r="C237" s="20"/>
      <c r="D237" s="11"/>
      <c r="E237" s="11"/>
      <c r="F237" s="21"/>
      <c r="G237" s="549"/>
      <c r="I237" s="11"/>
      <c r="J237" s="11"/>
      <c r="K237" s="11"/>
      <c r="L237" s="11"/>
      <c r="M237" s="11"/>
    </row>
    <row r="238" spans="1:13" s="22" customFormat="1">
      <c r="A238" s="11">
        <v>281</v>
      </c>
      <c r="B238" s="20"/>
      <c r="C238" s="20"/>
      <c r="D238" s="11"/>
      <c r="E238" s="11"/>
      <c r="F238" s="21"/>
      <c r="G238" s="549"/>
      <c r="I238" s="11"/>
      <c r="J238" s="11"/>
      <c r="K238" s="11"/>
      <c r="L238" s="11"/>
      <c r="M238" s="11"/>
    </row>
    <row r="239" spans="1:13" s="22" customFormat="1">
      <c r="A239" s="11">
        <v>282</v>
      </c>
      <c r="B239" s="20"/>
      <c r="C239" s="20"/>
      <c r="D239" s="26"/>
      <c r="E239" s="11"/>
      <c r="F239" s="21"/>
      <c r="G239" s="549"/>
      <c r="I239" s="11"/>
      <c r="J239" s="11"/>
      <c r="K239" s="11"/>
      <c r="L239" s="11"/>
      <c r="M239" s="11"/>
    </row>
    <row r="240" spans="1:13" s="22" customFormat="1">
      <c r="A240" s="11">
        <v>283</v>
      </c>
      <c r="B240" s="20"/>
      <c r="C240" s="20"/>
      <c r="E240" s="11"/>
      <c r="F240" s="21"/>
      <c r="G240" s="549"/>
      <c r="I240" s="11"/>
      <c r="J240" s="11"/>
      <c r="K240" s="11"/>
      <c r="L240" s="11"/>
      <c r="M240" s="11"/>
    </row>
    <row r="241" spans="1:13" s="22" customFormat="1">
      <c r="A241" s="11">
        <v>284</v>
      </c>
      <c r="B241" s="20"/>
      <c r="C241" s="20"/>
      <c r="D241" s="11"/>
      <c r="E241" s="38"/>
      <c r="F241" s="21"/>
      <c r="G241" s="549"/>
      <c r="I241" s="11"/>
      <c r="J241" s="11"/>
      <c r="K241" s="11"/>
      <c r="L241" s="11"/>
      <c r="M241" s="11"/>
    </row>
    <row r="242" spans="1:13" s="22" customFormat="1">
      <c r="A242" s="11">
        <v>285</v>
      </c>
      <c r="B242" s="20"/>
      <c r="C242" s="20"/>
      <c r="E242" s="11"/>
      <c r="F242" s="21"/>
      <c r="G242" s="550"/>
      <c r="I242" s="11"/>
      <c r="J242" s="11"/>
      <c r="K242" s="11"/>
      <c r="L242" s="11"/>
      <c r="M242" s="11"/>
    </row>
    <row r="243" spans="1:13" s="22" customFormat="1">
      <c r="A243" s="11">
        <v>286</v>
      </c>
      <c r="B243" s="20"/>
      <c r="C243" s="20"/>
      <c r="D243" s="11"/>
      <c r="E243" s="38"/>
      <c r="F243" s="21"/>
      <c r="G243" s="550"/>
      <c r="I243" s="11"/>
      <c r="J243" s="11"/>
      <c r="K243" s="11"/>
      <c r="L243" s="11"/>
      <c r="M243" s="11"/>
    </row>
    <row r="244" spans="1:13" s="22" customFormat="1">
      <c r="A244" s="11">
        <v>287</v>
      </c>
      <c r="B244" s="20"/>
      <c r="C244" s="20"/>
      <c r="D244" s="11"/>
      <c r="E244" s="11"/>
      <c r="F244" s="21"/>
      <c r="G244" s="550"/>
      <c r="I244" s="11"/>
      <c r="J244" s="11"/>
      <c r="K244" s="11"/>
      <c r="L244" s="11"/>
      <c r="M244" s="11"/>
    </row>
    <row r="245" spans="1:13" s="22" customFormat="1">
      <c r="A245" s="11">
        <v>288</v>
      </c>
      <c r="B245" s="20"/>
      <c r="C245" s="20"/>
      <c r="D245" s="11"/>
      <c r="E245" s="11"/>
      <c r="F245" s="21"/>
      <c r="G245" s="550"/>
      <c r="I245" s="11"/>
      <c r="J245" s="11"/>
      <c r="K245" s="11"/>
      <c r="L245" s="11"/>
      <c r="M245" s="11"/>
    </row>
    <row r="246" spans="1:13" s="22" customFormat="1">
      <c r="A246" s="11">
        <v>289</v>
      </c>
      <c r="B246" s="20"/>
      <c r="C246" s="20"/>
      <c r="D246" s="11"/>
      <c r="E246" s="32"/>
      <c r="F246" s="21"/>
      <c r="G246" s="133"/>
      <c r="I246" s="11"/>
      <c r="J246" s="11"/>
      <c r="K246" s="11"/>
      <c r="L246" s="11"/>
      <c r="M246" s="11"/>
    </row>
    <row r="247" spans="1:13" s="22" customFormat="1">
      <c r="A247" s="11">
        <v>290</v>
      </c>
      <c r="B247" s="20"/>
      <c r="C247" s="20"/>
      <c r="D247" s="32"/>
      <c r="E247" s="11"/>
      <c r="F247" s="21"/>
      <c r="G247" s="133"/>
      <c r="I247" s="11"/>
      <c r="J247" s="11"/>
      <c r="K247" s="11"/>
      <c r="L247" s="11"/>
      <c r="M247" s="11"/>
    </row>
  </sheetData>
  <mergeCells count="38">
    <mergeCell ref="G238:G239"/>
    <mergeCell ref="G240:G241"/>
    <mergeCell ref="G242:G243"/>
    <mergeCell ref="G244:G245"/>
    <mergeCell ref="G221:G225"/>
    <mergeCell ref="G226:G227"/>
    <mergeCell ref="G228:G231"/>
    <mergeCell ref="G232:G233"/>
    <mergeCell ref="G234:G235"/>
    <mergeCell ref="G236:G237"/>
    <mergeCell ref="G218:G220"/>
    <mergeCell ref="G191:G192"/>
    <mergeCell ref="G193:G194"/>
    <mergeCell ref="G195:G196"/>
    <mergeCell ref="G197:G198"/>
    <mergeCell ref="G199:G204"/>
    <mergeCell ref="G205:G206"/>
    <mergeCell ref="G207:G209"/>
    <mergeCell ref="G210:G211"/>
    <mergeCell ref="G212:G213"/>
    <mergeCell ref="G214:G215"/>
    <mergeCell ref="G216:G217"/>
    <mergeCell ref="I187:I188"/>
    <mergeCell ref="D2:E2"/>
    <mergeCell ref="G167:G170"/>
    <mergeCell ref="H167:H194"/>
    <mergeCell ref="I167:I170"/>
    <mergeCell ref="G171:G172"/>
    <mergeCell ref="I171:I172"/>
    <mergeCell ref="G173:G174"/>
    <mergeCell ref="I173:I174"/>
    <mergeCell ref="G175:G176"/>
    <mergeCell ref="I175:I176"/>
    <mergeCell ref="G177:G178"/>
    <mergeCell ref="G179:G180"/>
    <mergeCell ref="G181:G182"/>
    <mergeCell ref="G183:G186"/>
    <mergeCell ref="G187:G190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19"/>
  <sheetViews>
    <sheetView workbookViewId="0">
      <selection activeCell="N45" sqref="N45"/>
    </sheetView>
  </sheetViews>
  <sheetFormatPr baseColWidth="10" defaultColWidth="8.7109375" defaultRowHeight="16"/>
  <cols>
    <col min="2" max="2" width="24.42578125" style="130" bestFit="1" customWidth="1"/>
  </cols>
  <sheetData>
    <row r="1" spans="1:3">
      <c r="A1" s="49" t="s">
        <v>618</v>
      </c>
      <c r="B1" s="49" t="s">
        <v>849</v>
      </c>
      <c r="C1" s="49" t="s">
        <v>850</v>
      </c>
    </row>
    <row r="2" spans="1:3">
      <c r="A2" s="2">
        <v>10001</v>
      </c>
      <c r="B2" s="3" t="str">
        <f>"Citibank"</f>
        <v>Citibank</v>
      </c>
      <c r="C2" s="2">
        <v>1100</v>
      </c>
    </row>
    <row r="3" spans="1:3">
      <c r="A3" s="2">
        <v>10601</v>
      </c>
      <c r="B3" s="3" t="str">
        <f>"Imperva Inc"</f>
        <v>Imperva Inc</v>
      </c>
      <c r="C3" s="2">
        <v>1400</v>
      </c>
    </row>
    <row r="4" spans="1:3">
      <c r="A4" s="2">
        <v>5002</v>
      </c>
      <c r="B4" s="3" t="str">
        <f>"Mitiga Security Inc"</f>
        <v>Mitiga Security Inc</v>
      </c>
      <c r="C4" s="2">
        <v>1500</v>
      </c>
    </row>
    <row r="5" spans="1:3">
      <c r="A5" s="2">
        <v>6004</v>
      </c>
      <c r="B5" s="3" t="str">
        <f>"Prepaid Expenses"</f>
        <v>Prepaid Expenses</v>
      </c>
      <c r="C5" s="2">
        <v>1600</v>
      </c>
    </row>
    <row r="6" spans="1:3">
      <c r="A6" s="2">
        <v>5001</v>
      </c>
      <c r="B6" s="3" t="str">
        <f>"Mitiga UK LTD"</f>
        <v>Mitiga UK LTD</v>
      </c>
      <c r="C6" s="2">
        <v>3500</v>
      </c>
    </row>
    <row r="7" spans="1:3">
      <c r="A7" s="2">
        <v>5003</v>
      </c>
      <c r="B7" s="3" t="str">
        <f>"Mitiga LTD"</f>
        <v>Mitiga LTD</v>
      </c>
      <c r="C7" s="2">
        <v>1500</v>
      </c>
    </row>
    <row r="8" spans="1:3">
      <c r="A8" s="2">
        <v>40200</v>
      </c>
      <c r="B8" s="3" t="str">
        <f>"Revenue"</f>
        <v>Revenue</v>
      </c>
      <c r="C8" s="2">
        <v>5200</v>
      </c>
    </row>
    <row r="9" spans="1:3">
      <c r="A9" s="2">
        <v>7100</v>
      </c>
      <c r="B9" s="3" t="str">
        <f>"Direct project expenses"</f>
        <v>Direct project expenses</v>
      </c>
      <c r="C9" s="2">
        <v>5320</v>
      </c>
    </row>
    <row r="10" spans="1:3">
      <c r="A10" s="2">
        <v>6130</v>
      </c>
      <c r="B10" s="3" t="str">
        <f>"Business owner insurance"</f>
        <v>Business owner insurance</v>
      </c>
      <c r="C10" s="2">
        <v>5660</v>
      </c>
    </row>
    <row r="11" spans="1:3">
      <c r="A11" s="2">
        <v>6131</v>
      </c>
      <c r="B11" s="3" t="str">
        <f>"General Liability workers insurance"</f>
        <v>General Liability workers insurance</v>
      </c>
      <c r="C11" s="2">
        <v>5660</v>
      </c>
    </row>
    <row r="12" spans="1:3">
      <c r="A12" s="2">
        <v>9999</v>
      </c>
      <c r="B12" s="3" t="str">
        <f>"ביטול יתרות"</f>
        <v>ביטול יתרות</v>
      </c>
      <c r="C12" s="2">
        <v>5700</v>
      </c>
    </row>
    <row r="13" spans="1:3">
      <c r="A13" s="2">
        <v>9006</v>
      </c>
      <c r="B13" s="3" t="str">
        <f>"עמלות וריביות בנק"</f>
        <v>עמלות וריביות בנק</v>
      </c>
      <c r="C13" s="2">
        <v>5700</v>
      </c>
    </row>
    <row r="14" spans="1:3">
      <c r="A14" s="2">
        <v>9007</v>
      </c>
      <c r="B14" s="3" t="str">
        <f>"עמלות כרטיסי אשראי"</f>
        <v>עמלות כרטיסי אשראי</v>
      </c>
      <c r="C14" s="2">
        <v>5700</v>
      </c>
    </row>
    <row r="15" spans="1:3">
      <c r="A15" s="2">
        <v>8002</v>
      </c>
      <c r="B15" s="3" t="str">
        <f>"Delivery Subcontractors"</f>
        <v>Delivery Subcontractors</v>
      </c>
      <c r="C15" s="2">
        <v>5320</v>
      </c>
    </row>
    <row r="16" spans="1:3">
      <c r="A16" s="2">
        <v>6001</v>
      </c>
      <c r="B16" s="41" t="s">
        <v>689</v>
      </c>
      <c r="C16" s="2">
        <v>3800</v>
      </c>
    </row>
    <row r="17" spans="1:3">
      <c r="A17" s="2">
        <v>7003</v>
      </c>
      <c r="B17" s="41" t="s">
        <v>946</v>
      </c>
      <c r="C17" s="2">
        <v>5200</v>
      </c>
    </row>
    <row r="18" spans="1:3">
      <c r="A18" s="2">
        <v>9991</v>
      </c>
      <c r="B18" s="2" t="str">
        <f>"Retained Earnings - Prior"</f>
        <v>Retained Earnings - Prior</v>
      </c>
      <c r="C18" s="2">
        <v>5110</v>
      </c>
    </row>
    <row r="19" spans="1:3">
      <c r="A19" s="2">
        <v>8029</v>
      </c>
      <c r="B19" s="2" t="str">
        <f>"Fees and taxes"</f>
        <v>Fees and taxes</v>
      </c>
      <c r="C19" s="2">
        <v>5660</v>
      </c>
    </row>
  </sheetData>
  <autoFilter ref="A1:C19" xr:uid="{00000000-0009-0000-0000-00000C000000}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filterMode="1">
    <pageSetUpPr fitToPage="1"/>
  </sheetPr>
  <dimension ref="A1:F103"/>
  <sheetViews>
    <sheetView zoomScale="130" zoomScaleNormal="130" workbookViewId="0">
      <selection activeCell="E95" sqref="E95:E98"/>
    </sheetView>
  </sheetViews>
  <sheetFormatPr baseColWidth="10" defaultColWidth="8.85546875" defaultRowHeight="13"/>
  <cols>
    <col min="1" max="1" width="9.140625" style="2" bestFit="1" customWidth="1"/>
    <col min="2" max="2" width="7.140625" style="2"/>
    <col min="3" max="3" width="26.28515625" style="2" customWidth="1"/>
    <col min="4" max="5" width="10.140625" style="18" bestFit="1" customWidth="1"/>
    <col min="6" max="6" width="9.140625" style="2" bestFit="1" customWidth="1"/>
    <col min="7" max="16384" width="8.85546875" style="2"/>
  </cols>
  <sheetData>
    <row r="1" spans="1:6" s="79" customFormat="1" ht="14">
      <c r="A1" s="153" t="s">
        <v>4</v>
      </c>
      <c r="B1" s="2" t="s">
        <v>618</v>
      </c>
      <c r="C1" s="2" t="s">
        <v>619</v>
      </c>
      <c r="D1" s="18" t="s">
        <v>947</v>
      </c>
      <c r="E1" s="18" t="s">
        <v>620</v>
      </c>
      <c r="F1" s="272"/>
    </row>
    <row r="2" spans="1:6" ht="13.25" hidden="1" customHeight="1">
      <c r="A2" s="2">
        <f>VLOOKUP(B2,'codes UK'!A:C,3,0)</f>
        <v>1110</v>
      </c>
      <c r="B2" s="2">
        <v>1100</v>
      </c>
      <c r="C2" s="2" t="s">
        <v>948</v>
      </c>
      <c r="D2" s="18">
        <v>2850.39</v>
      </c>
      <c r="E2" s="18">
        <v>3852.24</v>
      </c>
      <c r="F2" s="273">
        <f t="shared" ref="F2:F29" si="0">E2/D2</f>
        <v>1.3514782187700631</v>
      </c>
    </row>
    <row r="3" spans="1:6" ht="13.25" hidden="1" customHeight="1">
      <c r="A3" s="2">
        <f>VLOOKUP(B3,'codes UK'!A:C,3,0)</f>
        <v>1110</v>
      </c>
      <c r="B3" s="2">
        <v>1102</v>
      </c>
      <c r="C3" s="2" t="s">
        <v>949</v>
      </c>
      <c r="D3" s="18">
        <v>377962.67</v>
      </c>
      <c r="E3" s="18">
        <v>510808.65</v>
      </c>
      <c r="F3" s="273">
        <f t="shared" si="0"/>
        <v>1.351479102420353</v>
      </c>
    </row>
    <row r="4" spans="1:6" ht="13.25" hidden="1" customHeight="1">
      <c r="A4" s="2">
        <f>VLOOKUP(B4,'codes UK'!A:C,3,0)</f>
        <v>1300</v>
      </c>
      <c r="B4" s="2">
        <v>1103</v>
      </c>
      <c r="C4" s="2" t="s">
        <v>950</v>
      </c>
      <c r="D4" s="18">
        <v>15000</v>
      </c>
      <c r="E4" s="18">
        <v>20272.189999999999</v>
      </c>
      <c r="F4" s="273">
        <f t="shared" si="0"/>
        <v>1.3514793333333333</v>
      </c>
    </row>
    <row r="5" spans="1:6" ht="13.25" hidden="1" customHeight="1">
      <c r="A5" s="2">
        <f>VLOOKUP(B5,'codes UK'!A:C,3,0)</f>
        <v>1400</v>
      </c>
      <c r="B5" s="2">
        <v>2008</v>
      </c>
      <c r="C5" s="2" t="s">
        <v>376</v>
      </c>
      <c r="D5" s="18">
        <v>88080</v>
      </c>
      <c r="E5" s="18">
        <v>119038.28</v>
      </c>
      <c r="F5" s="273">
        <f t="shared" si="0"/>
        <v>1.3514791099000909</v>
      </c>
    </row>
    <row r="6" spans="1:6" ht="13.25" hidden="1" customHeight="1">
      <c r="A6" s="2">
        <f>VLOOKUP(B6,'codes UK'!A:C,3,0)</f>
        <v>3500</v>
      </c>
      <c r="B6" s="2">
        <v>2013</v>
      </c>
      <c r="C6" s="2" t="s">
        <v>342</v>
      </c>
      <c r="D6" s="18">
        <v>-113830.1</v>
      </c>
      <c r="E6" s="18">
        <v>-153839</v>
      </c>
      <c r="F6" s="273">
        <f t="shared" si="0"/>
        <v>1.3514790903284808</v>
      </c>
    </row>
    <row r="7" spans="1:6" ht="13.25" hidden="1" customHeight="1">
      <c r="A7" s="2">
        <f>VLOOKUP(B7,'codes UK'!A:C,3,0)</f>
        <v>1610</v>
      </c>
      <c r="B7" s="2">
        <v>4011</v>
      </c>
      <c r="C7" s="2" t="s">
        <v>951</v>
      </c>
      <c r="D7" s="18">
        <v>4152.42</v>
      </c>
      <c r="E7" s="18">
        <v>5611.91</v>
      </c>
      <c r="F7" s="273">
        <f t="shared" si="0"/>
        <v>1.3514793782902499</v>
      </c>
    </row>
    <row r="8" spans="1:6" ht="13.25" hidden="1" customHeight="1">
      <c r="A8" s="2">
        <f>VLOOKUP(B8,'codes UK'!A:C,3,0)</f>
        <v>1600</v>
      </c>
      <c r="B8" s="2">
        <v>6008</v>
      </c>
      <c r="C8" s="2" t="s">
        <v>645</v>
      </c>
      <c r="D8" s="18">
        <v>2292.61</v>
      </c>
      <c r="E8" s="18">
        <v>3093.05</v>
      </c>
      <c r="F8" s="273">
        <f t="shared" si="0"/>
        <v>1.3491391907040446</v>
      </c>
    </row>
    <row r="9" spans="1:6" ht="13.25" hidden="1" customHeight="1">
      <c r="A9" s="2">
        <f>VLOOKUP(B9,'codes UK'!A:C,3,0)</f>
        <v>1600</v>
      </c>
      <c r="B9" s="2">
        <v>6009</v>
      </c>
      <c r="C9" s="2" t="s">
        <v>25</v>
      </c>
      <c r="D9" s="18">
        <v>2757.58</v>
      </c>
      <c r="E9" s="18">
        <v>3073.58</v>
      </c>
      <c r="F9" s="273">
        <f t="shared" si="0"/>
        <v>1.1145932302961292</v>
      </c>
    </row>
    <row r="10" spans="1:6" ht="13.25" hidden="1" customHeight="1">
      <c r="A10" s="2">
        <f>VLOOKUP(B10,'codes UK'!A:C,3,0)</f>
        <v>3100</v>
      </c>
      <c r="B10" s="2">
        <v>6705</v>
      </c>
      <c r="C10" s="2" t="s">
        <v>374</v>
      </c>
      <c r="D10" s="18">
        <v>20495.3</v>
      </c>
      <c r="E10" s="18">
        <v>26887.96</v>
      </c>
      <c r="F10" s="273">
        <f t="shared" si="0"/>
        <v>1.3119085839192399</v>
      </c>
    </row>
    <row r="11" spans="1:6" ht="13.25" hidden="1" customHeight="1">
      <c r="A11" s="2">
        <f>VLOOKUP(B11,'codes UK'!A:C,3,0)</f>
        <v>3110</v>
      </c>
      <c r="B11" s="2">
        <v>6702</v>
      </c>
      <c r="C11" s="2" t="s">
        <v>952</v>
      </c>
      <c r="D11" s="18">
        <v>-7365.12</v>
      </c>
      <c r="E11" s="18">
        <v>-9443</v>
      </c>
      <c r="F11" s="273">
        <f t="shared" si="0"/>
        <v>1.282124391727494</v>
      </c>
    </row>
    <row r="12" spans="1:6" ht="13.25" hidden="1" customHeight="1">
      <c r="A12" s="2">
        <f>VLOOKUP(B12,'codes UK'!A:C,3,0)</f>
        <v>3400</v>
      </c>
      <c r="B12" s="2">
        <v>3004</v>
      </c>
      <c r="C12" s="2" t="s">
        <v>953</v>
      </c>
      <c r="D12" s="18">
        <v>-271.44</v>
      </c>
      <c r="E12" s="18">
        <v>-366.85</v>
      </c>
      <c r="F12" s="273">
        <f t="shared" si="0"/>
        <v>1.3514957264957266</v>
      </c>
    </row>
    <row r="13" spans="1:6" ht="13.25" hidden="1" customHeight="1">
      <c r="A13" s="2">
        <f>VLOOKUP(B13,'codes UK'!A:C,3,0)</f>
        <v>3400</v>
      </c>
      <c r="B13" s="2">
        <v>3020</v>
      </c>
      <c r="C13" s="2" t="s">
        <v>954</v>
      </c>
      <c r="D13" s="18">
        <v>-1127.98</v>
      </c>
      <c r="E13" s="18">
        <v>-1524.44</v>
      </c>
      <c r="F13" s="273">
        <f t="shared" si="0"/>
        <v>1.3514778630826787</v>
      </c>
    </row>
    <row r="14" spans="1:6" ht="13.25" hidden="1" customHeight="1">
      <c r="A14" s="2">
        <f>VLOOKUP(B14,'codes UK'!A:C,3,0)</f>
        <v>3400</v>
      </c>
      <c r="B14" s="2">
        <v>3013</v>
      </c>
      <c r="C14" s="2" t="s">
        <v>955</v>
      </c>
      <c r="D14" s="18">
        <v>-500</v>
      </c>
      <c r="E14" s="18">
        <v>-675.74</v>
      </c>
      <c r="F14" s="273">
        <f t="shared" si="0"/>
        <v>1.35148</v>
      </c>
    </row>
    <row r="15" spans="1:6" ht="13.25" hidden="1" customHeight="1">
      <c r="A15" s="2">
        <f>VLOOKUP(B15,'codes UK'!A:C,3,0)</f>
        <v>3500</v>
      </c>
      <c r="B15" s="2">
        <v>5003</v>
      </c>
      <c r="C15" s="2" t="s">
        <v>956</v>
      </c>
      <c r="D15" s="18">
        <v>-705496.25</v>
      </c>
      <c r="E15" s="18">
        <v>-953463.44</v>
      </c>
      <c r="F15" s="273">
        <f t="shared" si="0"/>
        <v>1.351479104247542</v>
      </c>
    </row>
    <row r="16" spans="1:6" ht="13.25" hidden="1" customHeight="1">
      <c r="A16" s="2">
        <f>VLOOKUP(B16,'codes UK'!A:C,3,0)</f>
        <v>3500</v>
      </c>
      <c r="B16" s="2">
        <v>5004</v>
      </c>
      <c r="C16" s="2" t="s">
        <v>957</v>
      </c>
      <c r="D16" s="18">
        <v>1851.33</v>
      </c>
      <c r="E16" s="18">
        <v>2502.0300000000002</v>
      </c>
      <c r="F16" s="273">
        <f t="shared" si="0"/>
        <v>1.3514770462316283</v>
      </c>
    </row>
    <row r="17" spans="1:6" ht="13.25" hidden="1" customHeight="1">
      <c r="A17" s="2">
        <f>VLOOKUP(B17,'codes UK'!A:C,3,0)</f>
        <v>3500</v>
      </c>
      <c r="B17" s="2">
        <v>5005</v>
      </c>
      <c r="C17" s="2" t="s">
        <v>342</v>
      </c>
      <c r="D17" s="18">
        <v>-368311.83</v>
      </c>
      <c r="E17" s="18">
        <v>-497765.74</v>
      </c>
      <c r="F17" s="273">
        <f t="shared" si="0"/>
        <v>1.3514790985671026</v>
      </c>
    </row>
    <row r="18" spans="1:6" ht="13.25" hidden="1" customHeight="1">
      <c r="A18" s="2">
        <f>VLOOKUP(B18,'codes UK'!A:C,3,0)</f>
        <v>3910</v>
      </c>
      <c r="B18" s="2">
        <v>5008</v>
      </c>
      <c r="C18" s="2" t="s">
        <v>49</v>
      </c>
      <c r="D18" s="18">
        <v>-1432.5</v>
      </c>
      <c r="E18" s="18">
        <v>-1935.99</v>
      </c>
      <c r="F18" s="273">
        <f t="shared" si="0"/>
        <v>1.3514764397905759</v>
      </c>
    </row>
    <row r="19" spans="1:6" ht="13.25" hidden="1" customHeight="1">
      <c r="A19" s="2">
        <f>VLOOKUP(B19,'codes UK'!A:C,3,0)</f>
        <v>3600</v>
      </c>
      <c r="B19" s="2">
        <v>5009</v>
      </c>
      <c r="C19" s="2" t="s">
        <v>958</v>
      </c>
      <c r="D19" s="18">
        <v>-18440</v>
      </c>
      <c r="E19" s="18">
        <v>-24921.27</v>
      </c>
      <c r="F19" s="273">
        <f t="shared" si="0"/>
        <v>1.3514788503253796</v>
      </c>
    </row>
    <row r="20" spans="1:6" ht="13.25" hidden="1" customHeight="1">
      <c r="A20" s="2">
        <f>VLOOKUP(B20,'codes UK'!A:C,3,0)</f>
        <v>3600</v>
      </c>
      <c r="B20" s="2">
        <v>5010</v>
      </c>
      <c r="C20" s="2" t="s">
        <v>959</v>
      </c>
      <c r="D20" s="18">
        <v>-36392</v>
      </c>
      <c r="E20" s="18">
        <v>-49183.03</v>
      </c>
      <c r="F20" s="273">
        <f t="shared" si="0"/>
        <v>1.3514791712464278</v>
      </c>
    </row>
    <row r="21" spans="1:6" ht="13.25" hidden="1" customHeight="1">
      <c r="A21" s="2">
        <f>VLOOKUP(B21,'codes UK'!A:C,3,0)</f>
        <v>3600</v>
      </c>
      <c r="B21" s="2">
        <v>5011</v>
      </c>
      <c r="C21" s="2" t="s">
        <v>960</v>
      </c>
      <c r="D21" s="18">
        <v>-73993</v>
      </c>
      <c r="E21" s="18">
        <v>-100000</v>
      </c>
      <c r="F21" s="273">
        <f t="shared" si="0"/>
        <v>1.3514791939778088</v>
      </c>
    </row>
    <row r="22" spans="1:6" ht="13.25" hidden="1" customHeight="1">
      <c r="A22" s="2">
        <f>VLOOKUP(B22,'codes UK'!A:C,3,0)</f>
        <v>3800</v>
      </c>
      <c r="B22" s="2">
        <v>6001</v>
      </c>
      <c r="C22" s="2" t="s">
        <v>689</v>
      </c>
      <c r="D22" s="18">
        <v>-91410.95</v>
      </c>
      <c r="E22" s="18">
        <v>-123540</v>
      </c>
      <c r="F22" s="273">
        <f t="shared" si="0"/>
        <v>1.3514792265040458</v>
      </c>
    </row>
    <row r="23" spans="1:6" ht="13.25" hidden="1" customHeight="1">
      <c r="A23" s="2">
        <f>VLOOKUP(B23,'codes UK'!A:C,3,0)</f>
        <v>3650</v>
      </c>
      <c r="B23" s="2">
        <v>4000</v>
      </c>
      <c r="C23" s="2" t="s">
        <v>961</v>
      </c>
      <c r="D23" s="18">
        <v>1740.43</v>
      </c>
      <c r="E23" s="18">
        <v>2352.15</v>
      </c>
      <c r="F23" s="273">
        <f t="shared" si="0"/>
        <v>1.3514763592905201</v>
      </c>
    </row>
    <row r="24" spans="1:6" ht="13.25" hidden="1" customHeight="1">
      <c r="A24" s="2">
        <f>VLOOKUP(B24,'codes UK'!A:C,3,0)</f>
        <v>3650</v>
      </c>
      <c r="B24" s="2">
        <v>4001</v>
      </c>
      <c r="C24" s="2" t="s">
        <v>962</v>
      </c>
      <c r="D24" s="18">
        <v>-8000</v>
      </c>
      <c r="E24" s="18">
        <v>-10811.83</v>
      </c>
      <c r="F24" s="273">
        <f t="shared" si="0"/>
        <v>1.3514787500000001</v>
      </c>
    </row>
    <row r="25" spans="1:6" ht="13.25" hidden="1" customHeight="1">
      <c r="A25" s="2">
        <f>VLOOKUP(B25,'codes UK'!A:C,3,0)</f>
        <v>3650</v>
      </c>
      <c r="B25" s="2">
        <v>4002</v>
      </c>
      <c r="C25" s="2" t="s">
        <v>963</v>
      </c>
      <c r="D25" s="18">
        <v>934.3</v>
      </c>
      <c r="E25" s="18">
        <v>1262.73</v>
      </c>
      <c r="F25" s="273">
        <f t="shared" si="0"/>
        <v>1.351525206036605</v>
      </c>
    </row>
    <row r="26" spans="1:6" ht="14" hidden="1">
      <c r="A26" s="2">
        <f>VLOOKUP(B26,'codes UK'!A:C,3,0)</f>
        <v>3600</v>
      </c>
      <c r="B26" s="2">
        <v>4010</v>
      </c>
      <c r="C26" s="2" t="s">
        <v>964</v>
      </c>
      <c r="D26" s="18">
        <v>-18639.439999999999</v>
      </c>
      <c r="E26" s="18">
        <v>-25190.81</v>
      </c>
      <c r="F26" s="273">
        <f t="shared" si="0"/>
        <v>1.3514789070916295</v>
      </c>
    </row>
    <row r="27" spans="1:6" ht="14" hidden="1">
      <c r="A27" s="2">
        <f>VLOOKUP(B27,'codes UK'!A:C,3,0)</f>
        <v>3900</v>
      </c>
      <c r="B27" s="2">
        <v>5100</v>
      </c>
      <c r="C27" s="2" t="s">
        <v>156</v>
      </c>
      <c r="D27" s="18">
        <v>-9191.86</v>
      </c>
      <c r="E27" s="18">
        <v>-12422.61</v>
      </c>
      <c r="F27" s="273">
        <f t="shared" si="0"/>
        <v>1.3514794611754313</v>
      </c>
    </row>
    <row r="28" spans="1:6" ht="14" hidden="1">
      <c r="A28" s="2">
        <f>VLOOKUP(B28,'codes UK'!A:C,3,0)</f>
        <v>3600</v>
      </c>
      <c r="B28" s="2">
        <v>5101</v>
      </c>
      <c r="C28" s="2" t="s">
        <v>965</v>
      </c>
      <c r="D28" s="18">
        <v>-8918.9699999999993</v>
      </c>
      <c r="E28" s="18">
        <v>-12053.8</v>
      </c>
      <c r="F28" s="273">
        <f t="shared" si="0"/>
        <v>1.3514789263782701</v>
      </c>
    </row>
    <row r="29" spans="1:6" ht="14" hidden="1">
      <c r="A29" s="2">
        <f>VLOOKUP(B29,'codes UK'!A:C,3,0)</f>
        <v>3600</v>
      </c>
      <c r="B29" s="2">
        <v>5103</v>
      </c>
      <c r="C29" s="2" t="s">
        <v>966</v>
      </c>
      <c r="D29" s="18">
        <v>-10279.64</v>
      </c>
      <c r="E29" s="18">
        <v>-13892.72</v>
      </c>
      <c r="F29" s="273">
        <f t="shared" si="0"/>
        <v>1.3514792346813702</v>
      </c>
    </row>
    <row r="30" spans="1:6" ht="14" hidden="1">
      <c r="A30" s="2">
        <f>VLOOKUP(B30,'codes UK'!A:C,3,0)</f>
        <v>3600</v>
      </c>
      <c r="B30" s="2">
        <v>5104</v>
      </c>
      <c r="C30" s="2" t="s">
        <v>967</v>
      </c>
      <c r="D30" s="18">
        <v>-1424.94</v>
      </c>
      <c r="E30" s="18">
        <v>-1925.78</v>
      </c>
      <c r="F30" s="273">
        <f t="shared" ref="F30:F61" si="1">E30/D30</f>
        <v>1.3514814658862828</v>
      </c>
    </row>
    <row r="31" spans="1:6" ht="14" hidden="1">
      <c r="A31" s="2">
        <f>VLOOKUP(B31,'codes UK'!A:C,3,0)</f>
        <v>3600</v>
      </c>
      <c r="B31" s="2">
        <v>5300</v>
      </c>
      <c r="C31" s="2" t="s">
        <v>968</v>
      </c>
      <c r="D31" s="18">
        <v>-4763.1899999999996</v>
      </c>
      <c r="E31" s="18">
        <v>-6437.35</v>
      </c>
      <c r="F31" s="273">
        <f t="shared" si="1"/>
        <v>1.3514787358891838</v>
      </c>
    </row>
    <row r="32" spans="1:6" ht="14" hidden="1">
      <c r="A32" s="2">
        <f>VLOOKUP(B32,'codes UK'!A:C,3,0)</f>
        <v>5110</v>
      </c>
      <c r="B32" s="2">
        <v>9901</v>
      </c>
      <c r="C32" s="2" t="s">
        <v>969</v>
      </c>
      <c r="D32" s="18">
        <v>54988.95</v>
      </c>
      <c r="E32" s="18">
        <v>73812.55</v>
      </c>
      <c r="F32" s="273">
        <f t="shared" si="1"/>
        <v>1.3423160471331059</v>
      </c>
    </row>
    <row r="33" spans="1:6" ht="14" hidden="1">
      <c r="A33" s="2">
        <f>VLOOKUP(B33,'codes UK'!A:C,3,0)</f>
        <v>4900</v>
      </c>
      <c r="B33" s="2">
        <v>9902</v>
      </c>
      <c r="C33" s="2" t="s">
        <v>970</v>
      </c>
      <c r="D33" s="18">
        <v>-100</v>
      </c>
      <c r="E33" s="18">
        <v>-129.63999999999999</v>
      </c>
      <c r="F33" s="273">
        <f t="shared" si="1"/>
        <v>1.2963999999999998</v>
      </c>
    </row>
    <row r="34" spans="1:6" ht="14" hidden="1">
      <c r="A34" s="2">
        <f>VLOOKUP(B34,'codes UK'!A:C,3,0)</f>
        <v>5200</v>
      </c>
      <c r="B34" s="2">
        <v>7003</v>
      </c>
      <c r="C34" s="2" t="s">
        <v>971</v>
      </c>
      <c r="D34" s="18">
        <v>124626.76</v>
      </c>
      <c r="E34" s="18">
        <v>169498</v>
      </c>
      <c r="F34" s="273">
        <f t="shared" si="1"/>
        <v>1.3600449855231733</v>
      </c>
    </row>
    <row r="35" spans="1:6" ht="14" hidden="1">
      <c r="A35" s="2">
        <f>VLOOKUP(B35,'codes UK'!A:C,3,0)</f>
        <v>5200</v>
      </c>
      <c r="B35" s="2">
        <v>7012</v>
      </c>
      <c r="C35" s="2" t="s">
        <v>433</v>
      </c>
      <c r="D35" s="18">
        <v>-139000</v>
      </c>
      <c r="E35" s="18">
        <v>-191265.38</v>
      </c>
      <c r="F35" s="273">
        <f t="shared" si="1"/>
        <v>1.376009928057554</v>
      </c>
    </row>
    <row r="36" spans="1:6" ht="14" hidden="1">
      <c r="A36" s="2">
        <f>VLOOKUP(B36,'codes UK'!A:C,3,0)</f>
        <v>5200</v>
      </c>
      <c r="B36" s="2">
        <v>7013</v>
      </c>
      <c r="C36" s="2" t="s">
        <v>972</v>
      </c>
      <c r="D36" s="18">
        <v>-24479.01</v>
      </c>
      <c r="E36" s="18">
        <v>-33745.42</v>
      </c>
      <c r="F36" s="273">
        <f t="shared" si="1"/>
        <v>1.3785451290718047</v>
      </c>
    </row>
    <row r="37" spans="1:6" ht="14" hidden="1">
      <c r="A37" s="2">
        <f>VLOOKUP(B37,'codes UK'!A:C,3,0)</f>
        <v>5600</v>
      </c>
      <c r="B37" s="2">
        <v>4013</v>
      </c>
      <c r="C37" s="2" t="s">
        <v>973</v>
      </c>
      <c r="D37" s="18">
        <v>-832.83</v>
      </c>
      <c r="E37" s="18">
        <v>-1120.92</v>
      </c>
      <c r="F37" s="273">
        <f t="shared" si="1"/>
        <v>1.3459169338280321</v>
      </c>
    </row>
    <row r="38" spans="1:6" ht="14" hidden="1">
      <c r="A38" s="2">
        <f>VLOOKUP(B38,'codes UK'!A:C,3,0)</f>
        <v>5500</v>
      </c>
      <c r="B38" s="2">
        <v>4014</v>
      </c>
      <c r="C38" s="2" t="s">
        <v>974</v>
      </c>
      <c r="D38" s="18">
        <v>-867.75</v>
      </c>
      <c r="E38" s="18">
        <v>-1167.5</v>
      </c>
      <c r="F38" s="273">
        <f t="shared" si="1"/>
        <v>1.3454335926246039</v>
      </c>
    </row>
    <row r="39" spans="1:6" ht="14" hidden="1">
      <c r="A39" s="2">
        <f>VLOOKUP(B39,'codes UK'!A:C,3,0)</f>
        <v>5500</v>
      </c>
      <c r="B39" s="2">
        <v>4015</v>
      </c>
      <c r="C39" s="2" t="s">
        <v>975</v>
      </c>
      <c r="D39" s="18">
        <v>-1335.8</v>
      </c>
      <c r="E39" s="18">
        <v>-1797.22</v>
      </c>
      <c r="F39" s="273">
        <f t="shared" si="1"/>
        <v>1.3454259619703548</v>
      </c>
    </row>
    <row r="40" spans="1:6" ht="14" hidden="1">
      <c r="A40" s="2">
        <f>VLOOKUP(B40,'codes UK'!A:C,3,0)</f>
        <v>5600</v>
      </c>
      <c r="B40" s="2">
        <v>8050</v>
      </c>
      <c r="C40" s="2" t="s">
        <v>728</v>
      </c>
      <c r="D40" s="18">
        <v>179375</v>
      </c>
      <c r="E40" s="18">
        <v>246706.37</v>
      </c>
      <c r="F40" s="273">
        <f t="shared" si="1"/>
        <v>1.3753665226480836</v>
      </c>
    </row>
    <row r="41" spans="1:6" ht="14" hidden="1">
      <c r="A41" s="2">
        <f>VLOOKUP(B41,'codes UK'!A:C,3,0)</f>
        <v>5603</v>
      </c>
      <c r="B41" s="2">
        <v>8051</v>
      </c>
      <c r="C41" s="2" t="s">
        <v>976</v>
      </c>
      <c r="D41" s="18">
        <v>304</v>
      </c>
      <c r="E41" s="18">
        <v>780.68</v>
      </c>
      <c r="F41" s="273">
        <f t="shared" si="1"/>
        <v>2.5680263157894734</v>
      </c>
    </row>
    <row r="42" spans="1:6" ht="13.25" hidden="1" customHeight="1">
      <c r="A42" s="2">
        <f>VLOOKUP(B42,'codes UK'!A:C,3,0)</f>
        <v>5600</v>
      </c>
      <c r="B42" s="2">
        <v>8052</v>
      </c>
      <c r="C42" s="2" t="s">
        <v>977</v>
      </c>
      <c r="D42" s="18">
        <v>24094.78</v>
      </c>
      <c r="E42" s="18">
        <v>33676.33</v>
      </c>
      <c r="F42" s="273">
        <f t="shared" si="1"/>
        <v>1.3976608211405128</v>
      </c>
    </row>
    <row r="43" spans="1:6" ht="13.25" hidden="1" customHeight="1">
      <c r="A43" s="2">
        <f>VLOOKUP(B43,'codes UK'!A:C,3,0)</f>
        <v>5600</v>
      </c>
      <c r="B43" s="2">
        <v>8053</v>
      </c>
      <c r="C43" s="2" t="s">
        <v>730</v>
      </c>
      <c r="D43" s="18">
        <v>1318.86</v>
      </c>
      <c r="E43" s="18">
        <v>1813.96</v>
      </c>
      <c r="F43" s="273">
        <f t="shared" si="1"/>
        <v>1.375399966637854</v>
      </c>
    </row>
    <row r="44" spans="1:6" ht="13.25" hidden="1" customHeight="1">
      <c r="A44" s="2">
        <f>VLOOKUP(B44,'codes UK'!A:C,3,0)</f>
        <v>5311</v>
      </c>
      <c r="B44" s="2">
        <v>8058</v>
      </c>
      <c r="C44" s="2" t="s">
        <v>978</v>
      </c>
      <c r="D44" s="18">
        <v>3286</v>
      </c>
      <c r="E44" s="18">
        <v>4620.7299999999996</v>
      </c>
      <c r="F44" s="273">
        <f t="shared" si="1"/>
        <v>1.4061868533171027</v>
      </c>
    </row>
    <row r="45" spans="1:6" ht="13.25" hidden="1" customHeight="1">
      <c r="A45" s="2">
        <f>VLOOKUP(B45,'codes UK'!A:C,3,0)</f>
        <v>5300</v>
      </c>
      <c r="B45" s="2">
        <v>8059</v>
      </c>
      <c r="C45" s="2" t="s">
        <v>979</v>
      </c>
      <c r="D45" s="527">
        <v>23892</v>
      </c>
      <c r="E45" s="18">
        <v>32289.54</v>
      </c>
      <c r="F45" s="273">
        <f t="shared" si="1"/>
        <v>1.3514791562029131</v>
      </c>
    </row>
    <row r="46" spans="1:6" ht="13.25" hidden="1" customHeight="1">
      <c r="A46" s="2">
        <f>VLOOKUP(B46,'codes UK'!A:C,3,0)</f>
        <v>5500</v>
      </c>
      <c r="B46" s="2">
        <v>8070</v>
      </c>
      <c r="C46" s="2" t="s">
        <v>980</v>
      </c>
      <c r="D46" s="18">
        <v>320853.57</v>
      </c>
      <c r="E46" s="18">
        <v>442283.29</v>
      </c>
      <c r="F46" s="273">
        <f t="shared" si="1"/>
        <v>1.3784583727711055</v>
      </c>
    </row>
    <row r="47" spans="1:6" ht="13.25" hidden="1" customHeight="1">
      <c r="A47" s="2">
        <f>VLOOKUP(B47,'codes UK'!A:C,3,0)</f>
        <v>5500</v>
      </c>
      <c r="B47" s="2">
        <v>8071</v>
      </c>
      <c r="C47" s="2" t="s">
        <v>981</v>
      </c>
      <c r="D47" s="18">
        <v>35704.53</v>
      </c>
      <c r="E47" s="18">
        <v>49240.54</v>
      </c>
      <c r="F47" s="273">
        <f t="shared" si="1"/>
        <v>1.3791118381897201</v>
      </c>
    </row>
    <row r="48" spans="1:6" ht="13.25" hidden="1" customHeight="1">
      <c r="A48" s="2">
        <f>VLOOKUP(B48,'codes UK'!A:C,3,0)</f>
        <v>5500</v>
      </c>
      <c r="B48" s="2">
        <v>8072</v>
      </c>
      <c r="C48" s="2" t="s">
        <v>786</v>
      </c>
      <c r="D48" s="18">
        <v>6579.39</v>
      </c>
      <c r="E48" s="18">
        <v>9071.08</v>
      </c>
      <c r="F48" s="273">
        <f t="shared" si="1"/>
        <v>1.378711400296988</v>
      </c>
    </row>
    <row r="49" spans="1:6" ht="13.25" customHeight="1">
      <c r="A49" s="2">
        <f>VLOOKUP(B49,'codes UK'!A:C,3,0)</f>
        <v>5505</v>
      </c>
      <c r="B49" s="2">
        <v>8073</v>
      </c>
      <c r="C49" s="2" t="s">
        <v>982</v>
      </c>
      <c r="D49" s="18">
        <v>3822</v>
      </c>
      <c r="E49" s="18">
        <v>5386.85</v>
      </c>
      <c r="F49" s="273">
        <f t="shared" si="1"/>
        <v>1.4094322344322345</v>
      </c>
    </row>
    <row r="50" spans="1:6" ht="13.25" hidden="1" customHeight="1">
      <c r="A50" s="2">
        <f>VLOOKUP(B50,'codes UK'!A:C,3,0)</f>
        <v>5500</v>
      </c>
      <c r="B50" s="2">
        <v>80733</v>
      </c>
      <c r="C50" s="2" t="s">
        <v>983</v>
      </c>
      <c r="D50" s="18">
        <v>12500</v>
      </c>
      <c r="E50" s="18">
        <v>16893.490000000002</v>
      </c>
      <c r="F50" s="273">
        <f t="shared" si="1"/>
        <v>1.3514792000000002</v>
      </c>
    </row>
    <row r="51" spans="1:6" ht="13.25" hidden="1" customHeight="1">
      <c r="A51" s="2">
        <f>VLOOKUP(B51,'codes UK'!A:C,3,0)</f>
        <v>5600</v>
      </c>
      <c r="B51" s="2">
        <v>80734</v>
      </c>
      <c r="C51" s="2" t="s">
        <v>984</v>
      </c>
      <c r="D51" s="18">
        <v>73993</v>
      </c>
      <c r="E51" s="18">
        <v>100000</v>
      </c>
      <c r="F51" s="273">
        <f t="shared" si="1"/>
        <v>1.3514791939778088</v>
      </c>
    </row>
    <row r="52" spans="1:6" ht="13.25" hidden="1" customHeight="1">
      <c r="A52" s="2">
        <f>VLOOKUP(B52,'codes UK'!A:C,3,0)</f>
        <v>5300</v>
      </c>
      <c r="B52" s="2">
        <v>8074</v>
      </c>
      <c r="C52" s="2" t="s">
        <v>985</v>
      </c>
      <c r="D52" s="527">
        <v>93406.38</v>
      </c>
      <c r="E52" s="18">
        <v>127496.06</v>
      </c>
      <c r="F52" s="273">
        <f t="shared" si="1"/>
        <v>1.364960937357812</v>
      </c>
    </row>
    <row r="53" spans="1:6" ht="13.25" hidden="1" customHeight="1">
      <c r="A53" s="2">
        <f>VLOOKUP(B53,'codes UK'!A:C,3,0)</f>
        <v>5300</v>
      </c>
      <c r="B53" s="2">
        <v>8075</v>
      </c>
      <c r="C53" s="2" t="s">
        <v>986</v>
      </c>
      <c r="D53" s="527">
        <v>11778.61</v>
      </c>
      <c r="E53" s="18">
        <v>16078.95</v>
      </c>
      <c r="F53" s="273">
        <f t="shared" si="1"/>
        <v>1.365097409626433</v>
      </c>
    </row>
    <row r="54" spans="1:6" ht="13.25" hidden="1" customHeight="1">
      <c r="A54" s="2">
        <f>VLOOKUP(B54,'codes UK'!A:C,3,0)</f>
        <v>5300</v>
      </c>
      <c r="B54" s="2">
        <v>8076</v>
      </c>
      <c r="C54" s="2" t="s">
        <v>987</v>
      </c>
      <c r="D54" s="527">
        <v>4072.69</v>
      </c>
      <c r="E54" s="18">
        <v>5558.99</v>
      </c>
      <c r="F54" s="273">
        <f t="shared" si="1"/>
        <v>1.3649430720236502</v>
      </c>
    </row>
    <row r="55" spans="1:6" ht="13.25" hidden="1" customHeight="1">
      <c r="A55" s="2">
        <f>VLOOKUP(B55,'codes UK'!A:C,3,0)</f>
        <v>5300</v>
      </c>
      <c r="B55" s="2">
        <v>8077</v>
      </c>
      <c r="C55" s="2" t="s">
        <v>988</v>
      </c>
      <c r="D55" s="527">
        <v>5575.5</v>
      </c>
      <c r="E55" s="18">
        <v>7545.48</v>
      </c>
      <c r="F55" s="273">
        <f t="shared" si="1"/>
        <v>1.3533279526499864</v>
      </c>
    </row>
    <row r="56" spans="1:6" ht="13.25" hidden="1" customHeight="1">
      <c r="A56" s="2">
        <f>VLOOKUP(B56,'codes UK'!A:C,3,0)</f>
        <v>5600</v>
      </c>
      <c r="B56" s="2">
        <v>8200</v>
      </c>
      <c r="C56" s="2" t="s">
        <v>989</v>
      </c>
      <c r="D56" s="18">
        <v>3546.47</v>
      </c>
      <c r="E56" s="18">
        <v>4890.79</v>
      </c>
      <c r="F56" s="273">
        <f t="shared" si="1"/>
        <v>1.3790586132125748</v>
      </c>
    </row>
    <row r="57" spans="1:6" ht="13.25" hidden="1" customHeight="1">
      <c r="A57" s="2">
        <f>VLOOKUP(B57,'codes UK'!A:C,3,0)</f>
        <v>5300</v>
      </c>
      <c r="B57" s="2">
        <v>8201</v>
      </c>
      <c r="C57" s="2" t="s">
        <v>990</v>
      </c>
      <c r="D57" s="527">
        <v>3861.52</v>
      </c>
      <c r="E57" s="18">
        <v>5287.36</v>
      </c>
      <c r="F57" s="273">
        <f t="shared" si="1"/>
        <v>1.3692431995690815</v>
      </c>
    </row>
    <row r="58" spans="1:6" ht="13.25" hidden="1" customHeight="1">
      <c r="A58" s="2">
        <f>VLOOKUP(B58,'codes UK'!A:C,3,0)</f>
        <v>5500</v>
      </c>
      <c r="B58" s="2">
        <v>8202</v>
      </c>
      <c r="C58" s="2" t="s">
        <v>991</v>
      </c>
      <c r="D58" s="18">
        <v>6850</v>
      </c>
      <c r="E58" s="18">
        <v>9386.09</v>
      </c>
      <c r="F58" s="273">
        <f t="shared" si="1"/>
        <v>1.3702321167883211</v>
      </c>
    </row>
    <row r="59" spans="1:6" ht="13.25" hidden="1" customHeight="1">
      <c r="A59" s="2">
        <f>VLOOKUP(B59,'codes UK'!A:C,3,0)</f>
        <v>5600</v>
      </c>
      <c r="B59" s="2">
        <v>8210</v>
      </c>
      <c r="C59" s="2" t="s">
        <v>992</v>
      </c>
      <c r="D59" s="18">
        <v>3784.11</v>
      </c>
      <c r="E59" s="18">
        <v>5172.1899999999996</v>
      </c>
      <c r="F59" s="273">
        <f t="shared" si="1"/>
        <v>1.3668180893261559</v>
      </c>
    </row>
    <row r="60" spans="1:6" ht="13.25" hidden="1" customHeight="1">
      <c r="A60" s="2">
        <f>VLOOKUP(B60,'codes UK'!A:C,3,0)</f>
        <v>5600</v>
      </c>
      <c r="B60" s="2">
        <v>8211</v>
      </c>
      <c r="C60" s="2" t="s">
        <v>993</v>
      </c>
      <c r="D60" s="18">
        <v>-3784.11</v>
      </c>
      <c r="E60" s="18">
        <v>-5172.1899999999996</v>
      </c>
      <c r="F60" s="273">
        <f t="shared" si="1"/>
        <v>1.3668180893261559</v>
      </c>
    </row>
    <row r="61" spans="1:6" ht="13.25" hidden="1" customHeight="1">
      <c r="A61" s="2">
        <f>VLOOKUP(B61,'codes UK'!A:C,3,0)</f>
        <v>5500</v>
      </c>
      <c r="B61" s="2">
        <v>8212</v>
      </c>
      <c r="C61" s="2" t="s">
        <v>994</v>
      </c>
      <c r="D61" s="18">
        <v>1101.79</v>
      </c>
      <c r="E61" s="18">
        <v>1505.95</v>
      </c>
      <c r="F61" s="273">
        <f t="shared" si="1"/>
        <v>1.3668212635801742</v>
      </c>
    </row>
    <row r="62" spans="1:6" ht="13.25" hidden="1" customHeight="1">
      <c r="A62" s="2">
        <f>VLOOKUP(B62,'codes UK'!A:C,3,0)</f>
        <v>5500</v>
      </c>
      <c r="B62" s="2">
        <v>8213</v>
      </c>
      <c r="C62" s="2" t="s">
        <v>995</v>
      </c>
      <c r="D62" s="18">
        <v>-1101.79</v>
      </c>
      <c r="E62" s="18">
        <v>-1505.95</v>
      </c>
      <c r="F62" s="273">
        <f t="shared" ref="F62:F93" si="2">E62/D62</f>
        <v>1.3668212635801742</v>
      </c>
    </row>
    <row r="63" spans="1:6" ht="13.25" hidden="1" customHeight="1">
      <c r="A63" s="2">
        <f>VLOOKUP(B63,'codes UK'!A:C,3,0)</f>
        <v>5500</v>
      </c>
      <c r="B63" s="2">
        <v>8216</v>
      </c>
      <c r="C63" s="2" t="s">
        <v>996</v>
      </c>
      <c r="D63" s="18">
        <v>277.44</v>
      </c>
      <c r="E63" s="18">
        <v>374.97</v>
      </c>
      <c r="F63" s="273">
        <f t="shared" si="2"/>
        <v>1.3515354671280277</v>
      </c>
    </row>
    <row r="64" spans="1:6" ht="13.25" hidden="1" customHeight="1">
      <c r="A64" s="2">
        <f>VLOOKUP(B64,'codes UK'!A:C,3,0)</f>
        <v>5620</v>
      </c>
      <c r="B64" s="2">
        <v>8010</v>
      </c>
      <c r="C64" s="2" t="s">
        <v>997</v>
      </c>
      <c r="D64" s="18">
        <v>4096.26</v>
      </c>
      <c r="E64" s="18">
        <v>5733.9</v>
      </c>
      <c r="F64" s="273">
        <f t="shared" si="2"/>
        <v>1.3997890758887375</v>
      </c>
    </row>
    <row r="65" spans="1:6" ht="14" hidden="1">
      <c r="A65" s="2">
        <f>VLOOKUP(B65,'codes UK'!A:C,3,0)</f>
        <v>5660</v>
      </c>
      <c r="B65" s="2">
        <v>8005</v>
      </c>
      <c r="C65" s="2" t="s">
        <v>741</v>
      </c>
      <c r="D65" s="18">
        <v>835.86</v>
      </c>
      <c r="E65" s="18">
        <v>1106.3</v>
      </c>
      <c r="F65" s="273">
        <f t="shared" si="2"/>
        <v>1.3235470054793865</v>
      </c>
    </row>
    <row r="66" spans="1:6" ht="14" hidden="1">
      <c r="A66" s="2">
        <f>VLOOKUP(B66,'codes UK'!A:C,3,0)</f>
        <v>5660</v>
      </c>
      <c r="B66" s="2">
        <v>8008</v>
      </c>
      <c r="C66" s="2" t="s">
        <v>998</v>
      </c>
      <c r="D66" s="18">
        <v>2934.55</v>
      </c>
      <c r="E66" s="18">
        <v>4041.48</v>
      </c>
      <c r="F66" s="273">
        <f t="shared" si="2"/>
        <v>1.3772060452198802</v>
      </c>
    </row>
    <row r="67" spans="1:6" ht="14" hidden="1">
      <c r="A67" s="2">
        <f>VLOOKUP(B67,'codes UK'!A:C,3,0)</f>
        <v>5660</v>
      </c>
      <c r="B67" s="2">
        <v>8021</v>
      </c>
      <c r="C67" s="2" t="s">
        <v>999</v>
      </c>
      <c r="D67" s="18">
        <v>166.86</v>
      </c>
      <c r="E67" s="18">
        <v>229.54</v>
      </c>
      <c r="F67" s="273">
        <f t="shared" si="2"/>
        <v>1.3756442526669062</v>
      </c>
    </row>
    <row r="68" spans="1:6" ht="14" hidden="1">
      <c r="A68" s="2">
        <f>VLOOKUP(B68,'codes UK'!A:C,3,0)</f>
        <v>5620</v>
      </c>
      <c r="B68" s="2">
        <v>8030</v>
      </c>
      <c r="C68" s="2" t="s">
        <v>743</v>
      </c>
      <c r="D68" s="18">
        <v>3002.89</v>
      </c>
      <c r="E68" s="18">
        <v>3988.95</v>
      </c>
      <c r="F68" s="273">
        <f t="shared" si="2"/>
        <v>1.3283703365757653</v>
      </c>
    </row>
    <row r="69" spans="1:6" ht="14" hidden="1">
      <c r="A69" s="2">
        <f>VLOOKUP(B69,'codes UK'!A:C,3,0)</f>
        <v>5410</v>
      </c>
      <c r="B69" s="2">
        <v>8032</v>
      </c>
      <c r="C69" s="2" t="s">
        <v>744</v>
      </c>
      <c r="D69" s="18">
        <v>649.65</v>
      </c>
      <c r="E69" s="18">
        <v>635.11</v>
      </c>
      <c r="F69" s="273">
        <f t="shared" si="2"/>
        <v>0.97761871777110754</v>
      </c>
    </row>
    <row r="70" spans="1:6" ht="14" hidden="1">
      <c r="A70" s="2">
        <f>VLOOKUP(B70,'codes UK'!A:C,3,0)</f>
        <v>5660</v>
      </c>
      <c r="B70" s="2">
        <v>8033</v>
      </c>
      <c r="C70" s="2" t="s">
        <v>745</v>
      </c>
      <c r="D70" s="18">
        <v>27.28</v>
      </c>
      <c r="E70" s="18">
        <v>38.31</v>
      </c>
      <c r="F70" s="273">
        <f t="shared" si="2"/>
        <v>1.4043255131964809</v>
      </c>
    </row>
    <row r="71" spans="1:6" ht="14" hidden="1">
      <c r="A71" s="2">
        <f>VLOOKUP(B71,'codes UK'!A:C,3,0)</f>
        <v>5330</v>
      </c>
      <c r="B71" s="2">
        <v>8042</v>
      </c>
      <c r="C71" s="2" t="s">
        <v>577</v>
      </c>
      <c r="D71" s="527">
        <v>10</v>
      </c>
      <c r="E71" s="18">
        <v>13.79</v>
      </c>
      <c r="F71" s="273">
        <f t="shared" si="2"/>
        <v>1.379</v>
      </c>
    </row>
    <row r="72" spans="1:6" ht="14" hidden="1">
      <c r="A72" s="2">
        <f>VLOOKUP(B72,'codes UK'!A:C,3,0)</f>
        <v>5510</v>
      </c>
      <c r="B72" s="2">
        <v>8043</v>
      </c>
      <c r="C72" s="2" t="s">
        <v>746</v>
      </c>
      <c r="D72" s="18">
        <v>9533.33</v>
      </c>
      <c r="E72" s="18">
        <v>12870.58</v>
      </c>
      <c r="F72" s="273">
        <f t="shared" si="2"/>
        <v>1.3500613112102486</v>
      </c>
    </row>
    <row r="73" spans="1:6" ht="14" hidden="1">
      <c r="A73" s="2">
        <f>VLOOKUP(B73,'codes UK'!A:C,3,0)</f>
        <v>5660</v>
      </c>
      <c r="B73" s="2">
        <v>8044</v>
      </c>
      <c r="C73" s="2" t="s">
        <v>747</v>
      </c>
      <c r="D73" s="18">
        <v>403</v>
      </c>
      <c r="E73" s="18">
        <v>557.04</v>
      </c>
      <c r="F73" s="273">
        <f t="shared" si="2"/>
        <v>1.3822332506203474</v>
      </c>
    </row>
    <row r="74" spans="1:6" ht="14" hidden="1">
      <c r="A74" s="2">
        <f>VLOOKUP(B74,'codes UK'!A:C,3,0)</f>
        <v>5620</v>
      </c>
      <c r="B74" s="2">
        <v>8108</v>
      </c>
      <c r="C74" s="2" t="s">
        <v>1000</v>
      </c>
      <c r="D74" s="18">
        <v>333.34</v>
      </c>
      <c r="E74" s="18">
        <v>455.94</v>
      </c>
      <c r="F74" s="273">
        <f t="shared" si="2"/>
        <v>1.3677926441471171</v>
      </c>
    </row>
    <row r="75" spans="1:6" ht="14" hidden="1">
      <c r="A75" s="2">
        <f>VLOOKUP(B75,'codes UK'!A:C,3,0)</f>
        <v>5660</v>
      </c>
      <c r="B75" s="2">
        <v>8006</v>
      </c>
      <c r="C75" s="2" t="s">
        <v>584</v>
      </c>
      <c r="D75" s="18">
        <v>1948.96</v>
      </c>
      <c r="E75" s="18">
        <v>2606.9</v>
      </c>
      <c r="F75" s="273">
        <f t="shared" si="2"/>
        <v>1.3375851736310649</v>
      </c>
    </row>
    <row r="76" spans="1:6" ht="14" hidden="1">
      <c r="A76" s="2">
        <f>VLOOKUP(B76,'codes UK'!A:C,3,0)</f>
        <v>5660</v>
      </c>
      <c r="B76" s="2">
        <v>8007</v>
      </c>
      <c r="C76" s="2" t="s">
        <v>591</v>
      </c>
      <c r="D76" s="18">
        <v>11473.76</v>
      </c>
      <c r="E76" s="18">
        <v>16319.14</v>
      </c>
      <c r="F76" s="273">
        <f t="shared" si="2"/>
        <v>1.4223009719568824</v>
      </c>
    </row>
    <row r="77" spans="1:6" ht="14" hidden="1">
      <c r="A77" s="2">
        <f>VLOOKUP(B77,'codes UK'!A:C,3,0)</f>
        <v>5660</v>
      </c>
      <c r="B77" s="2">
        <v>8015</v>
      </c>
      <c r="C77" s="2" t="s">
        <v>1001</v>
      </c>
      <c r="D77" s="18">
        <v>1071.08</v>
      </c>
      <c r="E77" s="18">
        <v>1488.57</v>
      </c>
      <c r="F77" s="273">
        <f t="shared" si="2"/>
        <v>1.3897841431078912</v>
      </c>
    </row>
    <row r="78" spans="1:6" ht="14" hidden="1">
      <c r="A78" s="2">
        <f>VLOOKUP(B78,'codes UK'!A:C,3,0)</f>
        <v>5660</v>
      </c>
      <c r="B78" s="2">
        <v>8028</v>
      </c>
      <c r="C78" s="2" t="s">
        <v>587</v>
      </c>
      <c r="D78" s="18">
        <v>452.26</v>
      </c>
      <c r="E78" s="18">
        <v>599.73</v>
      </c>
      <c r="F78" s="273">
        <f t="shared" si="2"/>
        <v>1.3260734975456596</v>
      </c>
    </row>
    <row r="79" spans="1:6" ht="14" hidden="1">
      <c r="A79" s="2">
        <f>VLOOKUP(B79,'codes UK'!A:C,3,0)</f>
        <v>5660</v>
      </c>
      <c r="B79" s="2">
        <v>8018</v>
      </c>
      <c r="C79" s="2" t="s">
        <v>596</v>
      </c>
      <c r="D79" s="18">
        <v>21.63</v>
      </c>
      <c r="E79" s="18">
        <v>28.54</v>
      </c>
      <c r="F79" s="273">
        <f t="shared" si="2"/>
        <v>1.3194637078132223</v>
      </c>
    </row>
    <row r="80" spans="1:6" ht="14" hidden="1">
      <c r="A80" s="2">
        <f>VLOOKUP(B80,'codes UK'!A:C,3,0)</f>
        <v>5660</v>
      </c>
      <c r="B80" s="2">
        <v>8037</v>
      </c>
      <c r="C80" s="2" t="s">
        <v>1002</v>
      </c>
      <c r="D80" s="18">
        <v>26.49</v>
      </c>
      <c r="E80" s="18">
        <v>36.74</v>
      </c>
      <c r="F80" s="273">
        <f t="shared" si="2"/>
        <v>1.3869384673461684</v>
      </c>
    </row>
    <row r="81" spans="1:6" ht="14" hidden="1">
      <c r="A81" s="2">
        <f>VLOOKUP(B81,'codes UK'!A:C,3,0)</f>
        <v>5610</v>
      </c>
      <c r="B81" s="2">
        <v>8040</v>
      </c>
      <c r="C81" s="2" t="s">
        <v>764</v>
      </c>
      <c r="D81" s="18">
        <v>34400</v>
      </c>
      <c r="E81" s="18">
        <v>47408.55</v>
      </c>
      <c r="F81" s="273">
        <f t="shared" si="2"/>
        <v>1.378155523255814</v>
      </c>
    </row>
    <row r="82" spans="1:6" ht="14" hidden="1">
      <c r="A82" s="2">
        <f>VLOOKUP(B82,'codes UK'!A:C,3,0)</f>
        <v>5330</v>
      </c>
      <c r="B82" s="2">
        <v>8041</v>
      </c>
      <c r="C82" s="2" t="s">
        <v>1003</v>
      </c>
      <c r="D82" s="527">
        <v>4686.2</v>
      </c>
      <c r="E82" s="18">
        <v>6297.85</v>
      </c>
      <c r="F82" s="273">
        <f t="shared" si="2"/>
        <v>1.3439140454952843</v>
      </c>
    </row>
    <row r="83" spans="1:6" ht="14" hidden="1">
      <c r="A83" s="2">
        <f>VLOOKUP(B83,'codes UK'!A:C,3,0)</f>
        <v>5330</v>
      </c>
      <c r="B83" s="2">
        <v>8080</v>
      </c>
      <c r="C83" s="2" t="s">
        <v>1004</v>
      </c>
      <c r="D83" s="527">
        <v>3705</v>
      </c>
      <c r="E83" s="18">
        <v>4974.75</v>
      </c>
      <c r="F83" s="273">
        <f t="shared" si="2"/>
        <v>1.3427125506072874</v>
      </c>
    </row>
    <row r="84" spans="1:6" ht="14" hidden="1">
      <c r="A84" s="2">
        <f>VLOOKUP(B84,'codes UK'!A:C,3,0)</f>
        <v>5540</v>
      </c>
      <c r="B84" s="2">
        <v>6100</v>
      </c>
      <c r="C84" s="2" t="s">
        <v>1005</v>
      </c>
      <c r="D84" s="18">
        <v>2264.9699999999998</v>
      </c>
      <c r="E84" s="18">
        <v>3019.17</v>
      </c>
      <c r="F84" s="273">
        <f t="shared" si="2"/>
        <v>1.3329845428416272</v>
      </c>
    </row>
    <row r="85" spans="1:6" ht="14" hidden="1">
      <c r="A85" s="2">
        <f>VLOOKUP(B85,'codes UK'!A:C,3,0)</f>
        <v>5680</v>
      </c>
      <c r="B85" s="2">
        <v>6101</v>
      </c>
      <c r="C85" s="2" t="s">
        <v>1006</v>
      </c>
      <c r="D85" s="18">
        <v>3150.43</v>
      </c>
      <c r="E85" s="18">
        <v>4199.4799999999996</v>
      </c>
      <c r="F85" s="273">
        <f t="shared" si="2"/>
        <v>1.3329862907603089</v>
      </c>
    </row>
    <row r="86" spans="1:6" ht="14" hidden="1">
      <c r="A86" s="2">
        <f>VLOOKUP(B86,'codes UK'!A:C,3,0)</f>
        <v>5330</v>
      </c>
      <c r="B86" s="2">
        <v>6102</v>
      </c>
      <c r="C86" s="2" t="s">
        <v>1007</v>
      </c>
      <c r="D86" s="527">
        <v>1944.44</v>
      </c>
      <c r="E86" s="18">
        <v>2627.87</v>
      </c>
      <c r="F86" s="273">
        <f t="shared" si="2"/>
        <v>1.3514790890950608</v>
      </c>
    </row>
    <row r="87" spans="1:6" ht="14" hidden="1">
      <c r="A87" s="2">
        <f>VLOOKUP(B87,'codes UK'!A:C,3,0)</f>
        <v>5680</v>
      </c>
      <c r="B87" s="2">
        <v>8011</v>
      </c>
      <c r="C87" s="2" t="s">
        <v>766</v>
      </c>
      <c r="D87" s="18">
        <v>3272.59</v>
      </c>
      <c r="E87" s="18">
        <v>4472.4799999999996</v>
      </c>
      <c r="F87" s="273">
        <f t="shared" si="2"/>
        <v>1.3666484344204435</v>
      </c>
    </row>
    <row r="88" spans="1:6" ht="14" hidden="1">
      <c r="A88" s="2">
        <f>VLOOKUP(B88,'codes UK'!A:C,3,0)</f>
        <v>5680</v>
      </c>
      <c r="B88" s="2">
        <v>8068</v>
      </c>
      <c r="C88" s="2" t="s">
        <v>1008</v>
      </c>
      <c r="D88" s="18">
        <v>4127.1899999999996</v>
      </c>
      <c r="E88" s="18">
        <v>5643.12</v>
      </c>
      <c r="F88" s="273">
        <f t="shared" si="2"/>
        <v>1.3673031772222748</v>
      </c>
    </row>
    <row r="89" spans="1:6" ht="14" hidden="1">
      <c r="A89" s="2">
        <f>VLOOKUP(B89,'codes UK'!A:C,3,0)</f>
        <v>5680</v>
      </c>
      <c r="B89" s="2">
        <v>8069</v>
      </c>
      <c r="C89" s="2" t="s">
        <v>1009</v>
      </c>
      <c r="D89" s="18">
        <v>2151.52</v>
      </c>
      <c r="E89" s="18">
        <v>3043.96</v>
      </c>
      <c r="F89" s="273">
        <f t="shared" si="2"/>
        <v>1.4147951215884584</v>
      </c>
    </row>
    <row r="90" spans="1:6" ht="14" hidden="1">
      <c r="A90" s="2">
        <f>VLOOKUP(B90,'codes UK'!A:C,3,0)</f>
        <v>5510</v>
      </c>
      <c r="B90" s="2">
        <v>8016</v>
      </c>
      <c r="C90" s="2" t="s">
        <v>1010</v>
      </c>
      <c r="D90" s="18">
        <v>442.53</v>
      </c>
      <c r="E90" s="18">
        <v>593.28</v>
      </c>
      <c r="F90" s="273">
        <f t="shared" si="2"/>
        <v>1.3406548708562132</v>
      </c>
    </row>
    <row r="91" spans="1:6" ht="14" hidden="1">
      <c r="A91" s="2">
        <f>VLOOKUP(B91,'codes UK'!A:C,3,0)</f>
        <v>5510</v>
      </c>
      <c r="B91" s="2">
        <v>8024</v>
      </c>
      <c r="C91" s="2" t="s">
        <v>1011</v>
      </c>
      <c r="D91" s="18">
        <v>2513.2199999999998</v>
      </c>
      <c r="E91" s="18">
        <v>3430</v>
      </c>
      <c r="F91" s="273">
        <f t="shared" si="2"/>
        <v>1.3647830273513661</v>
      </c>
    </row>
    <row r="92" spans="1:6" ht="14" hidden="1">
      <c r="A92" s="2">
        <f>VLOOKUP(B92,'codes UK'!A:C,3,0)</f>
        <v>5610</v>
      </c>
      <c r="B92" s="2">
        <v>8004</v>
      </c>
      <c r="C92" s="2" t="s">
        <v>1012</v>
      </c>
      <c r="D92" s="18">
        <v>500</v>
      </c>
      <c r="E92" s="18">
        <v>688.52</v>
      </c>
      <c r="F92" s="273">
        <f t="shared" si="2"/>
        <v>1.37704</v>
      </c>
    </row>
    <row r="93" spans="1:6" ht="14" hidden="1">
      <c r="A93" s="2">
        <f>VLOOKUP(B93,'codes UK'!A:C,3,0)</f>
        <v>5610</v>
      </c>
      <c r="B93" s="2">
        <v>8013</v>
      </c>
      <c r="C93" s="2" t="s">
        <v>1013</v>
      </c>
      <c r="D93" s="18">
        <v>8803.6</v>
      </c>
      <c r="E93" s="18">
        <v>12092.01</v>
      </c>
      <c r="F93" s="273">
        <f t="shared" si="2"/>
        <v>1.3735301467581444</v>
      </c>
    </row>
    <row r="94" spans="1:6" ht="14" hidden="1">
      <c r="A94" s="2">
        <f>VLOOKUP(B94,'codes UK'!A:C,3,0)</f>
        <v>5610</v>
      </c>
      <c r="B94" s="2">
        <v>8017</v>
      </c>
      <c r="C94" s="2" t="s">
        <v>1014</v>
      </c>
      <c r="D94" s="18">
        <v>6255</v>
      </c>
      <c r="E94" s="18">
        <v>9407.7800000000007</v>
      </c>
      <c r="F94" s="273">
        <f t="shared" ref="F94:F103" si="3">E94/D94</f>
        <v>1.5040415667466027</v>
      </c>
    </row>
    <row r="95" spans="1:6" ht="14" hidden="1">
      <c r="A95" s="2">
        <f>VLOOKUP(B95,'codes UK'!A:C,3,0)</f>
        <v>5670</v>
      </c>
      <c r="B95" s="2">
        <v>8020</v>
      </c>
      <c r="C95" s="2" t="s">
        <v>1015</v>
      </c>
      <c r="D95" s="18">
        <v>1755</v>
      </c>
      <c r="E95" s="18">
        <v>2061</v>
      </c>
      <c r="F95" s="273">
        <f t="shared" si="3"/>
        <v>1.1743589743589744</v>
      </c>
    </row>
    <row r="96" spans="1:6" ht="14" hidden="1">
      <c r="A96" s="2">
        <f>VLOOKUP(B96,'codes UK'!A:C,3,0)</f>
        <v>5330</v>
      </c>
      <c r="B96" s="2">
        <v>8029</v>
      </c>
      <c r="C96" s="2" t="s">
        <v>1016</v>
      </c>
      <c r="D96" s="527">
        <v>1309</v>
      </c>
      <c r="E96" s="18">
        <v>1720</v>
      </c>
      <c r="F96" s="273">
        <f t="shared" si="3"/>
        <v>1.3139801375095492</v>
      </c>
    </row>
    <row r="97" spans="1:6" ht="14" hidden="1">
      <c r="A97" s="2">
        <f>VLOOKUP(B97,'codes UK'!A:C,3,0)</f>
        <v>5550</v>
      </c>
      <c r="B97" s="2">
        <v>8031</v>
      </c>
      <c r="C97" s="2" t="s">
        <v>1017</v>
      </c>
      <c r="D97" s="18">
        <v>2091</v>
      </c>
      <c r="E97" s="18">
        <v>2722</v>
      </c>
      <c r="F97" s="273">
        <f t="shared" si="3"/>
        <v>1.3017694882831181</v>
      </c>
    </row>
    <row r="98" spans="1:6" ht="14" hidden="1">
      <c r="A98" s="2">
        <f>VLOOKUP(B98,'codes UK'!A:C,3,0)</f>
        <v>5670</v>
      </c>
      <c r="B98" s="2">
        <v>8400</v>
      </c>
      <c r="C98" s="2" t="s">
        <v>554</v>
      </c>
      <c r="D98" s="18">
        <v>-216</v>
      </c>
      <c r="E98" s="18">
        <v>0</v>
      </c>
      <c r="F98" s="273">
        <f t="shared" si="3"/>
        <v>0</v>
      </c>
    </row>
    <row r="99" spans="1:6" ht="14" hidden="1">
      <c r="A99" s="2">
        <f>VLOOKUP(B99,'codes UK'!A:C,3,0)</f>
        <v>5700</v>
      </c>
      <c r="B99" s="2">
        <v>9000</v>
      </c>
      <c r="C99" s="2" t="s">
        <v>1018</v>
      </c>
      <c r="D99" s="18">
        <v>-33.299999999999997</v>
      </c>
      <c r="E99" s="18">
        <v>-46.37</v>
      </c>
      <c r="F99" s="273">
        <f t="shared" si="3"/>
        <v>1.3924924924924926</v>
      </c>
    </row>
    <row r="100" spans="1:6" ht="14" hidden="1">
      <c r="A100" s="2">
        <f>VLOOKUP(B100,'codes UK'!A:C,3,0)</f>
        <v>5700</v>
      </c>
      <c r="B100" s="2">
        <v>9006</v>
      </c>
      <c r="C100" s="2" t="s">
        <v>1019</v>
      </c>
      <c r="D100" s="18">
        <v>845.7</v>
      </c>
      <c r="E100" s="18">
        <v>1171</v>
      </c>
      <c r="F100" s="273">
        <f t="shared" si="3"/>
        <v>1.3846517677663472</v>
      </c>
    </row>
    <row r="101" spans="1:6" ht="14" hidden="1">
      <c r="A101" s="2">
        <f>VLOOKUP(B101,'codes UK'!A:C,3,0)</f>
        <v>5700</v>
      </c>
      <c r="B101" s="2">
        <v>9004</v>
      </c>
      <c r="C101" s="2" t="s">
        <v>1020</v>
      </c>
      <c r="D101" s="18">
        <v>12498.42</v>
      </c>
      <c r="E101" s="18">
        <v>725.26</v>
      </c>
      <c r="F101" s="273">
        <f t="shared" si="3"/>
        <v>5.8028134756233189E-2</v>
      </c>
    </row>
    <row r="102" spans="1:6" ht="14" hidden="1">
      <c r="A102" s="2">
        <f>VLOOKUP(B102,'codes UK'!A:C,3,0)</f>
        <v>5700</v>
      </c>
      <c r="B102" s="2">
        <v>9999</v>
      </c>
      <c r="C102" s="2" t="s">
        <v>1021</v>
      </c>
      <c r="D102" s="18">
        <v>-142.72</v>
      </c>
      <c r="E102" s="18">
        <v>-191.94</v>
      </c>
      <c r="F102" s="273">
        <f t="shared" si="3"/>
        <v>1.3448710762331839</v>
      </c>
    </row>
    <row r="103" spans="1:6" ht="14" hidden="1">
      <c r="A103" s="2">
        <f>VLOOKUP(B103,'codes UK'!A:C,3,0)</f>
        <v>5700</v>
      </c>
      <c r="B103" s="2">
        <v>9007</v>
      </c>
      <c r="C103" s="2" t="s">
        <v>1022</v>
      </c>
      <c r="D103" s="18">
        <v>269.13</v>
      </c>
      <c r="E103" s="18">
        <v>362.28</v>
      </c>
      <c r="F103" s="273">
        <f t="shared" si="3"/>
        <v>1.3461152602831346</v>
      </c>
    </row>
  </sheetData>
  <autoFilter ref="A1:F103" xr:uid="{00000000-0009-0000-0000-00000E000000}">
    <filterColumn colId="0">
      <filters>
        <filter val="5505"/>
      </filters>
    </filterColumn>
    <sortState xmlns:xlrd2="http://schemas.microsoft.com/office/spreadsheetml/2017/richdata2" ref="A2:H82">
      <sortCondition ref="A1:A82"/>
    </sortState>
  </autoFilter>
  <pageMargins left="0.7" right="0.7" top="0.75" bottom="0.75" header="0.3" footer="0.3"/>
  <pageSetup paperSize="9" scale="70" fitToHeight="0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147"/>
  <sheetViews>
    <sheetView topLeftCell="A18" workbookViewId="0">
      <selection activeCell="K53" sqref="K53"/>
    </sheetView>
  </sheetViews>
  <sheetFormatPr baseColWidth="10" defaultColWidth="8.85546875" defaultRowHeight="16"/>
  <cols>
    <col min="1" max="1" width="8.85546875" style="2"/>
    <col min="2" max="2" width="29.140625" style="3" bestFit="1" customWidth="1"/>
    <col min="3" max="3" width="8.85546875" style="2"/>
    <col min="5" max="5" width="21.5703125" customWidth="1"/>
    <col min="6" max="6" width="42.5703125" bestFit="1" customWidth="1"/>
  </cols>
  <sheetData>
    <row r="1" spans="1:3">
      <c r="A1" s="2" t="s">
        <v>618</v>
      </c>
      <c r="B1" s="3" t="s">
        <v>619</v>
      </c>
      <c r="C1" s="78" t="s">
        <v>850</v>
      </c>
    </row>
    <row r="2" spans="1:3">
      <c r="A2" s="2">
        <v>1100</v>
      </c>
      <c r="B2" s="3" t="str">
        <f>"UK Bank"</f>
        <v>UK Bank</v>
      </c>
      <c r="C2" s="2">
        <v>1110</v>
      </c>
    </row>
    <row r="3" spans="1:3">
      <c r="A3" s="2">
        <v>1101</v>
      </c>
      <c r="B3" s="3" t="s">
        <v>1023</v>
      </c>
      <c r="C3" s="2">
        <v>1100</v>
      </c>
    </row>
    <row r="4" spans="1:3">
      <c r="A4" s="2">
        <v>2001</v>
      </c>
      <c r="B4" s="3" t="str">
        <f>"Global University Systems (GUS)"</f>
        <v>Global University Systems (GUS)</v>
      </c>
      <c r="C4" s="2">
        <v>1400</v>
      </c>
    </row>
    <row r="5" spans="1:3">
      <c r="A5" s="2">
        <v>2007</v>
      </c>
      <c r="B5" s="3" t="s">
        <v>1024</v>
      </c>
      <c r="C5" s="2">
        <v>1400</v>
      </c>
    </row>
    <row r="6" spans="1:3">
      <c r="A6" s="2">
        <v>2008</v>
      </c>
      <c r="B6" s="3" t="str">
        <f>"Interactive Pro"</f>
        <v>Interactive Pro</v>
      </c>
      <c r="C6" s="2">
        <v>1400</v>
      </c>
    </row>
    <row r="7" spans="1:3">
      <c r="A7" s="2">
        <v>2009</v>
      </c>
      <c r="B7" s="3" t="str">
        <f>"Onnivation Ventures Pvt Ltd"</f>
        <v>Onnivation Ventures Pvt Ltd</v>
      </c>
      <c r="C7" s="2">
        <v>1400</v>
      </c>
    </row>
    <row r="8" spans="1:3">
      <c r="A8" s="2">
        <v>2010</v>
      </c>
      <c r="B8" s="3" t="str">
        <f>"Sorting Hat Technologies Private Limited"</f>
        <v>Sorting Hat Technologies Private Limited</v>
      </c>
      <c r="C8" s="2">
        <v>1400</v>
      </c>
    </row>
    <row r="9" spans="1:3">
      <c r="A9" s="2">
        <v>3002</v>
      </c>
      <c r="B9" s="3" t="s">
        <v>1025</v>
      </c>
      <c r="C9" s="2">
        <v>3400</v>
      </c>
    </row>
    <row r="10" spans="1:3">
      <c r="A10" s="2">
        <v>3003</v>
      </c>
      <c r="B10" s="3" t="str">
        <f>"FKGB Accounting LTD"</f>
        <v>FKGB Accounting LTD</v>
      </c>
      <c r="C10" s="2">
        <v>3400</v>
      </c>
    </row>
    <row r="11" spans="1:3">
      <c r="A11" s="2">
        <v>3004</v>
      </c>
      <c r="B11" s="3" t="s">
        <v>953</v>
      </c>
      <c r="C11" s="2">
        <v>3400</v>
      </c>
    </row>
    <row r="12" spans="1:3">
      <c r="A12" s="2">
        <v>3006</v>
      </c>
      <c r="B12" s="3" t="str">
        <f>"AMZNMKTPLACE AMAZO"</f>
        <v>AMZNMKTPLACE AMAZO</v>
      </c>
      <c r="C12" s="2">
        <v>3400</v>
      </c>
    </row>
    <row r="13" spans="1:3">
      <c r="A13" s="2">
        <v>3007</v>
      </c>
      <c r="B13" s="3" t="s">
        <v>1026</v>
      </c>
      <c r="C13" s="2">
        <v>3400</v>
      </c>
    </row>
    <row r="14" spans="1:3">
      <c r="A14" s="2">
        <v>3010</v>
      </c>
      <c r="B14" s="3" t="str">
        <f>"EE LIMITED"</f>
        <v>EE LIMITED</v>
      </c>
      <c r="C14" s="2">
        <v>3400</v>
      </c>
    </row>
    <row r="15" spans="1:3">
      <c r="A15" s="2">
        <v>3012</v>
      </c>
      <c r="B15" s="3" t="str">
        <f>"NAV INFOTECH LTD"</f>
        <v>NAV INFOTECH LTD</v>
      </c>
      <c r="C15" s="2">
        <v>3400</v>
      </c>
    </row>
    <row r="16" spans="1:3">
      <c r="A16" s="2">
        <v>3013</v>
      </c>
      <c r="B16" s="3" t="str">
        <f>"Icy Mango Web Services Ltd"</f>
        <v>Icy Mango Web Services Ltd</v>
      </c>
      <c r="C16" s="2">
        <v>3400</v>
      </c>
    </row>
    <row r="17" spans="1:3">
      <c r="A17" s="2">
        <v>3017</v>
      </c>
      <c r="B17" s="3" t="str">
        <f>"Chiko- Lasting Impression"</f>
        <v>Chiko- Lasting Impression</v>
      </c>
      <c r="C17" s="2">
        <v>3400</v>
      </c>
    </row>
    <row r="18" spans="1:3">
      <c r="A18" s="2">
        <v>3019</v>
      </c>
      <c r="B18" s="3" t="str">
        <f>"CLOUDSEC SOLUTIONS LIMITED"</f>
        <v>CLOUDSEC SOLUTIONS LIMITED</v>
      </c>
      <c r="C18" s="2">
        <v>3400</v>
      </c>
    </row>
    <row r="19" spans="1:3">
      <c r="A19" s="2">
        <v>3020</v>
      </c>
      <c r="B19" s="3" t="str">
        <f>"Roofoods Ltd"</f>
        <v>Roofoods Ltd</v>
      </c>
      <c r="C19" s="2">
        <v>3400</v>
      </c>
    </row>
    <row r="20" spans="1:3">
      <c r="A20" s="2">
        <v>3023</v>
      </c>
      <c r="B20" s="3" t="str">
        <f>"Soap Box Partners Limited"</f>
        <v>Soap Box Partners Limited</v>
      </c>
      <c r="C20" s="2">
        <v>3400</v>
      </c>
    </row>
    <row r="21" spans="1:3">
      <c r="A21" s="2">
        <v>3025</v>
      </c>
      <c r="B21" s="3" t="s">
        <v>1027</v>
      </c>
      <c r="C21" s="2">
        <v>3400</v>
      </c>
    </row>
    <row r="22" spans="1:3">
      <c r="A22" s="2">
        <v>4000</v>
      </c>
      <c r="B22" s="3" t="str">
        <f>"VAT account"</f>
        <v>VAT account</v>
      </c>
      <c r="C22" s="2">
        <v>3650</v>
      </c>
    </row>
    <row r="23" spans="1:3">
      <c r="A23" s="2">
        <v>4001</v>
      </c>
      <c r="B23" s="3" t="str">
        <f>"VAT Transactions"</f>
        <v>VAT Transactions</v>
      </c>
      <c r="C23" s="2">
        <v>3650</v>
      </c>
    </row>
    <row r="24" spans="1:3">
      <c r="A24" s="2">
        <v>4002</v>
      </c>
      <c r="B24" s="3" t="str">
        <f>"VAT estimation"</f>
        <v>VAT estimation</v>
      </c>
      <c r="C24" s="2">
        <v>3650</v>
      </c>
    </row>
    <row r="25" spans="1:3">
      <c r="A25" s="2">
        <v>4003</v>
      </c>
      <c r="B25" s="3" t="str">
        <f>"VAT input equipment and assets"</f>
        <v>VAT input equipment and assets</v>
      </c>
      <c r="C25" s="2">
        <v>1620</v>
      </c>
    </row>
    <row r="26" spans="1:3">
      <c r="A26" s="2">
        <v>4010</v>
      </c>
      <c r="B26" s="3" t="str">
        <f>"Income Tax and NI Deductions - PAYE"</f>
        <v>Income Tax and NI Deductions - PAYE</v>
      </c>
      <c r="C26" s="2">
        <v>3600</v>
      </c>
    </row>
    <row r="27" spans="1:3">
      <c r="A27" s="2">
        <v>4011</v>
      </c>
      <c r="B27" s="3" t="s">
        <v>951</v>
      </c>
      <c r="C27" s="2">
        <v>1610</v>
      </c>
    </row>
    <row r="28" spans="1:3">
      <c r="A28" s="2">
        <v>5002</v>
      </c>
      <c r="B28" s="3" t="str">
        <f>"Mitiga Ltd - Tal Mozes - payroll"</f>
        <v>Mitiga Ltd - Tal Mozes - payroll</v>
      </c>
      <c r="C28" s="2">
        <v>3500</v>
      </c>
    </row>
    <row r="29" spans="1:3">
      <c r="A29" s="2">
        <v>5003</v>
      </c>
      <c r="B29" s="3" t="str">
        <f>"Mitiga Ltd"</f>
        <v>Mitiga Ltd</v>
      </c>
      <c r="C29" s="2">
        <v>3500</v>
      </c>
    </row>
    <row r="30" spans="1:3">
      <c r="A30" s="2">
        <v>5004</v>
      </c>
      <c r="B30" s="3" t="str">
        <f>"Mitiga USA"</f>
        <v>Mitiga USA</v>
      </c>
      <c r="C30" s="2">
        <v>3500</v>
      </c>
    </row>
    <row r="31" spans="1:3">
      <c r="A31" s="2">
        <v>5008</v>
      </c>
      <c r="B31" s="3" t="s">
        <v>519</v>
      </c>
      <c r="C31" s="2">
        <v>3910</v>
      </c>
    </row>
    <row r="32" spans="1:3">
      <c r="A32" s="2">
        <v>5100</v>
      </c>
      <c r="B32" s="3" t="str">
        <f>"Tal Mozes"</f>
        <v>Tal Mozes</v>
      </c>
      <c r="C32" s="2">
        <v>3900</v>
      </c>
    </row>
    <row r="33" spans="1:3">
      <c r="A33" s="2">
        <v>5101</v>
      </c>
      <c r="B33" s="3" t="str">
        <f>"TREVOR YU"</f>
        <v>TREVOR YU</v>
      </c>
      <c r="C33" s="2">
        <v>3600</v>
      </c>
    </row>
    <row r="34" spans="1:3">
      <c r="A34" s="2">
        <v>5102</v>
      </c>
      <c r="B34" s="3" t="s">
        <v>1028</v>
      </c>
      <c r="C34" s="2">
        <v>3600</v>
      </c>
    </row>
    <row r="35" spans="1:3">
      <c r="A35" s="2">
        <v>5300</v>
      </c>
      <c r="B35" s="3" t="str">
        <f>"Pension Liability"</f>
        <v>Pension Liability</v>
      </c>
      <c r="C35" s="2">
        <v>3600</v>
      </c>
    </row>
    <row r="36" spans="1:3">
      <c r="A36" s="2">
        <v>6000</v>
      </c>
      <c r="B36" s="3" t="s">
        <v>641</v>
      </c>
      <c r="C36" s="2">
        <v>1450</v>
      </c>
    </row>
    <row r="37" spans="1:3">
      <c r="A37" s="2">
        <v>6008</v>
      </c>
      <c r="B37" s="3" t="s">
        <v>645</v>
      </c>
      <c r="C37" s="2">
        <v>1600</v>
      </c>
    </row>
    <row r="38" spans="1:3">
      <c r="A38" s="2">
        <v>6702</v>
      </c>
      <c r="B38" s="3" t="s">
        <v>655</v>
      </c>
      <c r="C38" s="2">
        <v>3110</v>
      </c>
    </row>
    <row r="39" spans="1:3">
      <c r="A39" s="2">
        <v>6705</v>
      </c>
      <c r="B39" s="3" t="str">
        <f>"Computers and programs"</f>
        <v>Computers and programs</v>
      </c>
      <c r="C39" s="2">
        <v>3100</v>
      </c>
    </row>
    <row r="40" spans="1:3">
      <c r="A40" s="2">
        <v>7003</v>
      </c>
      <c r="B40" s="3" t="s">
        <v>1029</v>
      </c>
      <c r="C40" s="2">
        <v>5200</v>
      </c>
    </row>
    <row r="41" spans="1:3">
      <c r="A41" s="2">
        <v>7012</v>
      </c>
      <c r="B41" s="3" t="str">
        <f>"Revenue"</f>
        <v>Revenue</v>
      </c>
      <c r="C41" s="2">
        <v>5200</v>
      </c>
    </row>
    <row r="42" spans="1:3">
      <c r="A42" s="2">
        <v>7013</v>
      </c>
      <c r="B42" s="3" t="str">
        <f>"Revenue $"</f>
        <v>Revenue $</v>
      </c>
      <c r="C42" s="2">
        <v>5200</v>
      </c>
    </row>
    <row r="43" spans="1:3">
      <c r="A43" s="2">
        <v>7100</v>
      </c>
      <c r="B43" s="3" t="s">
        <v>727</v>
      </c>
      <c r="C43" s="2">
        <v>5320</v>
      </c>
    </row>
    <row r="44" spans="1:3">
      <c r="A44" s="2">
        <v>8004</v>
      </c>
      <c r="B44" s="3" t="s">
        <v>1012</v>
      </c>
      <c r="C44" s="2">
        <v>5610</v>
      </c>
    </row>
    <row r="45" spans="1:3">
      <c r="A45" s="2">
        <v>8005</v>
      </c>
      <c r="B45" s="3" t="str">
        <f>"IT expenses G&amp;A"</f>
        <v>IT expenses G&amp;A</v>
      </c>
      <c r="C45" s="2">
        <v>5660</v>
      </c>
    </row>
    <row r="46" spans="1:3">
      <c r="A46" s="2">
        <v>8006</v>
      </c>
      <c r="B46" s="3" t="str">
        <f>"Welfare G&amp;A"</f>
        <v>Welfare G&amp;A</v>
      </c>
      <c r="C46" s="2">
        <v>5660</v>
      </c>
    </row>
    <row r="47" spans="1:3">
      <c r="A47" s="2">
        <v>8007</v>
      </c>
      <c r="B47" s="3" t="str">
        <f>"Meals"</f>
        <v>Meals</v>
      </c>
      <c r="C47" s="2">
        <v>5660</v>
      </c>
    </row>
    <row r="48" spans="1:3">
      <c r="A48" s="2">
        <v>8008</v>
      </c>
      <c r="B48" s="3" t="str">
        <f>"Mobile expenses and communications"</f>
        <v>Mobile expenses and communications</v>
      </c>
      <c r="C48" s="2">
        <v>5660</v>
      </c>
    </row>
    <row r="49" spans="1:3">
      <c r="A49" s="2">
        <v>8009</v>
      </c>
      <c r="B49" s="3" t="s">
        <v>1030</v>
      </c>
      <c r="C49" s="2">
        <v>5660</v>
      </c>
    </row>
    <row r="50" spans="1:3">
      <c r="A50" s="2">
        <v>8011</v>
      </c>
      <c r="B50" s="3" t="str">
        <f>"Travel expenses"</f>
        <v>Travel expenses</v>
      </c>
      <c r="C50" s="2">
        <v>5680</v>
      </c>
    </row>
    <row r="51" spans="1:3">
      <c r="A51" s="2">
        <v>8012</v>
      </c>
      <c r="B51" s="3" t="str">
        <f>"private healthcare"</f>
        <v>private healthcare</v>
      </c>
      <c r="C51" s="2">
        <v>5660</v>
      </c>
    </row>
    <row r="52" spans="1:3">
      <c r="A52" s="2">
        <v>8013</v>
      </c>
      <c r="B52" s="3" t="str">
        <f>"Legal UK"</f>
        <v>Legal UK</v>
      </c>
      <c r="C52" s="2">
        <v>5610</v>
      </c>
    </row>
    <row r="53" spans="1:3">
      <c r="A53" s="2">
        <v>8014</v>
      </c>
      <c r="B53" s="3" t="str">
        <f>"Software To use for Linkedin"</f>
        <v>Software To use for Linkedin</v>
      </c>
      <c r="C53" s="2">
        <v>5620</v>
      </c>
    </row>
    <row r="54" spans="1:3">
      <c r="A54" s="2">
        <v>8017</v>
      </c>
      <c r="B54" s="3" t="str">
        <f>"Finance - Retainer UK"</f>
        <v>Finance - Retainer UK</v>
      </c>
      <c r="C54" s="2">
        <v>5610</v>
      </c>
    </row>
    <row r="55" spans="1:3">
      <c r="A55" s="2">
        <v>8018</v>
      </c>
      <c r="B55" s="3" t="str">
        <f>"Travel, public transportation"</f>
        <v>Travel, public transportation</v>
      </c>
      <c r="C55" s="2">
        <v>5660</v>
      </c>
    </row>
    <row r="56" spans="1:3">
      <c r="A56" s="2">
        <v>8020</v>
      </c>
      <c r="B56" s="3" t="s">
        <v>1031</v>
      </c>
      <c r="C56" s="2">
        <v>5670</v>
      </c>
    </row>
    <row r="57" spans="1:3">
      <c r="A57" s="2">
        <v>8021</v>
      </c>
      <c r="B57" s="3" t="str">
        <f>"Adobe Systems Software"</f>
        <v>Adobe Systems Software</v>
      </c>
      <c r="C57" s="2">
        <v>5660</v>
      </c>
    </row>
    <row r="58" spans="1:3">
      <c r="A58" s="2">
        <v>8022</v>
      </c>
      <c r="B58" s="3" t="str">
        <f>"Website Design"</f>
        <v>Website Design</v>
      </c>
      <c r="C58" s="2">
        <v>5610</v>
      </c>
    </row>
    <row r="59" spans="1:3">
      <c r="A59" s="2">
        <v>8023</v>
      </c>
      <c r="B59" s="3" t="str">
        <f>"Project services"</f>
        <v>Project services</v>
      </c>
      <c r="C59" s="2">
        <v>5320</v>
      </c>
    </row>
    <row r="60" spans="1:3">
      <c r="A60" s="2">
        <v>8028</v>
      </c>
      <c r="B60" s="3" t="s">
        <v>587</v>
      </c>
      <c r="C60" s="2">
        <v>5660</v>
      </c>
    </row>
    <row r="61" spans="1:3">
      <c r="A61" s="2">
        <v>8030</v>
      </c>
      <c r="B61" s="3" t="str">
        <f>"Office expenses"</f>
        <v>Office expenses</v>
      </c>
      <c r="C61" s="2">
        <v>5620</v>
      </c>
    </row>
    <row r="62" spans="1:3">
      <c r="A62" s="2">
        <v>8032</v>
      </c>
      <c r="B62" s="3" t="s">
        <v>744</v>
      </c>
      <c r="C62" s="2">
        <v>5410</v>
      </c>
    </row>
    <row r="63" spans="1:3">
      <c r="A63" s="2">
        <v>8033</v>
      </c>
      <c r="B63" s="3" t="s">
        <v>745</v>
      </c>
      <c r="C63" s="2">
        <v>5660</v>
      </c>
    </row>
    <row r="64" spans="1:3">
      <c r="A64" s="2">
        <v>8040</v>
      </c>
      <c r="B64" s="3" t="str">
        <f>"Recruitment"</f>
        <v>Recruitment</v>
      </c>
      <c r="C64" s="2">
        <v>5610</v>
      </c>
    </row>
    <row r="65" spans="1:3">
      <c r="A65" s="2">
        <v>8043</v>
      </c>
      <c r="B65" s="3" t="s">
        <v>746</v>
      </c>
      <c r="C65" s="2">
        <v>5510</v>
      </c>
    </row>
    <row r="66" spans="1:3">
      <c r="A66" s="2">
        <v>8055</v>
      </c>
      <c r="B66" s="3" t="s">
        <v>1032</v>
      </c>
      <c r="C66" s="2">
        <v>5500</v>
      </c>
    </row>
    <row r="67" spans="1:3">
      <c r="A67" s="2">
        <v>8056</v>
      </c>
      <c r="B67" s="3" t="s">
        <v>1033</v>
      </c>
      <c r="C67" s="2">
        <v>5500</v>
      </c>
    </row>
    <row r="68" spans="1:3">
      <c r="A68" s="2">
        <v>8057</v>
      </c>
      <c r="B68" s="3" t="s">
        <v>1034</v>
      </c>
      <c r="C68" s="2">
        <v>5500</v>
      </c>
    </row>
    <row r="69" spans="1:3">
      <c r="A69" s="2">
        <v>8201</v>
      </c>
      <c r="B69" s="3" t="s">
        <v>990</v>
      </c>
      <c r="C69" s="2">
        <v>5300</v>
      </c>
    </row>
    <row r="70" spans="1:3">
      <c r="A70" s="2">
        <v>8212</v>
      </c>
      <c r="B70" s="3" t="s">
        <v>994</v>
      </c>
      <c r="C70" s="2">
        <v>5500</v>
      </c>
    </row>
    <row r="71" spans="1:3">
      <c r="A71" s="2">
        <v>8213</v>
      </c>
      <c r="B71" s="3" t="s">
        <v>995</v>
      </c>
      <c r="C71" s="2">
        <v>5500</v>
      </c>
    </row>
    <row r="72" spans="1:3">
      <c r="A72" s="2">
        <v>8070</v>
      </c>
      <c r="B72" s="3" t="s">
        <v>980</v>
      </c>
      <c r="C72" s="2">
        <v>5500</v>
      </c>
    </row>
    <row r="73" spans="1:3">
      <c r="A73" s="2">
        <v>8060</v>
      </c>
      <c r="B73" s="3" t="str">
        <f>"Tal-Israel-26-31/01/20"</f>
        <v>Tal-Israel-26-31/01/20</v>
      </c>
      <c r="C73" s="2">
        <v>5680</v>
      </c>
    </row>
    <row r="74" spans="1:3">
      <c r="A74" s="2">
        <v>8061</v>
      </c>
      <c r="B74" s="3" t="str">
        <f>"Tal- USA 23-29/02/20"</f>
        <v>Tal- USA 23-29/02/20</v>
      </c>
      <c r="C74" s="2">
        <v>5680</v>
      </c>
    </row>
    <row r="75" spans="1:3">
      <c r="A75" s="2">
        <v>8062</v>
      </c>
      <c r="B75" s="3" t="str">
        <f>"Tal- USA1-6/12/19"</f>
        <v>Tal- USA1-6/12/19</v>
      </c>
      <c r="C75" s="2">
        <v>5680</v>
      </c>
    </row>
    <row r="76" spans="1:3">
      <c r="A76" s="2">
        <v>8063</v>
      </c>
      <c r="B76" s="3" t="str">
        <f>"Tal- Israel 15-20/12/19"</f>
        <v>Tal- Israel 15-20/12/19</v>
      </c>
      <c r="C76" s="2">
        <v>5680</v>
      </c>
    </row>
    <row r="77" spans="1:3">
      <c r="A77" s="2">
        <v>8064</v>
      </c>
      <c r="B77" s="3" t="s">
        <v>1035</v>
      </c>
      <c r="C77" s="2">
        <v>5540</v>
      </c>
    </row>
    <row r="78" spans="1:3">
      <c r="A78" s="2">
        <v>8065</v>
      </c>
      <c r="B78" s="3" t="str">
        <f>"Tal-Israel 16-21/02/20"</f>
        <v>Tal-Israel 16-21/02/20</v>
      </c>
      <c r="C78" s="2">
        <v>5680</v>
      </c>
    </row>
    <row r="79" spans="1:3">
      <c r="A79" s="2">
        <v>8068</v>
      </c>
      <c r="B79" s="3" t="s">
        <v>1008</v>
      </c>
      <c r="C79" s="2">
        <v>5680</v>
      </c>
    </row>
    <row r="80" spans="1:3">
      <c r="A80" s="2">
        <v>8071</v>
      </c>
      <c r="B80" s="3" t="s">
        <v>981</v>
      </c>
      <c r="C80" s="2">
        <v>5500</v>
      </c>
    </row>
    <row r="81" spans="1:3">
      <c r="A81" s="2">
        <v>8072</v>
      </c>
      <c r="B81" s="3" t="s">
        <v>786</v>
      </c>
      <c r="C81" s="2">
        <v>5500</v>
      </c>
    </row>
    <row r="82" spans="1:3">
      <c r="A82" s="2">
        <v>8202</v>
      </c>
      <c r="B82" s="3" t="s">
        <v>991</v>
      </c>
      <c r="C82" s="2">
        <v>5500</v>
      </c>
    </row>
    <row r="83" spans="1:3">
      <c r="A83" s="2">
        <v>8107</v>
      </c>
      <c r="B83" s="3" t="str">
        <f>"Marketing G&amp;A"</f>
        <v>Marketing G&amp;A</v>
      </c>
      <c r="C83" s="2">
        <v>5520</v>
      </c>
    </row>
    <row r="84" spans="1:3">
      <c r="A84" s="2">
        <v>4012</v>
      </c>
      <c r="B84" s="2" t="s">
        <v>1036</v>
      </c>
      <c r="C84" s="2">
        <v>5500</v>
      </c>
    </row>
    <row r="85" spans="1:3">
      <c r="A85" s="2">
        <v>8058</v>
      </c>
      <c r="B85" s="2" t="s">
        <v>1037</v>
      </c>
      <c r="C85" s="2">
        <v>5311</v>
      </c>
    </row>
    <row r="86" spans="1:3">
      <c r="A86" s="2">
        <v>8073</v>
      </c>
      <c r="B86" s="2" t="s">
        <v>1038</v>
      </c>
      <c r="C86" s="2">
        <v>5505</v>
      </c>
    </row>
    <row r="87" spans="1:3">
      <c r="A87" s="2">
        <v>8050</v>
      </c>
      <c r="B87" s="3" t="str">
        <f>"Salary expenses G&amp;A"</f>
        <v>Salary expenses G&amp;A</v>
      </c>
      <c r="C87" s="2">
        <v>5600</v>
      </c>
    </row>
    <row r="88" spans="1:3">
      <c r="A88" s="2">
        <v>8052</v>
      </c>
      <c r="B88" s="3" t="str">
        <f>"National Insurance G&amp;A"</f>
        <v>National Insurance G&amp;A</v>
      </c>
      <c r="C88" s="2">
        <v>5600</v>
      </c>
    </row>
    <row r="89" spans="1:3">
      <c r="A89" s="2">
        <v>8053</v>
      </c>
      <c r="B89" s="3" t="str">
        <f>"Employer pension expenses G&amp;A"</f>
        <v>Employer pension expenses G&amp;A</v>
      </c>
      <c r="C89" s="2">
        <v>5600</v>
      </c>
    </row>
    <row r="90" spans="1:3">
      <c r="A90" s="2">
        <v>8054</v>
      </c>
      <c r="B90" s="3" t="str">
        <f>"Pension Expenses"</f>
        <v>Pension Expenses</v>
      </c>
      <c r="C90" s="2">
        <v>5600</v>
      </c>
    </row>
    <row r="91" spans="1:3">
      <c r="A91" s="2">
        <v>8329</v>
      </c>
      <c r="B91" s="3" t="str">
        <f>"Negosystem expenses"</f>
        <v>Negosystem expenses</v>
      </c>
      <c r="C91" s="2">
        <v>5610</v>
      </c>
    </row>
    <row r="92" spans="1:3">
      <c r="A92" s="2">
        <v>8400</v>
      </c>
      <c r="B92" s="3" t="s">
        <v>554</v>
      </c>
      <c r="C92" s="2">
        <v>5670</v>
      </c>
    </row>
    <row r="93" spans="1:3">
      <c r="A93" s="2">
        <v>9000</v>
      </c>
      <c r="B93" s="3" t="s">
        <v>1018</v>
      </c>
      <c r="C93" s="2">
        <v>5700</v>
      </c>
    </row>
    <row r="94" spans="1:3">
      <c r="A94" s="2">
        <v>9004</v>
      </c>
      <c r="B94" s="3" t="str">
        <f>"הפרשי שער"</f>
        <v>הפרשי שער</v>
      </c>
      <c r="C94" s="2">
        <v>5700</v>
      </c>
    </row>
    <row r="95" spans="1:3">
      <c r="A95" s="2">
        <v>9006</v>
      </c>
      <c r="B95" s="3" t="str">
        <f>"Bank fees"</f>
        <v>Bank fees</v>
      </c>
      <c r="C95" s="2">
        <v>5700</v>
      </c>
    </row>
    <row r="96" spans="1:3">
      <c r="A96" s="2">
        <v>9007</v>
      </c>
      <c r="B96" s="3" t="str">
        <f>"Fee of the credit card"</f>
        <v>Fee of the credit card</v>
      </c>
      <c r="C96" s="2">
        <v>5700</v>
      </c>
    </row>
    <row r="97" spans="1:3">
      <c r="A97" s="2">
        <v>9901</v>
      </c>
      <c r="B97" s="3" t="str">
        <f>"Retained earnings"</f>
        <v>Retained earnings</v>
      </c>
      <c r="C97" s="2">
        <v>5110</v>
      </c>
    </row>
    <row r="98" spans="1:3">
      <c r="A98" s="2">
        <v>9999</v>
      </c>
      <c r="B98" s="3" t="str">
        <f>"Cancellation balances"</f>
        <v>Cancellation balances</v>
      </c>
      <c r="C98" s="2">
        <v>5700</v>
      </c>
    </row>
    <row r="99" spans="1:3">
      <c r="A99" s="2">
        <v>2013</v>
      </c>
      <c r="B99" s="2" t="s">
        <v>342</v>
      </c>
      <c r="C99" s="2">
        <v>3500</v>
      </c>
    </row>
    <row r="100" spans="1:3">
      <c r="A100" s="2">
        <v>5009</v>
      </c>
      <c r="B100" s="2" t="s">
        <v>958</v>
      </c>
      <c r="C100" s="2">
        <v>3600</v>
      </c>
    </row>
    <row r="101" spans="1:3">
      <c r="A101" s="2">
        <v>1102</v>
      </c>
      <c r="B101" s="2" t="s">
        <v>949</v>
      </c>
      <c r="C101" s="2">
        <v>1110</v>
      </c>
    </row>
    <row r="102" spans="1:3">
      <c r="A102" s="2">
        <v>3027</v>
      </c>
      <c r="B102" s="2" t="s">
        <v>1039</v>
      </c>
      <c r="C102" s="2">
        <v>3400</v>
      </c>
    </row>
    <row r="103" spans="1:3">
      <c r="A103" s="2">
        <v>5005</v>
      </c>
      <c r="B103" s="2" t="s">
        <v>342</v>
      </c>
      <c r="C103" s="2">
        <v>3500</v>
      </c>
    </row>
    <row r="104" spans="1:3">
      <c r="A104" s="2">
        <v>6001</v>
      </c>
      <c r="B104" s="2" t="s">
        <v>689</v>
      </c>
      <c r="C104" s="2">
        <v>3800</v>
      </c>
    </row>
    <row r="105" spans="1:3">
      <c r="A105" s="2">
        <v>8200</v>
      </c>
      <c r="B105" s="3" t="s">
        <v>989</v>
      </c>
      <c r="C105" s="2">
        <v>5600</v>
      </c>
    </row>
    <row r="106" spans="1:3">
      <c r="A106" s="2">
        <v>8210</v>
      </c>
      <c r="B106" s="3" t="s">
        <v>992</v>
      </c>
      <c r="C106" s="2">
        <v>5600</v>
      </c>
    </row>
    <row r="107" spans="1:3">
      <c r="A107" s="2">
        <v>8211</v>
      </c>
      <c r="B107" s="3" t="s">
        <v>993</v>
      </c>
      <c r="C107" s="2">
        <v>5600</v>
      </c>
    </row>
    <row r="108" spans="1:3">
      <c r="A108" s="2">
        <v>8051</v>
      </c>
      <c r="B108" s="2" t="s">
        <v>976</v>
      </c>
      <c r="C108" s="2">
        <v>5603</v>
      </c>
    </row>
    <row r="109" spans="1:3">
      <c r="A109" s="2">
        <v>8010</v>
      </c>
      <c r="B109" s="2" t="s">
        <v>997</v>
      </c>
      <c r="C109" s="2">
        <v>5620</v>
      </c>
    </row>
    <row r="110" spans="1:3">
      <c r="A110" s="2">
        <v>8044</v>
      </c>
      <c r="B110" s="2" t="s">
        <v>747</v>
      </c>
      <c r="C110" s="2">
        <v>5660</v>
      </c>
    </row>
    <row r="111" spans="1:3">
      <c r="A111" s="2">
        <v>8015</v>
      </c>
      <c r="B111" s="2" t="s">
        <v>1001</v>
      </c>
      <c r="C111" s="2">
        <v>5660</v>
      </c>
    </row>
    <row r="112" spans="1:3">
      <c r="A112" s="2">
        <v>8037</v>
      </c>
      <c r="B112" s="2" t="s">
        <v>1002</v>
      </c>
      <c r="C112" s="2">
        <v>5660</v>
      </c>
    </row>
    <row r="113" spans="1:3">
      <c r="A113" s="2">
        <v>8069</v>
      </c>
      <c r="B113" s="2" t="s">
        <v>1009</v>
      </c>
      <c r="C113" s="2">
        <v>5680</v>
      </c>
    </row>
    <row r="114" spans="1:3">
      <c r="A114" s="2">
        <v>8029</v>
      </c>
      <c r="B114" s="2" t="s">
        <v>1016</v>
      </c>
      <c r="C114" s="2">
        <v>5330</v>
      </c>
    </row>
    <row r="115" spans="1:3">
      <c r="A115" s="2">
        <v>8031</v>
      </c>
      <c r="B115" s="2" t="s">
        <v>1017</v>
      </c>
      <c r="C115" s="2">
        <v>5550</v>
      </c>
    </row>
    <row r="116" spans="1:3">
      <c r="A116" s="266">
        <v>3030</v>
      </c>
      <c r="B116" s="267" t="s">
        <v>1040</v>
      </c>
      <c r="C116" s="2">
        <v>3400</v>
      </c>
    </row>
    <row r="117" spans="1:3">
      <c r="A117" s="266">
        <v>1200</v>
      </c>
      <c r="B117" s="267" t="s">
        <v>1041</v>
      </c>
      <c r="C117" s="2">
        <v>3400</v>
      </c>
    </row>
    <row r="118" spans="1:3">
      <c r="A118" s="266">
        <v>5103</v>
      </c>
      <c r="B118" s="267" t="s">
        <v>966</v>
      </c>
      <c r="C118" s="2">
        <v>3600</v>
      </c>
    </row>
    <row r="119" spans="1:3">
      <c r="A119" s="266">
        <v>8074</v>
      </c>
      <c r="B119" s="267" t="s">
        <v>985</v>
      </c>
      <c r="C119" s="2">
        <v>5300</v>
      </c>
    </row>
    <row r="120" spans="1:3">
      <c r="A120" s="266">
        <v>8075</v>
      </c>
      <c r="B120" s="267" t="s">
        <v>986</v>
      </c>
      <c r="C120" s="2">
        <v>5300</v>
      </c>
    </row>
    <row r="121" spans="1:3">
      <c r="A121" s="266">
        <v>8076</v>
      </c>
      <c r="B121" s="267" t="s">
        <v>987</v>
      </c>
      <c r="C121" s="2">
        <v>5300</v>
      </c>
    </row>
    <row r="122" spans="1:3">
      <c r="A122" s="2">
        <v>1103</v>
      </c>
      <c r="B122" s="2" t="s">
        <v>950</v>
      </c>
      <c r="C122" s="2">
        <v>1300</v>
      </c>
    </row>
    <row r="123" spans="1:3">
      <c r="A123" s="2">
        <v>8042</v>
      </c>
      <c r="B123" s="2" t="s">
        <v>577</v>
      </c>
      <c r="C123" s="2">
        <v>5330</v>
      </c>
    </row>
    <row r="124" spans="1:3">
      <c r="A124" s="2">
        <v>5104</v>
      </c>
      <c r="B124" s="3" t="s">
        <v>967</v>
      </c>
      <c r="C124" s="2">
        <v>3600</v>
      </c>
    </row>
    <row r="125" spans="1:3">
      <c r="A125" s="2">
        <v>8077</v>
      </c>
      <c r="B125" s="3" t="s">
        <v>988</v>
      </c>
      <c r="C125" s="2">
        <v>5300</v>
      </c>
    </row>
    <row r="126" spans="1:3">
      <c r="A126" s="2">
        <v>8216</v>
      </c>
      <c r="B126" s="3" t="s">
        <v>996</v>
      </c>
      <c r="C126" s="2">
        <v>5500</v>
      </c>
    </row>
    <row r="127" spans="1:3">
      <c r="A127" s="2">
        <v>8041</v>
      </c>
      <c r="B127" s="3" t="s">
        <v>1003</v>
      </c>
      <c r="C127" s="2">
        <v>5330</v>
      </c>
    </row>
    <row r="128" spans="1:3">
      <c r="A128" s="2">
        <v>6009</v>
      </c>
      <c r="B128" s="3" t="s">
        <v>25</v>
      </c>
      <c r="C128" s="2">
        <v>1600</v>
      </c>
    </row>
    <row r="129" spans="1:3">
      <c r="A129" s="2">
        <v>3021</v>
      </c>
      <c r="B129" s="3" t="s">
        <v>1042</v>
      </c>
      <c r="C129" s="2">
        <v>3400</v>
      </c>
    </row>
    <row r="130" spans="1:3">
      <c r="A130" s="2">
        <v>4013</v>
      </c>
      <c r="B130" s="3" t="s">
        <v>973</v>
      </c>
      <c r="C130" s="2">
        <v>5600</v>
      </c>
    </row>
    <row r="131" spans="1:3">
      <c r="A131" s="2">
        <v>4014</v>
      </c>
      <c r="B131" s="3" t="s">
        <v>974</v>
      </c>
      <c r="C131" s="2">
        <v>5500</v>
      </c>
    </row>
    <row r="132" spans="1:3">
      <c r="A132" s="2">
        <v>4015</v>
      </c>
      <c r="B132" s="3" t="s">
        <v>975</v>
      </c>
      <c r="C132" s="2">
        <v>5500</v>
      </c>
    </row>
    <row r="133" spans="1:3">
      <c r="A133" s="2">
        <v>8024</v>
      </c>
      <c r="B133" s="3" t="s">
        <v>1011</v>
      </c>
      <c r="C133" s="2">
        <v>5510</v>
      </c>
    </row>
    <row r="134" spans="1:3">
      <c r="A134" s="2">
        <v>3024</v>
      </c>
      <c r="B134" s="3" t="s">
        <v>1043</v>
      </c>
      <c r="C134" s="2">
        <v>3400</v>
      </c>
    </row>
    <row r="135" spans="1:3">
      <c r="A135" s="2">
        <v>3033</v>
      </c>
      <c r="B135" s="3" t="s">
        <v>1044</v>
      </c>
      <c r="C135" s="2">
        <v>3400</v>
      </c>
    </row>
    <row r="136" spans="1:3">
      <c r="A136" s="2">
        <v>9902</v>
      </c>
      <c r="B136" s="3" t="s">
        <v>970</v>
      </c>
      <c r="C136" s="2">
        <v>4900</v>
      </c>
    </row>
    <row r="137" spans="1:3">
      <c r="A137" s="2">
        <v>8108</v>
      </c>
      <c r="B137" s="3" t="s">
        <v>1000</v>
      </c>
      <c r="C137" s="2">
        <v>5620</v>
      </c>
    </row>
    <row r="138" spans="1:3">
      <c r="A138" s="2">
        <v>8080</v>
      </c>
      <c r="B138" s="3" t="s">
        <v>1004</v>
      </c>
      <c r="C138" s="2">
        <v>5330</v>
      </c>
    </row>
    <row r="139" spans="1:3">
      <c r="A139" s="2">
        <v>6100</v>
      </c>
      <c r="B139" s="3" t="s">
        <v>1005</v>
      </c>
      <c r="C139" s="2">
        <v>5540</v>
      </c>
    </row>
    <row r="140" spans="1:3">
      <c r="A140" s="2">
        <v>6101</v>
      </c>
      <c r="B140" s="3" t="s">
        <v>1006</v>
      </c>
      <c r="C140" s="2">
        <v>5680</v>
      </c>
    </row>
    <row r="141" spans="1:3">
      <c r="A141" s="2">
        <v>5010</v>
      </c>
      <c r="B141" s="3" t="s">
        <v>959</v>
      </c>
      <c r="C141" s="2">
        <v>3600</v>
      </c>
    </row>
    <row r="142" spans="1:3">
      <c r="A142" s="2">
        <v>5011</v>
      </c>
      <c r="B142" s="3" t="s">
        <v>960</v>
      </c>
      <c r="C142" s="2">
        <v>3600</v>
      </c>
    </row>
    <row r="143" spans="1:3">
      <c r="A143" s="2">
        <v>8059</v>
      </c>
      <c r="B143" s="3" t="s">
        <v>979</v>
      </c>
      <c r="C143" s="2">
        <v>5300</v>
      </c>
    </row>
    <row r="144" spans="1:3">
      <c r="A144" s="2">
        <v>80733</v>
      </c>
      <c r="B144" s="3" t="s">
        <v>983</v>
      </c>
      <c r="C144" s="2">
        <v>5500</v>
      </c>
    </row>
    <row r="145" spans="1:3">
      <c r="A145" s="2">
        <v>80734</v>
      </c>
      <c r="B145" s="3" t="s">
        <v>984</v>
      </c>
      <c r="C145" s="2">
        <v>5600</v>
      </c>
    </row>
    <row r="146" spans="1:3">
      <c r="A146" s="2">
        <v>6102</v>
      </c>
      <c r="B146" s="3" t="s">
        <v>1007</v>
      </c>
      <c r="C146" s="2">
        <v>5330</v>
      </c>
    </row>
    <row r="147" spans="1:3">
      <c r="A147" s="2">
        <v>8016</v>
      </c>
      <c r="B147" s="3" t="s">
        <v>1010</v>
      </c>
      <c r="C147" s="2">
        <v>5510</v>
      </c>
    </row>
  </sheetData>
  <autoFilter ref="A1:C140" xr:uid="{00000000-0009-0000-0000-00000F000000}"/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M249"/>
  <sheetViews>
    <sheetView workbookViewId="0">
      <selection activeCell="D4" sqref="D4:E5"/>
    </sheetView>
  </sheetViews>
  <sheetFormatPr baseColWidth="10" defaultColWidth="8.85546875" defaultRowHeight="13" outlineLevelCol="1"/>
  <cols>
    <col min="1" max="1" width="7.85546875" style="11" bestFit="1" customWidth="1"/>
    <col min="2" max="2" width="10.140625" style="20" customWidth="1"/>
    <col min="3" max="3" width="7.85546875" style="20" bestFit="1" customWidth="1"/>
    <col min="4" max="5" width="9.42578125" style="11" bestFit="1" customWidth="1" outlineLevel="1"/>
    <col min="6" max="6" width="9.140625" style="11" bestFit="1" customWidth="1" outlineLevel="1"/>
    <col min="7" max="7" width="10.140625" style="11" customWidth="1" outlineLevel="1"/>
    <col min="8" max="8" width="44.85546875" style="21" customWidth="1"/>
    <col min="9" max="9" width="33.140625" style="133" bestFit="1" customWidth="1"/>
    <col min="10" max="10" width="11.85546875" style="22" bestFit="1" customWidth="1"/>
    <col min="11" max="11" width="8.85546875" style="11"/>
    <col min="12" max="12" width="9.42578125" style="11" bestFit="1" customWidth="1"/>
    <col min="13" max="13" width="13.85546875" style="11" bestFit="1" customWidth="1"/>
    <col min="14" max="16384" width="8.85546875" style="11"/>
  </cols>
  <sheetData>
    <row r="1" spans="1:11">
      <c r="A1" s="73"/>
      <c r="B1" s="73"/>
      <c r="C1" s="73"/>
      <c r="D1" s="73"/>
      <c r="E1" s="73"/>
      <c r="F1" s="73"/>
      <c r="G1" s="73"/>
      <c r="H1" s="73"/>
      <c r="I1" s="73"/>
    </row>
    <row r="2" spans="1:11" s="1" customFormat="1" ht="28.5" customHeight="1">
      <c r="C2" s="58" t="s">
        <v>833</v>
      </c>
      <c r="D2" s="554" t="s">
        <v>15</v>
      </c>
      <c r="E2" s="554"/>
      <c r="F2" s="59" t="s">
        <v>1045</v>
      </c>
      <c r="G2" s="60"/>
      <c r="H2" s="49"/>
      <c r="I2" s="154">
        <f>SUM(D:D)-SUM(E:E)</f>
        <v>0</v>
      </c>
      <c r="J2" s="23"/>
    </row>
    <row r="3" spans="1:11" s="1" customFormat="1" ht="14">
      <c r="A3" s="62" t="s">
        <v>944</v>
      </c>
      <c r="B3" s="57" t="s">
        <v>832</v>
      </c>
      <c r="C3" s="63" t="s">
        <v>836</v>
      </c>
      <c r="D3" s="62" t="s">
        <v>837</v>
      </c>
      <c r="E3" s="62" t="s">
        <v>838</v>
      </c>
      <c r="F3" s="62" t="s">
        <v>837</v>
      </c>
      <c r="G3" s="62" t="s">
        <v>838</v>
      </c>
      <c r="H3" s="64" t="s">
        <v>839</v>
      </c>
      <c r="I3" s="65" t="s">
        <v>840</v>
      </c>
      <c r="J3" s="23"/>
    </row>
    <row r="4" spans="1:11" ht="15.75" customHeight="1">
      <c r="A4" s="11">
        <v>1</v>
      </c>
      <c r="B4" s="20">
        <v>5505</v>
      </c>
      <c r="D4" s="426">
        <v>8351.7453914872895</v>
      </c>
      <c r="E4" s="426"/>
      <c r="F4" s="56"/>
      <c r="G4" s="284"/>
      <c r="H4" s="3" t="str">
        <f>IF(B4&gt;0,VLOOKUP(B4,'HARKAVA '!$A$1:$B$115,2,0)," ")</f>
        <v>S&amp;M expenses: non budgeted items (esop, vacation provision)</v>
      </c>
      <c r="I4" s="11" t="s">
        <v>62</v>
      </c>
      <c r="K4" s="269"/>
    </row>
    <row r="5" spans="1:11" ht="15.75" customHeight="1">
      <c r="A5" s="11">
        <v>1</v>
      </c>
      <c r="B5" s="20">
        <v>5100</v>
      </c>
      <c r="C5" s="25"/>
      <c r="D5" s="426"/>
      <c r="E5" s="426">
        <f>D4</f>
        <v>8351.7453914872895</v>
      </c>
      <c r="F5" s="284"/>
      <c r="G5" s="284"/>
      <c r="H5" s="3" t="str">
        <f>IF(B5&gt;0,VLOOKUP(B5,'HARKAVA '!$A$1:$B$115,2,0)," ")</f>
        <v>Share based payments</v>
      </c>
      <c r="I5" s="11"/>
    </row>
    <row r="6" spans="1:11" ht="15.75" customHeight="1">
      <c r="C6" s="25"/>
      <c r="D6" s="22"/>
      <c r="E6" s="24"/>
      <c r="F6" s="24"/>
      <c r="G6" s="24"/>
      <c r="H6" s="3"/>
      <c r="I6" s="11"/>
    </row>
    <row r="7" spans="1:11" ht="15.75" customHeight="1">
      <c r="A7" s="11">
        <v>2</v>
      </c>
      <c r="B7" s="20">
        <v>5551</v>
      </c>
      <c r="D7" s="426"/>
      <c r="E7" s="426"/>
      <c r="H7" s="21" t="str">
        <f>IF(B7&gt;0,VLOOKUP(B7,'HARKAVA '!$A$1:$B$115,2,0)," ")</f>
        <v>Intercompany expenses</v>
      </c>
      <c r="I7" s="11" t="s">
        <v>128</v>
      </c>
    </row>
    <row r="8" spans="1:11" ht="15.75" customHeight="1">
      <c r="A8" s="11">
        <v>2</v>
      </c>
      <c r="B8" s="20">
        <v>5201</v>
      </c>
      <c r="D8" s="426"/>
      <c r="E8" s="426">
        <v>1265642.5249999999</v>
      </c>
      <c r="H8" s="21" t="str">
        <f>IF(B8&gt;0,VLOOKUP(B8,'HARKAVA '!$A$1:$B$115,2,0)," ")</f>
        <v>Intercompany revenues</v>
      </c>
      <c r="I8" s="11"/>
    </row>
    <row r="9" spans="1:11" ht="15.75" customHeight="1">
      <c r="A9" s="11">
        <v>2</v>
      </c>
      <c r="B9" s="20">
        <v>3500</v>
      </c>
      <c r="C9" s="20">
        <v>5003</v>
      </c>
      <c r="D9" s="426">
        <f>E8</f>
        <v>1265642.5249999999</v>
      </c>
      <c r="E9" s="426"/>
      <c r="H9" s="21" t="str">
        <f>IF(B9&gt;0,VLOOKUP(B9,'HARKAVA '!$A$1:$B$115,2,0)," ")</f>
        <v>consolidated company</v>
      </c>
      <c r="I9" s="11"/>
    </row>
    <row r="10" spans="1:11" ht="15.75" customHeight="1">
      <c r="C10" s="105"/>
      <c r="D10" s="22"/>
      <c r="E10" s="24"/>
      <c r="F10" s="24"/>
      <c r="G10" s="24"/>
      <c r="I10" s="11"/>
    </row>
    <row r="11" spans="1:11">
      <c r="A11" s="11">
        <v>3</v>
      </c>
      <c r="B11" s="20">
        <v>5300</v>
      </c>
      <c r="D11" s="385">
        <v>106492</v>
      </c>
      <c r="E11" s="385"/>
      <c r="F11" s="22">
        <v>76492</v>
      </c>
      <c r="G11" s="22"/>
      <c r="H11" s="21" t="str">
        <f>IF(B11&gt;0,VLOOKUP(B11,'HARKAVA '!$A$1:$B$115,2,0)," ")</f>
        <v>Cost of goods sold:salaries and relatedexpenses</v>
      </c>
      <c r="I11" s="11" t="s">
        <v>1046</v>
      </c>
    </row>
    <row r="12" spans="1:11">
      <c r="A12" s="11">
        <v>3</v>
      </c>
      <c r="B12" s="20">
        <v>5500</v>
      </c>
      <c r="D12" s="385"/>
      <c r="E12" s="385">
        <f>D11</f>
        <v>106492</v>
      </c>
      <c r="F12" s="22"/>
      <c r="G12" s="22">
        <f>F11</f>
        <v>76492</v>
      </c>
      <c r="H12" s="21" t="str">
        <f>IF(B12&gt;0,VLOOKUP(B12,'HARKAVA '!$A$1:$B$115,2,0)," ")</f>
        <v>S&amp;M Salaries and related expenses</v>
      </c>
      <c r="I12" s="11"/>
    </row>
    <row r="13" spans="1:11" ht="15.75" customHeight="1">
      <c r="D13" s="22"/>
      <c r="E13" s="22"/>
      <c r="F13" s="22"/>
      <c r="G13" s="22"/>
      <c r="I13" s="21"/>
    </row>
    <row r="14" spans="1:11" ht="15.75" customHeight="1">
      <c r="D14" s="22"/>
      <c r="E14" s="22"/>
      <c r="F14" s="22"/>
      <c r="G14" s="22"/>
      <c r="I14" s="21"/>
    </row>
    <row r="15" spans="1:11" ht="15.75" customHeight="1">
      <c r="B15" s="20">
        <v>5400</v>
      </c>
      <c r="D15" s="385">
        <v>55908.28</v>
      </c>
      <c r="E15" s="385"/>
      <c r="F15" s="22"/>
      <c r="G15" s="22"/>
      <c r="H15" s="21" t="str">
        <f>IF(B15&gt;0,VLOOKUP(B15,'HARKAVA '!$A$1:$B$115,2,0)," ")</f>
        <v>R&amp;D expenses:  Salaries and related expenses</v>
      </c>
      <c r="I15" s="21"/>
    </row>
    <row r="16" spans="1:11" ht="15.75" customHeight="1">
      <c r="B16" s="20">
        <v>5405</v>
      </c>
      <c r="D16" s="385">
        <v>0</v>
      </c>
      <c r="E16" s="385"/>
      <c r="F16" s="22"/>
      <c r="G16" s="22"/>
      <c r="H16" s="21" t="str">
        <f>IF(B16&gt;0,VLOOKUP(B16,'HARKAVA '!$A$1:$B$115,2,0)," ")</f>
        <v>R&amp;D expenses:  management fee</v>
      </c>
      <c r="I16" s="21"/>
    </row>
    <row r="17" spans="2:9" ht="15.75" customHeight="1">
      <c r="B17" s="20">
        <v>5411</v>
      </c>
      <c r="D17" s="385">
        <v>2310.3649999999998</v>
      </c>
      <c r="E17" s="385"/>
      <c r="F17" s="22"/>
      <c r="G17" s="22"/>
      <c r="H17" s="21" t="str">
        <f>IF(B17&gt;0,VLOOKUP(B17,'HARKAVA '!$A$1:$B$115,2,0)," ")</f>
        <v>R&amp;D expenses: non budgeted items (esop, vacation provision)</v>
      </c>
      <c r="I17" s="21"/>
    </row>
    <row r="18" spans="2:9" ht="15.75" customHeight="1">
      <c r="B18" s="20">
        <v>5410</v>
      </c>
      <c r="D18" s="385">
        <v>0</v>
      </c>
      <c r="E18" s="385"/>
      <c r="F18" s="22"/>
      <c r="G18" s="22"/>
      <c r="H18" s="21" t="str">
        <f>IF(B18&gt;0,VLOOKUP(B18,'HARKAVA '!$A$1:$B$115,2,0)," ")</f>
        <v>R&amp;D Expenses: outsource</v>
      </c>
      <c r="I18" s="21"/>
    </row>
    <row r="19" spans="2:9" ht="15.75" customHeight="1">
      <c r="B19" s="20">
        <v>5416</v>
      </c>
      <c r="D19" s="385">
        <v>4661.3099999999995</v>
      </c>
      <c r="E19" s="385"/>
      <c r="F19" s="22"/>
      <c r="G19" s="22"/>
      <c r="H19" s="21" t="str">
        <f>IF(B19&gt;0,VLOOKUP(B19,'HARKAVA '!$A$1:$B$115,2,0)," ")</f>
        <v>R&amp;D Expenses: Other</v>
      </c>
      <c r="I19" s="133" t="s">
        <v>842</v>
      </c>
    </row>
    <row r="20" spans="2:9" ht="15.75" customHeight="1">
      <c r="B20" s="48">
        <v>5300</v>
      </c>
      <c r="D20" s="385"/>
      <c r="E20" s="385">
        <f>D15</f>
        <v>55908.28</v>
      </c>
      <c r="F20" s="22"/>
      <c r="G20" s="22"/>
      <c r="H20" s="21" t="str">
        <f>IF(B20&gt;0,VLOOKUP(B20,'HARKAVA '!$A$1:$B$115,2,0)," ")</f>
        <v>Cost of goods sold:salaries and relatedexpenses</v>
      </c>
      <c r="I20" s="21"/>
    </row>
    <row r="21" spans="2:9" ht="15.75" customHeight="1">
      <c r="B21" s="48">
        <v>5310</v>
      </c>
      <c r="D21" s="387"/>
      <c r="E21" s="385">
        <f>D16</f>
        <v>0</v>
      </c>
      <c r="F21" s="24"/>
      <c r="G21" s="24"/>
      <c r="H21" s="21" t="str">
        <f>IF(B21&gt;0,VLOOKUP(B21,'HARKAVA '!$A$1:$B$115,2,0)," ")</f>
        <v>Cost of goods sold:management fee</v>
      </c>
      <c r="I21" s="21"/>
    </row>
    <row r="22" spans="2:9" ht="15.75" customHeight="1">
      <c r="B22" s="48">
        <v>5311</v>
      </c>
      <c r="D22" s="387"/>
      <c r="E22" s="385">
        <f>D17</f>
        <v>2310.3649999999998</v>
      </c>
      <c r="F22" s="24"/>
      <c r="G22" s="24"/>
      <c r="H22" s="21" t="str">
        <f>IF(B22&gt;0,VLOOKUP(B22,'HARKAVA '!$A$1:$B$115,2,0)," ")</f>
        <v>Cost of goods sold: non budgeted items (esop, vacation provision)</v>
      </c>
      <c r="I22" s="21"/>
    </row>
    <row r="23" spans="2:9" ht="15.75" customHeight="1">
      <c r="B23" s="48">
        <v>5320</v>
      </c>
      <c r="D23" s="387"/>
      <c r="E23" s="385">
        <f>D18</f>
        <v>0</v>
      </c>
      <c r="F23" s="24"/>
      <c r="G23" s="24"/>
      <c r="H23" s="21" t="str">
        <f>IF(B23&gt;0,VLOOKUP(B23,'HARKAVA '!$A$1:$B$115,2,0)," ")</f>
        <v xml:space="preserve">Cost of goods sold:subcontractors </v>
      </c>
      <c r="I23" s="21"/>
    </row>
    <row r="24" spans="2:9" ht="15.75" customHeight="1">
      <c r="B24" s="48">
        <v>5330</v>
      </c>
      <c r="D24" s="387"/>
      <c r="E24" s="385">
        <f>D19</f>
        <v>4661.3099999999995</v>
      </c>
      <c r="F24" s="24"/>
      <c r="G24" s="24"/>
      <c r="H24" s="21" t="str">
        <f>IF(B24&gt;0,VLOOKUP(B24,'HARKAVA '!$A$1:$B$115,2,0)," ")</f>
        <v>Cost of goods sold:Other</v>
      </c>
      <c r="I24" s="21"/>
    </row>
    <row r="25" spans="2:9" ht="15.75" customHeight="1">
      <c r="E25" s="24"/>
      <c r="F25" s="24"/>
      <c r="G25" s="24"/>
      <c r="H25" s="21" t="str">
        <f>IF(B25&gt;0,VLOOKUP(B25,'HARKAVA '!$A$1:$B$115,2,0)," ")</f>
        <v xml:space="preserve"> </v>
      </c>
      <c r="I25" s="21"/>
    </row>
    <row r="26" spans="2:9" ht="15.75" customHeight="1">
      <c r="E26" s="24"/>
      <c r="F26" s="24"/>
      <c r="G26" s="24"/>
      <c r="H26" s="21" t="str">
        <f>IF(B26&gt;0,VLOOKUP(B26,'HARKAVA '!$A$1:$B$115,2,0)," ")</f>
        <v xml:space="preserve"> </v>
      </c>
      <c r="I26" s="21"/>
    </row>
    <row r="27" spans="2:9" ht="15.75" customHeight="1">
      <c r="D27" s="26"/>
      <c r="E27" s="24"/>
      <c r="F27" s="24"/>
      <c r="G27" s="24"/>
      <c r="H27" s="21" t="str">
        <f>IF(B27&gt;0,VLOOKUP(B27,'HARKAVA '!$A$1:$B$115,2,0)," ")</f>
        <v xml:space="preserve"> </v>
      </c>
      <c r="I27" s="21"/>
    </row>
    <row r="28" spans="2:9" ht="15.75" customHeight="1">
      <c r="E28" s="24"/>
      <c r="F28" s="24"/>
      <c r="G28" s="24"/>
      <c r="H28" s="21" t="str">
        <f>IF(B28&gt;0,VLOOKUP(B28,'HARKAVA '!$A$1:$B$115,2,0)," ")</f>
        <v xml:space="preserve"> </v>
      </c>
      <c r="I28" s="21"/>
    </row>
    <row r="29" spans="2:9" ht="15.75" customHeight="1">
      <c r="H29" s="21" t="str">
        <f>IF(B29&gt;0,VLOOKUP(B29,'HARKAVA '!$A$1:$B$115,2,0)," ")</f>
        <v xml:space="preserve"> </v>
      </c>
      <c r="I29" s="21"/>
    </row>
    <row r="30" spans="2:9" ht="16.5" customHeight="1">
      <c r="D30" s="22"/>
      <c r="H30" s="21" t="str">
        <f>IF(B30&gt;0,VLOOKUP(B30,'HARKAVA '!$A$1:$B$115,2,0)," ")</f>
        <v xml:space="preserve"> </v>
      </c>
      <c r="I30" s="21"/>
    </row>
    <row r="31" spans="2:9" ht="16.5" customHeight="1">
      <c r="D31" s="22"/>
      <c r="H31" s="21" t="str">
        <f>IF(B31&gt;0,VLOOKUP(B31,'HARKAVA '!$A$1:$B$115,2,0)," ")</f>
        <v xml:space="preserve"> </v>
      </c>
      <c r="I31" s="21"/>
    </row>
    <row r="32" spans="2:9" ht="16.5" customHeight="1">
      <c r="D32" s="22"/>
      <c r="H32" s="21" t="str">
        <f>IF(B32&gt;0,VLOOKUP(B32,'HARKAVA '!$A$1:$B$115,2,0)," ")</f>
        <v xml:space="preserve"> </v>
      </c>
      <c r="I32" s="21"/>
    </row>
    <row r="33" spans="2:9" ht="16.5" customHeight="1">
      <c r="D33" s="22"/>
      <c r="H33" s="21" t="str">
        <f>IF(B33&gt;0,VLOOKUP(B33,'HARKAVA '!$A$1:$B$115,2,0)," ")</f>
        <v xml:space="preserve"> </v>
      </c>
      <c r="I33" s="21"/>
    </row>
    <row r="34" spans="2:9" ht="16.5" customHeight="1">
      <c r="D34" s="22"/>
      <c r="I34" s="21"/>
    </row>
    <row r="35" spans="2:9" ht="16.5" customHeight="1">
      <c r="D35" s="22"/>
      <c r="I35" s="21"/>
    </row>
    <row r="36" spans="2:9" ht="16.5" customHeight="1">
      <c r="D36" s="22"/>
      <c r="I36" s="21"/>
    </row>
    <row r="37" spans="2:9" ht="16.5" customHeight="1">
      <c r="D37" s="22"/>
      <c r="I37" s="21"/>
    </row>
    <row r="38" spans="2:9" ht="16.5" customHeight="1">
      <c r="D38" s="22"/>
      <c r="I38" s="21"/>
    </row>
    <row r="39" spans="2:9" ht="16.5" customHeight="1">
      <c r="D39" s="22"/>
      <c r="I39" s="21"/>
    </row>
    <row r="40" spans="2:9" ht="16.5" customHeight="1">
      <c r="D40" s="22"/>
      <c r="I40" s="21"/>
    </row>
    <row r="41" spans="2:9" ht="16.5" customHeight="1">
      <c r="D41" s="22"/>
      <c r="I41" s="21"/>
    </row>
    <row r="42" spans="2:9" ht="16.5" customHeight="1">
      <c r="D42" s="22"/>
      <c r="I42" s="21"/>
    </row>
    <row r="43" spans="2:9" ht="16.5" customHeight="1">
      <c r="D43" s="22"/>
      <c r="I43" s="21"/>
    </row>
    <row r="44" spans="2:9" ht="16.5" customHeight="1">
      <c r="D44" s="22"/>
      <c r="I44" s="21"/>
    </row>
    <row r="45" spans="2:9" ht="16.5" customHeight="1">
      <c r="D45" s="22"/>
      <c r="I45" s="21"/>
    </row>
    <row r="46" spans="2:9" ht="16.5" customHeight="1">
      <c r="B46" s="20" t="e">
        <f>VLOOKUP(C46,'codes UK'!A:C,3,0)</f>
        <v>#N/A</v>
      </c>
      <c r="D46" s="22"/>
      <c r="I46" s="21"/>
    </row>
    <row r="47" spans="2:9" ht="16.5" customHeight="1">
      <c r="B47" s="20" t="e">
        <f>VLOOKUP(C47,'codes UK'!A:C,3,0)</f>
        <v>#N/A</v>
      </c>
      <c r="D47" s="22"/>
      <c r="I47" s="21"/>
    </row>
    <row r="48" spans="2:9" ht="16.5" customHeight="1">
      <c r="B48" s="20" t="e">
        <f>VLOOKUP(C48,'codes UK'!A:C,3,0)</f>
        <v>#N/A</v>
      </c>
      <c r="D48" s="22"/>
      <c r="I48" s="21"/>
    </row>
    <row r="49" spans="2:9" ht="16.5" customHeight="1">
      <c r="B49" s="20" t="e">
        <f>VLOOKUP(C49,'codes UK'!A:C,3,0)</f>
        <v>#N/A</v>
      </c>
      <c r="D49" s="22"/>
      <c r="I49" s="21"/>
    </row>
    <row r="50" spans="2:9" ht="16.5" customHeight="1">
      <c r="B50" s="20" t="e">
        <f>VLOOKUP(C50,'codes UK'!A:C,3,0)</f>
        <v>#N/A</v>
      </c>
      <c r="D50" s="22"/>
      <c r="I50" s="21"/>
    </row>
    <row r="51" spans="2:9" ht="16.5" customHeight="1">
      <c r="B51" s="20" t="e">
        <f>VLOOKUP(C51,'codes UK'!A:C,3,0)</f>
        <v>#N/A</v>
      </c>
      <c r="D51" s="22"/>
      <c r="I51" s="21"/>
    </row>
    <row r="52" spans="2:9" ht="16.5" customHeight="1">
      <c r="B52" s="20" t="e">
        <f>VLOOKUP(C52,'codes UK'!A:C,3,0)</f>
        <v>#N/A</v>
      </c>
      <c r="D52" s="22"/>
      <c r="I52" s="21"/>
    </row>
    <row r="53" spans="2:9" ht="16.5" customHeight="1">
      <c r="B53" s="20" t="e">
        <f>VLOOKUP(C53,'codes UK'!A:C,3,0)</f>
        <v>#N/A</v>
      </c>
      <c r="D53" s="22"/>
      <c r="E53" s="27"/>
      <c r="F53" s="27"/>
      <c r="G53" s="27"/>
      <c r="I53" s="21"/>
    </row>
    <row r="54" spans="2:9" ht="16.5" customHeight="1">
      <c r="B54" s="20" t="e">
        <f>VLOOKUP(C54,'codes UK'!A:C,3,0)</f>
        <v>#N/A</v>
      </c>
      <c r="D54" s="22"/>
      <c r="I54" s="21"/>
    </row>
    <row r="55" spans="2:9" ht="16.5" customHeight="1">
      <c r="B55" s="20" t="e">
        <f>VLOOKUP(C55,'codes UK'!A:C,3,0)</f>
        <v>#N/A</v>
      </c>
      <c r="D55" s="22"/>
      <c r="I55" s="21"/>
    </row>
    <row r="56" spans="2:9" ht="16.5" customHeight="1">
      <c r="B56" s="20" t="e">
        <f>VLOOKUP(C56,'codes UK'!A:C,3,0)</f>
        <v>#N/A</v>
      </c>
      <c r="D56" s="22"/>
      <c r="I56" s="21"/>
    </row>
    <row r="57" spans="2:9" ht="16.5" customHeight="1">
      <c r="B57" s="20" t="e">
        <f>VLOOKUP(C57,'codes UK'!A:C,3,0)</f>
        <v>#N/A</v>
      </c>
      <c r="D57" s="22"/>
      <c r="I57" s="21"/>
    </row>
    <row r="58" spans="2:9" ht="16.5" customHeight="1">
      <c r="B58" s="20" t="e">
        <f>VLOOKUP(C58,'codes UK'!A:C,3,0)</f>
        <v>#N/A</v>
      </c>
      <c r="D58" s="22"/>
      <c r="I58" s="21"/>
    </row>
    <row r="59" spans="2:9" ht="16.5" customHeight="1">
      <c r="B59" s="20" t="e">
        <f>VLOOKUP(C59,'codes UK'!A:C,3,0)</f>
        <v>#N/A</v>
      </c>
      <c r="D59" s="22"/>
      <c r="I59" s="21"/>
    </row>
    <row r="60" spans="2:9" ht="16.5" customHeight="1">
      <c r="B60" s="20" t="e">
        <f>VLOOKUP(C60,'codes UK'!A:C,3,0)</f>
        <v>#N/A</v>
      </c>
      <c r="D60" s="22"/>
      <c r="I60" s="21"/>
    </row>
    <row r="61" spans="2:9" ht="16.5" customHeight="1">
      <c r="B61" s="20" t="e">
        <f>VLOOKUP(C61,'codes UK'!A:C,3,0)</f>
        <v>#N/A</v>
      </c>
      <c r="D61" s="22"/>
      <c r="I61" s="21"/>
    </row>
    <row r="62" spans="2:9" ht="16.5" customHeight="1">
      <c r="B62" s="20" t="e">
        <f>VLOOKUP(C62,'codes UK'!A:C,3,0)</f>
        <v>#N/A</v>
      </c>
      <c r="D62" s="22"/>
      <c r="I62" s="21"/>
    </row>
    <row r="63" spans="2:9" ht="16.5" customHeight="1">
      <c r="B63" s="20" t="e">
        <f>VLOOKUP(C63,'codes UK'!A:C,3,0)</f>
        <v>#N/A</v>
      </c>
      <c r="D63" s="22"/>
      <c r="I63" s="21"/>
    </row>
    <row r="64" spans="2:9" ht="16.5" customHeight="1">
      <c r="B64" s="20" t="e">
        <f>VLOOKUP(C64,'codes UK'!A:C,3,0)</f>
        <v>#N/A</v>
      </c>
      <c r="D64" s="22"/>
      <c r="I64" s="21"/>
    </row>
    <row r="65" spans="2:9" ht="16.5" customHeight="1">
      <c r="B65" s="20" t="e">
        <f>VLOOKUP(C65,'codes UK'!A:C,3,0)</f>
        <v>#N/A</v>
      </c>
      <c r="D65" s="22"/>
      <c r="I65" s="21"/>
    </row>
    <row r="66" spans="2:9" ht="16.5" customHeight="1">
      <c r="B66" s="20" t="e">
        <f>VLOOKUP(C66,'codes UK'!A:C,3,0)</f>
        <v>#N/A</v>
      </c>
      <c r="D66" s="22"/>
      <c r="I66" s="21"/>
    </row>
    <row r="67" spans="2:9" ht="16.5" customHeight="1">
      <c r="B67" s="20" t="e">
        <f>VLOOKUP(C67,'codes UK'!A:C,3,0)</f>
        <v>#N/A</v>
      </c>
      <c r="D67" s="22"/>
      <c r="I67" s="21"/>
    </row>
    <row r="68" spans="2:9" ht="16.5" customHeight="1">
      <c r="B68" s="20" t="e">
        <f>VLOOKUP(C68,'codes UK'!A:C,3,0)</f>
        <v>#N/A</v>
      </c>
      <c r="D68" s="22"/>
      <c r="I68" s="21"/>
    </row>
    <row r="69" spans="2:9" ht="16.5" customHeight="1">
      <c r="B69" s="20" t="e">
        <f>VLOOKUP(C69,'codes UK'!A:C,3,0)</f>
        <v>#N/A</v>
      </c>
      <c r="D69" s="22"/>
      <c r="I69" s="21"/>
    </row>
    <row r="70" spans="2:9" ht="16.5" customHeight="1">
      <c r="B70" s="20" t="e">
        <f>VLOOKUP(C70,'codes UK'!A:C,3,0)</f>
        <v>#N/A</v>
      </c>
      <c r="D70" s="22"/>
      <c r="I70" s="21"/>
    </row>
    <row r="71" spans="2:9" ht="16.5" customHeight="1">
      <c r="B71" s="20" t="e">
        <f>VLOOKUP(C71,'codes UK'!A:C,3,0)</f>
        <v>#N/A</v>
      </c>
      <c r="D71" s="22"/>
      <c r="I71" s="21"/>
    </row>
    <row r="72" spans="2:9" ht="16.5" customHeight="1">
      <c r="B72" s="20" t="e">
        <f>VLOOKUP(C72,'codes UK'!A:C,3,0)</f>
        <v>#N/A</v>
      </c>
      <c r="D72" s="22"/>
      <c r="I72" s="21"/>
    </row>
    <row r="73" spans="2:9" ht="16.5" customHeight="1">
      <c r="B73" s="20" t="e">
        <f>VLOOKUP(C73,'codes UK'!A:C,3,0)</f>
        <v>#N/A</v>
      </c>
      <c r="D73" s="22"/>
      <c r="I73" s="21"/>
    </row>
    <row r="74" spans="2:9" ht="16.5" customHeight="1">
      <c r="D74" s="22"/>
      <c r="I74" s="21"/>
    </row>
    <row r="75" spans="2:9" ht="16.5" customHeight="1">
      <c r="D75" s="22"/>
      <c r="I75" s="21"/>
    </row>
    <row r="76" spans="2:9" ht="16.5" customHeight="1">
      <c r="D76" s="22"/>
      <c r="I76" s="21"/>
    </row>
    <row r="77" spans="2:9" ht="16.5" customHeight="1">
      <c r="D77" s="22"/>
      <c r="I77" s="21"/>
    </row>
    <row r="78" spans="2:9" ht="16.5" customHeight="1">
      <c r="D78" s="22"/>
      <c r="I78" s="21"/>
    </row>
    <row r="79" spans="2:9" ht="16.5" customHeight="1">
      <c r="D79" s="22"/>
      <c r="I79" s="21"/>
    </row>
    <row r="80" spans="2:9" ht="16.5" customHeight="1">
      <c r="D80" s="22"/>
      <c r="I80" s="21"/>
    </row>
    <row r="81" spans="4:9" ht="16.5" customHeight="1">
      <c r="D81" s="22"/>
      <c r="I81" s="21"/>
    </row>
    <row r="82" spans="4:9" ht="16.5" customHeight="1">
      <c r="D82" s="22"/>
      <c r="I82" s="21"/>
    </row>
    <row r="83" spans="4:9" ht="16.5" customHeight="1">
      <c r="D83" s="22"/>
      <c r="I83" s="21"/>
    </row>
    <row r="84" spans="4:9" ht="16.5" customHeight="1">
      <c r="D84" s="22"/>
      <c r="I84" s="21"/>
    </row>
    <row r="85" spans="4:9" ht="16.5" customHeight="1">
      <c r="D85" s="22"/>
      <c r="I85" s="21"/>
    </row>
    <row r="86" spans="4:9" ht="16.5" customHeight="1">
      <c r="D86" s="22"/>
      <c r="I86" s="21"/>
    </row>
    <row r="87" spans="4:9" ht="16.5" customHeight="1">
      <c r="D87" s="22"/>
      <c r="I87" s="21"/>
    </row>
    <row r="88" spans="4:9" ht="16.5" customHeight="1">
      <c r="D88" s="22"/>
      <c r="I88" s="21"/>
    </row>
    <row r="89" spans="4:9" ht="16.5" customHeight="1">
      <c r="D89" s="22"/>
      <c r="I89" s="21"/>
    </row>
    <row r="90" spans="4:9" ht="16.5" customHeight="1">
      <c r="D90" s="22"/>
      <c r="I90" s="21"/>
    </row>
    <row r="91" spans="4:9" ht="16.5" customHeight="1">
      <c r="D91" s="22"/>
      <c r="I91" s="21"/>
    </row>
    <row r="92" spans="4:9" ht="16.5" customHeight="1">
      <c r="D92" s="22"/>
      <c r="I92" s="21"/>
    </row>
    <row r="93" spans="4:9" ht="16.5" customHeight="1">
      <c r="D93" s="22"/>
      <c r="I93" s="21"/>
    </row>
    <row r="94" spans="4:9" ht="16.5" customHeight="1">
      <c r="D94" s="22"/>
      <c r="I94" s="21"/>
    </row>
    <row r="95" spans="4:9" ht="16.5" customHeight="1">
      <c r="D95" s="22"/>
      <c r="I95" s="21"/>
    </row>
    <row r="96" spans="4:9" ht="16.5" customHeight="1">
      <c r="D96" s="22"/>
      <c r="I96" s="21"/>
    </row>
    <row r="97" spans="4:9" ht="16.5" customHeight="1">
      <c r="D97" s="22"/>
      <c r="I97" s="21"/>
    </row>
    <row r="98" spans="4:9" ht="16.5" customHeight="1">
      <c r="D98" s="22"/>
      <c r="I98" s="21"/>
    </row>
    <row r="99" spans="4:9" ht="16.5" customHeight="1">
      <c r="D99" s="22"/>
      <c r="I99" s="21"/>
    </row>
    <row r="100" spans="4:9" ht="16.5" customHeight="1">
      <c r="D100" s="22"/>
      <c r="I100" s="21"/>
    </row>
    <row r="101" spans="4:9" ht="16.5" customHeight="1">
      <c r="D101" s="22"/>
      <c r="I101" s="21"/>
    </row>
    <row r="102" spans="4:9" ht="16.5" customHeight="1">
      <c r="D102" s="22"/>
      <c r="I102" s="21"/>
    </row>
    <row r="103" spans="4:9" ht="16.5" customHeight="1">
      <c r="D103" s="22"/>
      <c r="I103" s="21"/>
    </row>
    <row r="104" spans="4:9" ht="16.5" customHeight="1">
      <c r="D104" s="22"/>
      <c r="I104" s="21"/>
    </row>
    <row r="105" spans="4:9" ht="16.5" customHeight="1">
      <c r="D105" s="22"/>
      <c r="I105" s="21"/>
    </row>
    <row r="106" spans="4:9" ht="16.5" customHeight="1">
      <c r="D106" s="22"/>
      <c r="I106" s="21"/>
    </row>
    <row r="107" spans="4:9" ht="16.5" customHeight="1">
      <c r="D107" s="22"/>
      <c r="I107" s="21"/>
    </row>
    <row r="108" spans="4:9" ht="16.5" customHeight="1">
      <c r="D108" s="22"/>
      <c r="I108" s="21"/>
    </row>
    <row r="109" spans="4:9" ht="16.5" customHeight="1">
      <c r="D109" s="22"/>
      <c r="I109" s="21"/>
    </row>
    <row r="110" spans="4:9" ht="16.5" customHeight="1">
      <c r="D110" s="22"/>
      <c r="I110" s="21"/>
    </row>
    <row r="111" spans="4:9" ht="16.5" customHeight="1">
      <c r="D111" s="22"/>
      <c r="I111" s="21"/>
    </row>
    <row r="112" spans="4:9" ht="16.5" customHeight="1">
      <c r="D112" s="22"/>
      <c r="I112" s="21"/>
    </row>
    <row r="113" spans="4:9" ht="16.5" customHeight="1">
      <c r="D113" s="22"/>
      <c r="I113" s="21"/>
    </row>
    <row r="114" spans="4:9" ht="16.5" customHeight="1">
      <c r="D114" s="22"/>
      <c r="I114" s="21"/>
    </row>
    <row r="115" spans="4:9" ht="16.5" customHeight="1">
      <c r="D115" s="22"/>
      <c r="I115" s="21"/>
    </row>
    <row r="116" spans="4:9" ht="16.5" customHeight="1">
      <c r="D116" s="22"/>
      <c r="I116" s="21"/>
    </row>
    <row r="117" spans="4:9" ht="16.5" customHeight="1">
      <c r="D117" s="22"/>
      <c r="I117" s="21"/>
    </row>
    <row r="118" spans="4:9" ht="16.5" customHeight="1">
      <c r="D118" s="22"/>
      <c r="I118" s="21"/>
    </row>
    <row r="119" spans="4:9" ht="16.5" customHeight="1">
      <c r="D119" s="22"/>
      <c r="I119" s="21"/>
    </row>
    <row r="120" spans="4:9" ht="16.5" customHeight="1">
      <c r="D120" s="22"/>
      <c r="I120" s="21"/>
    </row>
    <row r="121" spans="4:9" ht="16.5" customHeight="1">
      <c r="D121" s="22"/>
      <c r="I121" s="21"/>
    </row>
    <row r="122" spans="4:9" ht="16.5" customHeight="1">
      <c r="D122" s="22"/>
      <c r="I122" s="21"/>
    </row>
    <row r="123" spans="4:9" ht="16.5" customHeight="1">
      <c r="D123" s="22"/>
      <c r="I123" s="21"/>
    </row>
    <row r="124" spans="4:9" ht="16.5" customHeight="1">
      <c r="D124" s="22"/>
      <c r="I124" s="21"/>
    </row>
    <row r="125" spans="4:9" ht="16.5" customHeight="1">
      <c r="D125" s="22"/>
      <c r="I125" s="21"/>
    </row>
    <row r="126" spans="4:9" ht="16.5" customHeight="1">
      <c r="D126" s="22"/>
      <c r="I126" s="21"/>
    </row>
    <row r="127" spans="4:9" ht="16.5" customHeight="1">
      <c r="D127" s="22"/>
      <c r="I127" s="21"/>
    </row>
    <row r="128" spans="4:9" ht="16.5" customHeight="1">
      <c r="D128" s="22"/>
      <c r="I128" s="21"/>
    </row>
    <row r="129" spans="1:9" ht="16.5" customHeight="1">
      <c r="A129" s="11">
        <v>20</v>
      </c>
      <c r="D129" s="22"/>
      <c r="I129" s="21"/>
    </row>
    <row r="130" spans="1:9" ht="16.5" customHeight="1">
      <c r="A130" s="11">
        <v>20</v>
      </c>
      <c r="D130" s="22"/>
      <c r="I130" s="21"/>
    </row>
    <row r="131" spans="1:9" ht="16.5" customHeight="1">
      <c r="A131" s="11">
        <v>20</v>
      </c>
      <c r="D131" s="22"/>
      <c r="I131" s="21"/>
    </row>
    <row r="132" spans="1:9" ht="16.5" customHeight="1">
      <c r="A132" s="11">
        <v>20</v>
      </c>
      <c r="D132" s="22"/>
      <c r="I132" s="21"/>
    </row>
    <row r="133" spans="1:9" ht="16.5" customHeight="1">
      <c r="A133" s="11">
        <v>20</v>
      </c>
      <c r="D133" s="22"/>
      <c r="I133" s="21"/>
    </row>
    <row r="134" spans="1:9" ht="16.5" customHeight="1">
      <c r="A134" s="11">
        <v>20</v>
      </c>
      <c r="D134" s="22"/>
      <c r="I134" s="21"/>
    </row>
    <row r="135" spans="1:9" ht="16.5" customHeight="1">
      <c r="A135" s="11">
        <v>20</v>
      </c>
      <c r="D135" s="22"/>
      <c r="I135" s="21"/>
    </row>
    <row r="136" spans="1:9" ht="16.5" customHeight="1">
      <c r="A136" s="11">
        <v>20</v>
      </c>
      <c r="D136" s="22"/>
      <c r="I136" s="21"/>
    </row>
    <row r="137" spans="1:9" ht="16.5" customHeight="1">
      <c r="A137" s="11">
        <v>20</v>
      </c>
      <c r="D137" s="22"/>
      <c r="I137" s="21"/>
    </row>
    <row r="138" spans="1:9" ht="16.5" customHeight="1">
      <c r="A138" s="11">
        <v>20</v>
      </c>
      <c r="D138" s="22"/>
      <c r="I138" s="21"/>
    </row>
    <row r="139" spans="1:9" ht="16.5" customHeight="1">
      <c r="A139" s="11">
        <v>20</v>
      </c>
      <c r="D139" s="22"/>
      <c r="I139" s="21"/>
    </row>
    <row r="140" spans="1:9" ht="16.5" customHeight="1">
      <c r="A140" s="11">
        <v>20</v>
      </c>
      <c r="D140" s="22"/>
      <c r="I140" s="21"/>
    </row>
    <row r="141" spans="1:9" ht="16.5" customHeight="1">
      <c r="A141" s="11">
        <v>20</v>
      </c>
      <c r="D141" s="22"/>
      <c r="I141" s="21"/>
    </row>
    <row r="142" spans="1:9" ht="16.5" customHeight="1">
      <c r="A142" s="11">
        <v>20</v>
      </c>
      <c r="D142" s="22"/>
      <c r="I142" s="21"/>
    </row>
    <row r="143" spans="1:9" ht="16.5" customHeight="1">
      <c r="A143" s="11">
        <v>20</v>
      </c>
      <c r="D143" s="22"/>
      <c r="I143" s="21"/>
    </row>
    <row r="144" spans="1:9" ht="16.5" customHeight="1">
      <c r="A144" s="11">
        <v>20</v>
      </c>
      <c r="D144" s="22"/>
      <c r="I144" s="21"/>
    </row>
    <row r="145" spans="1:9" ht="16.5" customHeight="1">
      <c r="A145" s="11">
        <v>20</v>
      </c>
      <c r="D145" s="22"/>
      <c r="I145" s="21"/>
    </row>
    <row r="146" spans="1:9" ht="16.5" customHeight="1">
      <c r="A146" s="11">
        <v>20</v>
      </c>
      <c r="D146" s="22"/>
      <c r="I146" s="21"/>
    </row>
    <row r="147" spans="1:9" ht="16.5" customHeight="1">
      <c r="A147" s="11">
        <v>20</v>
      </c>
      <c r="D147" s="22"/>
      <c r="I147" s="21"/>
    </row>
    <row r="148" spans="1:9" ht="16.5" customHeight="1">
      <c r="A148" s="11">
        <v>20</v>
      </c>
      <c r="D148" s="22"/>
      <c r="I148" s="21"/>
    </row>
    <row r="149" spans="1:9" ht="16.5" customHeight="1">
      <c r="A149" s="11">
        <v>20</v>
      </c>
      <c r="D149" s="22"/>
      <c r="I149" s="21"/>
    </row>
    <row r="150" spans="1:9" ht="16.5" customHeight="1">
      <c r="A150" s="11">
        <v>20</v>
      </c>
      <c r="D150" s="22"/>
      <c r="I150" s="21"/>
    </row>
    <row r="151" spans="1:9" ht="16.5" customHeight="1">
      <c r="A151" s="11">
        <v>20</v>
      </c>
      <c r="D151" s="22"/>
      <c r="I151" s="21"/>
    </row>
    <row r="152" spans="1:9" ht="16.5" customHeight="1">
      <c r="A152" s="11">
        <v>20</v>
      </c>
      <c r="D152" s="22"/>
      <c r="I152" s="21"/>
    </row>
    <row r="153" spans="1:9" ht="16.5" customHeight="1">
      <c r="A153" s="11">
        <v>20</v>
      </c>
      <c r="D153" s="22"/>
      <c r="I153" s="21"/>
    </row>
    <row r="154" spans="1:9" ht="16.5" customHeight="1">
      <c r="A154" s="11">
        <v>20</v>
      </c>
      <c r="D154" s="22"/>
      <c r="I154" s="21"/>
    </row>
    <row r="155" spans="1:9" ht="16.5" customHeight="1">
      <c r="A155" s="11">
        <v>20</v>
      </c>
      <c r="D155" s="22"/>
      <c r="I155" s="21"/>
    </row>
    <row r="156" spans="1:9" ht="16.5" customHeight="1">
      <c r="A156" s="11">
        <v>20</v>
      </c>
      <c r="D156" s="22"/>
      <c r="I156" s="21"/>
    </row>
    <row r="157" spans="1:9" ht="16.5" customHeight="1">
      <c r="A157" s="11">
        <v>20</v>
      </c>
      <c r="D157" s="22"/>
      <c r="I157" s="21"/>
    </row>
    <row r="158" spans="1:9" ht="16.5" customHeight="1">
      <c r="A158" s="11">
        <v>20</v>
      </c>
      <c r="D158" s="22"/>
      <c r="I158" s="21"/>
    </row>
    <row r="159" spans="1:9" ht="16.5" customHeight="1">
      <c r="A159" s="11">
        <v>20</v>
      </c>
      <c r="D159" s="22"/>
      <c r="I159" s="21"/>
    </row>
    <row r="160" spans="1:9" ht="16.5" customHeight="1">
      <c r="A160" s="11">
        <v>20</v>
      </c>
      <c r="D160" s="22"/>
      <c r="E160" s="24"/>
      <c r="F160" s="24"/>
      <c r="G160" s="24"/>
      <c r="I160" s="21"/>
    </row>
    <row r="161" spans="1:12" ht="16.5" customHeight="1">
      <c r="A161" s="11">
        <v>20</v>
      </c>
      <c r="E161" s="24"/>
      <c r="F161" s="24"/>
      <c r="G161" s="24"/>
      <c r="I161" s="21"/>
    </row>
    <row r="162" spans="1:12" ht="16.5" customHeight="1">
      <c r="A162" s="11">
        <v>20</v>
      </c>
      <c r="E162" s="24"/>
      <c r="F162" s="24"/>
      <c r="G162" s="24"/>
      <c r="I162" s="21"/>
    </row>
    <row r="163" spans="1:12" ht="16.5" customHeight="1">
      <c r="A163" s="11">
        <v>20</v>
      </c>
      <c r="E163" s="24"/>
      <c r="F163" s="24"/>
      <c r="G163" s="24"/>
      <c r="I163" s="21"/>
    </row>
    <row r="164" spans="1:12" ht="16.5" customHeight="1">
      <c r="A164" s="11">
        <v>20</v>
      </c>
      <c r="E164" s="24"/>
      <c r="F164" s="24"/>
      <c r="G164" s="24"/>
      <c r="I164" s="21"/>
    </row>
    <row r="165" spans="1:12" ht="16.5" customHeight="1">
      <c r="A165" s="11">
        <v>20</v>
      </c>
      <c r="E165" s="24"/>
      <c r="F165" s="24"/>
      <c r="G165" s="24"/>
      <c r="I165" s="21"/>
    </row>
    <row r="166" spans="1:12" ht="16.5" customHeight="1">
      <c r="A166" s="11">
        <v>20</v>
      </c>
      <c r="E166" s="24"/>
      <c r="F166" s="24"/>
      <c r="G166" s="24"/>
      <c r="I166" s="21"/>
    </row>
    <row r="167" spans="1:12" ht="16.5" customHeight="1">
      <c r="A167" s="11">
        <v>20</v>
      </c>
      <c r="E167" s="24"/>
      <c r="F167" s="24"/>
      <c r="G167" s="24"/>
      <c r="I167" s="21"/>
    </row>
    <row r="168" spans="1:12" ht="16.5" customHeight="1" thickBot="1">
      <c r="A168" s="11">
        <v>20</v>
      </c>
      <c r="B168" s="28"/>
      <c r="C168" s="28"/>
      <c r="D168" s="29"/>
      <c r="E168" s="30"/>
      <c r="F168" s="30"/>
      <c r="G168" s="30"/>
      <c r="H168" s="31"/>
      <c r="I168" s="31"/>
    </row>
    <row r="169" spans="1:12" ht="15.75" customHeight="1">
      <c r="A169" s="11">
        <v>21</v>
      </c>
      <c r="D169" s="32"/>
      <c r="E169" s="32"/>
      <c r="F169" s="32"/>
      <c r="G169" s="32"/>
      <c r="I169" s="555"/>
      <c r="J169" s="551"/>
      <c r="K169" s="549"/>
    </row>
    <row r="170" spans="1:12" ht="15.75" customHeight="1">
      <c r="A170" s="11">
        <v>21</v>
      </c>
      <c r="D170" s="32"/>
      <c r="E170" s="32"/>
      <c r="F170" s="32"/>
      <c r="G170" s="32"/>
      <c r="I170" s="556"/>
      <c r="J170" s="551"/>
      <c r="K170" s="549"/>
    </row>
    <row r="171" spans="1:12" ht="15.75" customHeight="1">
      <c r="A171" s="11">
        <v>21</v>
      </c>
      <c r="D171" s="32"/>
      <c r="E171" s="32"/>
      <c r="F171" s="32"/>
      <c r="G171" s="32"/>
      <c r="I171" s="556"/>
      <c r="J171" s="551"/>
      <c r="K171" s="549"/>
    </row>
    <row r="172" spans="1:12" ht="15.75" customHeight="1">
      <c r="A172" s="11">
        <v>21</v>
      </c>
      <c r="D172" s="32"/>
      <c r="E172" s="32"/>
      <c r="F172" s="32"/>
      <c r="G172" s="32"/>
      <c r="I172" s="556"/>
      <c r="J172" s="551"/>
      <c r="K172" s="549"/>
      <c r="L172" s="32"/>
    </row>
    <row r="173" spans="1:12" ht="15.75" customHeight="1">
      <c r="A173" s="11">
        <v>22</v>
      </c>
      <c r="D173" s="32"/>
      <c r="E173" s="32"/>
      <c r="F173" s="32"/>
      <c r="G173" s="32"/>
      <c r="I173" s="549"/>
      <c r="J173" s="551"/>
      <c r="K173" s="549"/>
    </row>
    <row r="174" spans="1:12" ht="15.75" customHeight="1">
      <c r="A174" s="11">
        <v>22</v>
      </c>
      <c r="D174" s="32"/>
      <c r="E174" s="32"/>
      <c r="F174" s="32"/>
      <c r="G174" s="32"/>
      <c r="I174" s="549"/>
      <c r="J174" s="551"/>
      <c r="K174" s="549"/>
    </row>
    <row r="175" spans="1:12" ht="16.5" customHeight="1">
      <c r="A175" s="11">
        <v>23</v>
      </c>
      <c r="D175" s="32"/>
      <c r="E175" s="32"/>
      <c r="F175" s="32"/>
      <c r="G175" s="32"/>
      <c r="I175" s="549"/>
      <c r="J175" s="551"/>
      <c r="K175" s="548"/>
    </row>
    <row r="176" spans="1:12" ht="16.5" customHeight="1">
      <c r="A176" s="11">
        <v>23</v>
      </c>
      <c r="D176" s="32"/>
      <c r="E176" s="32"/>
      <c r="F176" s="32"/>
      <c r="G176" s="32"/>
      <c r="I176" s="549"/>
      <c r="J176" s="551"/>
      <c r="K176" s="548"/>
    </row>
    <row r="177" spans="1:13" ht="15.75" customHeight="1">
      <c r="A177" s="11">
        <v>24</v>
      </c>
      <c r="D177" s="32"/>
      <c r="E177" s="32"/>
      <c r="F177" s="32"/>
      <c r="G177" s="32"/>
      <c r="I177" s="556"/>
      <c r="J177" s="551"/>
      <c r="K177" s="548"/>
    </row>
    <row r="178" spans="1:13" ht="15" customHeight="1">
      <c r="A178" s="11">
        <v>24</v>
      </c>
      <c r="D178" s="32"/>
      <c r="E178" s="32"/>
      <c r="F178" s="32"/>
      <c r="G178" s="32"/>
      <c r="I178" s="556"/>
      <c r="J178" s="551"/>
      <c r="K178" s="548"/>
    </row>
    <row r="179" spans="1:13" ht="15.75" customHeight="1">
      <c r="A179" s="11">
        <v>25</v>
      </c>
      <c r="D179" s="32"/>
      <c r="E179" s="32"/>
      <c r="F179" s="32"/>
      <c r="G179" s="32"/>
      <c r="I179" s="549"/>
      <c r="J179" s="551"/>
    </row>
    <row r="180" spans="1:13" ht="15.75" customHeight="1">
      <c r="A180" s="11">
        <v>25</v>
      </c>
      <c r="D180" s="32"/>
      <c r="E180" s="32"/>
      <c r="F180" s="32"/>
      <c r="G180" s="32"/>
      <c r="I180" s="549"/>
      <c r="J180" s="551"/>
      <c r="L180" s="33"/>
      <c r="M180" s="34"/>
    </row>
    <row r="181" spans="1:13" ht="15.75" customHeight="1">
      <c r="A181" s="11">
        <v>26</v>
      </c>
      <c r="D181" s="32"/>
      <c r="I181" s="550"/>
      <c r="J181" s="551"/>
      <c r="L181" s="33"/>
      <c r="M181" s="35"/>
    </row>
    <row r="182" spans="1:13" ht="15.75" customHeight="1">
      <c r="A182" s="11">
        <v>26</v>
      </c>
      <c r="E182" s="32"/>
      <c r="F182" s="32"/>
      <c r="G182" s="32"/>
      <c r="I182" s="550"/>
      <c r="J182" s="551"/>
      <c r="L182" s="33"/>
      <c r="M182" s="35"/>
    </row>
    <row r="183" spans="1:13" ht="16.5" customHeight="1" thickBot="1">
      <c r="A183" s="11">
        <v>27</v>
      </c>
      <c r="D183" s="32"/>
      <c r="I183" s="549"/>
      <c r="J183" s="551"/>
      <c r="L183" s="36"/>
      <c r="M183" s="37"/>
    </row>
    <row r="184" spans="1:13" ht="16.5" customHeight="1" thickTop="1">
      <c r="A184" s="11">
        <v>27</v>
      </c>
      <c r="E184" s="32"/>
      <c r="F184" s="32"/>
      <c r="G184" s="32"/>
      <c r="I184" s="549"/>
      <c r="J184" s="551"/>
    </row>
    <row r="185" spans="1:13" ht="15.75" customHeight="1">
      <c r="A185" s="11">
        <v>28</v>
      </c>
      <c r="D185" s="32"/>
      <c r="E185" s="32"/>
      <c r="F185" s="32"/>
      <c r="G185" s="32"/>
      <c r="I185" s="556"/>
      <c r="J185" s="551"/>
      <c r="L185" s="32"/>
    </row>
    <row r="186" spans="1:13" ht="15.75" customHeight="1">
      <c r="A186" s="11">
        <v>28</v>
      </c>
      <c r="D186" s="32"/>
      <c r="E186" s="32"/>
      <c r="F186" s="32"/>
      <c r="G186" s="32"/>
      <c r="I186" s="556"/>
      <c r="J186" s="551"/>
    </row>
    <row r="187" spans="1:13" ht="15.75" customHeight="1">
      <c r="A187" s="11">
        <v>28</v>
      </c>
      <c r="D187" s="32"/>
      <c r="E187" s="32"/>
      <c r="F187" s="32"/>
      <c r="G187" s="32"/>
      <c r="I187" s="556"/>
      <c r="J187" s="551"/>
    </row>
    <row r="188" spans="1:13" ht="15.75" customHeight="1">
      <c r="A188" s="11">
        <v>28</v>
      </c>
      <c r="D188" s="32"/>
      <c r="E188" s="32"/>
      <c r="F188" s="32"/>
      <c r="G188" s="32"/>
      <c r="I188" s="556"/>
      <c r="J188" s="551"/>
    </row>
    <row r="189" spans="1:13" ht="32.25" customHeight="1">
      <c r="A189" s="11">
        <v>29</v>
      </c>
      <c r="D189" s="32"/>
      <c r="E189" s="32"/>
      <c r="F189" s="32"/>
      <c r="G189" s="32"/>
      <c r="I189" s="556"/>
      <c r="J189" s="551"/>
      <c r="K189" s="550"/>
    </row>
    <row r="190" spans="1:13" ht="15" customHeight="1">
      <c r="A190" s="11">
        <v>29</v>
      </c>
      <c r="D190" s="32"/>
      <c r="E190" s="32"/>
      <c r="F190" s="32"/>
      <c r="G190" s="32"/>
      <c r="I190" s="556"/>
      <c r="J190" s="551"/>
      <c r="K190" s="550"/>
    </row>
    <row r="191" spans="1:13" ht="15.75" customHeight="1">
      <c r="A191" s="11">
        <v>29</v>
      </c>
      <c r="D191" s="32"/>
      <c r="E191" s="32"/>
      <c r="F191" s="32"/>
      <c r="G191" s="32"/>
      <c r="I191" s="556"/>
      <c r="J191" s="551"/>
      <c r="K191" s="134"/>
    </row>
    <row r="192" spans="1:13" ht="15.75" customHeight="1">
      <c r="A192" s="11">
        <v>29</v>
      </c>
      <c r="D192" s="32"/>
      <c r="E192" s="32"/>
      <c r="F192" s="32"/>
      <c r="G192" s="32"/>
      <c r="I192" s="556"/>
      <c r="J192" s="551"/>
      <c r="K192" s="134"/>
    </row>
    <row r="193" spans="1:10" ht="15.75" customHeight="1">
      <c r="A193" s="11">
        <v>31</v>
      </c>
      <c r="D193" s="32"/>
      <c r="E193" s="32"/>
      <c r="F193" s="32"/>
      <c r="G193" s="32"/>
      <c r="I193" s="549"/>
      <c r="J193" s="551"/>
    </row>
    <row r="194" spans="1:10" ht="15.75" customHeight="1">
      <c r="A194" s="11">
        <v>31</v>
      </c>
      <c r="D194" s="32"/>
      <c r="E194" s="32"/>
      <c r="F194" s="32"/>
      <c r="G194" s="32"/>
      <c r="I194" s="549"/>
      <c r="J194" s="551"/>
    </row>
    <row r="195" spans="1:10" ht="15.75" customHeight="1">
      <c r="A195" s="11">
        <v>235</v>
      </c>
      <c r="D195" s="32"/>
      <c r="E195" s="32"/>
      <c r="F195" s="32"/>
      <c r="G195" s="32"/>
      <c r="I195" s="550"/>
      <c r="J195" s="551"/>
    </row>
    <row r="196" spans="1:10" ht="15.75" customHeight="1">
      <c r="A196" s="11">
        <v>236</v>
      </c>
      <c r="D196" s="32"/>
      <c r="E196" s="32"/>
      <c r="F196" s="32"/>
      <c r="G196" s="32"/>
      <c r="I196" s="550"/>
      <c r="J196" s="551"/>
    </row>
    <row r="197" spans="1:10" ht="15.75" customHeight="1">
      <c r="A197" s="11">
        <v>237</v>
      </c>
      <c r="D197" s="32"/>
      <c r="E197" s="32"/>
      <c r="F197" s="32"/>
      <c r="G197" s="32"/>
      <c r="I197" s="550"/>
    </row>
    <row r="198" spans="1:10" ht="15.75" customHeight="1">
      <c r="A198" s="11">
        <v>238</v>
      </c>
      <c r="D198" s="32"/>
      <c r="E198" s="32"/>
      <c r="F198" s="32"/>
      <c r="G198" s="32"/>
      <c r="I198" s="550"/>
    </row>
    <row r="199" spans="1:10" ht="15.75" customHeight="1">
      <c r="A199" s="11">
        <v>239</v>
      </c>
      <c r="D199" s="32"/>
      <c r="E199" s="32"/>
      <c r="F199" s="32"/>
      <c r="G199" s="32"/>
      <c r="I199" s="549"/>
    </row>
    <row r="200" spans="1:10" ht="15.75" customHeight="1">
      <c r="A200" s="11">
        <v>240</v>
      </c>
      <c r="D200" s="22"/>
      <c r="E200" s="32"/>
      <c r="F200" s="32"/>
      <c r="G200" s="32"/>
      <c r="I200" s="549"/>
    </row>
    <row r="201" spans="1:10" ht="15.75" customHeight="1">
      <c r="A201" s="11">
        <v>243</v>
      </c>
      <c r="D201" s="22"/>
      <c r="I201" s="556"/>
    </row>
    <row r="202" spans="1:10" ht="15.75" customHeight="1">
      <c r="A202" s="11">
        <v>244</v>
      </c>
      <c r="D202" s="22"/>
      <c r="E202" s="22"/>
      <c r="F202" s="22"/>
      <c r="G202" s="22"/>
      <c r="I202" s="556"/>
    </row>
    <row r="203" spans="1:10" ht="15.75" customHeight="1">
      <c r="A203" s="11">
        <v>245</v>
      </c>
      <c r="D203" s="22"/>
      <c r="E203" s="22"/>
      <c r="F203" s="22"/>
      <c r="G203" s="22"/>
      <c r="I203" s="556"/>
    </row>
    <row r="204" spans="1:10" ht="15" customHeight="1">
      <c r="A204" s="11">
        <v>246</v>
      </c>
      <c r="D204" s="22"/>
      <c r="E204" s="22"/>
      <c r="F204" s="22"/>
      <c r="G204" s="22"/>
      <c r="I204" s="556"/>
    </row>
    <row r="205" spans="1:10" ht="15" customHeight="1">
      <c r="A205" s="11">
        <v>247</v>
      </c>
      <c r="D205" s="22"/>
      <c r="E205" s="22"/>
      <c r="F205" s="22"/>
      <c r="G205" s="22"/>
      <c r="I205" s="556"/>
    </row>
    <row r="206" spans="1:10" ht="15" customHeight="1">
      <c r="A206" s="11">
        <v>248</v>
      </c>
      <c r="E206" s="22"/>
      <c r="F206" s="22"/>
      <c r="G206" s="22"/>
      <c r="I206" s="556"/>
    </row>
    <row r="207" spans="1:10" ht="15" customHeight="1">
      <c r="A207" s="11">
        <v>249</v>
      </c>
      <c r="D207" s="38"/>
      <c r="E207" s="22"/>
      <c r="F207" s="22"/>
      <c r="G207" s="22"/>
      <c r="I207" s="556"/>
    </row>
    <row r="208" spans="1:10" ht="15" customHeight="1">
      <c r="A208" s="11">
        <v>250</v>
      </c>
      <c r="E208" s="22"/>
      <c r="F208" s="22"/>
      <c r="G208" s="22"/>
      <c r="I208" s="556"/>
    </row>
    <row r="209" spans="1:9" ht="15" customHeight="1">
      <c r="A209" s="11">
        <v>251</v>
      </c>
      <c r="D209" s="22"/>
      <c r="E209" s="22"/>
      <c r="F209" s="22"/>
      <c r="G209" s="22"/>
      <c r="I209" s="549"/>
    </row>
    <row r="210" spans="1:9" ht="15" customHeight="1">
      <c r="A210" s="11">
        <v>251</v>
      </c>
      <c r="D210" s="22"/>
      <c r="E210" s="22"/>
      <c r="F210" s="22"/>
      <c r="G210" s="22"/>
      <c r="I210" s="549"/>
    </row>
    <row r="211" spans="1:9" ht="15" customHeight="1">
      <c r="A211" s="11">
        <v>252</v>
      </c>
      <c r="D211" s="22"/>
      <c r="E211" s="22"/>
      <c r="F211" s="22"/>
      <c r="G211" s="22"/>
      <c r="I211" s="549"/>
    </row>
    <row r="212" spans="1:9" ht="15" customHeight="1">
      <c r="A212" s="11">
        <v>253</v>
      </c>
      <c r="D212" s="22"/>
      <c r="E212" s="22"/>
      <c r="F212" s="22"/>
      <c r="G212" s="22"/>
      <c r="I212" s="549"/>
    </row>
    <row r="213" spans="1:9" ht="15" customHeight="1">
      <c r="A213" s="11">
        <v>254</v>
      </c>
      <c r="D213" s="22"/>
      <c r="E213" s="22"/>
      <c r="F213" s="22"/>
      <c r="G213" s="22"/>
      <c r="I213" s="549"/>
    </row>
    <row r="214" spans="1:9" ht="15" customHeight="1">
      <c r="A214" s="11">
        <v>255</v>
      </c>
      <c r="D214" s="22"/>
      <c r="E214" s="22"/>
      <c r="F214" s="22"/>
      <c r="G214" s="22"/>
      <c r="I214" s="548"/>
    </row>
    <row r="215" spans="1:9" ht="15" customHeight="1">
      <c r="A215" s="11">
        <v>256</v>
      </c>
      <c r="D215" s="22"/>
      <c r="E215" s="22"/>
      <c r="F215" s="22"/>
      <c r="G215" s="22"/>
      <c r="I215" s="548"/>
    </row>
    <row r="216" spans="1:9" ht="15" customHeight="1">
      <c r="A216" s="11">
        <v>257</v>
      </c>
      <c r="D216" s="22"/>
      <c r="E216" s="22"/>
      <c r="F216" s="22"/>
      <c r="G216" s="22"/>
      <c r="I216" s="549"/>
    </row>
    <row r="217" spans="1:9" ht="15" customHeight="1">
      <c r="A217" s="11">
        <v>258</v>
      </c>
      <c r="D217" s="22"/>
      <c r="E217" s="22"/>
      <c r="F217" s="22"/>
      <c r="G217" s="22"/>
      <c r="I217" s="549"/>
    </row>
    <row r="218" spans="1:9" ht="15" customHeight="1">
      <c r="A218" s="11">
        <v>259</v>
      </c>
      <c r="D218" s="22"/>
      <c r="E218" s="22"/>
      <c r="F218" s="22"/>
      <c r="G218" s="22"/>
      <c r="I218" s="550"/>
    </row>
    <row r="219" spans="1:9" ht="15" customHeight="1">
      <c r="A219" s="11">
        <v>260</v>
      </c>
      <c r="D219" s="22"/>
      <c r="E219" s="22"/>
      <c r="F219" s="22"/>
      <c r="G219" s="22"/>
      <c r="I219" s="550"/>
    </row>
    <row r="220" spans="1:9" ht="15" customHeight="1">
      <c r="A220" s="11">
        <v>261</v>
      </c>
      <c r="D220" s="22"/>
      <c r="E220" s="22"/>
      <c r="F220" s="22"/>
      <c r="G220" s="22"/>
      <c r="I220" s="548"/>
    </row>
    <row r="221" spans="1:9" ht="15" customHeight="1">
      <c r="A221" s="11">
        <v>262</v>
      </c>
      <c r="D221" s="22"/>
      <c r="E221" s="22"/>
      <c r="F221" s="22"/>
      <c r="G221" s="22"/>
      <c r="I221" s="548"/>
    </row>
    <row r="222" spans="1:9" ht="15" customHeight="1">
      <c r="A222" s="11">
        <v>263</v>
      </c>
      <c r="E222" s="22"/>
      <c r="F222" s="22"/>
      <c r="G222" s="22"/>
      <c r="I222" s="548"/>
    </row>
    <row r="223" spans="1:9" ht="15" customHeight="1">
      <c r="A223" s="11">
        <v>264</v>
      </c>
      <c r="D223" s="22"/>
      <c r="E223" s="22"/>
      <c r="F223" s="22"/>
      <c r="G223" s="22"/>
      <c r="I223" s="548"/>
    </row>
    <row r="224" spans="1:9" ht="15" customHeight="1">
      <c r="A224" s="11">
        <v>265</v>
      </c>
      <c r="D224" s="22"/>
      <c r="E224" s="22"/>
      <c r="F224" s="22"/>
      <c r="G224" s="22"/>
      <c r="I224" s="548"/>
    </row>
    <row r="225" spans="1:9" ht="15" customHeight="1">
      <c r="A225" s="11">
        <v>266</v>
      </c>
      <c r="D225" s="22"/>
      <c r="E225" s="22"/>
      <c r="F225" s="22"/>
      <c r="G225" s="22"/>
      <c r="I225" s="548"/>
    </row>
    <row r="226" spans="1:9" ht="15" customHeight="1">
      <c r="A226" s="11">
        <v>267</v>
      </c>
      <c r="D226" s="22"/>
      <c r="E226" s="22"/>
      <c r="F226" s="22"/>
      <c r="G226" s="22"/>
      <c r="I226" s="548"/>
    </row>
    <row r="227" spans="1:9" ht="15" customHeight="1">
      <c r="A227" s="11">
        <v>268</v>
      </c>
      <c r="E227" s="38"/>
      <c r="F227" s="38"/>
      <c r="G227" s="38"/>
      <c r="I227" s="548"/>
    </row>
    <row r="228" spans="1:9" ht="15" customHeight="1">
      <c r="A228" s="11">
        <v>269</v>
      </c>
      <c r="D228" s="32"/>
      <c r="E228" s="32"/>
      <c r="F228" s="32"/>
      <c r="G228" s="32"/>
      <c r="I228" s="550"/>
    </row>
    <row r="229" spans="1:9" ht="15" customHeight="1">
      <c r="A229" s="11">
        <v>270</v>
      </c>
      <c r="D229" s="32"/>
      <c r="E229" s="32"/>
      <c r="F229" s="32"/>
      <c r="G229" s="32"/>
      <c r="I229" s="550"/>
    </row>
    <row r="230" spans="1:9" ht="15" customHeight="1">
      <c r="A230" s="11">
        <v>271</v>
      </c>
      <c r="D230" s="32"/>
      <c r="E230" s="32"/>
      <c r="F230" s="32"/>
      <c r="G230" s="32"/>
      <c r="I230" s="550"/>
    </row>
    <row r="231" spans="1:9" ht="15" customHeight="1">
      <c r="A231" s="11">
        <v>272</v>
      </c>
      <c r="D231" s="32"/>
      <c r="E231" s="32"/>
      <c r="F231" s="32"/>
      <c r="G231" s="32"/>
      <c r="I231" s="550"/>
    </row>
    <row r="232" spans="1:9" ht="15" customHeight="1">
      <c r="A232" s="11">
        <v>273</v>
      </c>
      <c r="D232" s="32"/>
      <c r="E232" s="32"/>
      <c r="F232" s="32"/>
      <c r="G232" s="32"/>
      <c r="I232" s="550"/>
    </row>
    <row r="233" spans="1:9" ht="15" customHeight="1">
      <c r="A233" s="11">
        <v>274</v>
      </c>
      <c r="D233" s="32"/>
      <c r="E233" s="32"/>
      <c r="F233" s="32"/>
      <c r="G233" s="32"/>
      <c r="I233" s="550"/>
    </row>
    <row r="234" spans="1:9">
      <c r="A234" s="11">
        <v>275</v>
      </c>
      <c r="I234" s="550"/>
    </row>
    <row r="235" spans="1:9">
      <c r="A235" s="11">
        <v>276</v>
      </c>
      <c r="I235" s="550"/>
    </row>
    <row r="236" spans="1:9">
      <c r="A236" s="11">
        <v>277</v>
      </c>
      <c r="D236" s="32"/>
      <c r="E236" s="32"/>
      <c r="F236" s="32"/>
      <c r="G236" s="32"/>
      <c r="I236" s="550"/>
    </row>
    <row r="237" spans="1:9">
      <c r="A237" s="11">
        <v>278</v>
      </c>
      <c r="D237" s="32"/>
      <c r="E237" s="32"/>
      <c r="F237" s="32"/>
      <c r="G237" s="32"/>
      <c r="I237" s="550"/>
    </row>
    <row r="238" spans="1:9" ht="48" customHeight="1">
      <c r="A238" s="11">
        <v>279</v>
      </c>
      <c r="I238" s="549"/>
    </row>
    <row r="239" spans="1:9" ht="54.75" customHeight="1">
      <c r="A239" s="11">
        <v>280</v>
      </c>
      <c r="I239" s="549"/>
    </row>
    <row r="240" spans="1:9">
      <c r="A240" s="11">
        <v>281</v>
      </c>
      <c r="I240" s="549"/>
    </row>
    <row r="241" spans="1:9">
      <c r="A241" s="11">
        <v>282</v>
      </c>
      <c r="D241" s="26"/>
      <c r="I241" s="549"/>
    </row>
    <row r="242" spans="1:9">
      <c r="A242" s="11">
        <v>283</v>
      </c>
      <c r="D242" s="22"/>
      <c r="I242" s="549"/>
    </row>
    <row r="243" spans="1:9">
      <c r="A243" s="11">
        <v>284</v>
      </c>
      <c r="E243" s="38"/>
      <c r="F243" s="38"/>
      <c r="G243" s="38"/>
      <c r="I243" s="549"/>
    </row>
    <row r="244" spans="1:9">
      <c r="A244" s="11">
        <v>285</v>
      </c>
      <c r="D244" s="22"/>
      <c r="I244" s="550"/>
    </row>
    <row r="245" spans="1:9">
      <c r="A245" s="11">
        <v>286</v>
      </c>
      <c r="E245" s="38"/>
      <c r="F245" s="38"/>
      <c r="G245" s="38"/>
      <c r="I245" s="550"/>
    </row>
    <row r="246" spans="1:9">
      <c r="A246" s="11">
        <v>287</v>
      </c>
      <c r="I246" s="550"/>
    </row>
    <row r="247" spans="1:9">
      <c r="A247" s="11">
        <v>288</v>
      </c>
      <c r="I247" s="550"/>
    </row>
    <row r="248" spans="1:9">
      <c r="A248" s="11">
        <v>289</v>
      </c>
      <c r="E248" s="32"/>
      <c r="F248" s="32"/>
      <c r="G248" s="32"/>
    </row>
    <row r="249" spans="1:9">
      <c r="A249" s="11">
        <v>290</v>
      </c>
      <c r="D249" s="32"/>
    </row>
  </sheetData>
  <mergeCells count="38">
    <mergeCell ref="D2:E2"/>
    <mergeCell ref="I242:I243"/>
    <mergeCell ref="I244:I245"/>
    <mergeCell ref="I246:I247"/>
    <mergeCell ref="I228:I229"/>
    <mergeCell ref="I230:I233"/>
    <mergeCell ref="I234:I235"/>
    <mergeCell ref="I236:I237"/>
    <mergeCell ref="I238:I239"/>
    <mergeCell ref="I240:I241"/>
    <mergeCell ref="I223:I227"/>
    <mergeCell ref="I195:I196"/>
    <mergeCell ref="I197:I198"/>
    <mergeCell ref="I199:I200"/>
    <mergeCell ref="I201:I206"/>
    <mergeCell ref="I218:I219"/>
    <mergeCell ref="I220:I222"/>
    <mergeCell ref="I193:I194"/>
    <mergeCell ref="I169:I172"/>
    <mergeCell ref="J169:J196"/>
    <mergeCell ref="I177:I178"/>
    <mergeCell ref="I189:I192"/>
    <mergeCell ref="I207:I208"/>
    <mergeCell ref="I209:I211"/>
    <mergeCell ref="I212:I213"/>
    <mergeCell ref="I214:I215"/>
    <mergeCell ref="I216:I217"/>
    <mergeCell ref="K169:K172"/>
    <mergeCell ref="I173:I174"/>
    <mergeCell ref="K173:K174"/>
    <mergeCell ref="I175:I176"/>
    <mergeCell ref="K175:K176"/>
    <mergeCell ref="K189:K190"/>
    <mergeCell ref="K177:K178"/>
    <mergeCell ref="I179:I180"/>
    <mergeCell ref="I181:I182"/>
    <mergeCell ref="I183:I184"/>
    <mergeCell ref="I185:I188"/>
  </mergeCells>
  <pageMargins left="0.7" right="0.7" top="0.75" bottom="0.75" header="0.3" footer="0.3"/>
  <pageSetup scale="80" fitToHeight="0" orientation="landscape" r:id="rId1"/>
  <ignoredErrors>
    <ignoredError sqref="H4:H5" emptyCellReference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G130"/>
  <sheetViews>
    <sheetView topLeftCell="A52" zoomScale="115" zoomScaleNormal="115" workbookViewId="0">
      <selection activeCell="D79" sqref="D79:D82"/>
    </sheetView>
  </sheetViews>
  <sheetFormatPr baseColWidth="10" defaultColWidth="8.85546875" defaultRowHeight="13"/>
  <cols>
    <col min="1" max="1" width="5.85546875" style="3" bestFit="1" customWidth="1"/>
    <col min="2" max="2" width="4.85546875" style="2" bestFit="1" customWidth="1"/>
    <col min="3" max="3" width="32.85546875" style="3" bestFit="1" customWidth="1"/>
    <col min="4" max="4" width="12.140625" style="18" bestFit="1" customWidth="1"/>
    <col min="5" max="16384" width="8.85546875" style="2"/>
  </cols>
  <sheetData>
    <row r="1" spans="1:4">
      <c r="A1" s="3" t="s">
        <v>4</v>
      </c>
      <c r="B1" s="2" t="s">
        <v>618</v>
      </c>
      <c r="C1" s="3" t="s">
        <v>933</v>
      </c>
      <c r="D1" s="18" t="s">
        <v>934</v>
      </c>
    </row>
    <row r="2" spans="1:4">
      <c r="A2" s="3">
        <f>VLOOKUP(B2,'codes security'!A:C,3,0)</f>
        <v>1100</v>
      </c>
      <c r="B2" s="2">
        <v>10500</v>
      </c>
      <c r="C2" s="3" t="s">
        <v>1047</v>
      </c>
      <c r="D2" s="18">
        <v>14375507.279999999</v>
      </c>
    </row>
    <row r="3" spans="1:4">
      <c r="A3" s="3">
        <f>VLOOKUP(B3,'codes security'!A:C,3,0)</f>
        <v>1300</v>
      </c>
      <c r="B3" s="2">
        <v>1107</v>
      </c>
      <c r="C3" s="3" t="s">
        <v>1048</v>
      </c>
      <c r="D3" s="18">
        <v>40000</v>
      </c>
    </row>
    <row r="4" spans="1:4">
      <c r="A4" s="3">
        <f>VLOOKUP(B4,'codes security'!A:C,3,0)</f>
        <v>1400</v>
      </c>
      <c r="B4" s="2">
        <v>10008</v>
      </c>
      <c r="C4" s="3" t="s">
        <v>1049</v>
      </c>
      <c r="D4" s="18">
        <v>11040</v>
      </c>
    </row>
    <row r="5" spans="1:4">
      <c r="A5" s="3">
        <f>VLOOKUP(B5,'codes security'!A:C,3,0)</f>
        <v>1400</v>
      </c>
      <c r="B5" s="2">
        <v>10010</v>
      </c>
      <c r="C5" s="3" t="s">
        <v>352</v>
      </c>
      <c r="D5" s="18">
        <v>139500</v>
      </c>
    </row>
    <row r="6" spans="1:4">
      <c r="A6" s="3">
        <f>VLOOKUP(B6,'codes security'!A:C,3,0)</f>
        <v>1400</v>
      </c>
      <c r="B6" s="2">
        <v>10014</v>
      </c>
      <c r="C6" s="3" t="s">
        <v>369</v>
      </c>
      <c r="D6" s="18">
        <v>120000</v>
      </c>
    </row>
    <row r="7" spans="1:4">
      <c r="A7" s="3">
        <f>VLOOKUP(B7,'codes security'!A:C,3,0)</f>
        <v>1500</v>
      </c>
      <c r="B7" s="2">
        <v>5100</v>
      </c>
      <c r="C7" s="3" t="s">
        <v>159</v>
      </c>
      <c r="D7" s="18">
        <v>16350</v>
      </c>
    </row>
    <row r="8" spans="1:4">
      <c r="A8" s="3">
        <f>VLOOKUP(B8,'codes security'!A:C,3,0)</f>
        <v>2400</v>
      </c>
      <c r="B8" s="2">
        <v>5111</v>
      </c>
      <c r="C8" s="3" t="s">
        <v>1050</v>
      </c>
      <c r="D8" s="18">
        <v>320</v>
      </c>
    </row>
    <row r="9" spans="1:4">
      <c r="A9" s="3">
        <f>VLOOKUP(B9,'codes security'!A:C,3,0)</f>
        <v>1450</v>
      </c>
      <c r="B9" s="2">
        <v>6000</v>
      </c>
      <c r="C9" s="3" t="s">
        <v>1051</v>
      </c>
      <c r="D9" s="18">
        <v>117959</v>
      </c>
    </row>
    <row r="10" spans="1:4">
      <c r="A10" s="3">
        <f>VLOOKUP(B10,'codes security'!A:C,3,0)</f>
        <v>3800</v>
      </c>
      <c r="B10" s="2">
        <v>6013</v>
      </c>
      <c r="C10" s="3" t="s">
        <v>1052</v>
      </c>
      <c r="D10" s="18">
        <v>-376253</v>
      </c>
    </row>
    <row r="11" spans="1:4">
      <c r="A11" s="3">
        <f>VLOOKUP(B11,'codes security'!A:C,3,0)</f>
        <v>1600</v>
      </c>
      <c r="B11" s="2">
        <v>6400</v>
      </c>
      <c r="C11" s="3" t="s">
        <v>643</v>
      </c>
      <c r="D11" s="18">
        <v>64.25</v>
      </c>
    </row>
    <row r="12" spans="1:4">
      <c r="A12" s="3">
        <f>VLOOKUP(B12,'codes security'!A:C,3,0)</f>
        <v>1600</v>
      </c>
      <c r="B12" s="2">
        <v>6401</v>
      </c>
      <c r="C12" s="3" t="s">
        <v>1053</v>
      </c>
      <c r="D12" s="18">
        <v>754.02</v>
      </c>
    </row>
    <row r="13" spans="1:4">
      <c r="A13" s="3">
        <f>VLOOKUP(B13,'codes security'!A:C,3,0)</f>
        <v>1600</v>
      </c>
      <c r="B13" s="2">
        <v>6402</v>
      </c>
      <c r="C13" s="3" t="s">
        <v>1054</v>
      </c>
      <c r="D13" s="18">
        <v>5927.63</v>
      </c>
    </row>
    <row r="14" spans="1:4">
      <c r="A14" s="3">
        <f>VLOOKUP(B14,'codes security'!A:C,3,0)</f>
        <v>1600</v>
      </c>
      <c r="B14" s="2">
        <v>6403</v>
      </c>
      <c r="C14" s="3" t="s">
        <v>1055</v>
      </c>
      <c r="D14" s="18">
        <v>43139.58</v>
      </c>
    </row>
    <row r="15" spans="1:4">
      <c r="A15" s="3">
        <f>VLOOKUP(B15,'codes security'!A:C,3,0)</f>
        <v>3100</v>
      </c>
      <c r="B15" s="2">
        <v>6705</v>
      </c>
      <c r="C15" s="3" t="s">
        <v>1056</v>
      </c>
      <c r="D15" s="18">
        <v>50601.48</v>
      </c>
    </row>
    <row r="16" spans="1:4">
      <c r="A16" s="3">
        <f>VLOOKUP(B16,'codes security'!A:C,3,0)</f>
        <v>3110</v>
      </c>
      <c r="B16" s="2">
        <v>6706</v>
      </c>
      <c r="C16" s="3" t="s">
        <v>952</v>
      </c>
      <c r="D16" s="18">
        <v>-3702</v>
      </c>
    </row>
    <row r="17" spans="1:4">
      <c r="A17" s="3">
        <f>VLOOKUP(B17,'codes security'!A:C,3,0)</f>
        <v>3400</v>
      </c>
      <c r="B17" s="2">
        <v>3019</v>
      </c>
      <c r="C17" s="3" t="s">
        <v>1057</v>
      </c>
      <c r="D17" s="18">
        <v>-34604</v>
      </c>
    </row>
    <row r="18" spans="1:4">
      <c r="A18" s="3">
        <f>VLOOKUP(B18,'codes security'!A:C,3,0)</f>
        <v>3400</v>
      </c>
      <c r="B18" s="2">
        <v>3041</v>
      </c>
      <c r="C18" s="3" t="s">
        <v>1058</v>
      </c>
      <c r="D18" s="18">
        <v>-9000</v>
      </c>
    </row>
    <row r="19" spans="1:4">
      <c r="A19" s="3">
        <f>VLOOKUP(B19,'codes security'!A:C,3,0)</f>
        <v>3400</v>
      </c>
      <c r="B19" s="2">
        <v>3042</v>
      </c>
      <c r="C19" s="3" t="s">
        <v>1059</v>
      </c>
      <c r="D19" s="18">
        <v>-36250</v>
      </c>
    </row>
    <row r="20" spans="1:4">
      <c r="A20" s="3">
        <f>VLOOKUP(B20,'codes security'!A:C,3,0)</f>
        <v>3400</v>
      </c>
      <c r="B20" s="2">
        <v>3043</v>
      </c>
      <c r="C20" s="3" t="s">
        <v>1060</v>
      </c>
      <c r="D20" s="18">
        <v>-4850</v>
      </c>
    </row>
    <row r="21" spans="1:4">
      <c r="A21" s="3">
        <f>VLOOKUP(B21,'codes security'!A:C,3,0)</f>
        <v>3400</v>
      </c>
      <c r="B21" s="2">
        <v>3044</v>
      </c>
      <c r="C21" s="3" t="s">
        <v>267</v>
      </c>
      <c r="D21" s="18">
        <v>-4400</v>
      </c>
    </row>
    <row r="22" spans="1:4">
      <c r="A22" s="3">
        <f>VLOOKUP(B22,'codes security'!A:C,3,0)</f>
        <v>3400</v>
      </c>
      <c r="B22" s="2">
        <v>3045</v>
      </c>
      <c r="C22" s="3" t="s">
        <v>1061</v>
      </c>
      <c r="D22" s="18">
        <v>-890.16</v>
      </c>
    </row>
    <row r="23" spans="1:4">
      <c r="A23" s="3">
        <f>VLOOKUP(B23,'codes security'!A:C,3,0)</f>
        <v>3400</v>
      </c>
      <c r="B23" s="2">
        <v>3017</v>
      </c>
      <c r="C23" s="3" t="s">
        <v>1062</v>
      </c>
      <c r="D23" s="18">
        <v>-18000</v>
      </c>
    </row>
    <row r="24" spans="1:4">
      <c r="A24" s="3">
        <f>VLOOKUP(B24,'codes security'!A:C,3,0)</f>
        <v>3500</v>
      </c>
      <c r="B24" s="2">
        <v>5003</v>
      </c>
      <c r="C24" s="3" t="s">
        <v>956</v>
      </c>
      <c r="D24" s="18">
        <v>8932388.3800000008</v>
      </c>
    </row>
    <row r="25" spans="1:4">
      <c r="A25" s="3">
        <f>VLOOKUP(B25,'codes security'!A:C,3,0)</f>
        <v>3500</v>
      </c>
      <c r="B25" s="2">
        <v>5004</v>
      </c>
      <c r="C25" s="3" t="s">
        <v>1063</v>
      </c>
      <c r="D25" s="18">
        <v>-48990.28</v>
      </c>
    </row>
    <row r="26" spans="1:4">
      <c r="A26" s="3">
        <f>VLOOKUP(B26,'codes security'!A:C,3,0)</f>
        <v>3500</v>
      </c>
      <c r="B26" s="2">
        <v>5005</v>
      </c>
      <c r="C26" s="3" t="s">
        <v>1064</v>
      </c>
      <c r="D26" s="18">
        <v>651604.18999999994</v>
      </c>
    </row>
    <row r="27" spans="1:4">
      <c r="A27" s="3">
        <f>VLOOKUP(B27,'codes security'!A:C,3,0)</f>
        <v>3910</v>
      </c>
      <c r="B27" s="2">
        <v>5008</v>
      </c>
      <c r="C27" s="3" t="s">
        <v>1065</v>
      </c>
      <c r="D27" s="18">
        <v>-77992.19</v>
      </c>
    </row>
    <row r="28" spans="1:4">
      <c r="A28" s="3">
        <f>VLOOKUP(B28,'codes security'!A:C,3,0)</f>
        <v>3600</v>
      </c>
      <c r="B28" s="2">
        <v>5010</v>
      </c>
      <c r="C28" s="3" t="s">
        <v>959</v>
      </c>
      <c r="D28" s="18">
        <v>-108749</v>
      </c>
    </row>
    <row r="29" spans="1:4">
      <c r="A29" s="3">
        <f>VLOOKUP(B29,'codes security'!A:C,3,0)</f>
        <v>3600</v>
      </c>
      <c r="B29" s="2">
        <v>5011</v>
      </c>
      <c r="C29" s="3" t="s">
        <v>1066</v>
      </c>
      <c r="D29" s="18">
        <v>-178830</v>
      </c>
    </row>
    <row r="30" spans="1:4">
      <c r="A30" s="3">
        <f>VLOOKUP(B30,'codes security'!A:C,3,0)</f>
        <v>3400</v>
      </c>
      <c r="B30" s="2">
        <v>20301</v>
      </c>
      <c r="C30" s="3" t="s">
        <v>1067</v>
      </c>
      <c r="D30" s="18">
        <v>-7793.93</v>
      </c>
    </row>
    <row r="31" spans="1:4">
      <c r="A31" s="3">
        <f>VLOOKUP(B31,'codes security'!A:C,3,0)</f>
        <v>4900</v>
      </c>
      <c r="B31" s="2">
        <v>9901</v>
      </c>
      <c r="C31" s="3" t="s">
        <v>1068</v>
      </c>
      <c r="D31" s="18">
        <v>-132000</v>
      </c>
    </row>
    <row r="32" spans="1:4">
      <c r="A32" s="3">
        <f>VLOOKUP(B32,'codes security'!A:C,3,0)</f>
        <v>4900</v>
      </c>
      <c r="B32" s="2">
        <v>9902</v>
      </c>
      <c r="C32" s="3" t="s">
        <v>1069</v>
      </c>
      <c r="D32" s="18">
        <v>-46700</v>
      </c>
    </row>
    <row r="33" spans="1:4">
      <c r="A33" s="3">
        <f>VLOOKUP(B33,'codes security'!A:C,3,0)</f>
        <v>4900</v>
      </c>
      <c r="B33" s="2">
        <v>9903</v>
      </c>
      <c r="C33" s="3" t="s">
        <v>1070</v>
      </c>
      <c r="D33" s="18">
        <v>-500000</v>
      </c>
    </row>
    <row r="34" spans="1:4">
      <c r="A34" s="3">
        <f>VLOOKUP(B34,'codes security'!A:C,3,0)</f>
        <v>4900</v>
      </c>
      <c r="B34" s="2">
        <v>9904</v>
      </c>
      <c r="C34" s="3" t="s">
        <v>1071</v>
      </c>
      <c r="D34" s="18">
        <v>-5000000</v>
      </c>
    </row>
    <row r="35" spans="1:4">
      <c r="A35" s="3">
        <f>VLOOKUP(B35,'codes security'!A:C,3,0)</f>
        <v>4900</v>
      </c>
      <c r="B35" s="2">
        <v>9905</v>
      </c>
      <c r="C35" s="3" t="s">
        <v>1072</v>
      </c>
      <c r="D35" s="18">
        <v>-12500000</v>
      </c>
    </row>
    <row r="36" spans="1:4">
      <c r="A36" s="3">
        <f>VLOOKUP(B36,'codes security'!A:C,3,0)</f>
        <v>4900</v>
      </c>
      <c r="B36" s="2">
        <v>9906</v>
      </c>
      <c r="C36" s="3" t="s">
        <v>1073</v>
      </c>
      <c r="D36" s="18">
        <v>-481944</v>
      </c>
    </row>
    <row r="37" spans="1:4">
      <c r="A37" s="3">
        <f>VLOOKUP(B37,'codes security'!A:C,3,0)</f>
        <v>4900</v>
      </c>
      <c r="B37" s="2">
        <v>9907</v>
      </c>
      <c r="C37" s="3" t="s">
        <v>1074</v>
      </c>
      <c r="D37" s="18">
        <v>-1339356</v>
      </c>
    </row>
    <row r="38" spans="1:4">
      <c r="A38" s="3">
        <f>VLOOKUP(B38,'codes security'!A:C,3,0)</f>
        <v>4900</v>
      </c>
      <c r="B38" s="2">
        <v>9908</v>
      </c>
      <c r="C38" s="3" t="s">
        <v>1075</v>
      </c>
      <c r="D38" s="18">
        <v>-5000000</v>
      </c>
    </row>
    <row r="39" spans="1:4">
      <c r="A39" s="3">
        <f>VLOOKUP(B39,'codes security'!A:C,3,0)</f>
        <v>4900</v>
      </c>
      <c r="B39" s="2">
        <v>9909</v>
      </c>
      <c r="C39" s="3" t="s">
        <v>1076</v>
      </c>
      <c r="D39" s="18">
        <v>-120</v>
      </c>
    </row>
    <row r="40" spans="1:4">
      <c r="A40" s="3">
        <f>VLOOKUP(B40,'codes security'!A:C,3,0)</f>
        <v>4900</v>
      </c>
      <c r="B40" s="2">
        <v>9993</v>
      </c>
      <c r="C40" s="3" t="s">
        <v>1077</v>
      </c>
      <c r="D40" s="18">
        <v>-204.45</v>
      </c>
    </row>
    <row r="41" spans="1:4">
      <c r="A41" s="3">
        <f>VLOOKUP(B41,'codes security'!A:C,3,0)</f>
        <v>4900</v>
      </c>
      <c r="B41" s="2">
        <v>9994</v>
      </c>
      <c r="C41" s="3" t="s">
        <v>1078</v>
      </c>
      <c r="D41" s="18">
        <v>-15183.05</v>
      </c>
    </row>
    <row r="42" spans="1:4">
      <c r="A42" s="3">
        <f>VLOOKUP(B42,'codes security'!A:C,3,0)</f>
        <v>5110</v>
      </c>
      <c r="B42" s="2">
        <v>9991</v>
      </c>
      <c r="C42" s="3" t="s">
        <v>938</v>
      </c>
      <c r="D42" s="18">
        <v>-9871.2800000000007</v>
      </c>
    </row>
    <row r="43" spans="1:4">
      <c r="A43" s="3">
        <f>VLOOKUP(B43,'codes security'!A:C,3,0)</f>
        <v>5100</v>
      </c>
      <c r="B43" s="2">
        <v>9992</v>
      </c>
      <c r="C43" s="3" t="s">
        <v>1079</v>
      </c>
      <c r="D43" s="18">
        <v>-5338</v>
      </c>
    </row>
    <row r="44" spans="1:4">
      <c r="A44" s="3">
        <f>VLOOKUP(B44,'codes security'!A:C,3,0)</f>
        <v>5200</v>
      </c>
      <c r="B44" s="2">
        <v>7003</v>
      </c>
      <c r="C44" s="3" t="s">
        <v>1080</v>
      </c>
      <c r="D44" s="18">
        <v>303624</v>
      </c>
    </row>
    <row r="45" spans="1:4">
      <c r="A45" s="3">
        <f>VLOOKUP(B45,'codes security'!A:C,3,0)</f>
        <v>5200</v>
      </c>
      <c r="B45" s="2">
        <v>40200</v>
      </c>
      <c r="C45" s="3" t="s">
        <v>972</v>
      </c>
      <c r="D45" s="18">
        <v>-1116963</v>
      </c>
    </row>
    <row r="46" spans="1:4">
      <c r="A46" s="3">
        <f>VLOOKUP(B46,'codes security'!A:C,3,0)</f>
        <v>5500</v>
      </c>
      <c r="B46" s="2">
        <v>6001</v>
      </c>
      <c r="C46" s="3" t="s">
        <v>1081</v>
      </c>
      <c r="D46" s="18">
        <v>56667.08</v>
      </c>
    </row>
    <row r="47" spans="1:4">
      <c r="A47" s="3">
        <f>VLOOKUP(B47,'codes security'!A:C,3,0)</f>
        <v>5500</v>
      </c>
      <c r="B47" s="2">
        <v>6002</v>
      </c>
      <c r="C47" s="3" t="s">
        <v>1082</v>
      </c>
      <c r="D47" s="18">
        <v>4757.3</v>
      </c>
    </row>
    <row r="48" spans="1:4">
      <c r="A48" s="3">
        <f>VLOOKUP(B48,'codes security'!A:C,3,0)</f>
        <v>5500</v>
      </c>
      <c r="B48" s="2">
        <v>6005</v>
      </c>
      <c r="C48" s="3" t="s">
        <v>1083</v>
      </c>
      <c r="D48" s="18">
        <v>71.430000000000007</v>
      </c>
    </row>
    <row r="49" spans="1:7">
      <c r="A49" s="3">
        <f>VLOOKUP(B49,'codes security'!A:C,3,0)</f>
        <v>5500</v>
      </c>
      <c r="B49" s="2">
        <v>6008</v>
      </c>
      <c r="C49" s="3" t="s">
        <v>1084</v>
      </c>
      <c r="D49" s="18">
        <v>165908.76</v>
      </c>
    </row>
    <row r="50" spans="1:7">
      <c r="A50" s="3">
        <f>VLOOKUP(B50,'codes security'!A:C,3,0)</f>
        <v>5500</v>
      </c>
      <c r="B50" s="2">
        <v>6009</v>
      </c>
      <c r="C50" s="3" t="s">
        <v>1085</v>
      </c>
      <c r="D50" s="18">
        <v>11089.56</v>
      </c>
    </row>
    <row r="51" spans="1:7">
      <c r="A51" s="3">
        <f>VLOOKUP(B51,'codes security'!A:C,3,0)</f>
        <v>5500</v>
      </c>
      <c r="B51" s="2">
        <v>6012</v>
      </c>
      <c r="C51" s="3" t="s">
        <v>1086</v>
      </c>
      <c r="D51" s="18">
        <v>239.24</v>
      </c>
    </row>
    <row r="52" spans="1:7">
      <c r="A52" s="3">
        <f>VLOOKUP(B52,'codes security'!A:C,3,0)</f>
        <v>5500</v>
      </c>
      <c r="B52" s="2">
        <v>6050</v>
      </c>
      <c r="C52" s="3" t="s">
        <v>783</v>
      </c>
      <c r="D52" s="18">
        <v>112500</v>
      </c>
    </row>
    <row r="53" spans="1:7">
      <c r="A53" s="3">
        <f>VLOOKUP(B53,'codes security'!A:C,3,0)</f>
        <v>5500</v>
      </c>
      <c r="B53" s="2">
        <v>6131</v>
      </c>
      <c r="C53" s="3" t="s">
        <v>1087</v>
      </c>
      <c r="D53" s="18">
        <v>1875</v>
      </c>
    </row>
    <row r="54" spans="1:7">
      <c r="A54" s="3">
        <f>VLOOKUP(B54,'codes security'!A:C,3,0)</f>
        <v>5300</v>
      </c>
      <c r="B54" s="2">
        <v>6132</v>
      </c>
      <c r="C54" s="3" t="s">
        <v>1088</v>
      </c>
      <c r="D54" s="18">
        <v>6743.64</v>
      </c>
    </row>
    <row r="55" spans="1:7">
      <c r="A55" s="3">
        <f>VLOOKUP(B55,'codes security'!A:C,3,0)</f>
        <v>5500</v>
      </c>
      <c r="B55" s="2">
        <v>6134</v>
      </c>
      <c r="C55" s="3" t="s">
        <v>1089</v>
      </c>
      <c r="D55" s="18">
        <v>16135.38</v>
      </c>
    </row>
    <row r="56" spans="1:7">
      <c r="A56" s="3">
        <f>VLOOKUP(B56,'codes security'!A:C,3,0)</f>
        <v>5500</v>
      </c>
      <c r="B56" s="2">
        <v>6135</v>
      </c>
      <c r="C56" s="3" t="s">
        <v>1090</v>
      </c>
      <c r="D56" s="18">
        <v>4000</v>
      </c>
    </row>
    <row r="57" spans="1:7">
      <c r="A57" s="3">
        <f>VLOOKUP(B57,'codes security'!A:C,3,0)</f>
        <v>5500</v>
      </c>
      <c r="B57" s="2">
        <v>6138</v>
      </c>
      <c r="C57" s="3" t="s">
        <v>1091</v>
      </c>
      <c r="D57" s="18">
        <v>39132.82</v>
      </c>
    </row>
    <row r="58" spans="1:7">
      <c r="A58" s="3">
        <f>VLOOKUP(B58,'codes security'!A:C,3,0)</f>
        <v>5500</v>
      </c>
      <c r="B58" s="2">
        <v>6139</v>
      </c>
      <c r="C58" s="3" t="s">
        <v>1092</v>
      </c>
      <c r="D58" s="18">
        <v>3566.79</v>
      </c>
    </row>
    <row r="59" spans="1:7">
      <c r="A59" s="3">
        <f>VLOOKUP(B59,'codes security'!A:C,3,0)</f>
        <v>5500</v>
      </c>
      <c r="B59" s="2">
        <v>6141</v>
      </c>
      <c r="C59" s="3" t="s">
        <v>1093</v>
      </c>
      <c r="D59" s="18">
        <v>24.25</v>
      </c>
    </row>
    <row r="60" spans="1:7">
      <c r="A60" s="3">
        <f>VLOOKUP(B60,'codes security'!A:C,3,0)</f>
        <v>5500</v>
      </c>
      <c r="B60" s="2">
        <v>6142</v>
      </c>
      <c r="C60" s="3" t="s">
        <v>1094</v>
      </c>
      <c r="D60" s="18">
        <v>911.84</v>
      </c>
    </row>
    <row r="61" spans="1:7">
      <c r="A61" s="3">
        <f>VLOOKUP(B61,'codes security'!A:C,3,0)</f>
        <v>5500</v>
      </c>
      <c r="B61" s="2">
        <v>6146</v>
      </c>
      <c r="C61" s="3" t="s">
        <v>1095</v>
      </c>
      <c r="D61" s="18">
        <v>383.34</v>
      </c>
    </row>
    <row r="62" spans="1:7">
      <c r="A62" s="3">
        <f>VLOOKUP(B62,'codes security'!A:C,3,0)</f>
        <v>5500</v>
      </c>
      <c r="B62" s="2">
        <v>8110</v>
      </c>
      <c r="C62" s="3" t="s">
        <v>1096</v>
      </c>
      <c r="D62" s="18">
        <v>20065.599999999999</v>
      </c>
    </row>
    <row r="63" spans="1:7">
      <c r="A63" s="3">
        <f>VLOOKUP(B63,'codes security'!A:C,3,0)</f>
        <v>5500</v>
      </c>
      <c r="B63" s="2">
        <v>8111</v>
      </c>
      <c r="C63" s="3" t="s">
        <v>1097</v>
      </c>
      <c r="D63" s="18">
        <v>1703.16</v>
      </c>
    </row>
    <row r="64" spans="1:7">
      <c r="A64" s="3">
        <f>VLOOKUP(B64,'codes security'!A:C,3,0)</f>
        <v>5660</v>
      </c>
      <c r="B64" s="2">
        <v>8029</v>
      </c>
      <c r="C64" s="3" t="s">
        <v>940</v>
      </c>
      <c r="D64" s="18">
        <v>35287.15</v>
      </c>
      <c r="F64" s="18"/>
      <c r="G64" s="113"/>
    </row>
    <row r="65" spans="1:4">
      <c r="A65" s="3">
        <f>VLOOKUP(B65,'codes security'!A:C,3,0)</f>
        <v>5620</v>
      </c>
      <c r="B65" s="2">
        <v>8009</v>
      </c>
      <c r="C65" s="3" t="s">
        <v>1098</v>
      </c>
      <c r="D65" s="18">
        <v>6950.2</v>
      </c>
    </row>
    <row r="66" spans="1:4">
      <c r="A66" s="3">
        <f>VLOOKUP(B66,'codes security'!A:C,3,0)</f>
        <v>5660</v>
      </c>
      <c r="B66" s="2">
        <v>8005</v>
      </c>
      <c r="C66" s="3" t="s">
        <v>741</v>
      </c>
      <c r="D66" s="18">
        <v>8514.1</v>
      </c>
    </row>
    <row r="67" spans="1:4">
      <c r="A67" s="3">
        <f>VLOOKUP(B67,'codes security'!A:C,3,0)</f>
        <v>5660</v>
      </c>
      <c r="B67" s="2">
        <v>8030</v>
      </c>
      <c r="C67" s="3" t="s">
        <v>743</v>
      </c>
      <c r="D67" s="18">
        <v>3036.11</v>
      </c>
    </row>
    <row r="68" spans="1:4">
      <c r="A68" s="3">
        <f>VLOOKUP(B68,'codes security'!A:C,3,0)</f>
        <v>5410</v>
      </c>
      <c r="B68" s="2">
        <v>8032</v>
      </c>
      <c r="C68" s="3" t="s">
        <v>744</v>
      </c>
      <c r="D68" s="18">
        <v>2337.39</v>
      </c>
    </row>
    <row r="69" spans="1:4">
      <c r="A69" s="3">
        <f>VLOOKUP(B69,'codes security'!A:C,3,0)</f>
        <v>5330</v>
      </c>
      <c r="B69" s="2">
        <v>8042</v>
      </c>
      <c r="C69" s="3" t="s">
        <v>577</v>
      </c>
      <c r="D69" s="18">
        <v>14.15</v>
      </c>
    </row>
    <row r="70" spans="1:4">
      <c r="A70" s="3">
        <f>VLOOKUP(B70,'codes security'!A:C,3,0)</f>
        <v>5510</v>
      </c>
      <c r="B70" s="2">
        <v>8043</v>
      </c>
      <c r="C70" s="3" t="s">
        <v>746</v>
      </c>
      <c r="D70" s="18">
        <v>23691.119999999999</v>
      </c>
    </row>
    <row r="71" spans="1:4">
      <c r="A71" s="3">
        <f>VLOOKUP(B71,'codes security'!A:C,3,0)</f>
        <v>5330</v>
      </c>
      <c r="B71" s="2">
        <v>8045</v>
      </c>
      <c r="C71" s="3" t="s">
        <v>1099</v>
      </c>
      <c r="D71" s="18">
        <v>474.91</v>
      </c>
    </row>
    <row r="72" spans="1:4">
      <c r="A72" s="3">
        <f>VLOOKUP(B72,'codes security'!A:C,3,0)</f>
        <v>5660</v>
      </c>
      <c r="B72" s="2">
        <v>8007</v>
      </c>
      <c r="C72" s="3" t="s">
        <v>591</v>
      </c>
      <c r="D72" s="18">
        <v>8095.81</v>
      </c>
    </row>
    <row r="73" spans="1:4">
      <c r="A73" s="3">
        <f>VLOOKUP(B73,'codes security'!A:C,3,0)</f>
        <v>5660</v>
      </c>
      <c r="B73" s="2">
        <v>8028</v>
      </c>
      <c r="C73" s="3" t="s">
        <v>587</v>
      </c>
      <c r="D73" s="18">
        <v>1353.28</v>
      </c>
    </row>
    <row r="74" spans="1:4">
      <c r="A74" s="3">
        <f>VLOOKUP(B74,'codes security'!A:C,3,0)</f>
        <v>5510</v>
      </c>
      <c r="B74" s="2">
        <v>8107</v>
      </c>
      <c r="C74" s="3" t="s">
        <v>527</v>
      </c>
      <c r="D74" s="18">
        <v>190211.78</v>
      </c>
    </row>
    <row r="75" spans="1:4">
      <c r="A75" s="3">
        <f>VLOOKUP(B75,'codes security'!A:C,3,0)</f>
        <v>5540</v>
      </c>
      <c r="B75" s="2">
        <v>8108</v>
      </c>
      <c r="C75" s="3" t="s">
        <v>1100</v>
      </c>
      <c r="D75" s="18">
        <v>2071.87</v>
      </c>
    </row>
    <row r="76" spans="1:4">
      <c r="A76" s="3">
        <f>VLOOKUP(B76,'codes security'!A:C,3,0)</f>
        <v>5680</v>
      </c>
      <c r="B76" s="2">
        <v>8046</v>
      </c>
      <c r="C76" s="3" t="s">
        <v>1101</v>
      </c>
      <c r="D76" s="18">
        <v>1911.84</v>
      </c>
    </row>
    <row r="77" spans="1:4">
      <c r="A77" s="3">
        <f>VLOOKUP(B77,'codes security'!A:C,3,0)</f>
        <v>5610</v>
      </c>
      <c r="B77" s="2">
        <v>9008</v>
      </c>
      <c r="C77" s="3" t="s">
        <v>1102</v>
      </c>
      <c r="D77" s="18">
        <v>6613</v>
      </c>
    </row>
    <row r="78" spans="1:4">
      <c r="A78" s="3">
        <f>VLOOKUP(B78,'codes security'!A:C,3,0)</f>
        <v>5660</v>
      </c>
      <c r="B78" s="2">
        <v>8020</v>
      </c>
      <c r="C78" s="3" t="s">
        <v>761</v>
      </c>
      <c r="D78" s="18">
        <v>23241.98</v>
      </c>
    </row>
    <row r="79" spans="1:4">
      <c r="A79" s="3">
        <f>VLOOKUP(B79,'codes security'!A:C,3,0)</f>
        <v>5330</v>
      </c>
      <c r="B79" s="2">
        <v>6140</v>
      </c>
      <c r="C79" s="3" t="s">
        <v>1103</v>
      </c>
      <c r="D79" s="18">
        <v>2323</v>
      </c>
    </row>
    <row r="80" spans="1:4">
      <c r="A80" s="3">
        <f>VLOOKUP(B80,'codes security'!A:C,3,0)</f>
        <v>5550</v>
      </c>
      <c r="B80" s="2">
        <v>6144</v>
      </c>
      <c r="C80" s="3" t="s">
        <v>1104</v>
      </c>
      <c r="D80" s="18">
        <v>546</v>
      </c>
    </row>
    <row r="81" spans="1:4">
      <c r="A81" s="3">
        <f>VLOOKUP(B81,'codes security'!A:C,3,0)</f>
        <v>5550</v>
      </c>
      <c r="B81" s="2">
        <v>6145</v>
      </c>
      <c r="C81" s="3" t="s">
        <v>1105</v>
      </c>
      <c r="D81" s="18">
        <v>200</v>
      </c>
    </row>
    <row r="82" spans="1:4">
      <c r="A82" s="3">
        <f>VLOOKUP(B82,'codes security'!A:C,3,0)</f>
        <v>5670</v>
      </c>
      <c r="B82" s="2">
        <v>6149</v>
      </c>
      <c r="C82" s="3" t="s">
        <v>1106</v>
      </c>
      <c r="D82" s="18">
        <v>633</v>
      </c>
    </row>
    <row r="83" spans="1:4">
      <c r="A83" s="3">
        <f>VLOOKUP(B83,'codes security'!A:C,3,0)</f>
        <v>5680</v>
      </c>
      <c r="B83" s="2">
        <v>8037</v>
      </c>
      <c r="C83" s="3" t="s">
        <v>590</v>
      </c>
      <c r="D83" s="18">
        <v>26560.400000000001</v>
      </c>
    </row>
    <row r="84" spans="1:4">
      <c r="A84" s="3">
        <f>VLOOKUP(B84,'codes security'!A:C,3,0)</f>
        <v>5680</v>
      </c>
      <c r="B84" s="2">
        <v>8038</v>
      </c>
      <c r="C84" s="3" t="s">
        <v>1107</v>
      </c>
      <c r="D84" s="18">
        <v>5398.11</v>
      </c>
    </row>
    <row r="85" spans="1:4">
      <c r="A85" s="3">
        <f>VLOOKUP(B85,'codes security'!A:C,3,0)</f>
        <v>5330</v>
      </c>
      <c r="B85" s="2">
        <v>8039</v>
      </c>
      <c r="C85" s="3" t="s">
        <v>1108</v>
      </c>
      <c r="D85" s="18">
        <v>5765.96</v>
      </c>
    </row>
    <row r="86" spans="1:4">
      <c r="A86" s="3">
        <f>VLOOKUP(B86,'codes security'!A:C,3,0)</f>
        <v>5330</v>
      </c>
      <c r="B86" s="2">
        <v>8040</v>
      </c>
      <c r="C86" s="3" t="s">
        <v>1109</v>
      </c>
      <c r="D86" s="18">
        <v>3966.6</v>
      </c>
    </row>
    <row r="87" spans="1:4">
      <c r="A87" s="3">
        <f>VLOOKUP(B87,'codes security'!A:C,3,0)</f>
        <v>5700</v>
      </c>
      <c r="B87" s="2">
        <v>9004</v>
      </c>
      <c r="C87" s="3" t="s">
        <v>1110</v>
      </c>
      <c r="D87" s="18">
        <v>3700</v>
      </c>
    </row>
    <row r="88" spans="1:4">
      <c r="A88" s="3">
        <f>VLOOKUP(B88,'codes security'!A:C,3,0)</f>
        <v>5300</v>
      </c>
      <c r="B88" s="2">
        <v>6014</v>
      </c>
      <c r="C88" s="3" t="s">
        <v>1111</v>
      </c>
      <c r="D88" s="18">
        <v>58906</v>
      </c>
    </row>
    <row r="89" spans="1:4">
      <c r="A89" s="3">
        <f>VLOOKUP(B89,'codes security'!A:C,3,0)</f>
        <v>5300</v>
      </c>
      <c r="B89" s="2">
        <v>6015</v>
      </c>
      <c r="C89" s="3" t="s">
        <v>1112</v>
      </c>
      <c r="D89" s="18">
        <v>249588.94</v>
      </c>
    </row>
    <row r="90" spans="1:4">
      <c r="A90" s="3">
        <f>VLOOKUP(B90,'codes security'!A:C,3,0)</f>
        <v>5300</v>
      </c>
      <c r="B90" s="2">
        <v>6016</v>
      </c>
      <c r="C90" s="3" t="s">
        <v>1113</v>
      </c>
      <c r="D90" s="18">
        <v>13518.13</v>
      </c>
    </row>
    <row r="91" spans="1:4">
      <c r="A91" s="3">
        <f>VLOOKUP(B91,'codes security'!A:C,3,0)</f>
        <v>5300</v>
      </c>
      <c r="B91" s="2">
        <v>6017</v>
      </c>
      <c r="C91" s="3" t="s">
        <v>1114</v>
      </c>
      <c r="D91" s="18">
        <v>401.58</v>
      </c>
    </row>
    <row r="92" spans="1:4">
      <c r="A92" s="3">
        <f>VLOOKUP(B92,'codes security'!A:C,3,0)</f>
        <v>5300</v>
      </c>
      <c r="B92" s="2">
        <v>6018</v>
      </c>
      <c r="C92" s="3" t="s">
        <v>1115</v>
      </c>
      <c r="D92" s="18">
        <v>1000</v>
      </c>
    </row>
    <row r="93" spans="1:4">
      <c r="A93" s="3">
        <f>VLOOKUP(B93,'codes security'!A:C,3,0)</f>
        <v>5300</v>
      </c>
      <c r="B93" s="2">
        <v>6136</v>
      </c>
      <c r="C93" s="3" t="s">
        <v>1116</v>
      </c>
      <c r="D93" s="18">
        <v>4518</v>
      </c>
    </row>
    <row r="94" spans="1:4">
      <c r="A94" s="3">
        <f>VLOOKUP(B94,'codes security'!A:C,3,0)</f>
        <v>5300</v>
      </c>
      <c r="B94" s="2">
        <v>6137</v>
      </c>
      <c r="C94" s="3" t="s">
        <v>1117</v>
      </c>
      <c r="D94" s="18">
        <v>13891.21</v>
      </c>
    </row>
    <row r="95" spans="1:4">
      <c r="A95" s="3">
        <f>VLOOKUP(B95,'codes security'!A:C,3,0)</f>
        <v>5500</v>
      </c>
      <c r="B95" s="2">
        <v>6143</v>
      </c>
      <c r="C95" s="3" t="s">
        <v>1118</v>
      </c>
      <c r="D95" s="18">
        <v>666.7</v>
      </c>
    </row>
    <row r="96" spans="1:4">
      <c r="A96" s="3">
        <f>VLOOKUP(B96,'codes security'!A:C,3,0)</f>
        <v>5500</v>
      </c>
      <c r="B96" s="2">
        <v>6147</v>
      </c>
      <c r="C96" s="3" t="s">
        <v>1119</v>
      </c>
      <c r="D96" s="18">
        <v>51366</v>
      </c>
    </row>
    <row r="97" spans="1:4">
      <c r="A97" s="3">
        <f>VLOOKUP(B97,'codes security'!A:C,3,0)</f>
        <v>5500</v>
      </c>
      <c r="B97" s="2">
        <v>6148</v>
      </c>
      <c r="C97" s="3" t="s">
        <v>1120</v>
      </c>
      <c r="D97" s="18">
        <v>178830</v>
      </c>
    </row>
    <row r="98" spans="1:4">
      <c r="A98" s="3">
        <f>VLOOKUP(B98,'codes security'!A:C,3,0)</f>
        <v>5300</v>
      </c>
      <c r="B98" s="2">
        <v>6500</v>
      </c>
      <c r="C98" s="3" t="s">
        <v>1121</v>
      </c>
      <c r="D98" s="18">
        <v>158443.01999999999</v>
      </c>
    </row>
    <row r="99" spans="1:4">
      <c r="A99" s="3">
        <f>VLOOKUP(B99,'codes security'!A:C,3,0)</f>
        <v>5300</v>
      </c>
      <c r="B99" s="2">
        <v>65001</v>
      </c>
      <c r="C99" s="3" t="s">
        <v>1122</v>
      </c>
      <c r="D99" s="18">
        <v>38124.9</v>
      </c>
    </row>
    <row r="100" spans="1:4">
      <c r="A100" s="3">
        <f>VLOOKUP(B100,'codes security'!A:C,3,0)</f>
        <v>5300</v>
      </c>
      <c r="B100" s="2">
        <v>65002</v>
      </c>
      <c r="C100" s="3" t="s">
        <v>1123</v>
      </c>
      <c r="D100" s="18">
        <v>3157.57</v>
      </c>
    </row>
    <row r="101" spans="1:4">
      <c r="A101" s="3">
        <f>VLOOKUP(B101,'codes security'!A:C,3,0)</f>
        <v>5300</v>
      </c>
      <c r="B101" s="2">
        <v>65003</v>
      </c>
      <c r="C101" s="3" t="s">
        <v>1124</v>
      </c>
      <c r="D101" s="18">
        <v>39.28</v>
      </c>
    </row>
    <row r="102" spans="1:4">
      <c r="A102" s="3">
        <f>VLOOKUP(B102,'codes security'!A:C,3,0)</f>
        <v>5300</v>
      </c>
      <c r="B102" s="2">
        <v>65004</v>
      </c>
      <c r="C102" s="3" t="s">
        <v>1125</v>
      </c>
      <c r="D102" s="18">
        <v>2681.84</v>
      </c>
    </row>
    <row r="103" spans="1:4">
      <c r="A103" s="3">
        <f>VLOOKUP(B103,'codes security'!A:C,3,0)</f>
        <v>5300</v>
      </c>
      <c r="B103" s="2">
        <v>6501</v>
      </c>
      <c r="C103" s="3" t="s">
        <v>1126</v>
      </c>
      <c r="D103" s="18">
        <v>12418.18</v>
      </c>
    </row>
    <row r="104" spans="1:4">
      <c r="A104" s="3">
        <f>VLOOKUP(B104,'codes security'!A:C,3,0)</f>
        <v>5300</v>
      </c>
      <c r="B104" s="2">
        <v>6504</v>
      </c>
      <c r="C104" s="3" t="s">
        <v>1127</v>
      </c>
      <c r="D104" s="18">
        <v>290.83</v>
      </c>
    </row>
    <row r="105" spans="1:4">
      <c r="A105" s="3">
        <f>VLOOKUP(B105,'codes security'!A:C,3,0)</f>
        <v>5300</v>
      </c>
      <c r="B105" s="2">
        <v>6505</v>
      </c>
      <c r="C105" s="3" t="s">
        <v>1128</v>
      </c>
      <c r="D105" s="18">
        <v>60797.31</v>
      </c>
    </row>
    <row r="106" spans="1:4">
      <c r="A106" s="3">
        <f>VLOOKUP(B106,'codes security'!A:C,3,0)</f>
        <v>5300</v>
      </c>
      <c r="B106" s="2">
        <v>6506</v>
      </c>
      <c r="C106" s="3" t="s">
        <v>1129</v>
      </c>
      <c r="D106" s="18">
        <v>5020.72</v>
      </c>
    </row>
    <row r="107" spans="1:4">
      <c r="A107" s="3">
        <f>VLOOKUP(B107,'codes security'!A:C,3,0)</f>
        <v>5300</v>
      </c>
      <c r="B107" s="2">
        <v>6507</v>
      </c>
      <c r="C107" s="3" t="s">
        <v>1130</v>
      </c>
      <c r="D107" s="18">
        <v>80.41</v>
      </c>
    </row>
    <row r="108" spans="1:4">
      <c r="A108" s="3">
        <f>VLOOKUP(B108,'codes security'!A:C,3,0)</f>
        <v>5300</v>
      </c>
      <c r="B108" s="2">
        <v>6508</v>
      </c>
      <c r="C108" s="3" t="s">
        <v>1131</v>
      </c>
      <c r="D108" s="18">
        <v>5653.37</v>
      </c>
    </row>
    <row r="109" spans="1:4">
      <c r="A109" s="3">
        <f>VLOOKUP(B109,'codes security'!A:C,3,0)</f>
        <v>5300</v>
      </c>
      <c r="B109" s="2">
        <v>6509</v>
      </c>
      <c r="C109" s="3" t="s">
        <v>1132</v>
      </c>
      <c r="D109" s="18">
        <v>566.66</v>
      </c>
    </row>
    <row r="110" spans="1:4">
      <c r="A110" s="3">
        <f>VLOOKUP(B110,'codes security'!A:C,3,0)</f>
        <v>5300</v>
      </c>
      <c r="B110" s="2">
        <v>6510</v>
      </c>
      <c r="C110" s="3" t="s">
        <v>816</v>
      </c>
      <c r="D110" s="18">
        <v>11550</v>
      </c>
    </row>
    <row r="111" spans="1:4">
      <c r="A111" s="3">
        <f>VLOOKUP(B111,'codes security'!A:C,3,0)</f>
        <v>5300</v>
      </c>
      <c r="B111" s="2">
        <v>8112</v>
      </c>
      <c r="C111" s="3" t="s">
        <v>1133</v>
      </c>
      <c r="D111" s="18">
        <v>2189.08</v>
      </c>
    </row>
    <row r="112" spans="1:4">
      <c r="A112" s="3">
        <f>VLOOKUP(B112,'codes security'!A:C,3,0)</f>
        <v>5700</v>
      </c>
      <c r="B112" s="2">
        <v>9001</v>
      </c>
      <c r="C112" s="3" t="s">
        <v>1134</v>
      </c>
      <c r="D112" s="18">
        <v>-353.34</v>
      </c>
    </row>
    <row r="113" spans="1:4">
      <c r="A113" s="3">
        <f>VLOOKUP(B113,'codes security'!A:C,3,0)</f>
        <v>5700</v>
      </c>
      <c r="B113" s="2">
        <v>9006</v>
      </c>
      <c r="C113" s="3" t="s">
        <v>1019</v>
      </c>
      <c r="D113" s="18">
        <v>277.45</v>
      </c>
    </row>
    <row r="114" spans="1:4">
      <c r="A114" s="3">
        <f>VLOOKUP(B114,'codes security'!A:C,3,0)</f>
        <v>5700</v>
      </c>
      <c r="B114" s="2">
        <v>9999</v>
      </c>
      <c r="C114" s="3" t="s">
        <v>1135</v>
      </c>
      <c r="D114" s="18">
        <v>-3.19</v>
      </c>
    </row>
    <row r="115" spans="1:4">
      <c r="A115" s="3">
        <f>VLOOKUP(B115,'codes security'!A:C,3,0)</f>
        <v>5500</v>
      </c>
      <c r="B115" s="2">
        <v>66000</v>
      </c>
      <c r="C115" s="3" t="s">
        <v>1136</v>
      </c>
      <c r="D115" s="18">
        <v>82082.460000000006</v>
      </c>
    </row>
    <row r="116" spans="1:4">
      <c r="A116" s="3">
        <f>VLOOKUP(B116,'codes security'!A:C,3,0)</f>
        <v>5500</v>
      </c>
      <c r="B116" s="2">
        <v>66001</v>
      </c>
      <c r="C116" s="3" t="s">
        <v>1137</v>
      </c>
      <c r="D116" s="18">
        <v>6574.23</v>
      </c>
    </row>
    <row r="117" spans="1:4">
      <c r="A117" s="3">
        <f>VLOOKUP(B117,'codes security'!A:C,3,0)</f>
        <v>5500</v>
      </c>
      <c r="B117" s="2">
        <v>66002</v>
      </c>
      <c r="C117" s="3" t="s">
        <v>1138</v>
      </c>
      <c r="D117" s="18">
        <v>118.33</v>
      </c>
    </row>
    <row r="118" spans="1:4">
      <c r="A118" s="3">
        <f>VLOOKUP(B118,'codes security'!A:C,3,0)</f>
        <v>5510</v>
      </c>
      <c r="B118" s="2">
        <v>67100</v>
      </c>
      <c r="C118" s="3" t="s">
        <v>1139</v>
      </c>
      <c r="D118" s="18">
        <v>21142.35</v>
      </c>
    </row>
    <row r="119" spans="1:4">
      <c r="A119" s="3">
        <f>VLOOKUP(B119,'codes security'!A:C,3,0)</f>
        <v>5600</v>
      </c>
      <c r="B119" s="2">
        <v>68000</v>
      </c>
      <c r="C119" s="3" t="s">
        <v>1140</v>
      </c>
      <c r="D119" s="18">
        <v>68269.84</v>
      </c>
    </row>
    <row r="120" spans="1:4">
      <c r="A120" s="3">
        <f>VLOOKUP(B120,'codes security'!A:C,3,0)</f>
        <v>5600</v>
      </c>
      <c r="B120" s="2">
        <v>68001</v>
      </c>
      <c r="C120" s="3" t="s">
        <v>1141</v>
      </c>
      <c r="D120" s="18">
        <v>6654.93</v>
      </c>
    </row>
    <row r="121" spans="1:4">
      <c r="A121" s="3">
        <f>VLOOKUP(B121,'codes security'!A:C,3,0)</f>
        <v>5600</v>
      </c>
      <c r="B121" s="2">
        <v>68002</v>
      </c>
      <c r="C121" s="3" t="s">
        <v>1142</v>
      </c>
      <c r="D121" s="18">
        <v>104.36</v>
      </c>
    </row>
    <row r="122" spans="1:4">
      <c r="A122" s="3">
        <f>VLOOKUP(B122,'codes security'!A:C,3,0)</f>
        <v>5600</v>
      </c>
      <c r="B122" s="2">
        <v>68003</v>
      </c>
      <c r="C122" s="3" t="s">
        <v>1143</v>
      </c>
      <c r="D122" s="18">
        <v>8126.19</v>
      </c>
    </row>
    <row r="123" spans="1:4">
      <c r="A123" s="3">
        <f>VLOOKUP(B123,'codes security'!A:C,3,0)</f>
        <v>5320</v>
      </c>
      <c r="B123" s="2">
        <v>8003</v>
      </c>
      <c r="C123" s="3" t="s">
        <v>1144</v>
      </c>
      <c r="D123" s="18">
        <v>31670</v>
      </c>
    </row>
    <row r="124" spans="1:4">
      <c r="A124" s="3">
        <f>VLOOKUP(B124,'codes security'!A:C,3,0)</f>
        <v>5610</v>
      </c>
      <c r="B124" s="2">
        <v>8012</v>
      </c>
      <c r="C124" s="3" t="s">
        <v>777</v>
      </c>
      <c r="D124" s="18">
        <v>55</v>
      </c>
    </row>
    <row r="125" spans="1:4">
      <c r="A125" s="3">
        <f>VLOOKUP(B125,'codes security'!A:C,3,0)</f>
        <v>5610</v>
      </c>
      <c r="B125" s="2">
        <v>8014</v>
      </c>
      <c r="C125" s="3" t="s">
        <v>1145</v>
      </c>
      <c r="D125" s="18">
        <v>47972.5</v>
      </c>
    </row>
    <row r="126" spans="1:4">
      <c r="A126" s="3">
        <f>VLOOKUP(B126,'codes security'!A:C,3,0)</f>
        <v>5610</v>
      </c>
      <c r="B126" s="2">
        <v>8017</v>
      </c>
      <c r="C126" s="3" t="s">
        <v>779</v>
      </c>
      <c r="D126" s="18">
        <v>2796.3</v>
      </c>
    </row>
    <row r="127" spans="1:4">
      <c r="A127" s="3">
        <f>VLOOKUP(B127,'codes security'!A:C,3,0)</f>
        <v>5600</v>
      </c>
      <c r="B127" s="2">
        <v>8018</v>
      </c>
      <c r="C127" s="3" t="s">
        <v>1146</v>
      </c>
      <c r="D127" s="18">
        <v>162034</v>
      </c>
    </row>
    <row r="128" spans="1:4">
      <c r="A128" s="3">
        <f>VLOOKUP(B128,'codes security'!A:C,3,0)</f>
        <v>5610</v>
      </c>
      <c r="B128" s="2">
        <v>8019</v>
      </c>
      <c r="C128" s="3" t="s">
        <v>1147</v>
      </c>
      <c r="D128" s="18">
        <v>117797.32</v>
      </c>
    </row>
    <row r="129" spans="1:4">
      <c r="A129" s="3">
        <f>VLOOKUP(B129,'codes security'!A:C,3,0)</f>
        <v>5660</v>
      </c>
      <c r="B129" s="2">
        <v>8082</v>
      </c>
      <c r="C129" s="3" t="s">
        <v>190</v>
      </c>
      <c r="D129" s="18">
        <v>10579.25</v>
      </c>
    </row>
    <row r="130" spans="1:4">
      <c r="A130" s="3">
        <f>VLOOKUP(B130,'codes security'!A:C,3,0)</f>
        <v>5660</v>
      </c>
      <c r="B130" s="2" t="s">
        <v>1148</v>
      </c>
      <c r="C130" s="3" t="s">
        <v>1149</v>
      </c>
      <c r="D130" s="18">
        <v>933.87</v>
      </c>
    </row>
  </sheetData>
  <autoFilter ref="A1:D130" xr:uid="{00000000-0009-0000-0000-000011000000}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M249"/>
  <sheetViews>
    <sheetView topLeftCell="A4" workbookViewId="0">
      <selection activeCell="J29" sqref="J29"/>
    </sheetView>
  </sheetViews>
  <sheetFormatPr baseColWidth="10" defaultColWidth="8.85546875" defaultRowHeight="13" outlineLevelCol="1"/>
  <cols>
    <col min="1" max="1" width="7.85546875" style="11" bestFit="1" customWidth="1"/>
    <col min="2" max="2" width="10.140625" style="20" customWidth="1"/>
    <col min="3" max="3" width="7.85546875" style="20" bestFit="1" customWidth="1"/>
    <col min="4" max="5" width="9.42578125" style="11" bestFit="1" customWidth="1" outlineLevel="1"/>
    <col min="6" max="6" width="31.85546875" style="21" bestFit="1" customWidth="1"/>
    <col min="7" max="7" width="33.140625" style="133" bestFit="1" customWidth="1"/>
    <col min="8" max="8" width="11.85546875" style="22" bestFit="1" customWidth="1"/>
    <col min="9" max="9" width="8.85546875" style="11"/>
    <col min="10" max="10" width="9.42578125" style="11" bestFit="1" customWidth="1"/>
    <col min="11" max="11" width="13.85546875" style="11" bestFit="1" customWidth="1"/>
    <col min="12" max="16384" width="8.85546875" style="11"/>
  </cols>
  <sheetData>
    <row r="1" spans="1:10">
      <c r="A1" s="73"/>
      <c r="B1" s="73"/>
      <c r="C1" s="73"/>
      <c r="D1" s="73"/>
      <c r="E1" s="73"/>
      <c r="F1" s="73"/>
      <c r="G1" s="73"/>
    </row>
    <row r="2" spans="1:10" s="1" customFormat="1" ht="28.5" customHeight="1">
      <c r="C2" s="58" t="s">
        <v>833</v>
      </c>
      <c r="D2" s="554" t="s">
        <v>15</v>
      </c>
      <c r="E2" s="554"/>
      <c r="F2" s="49"/>
      <c r="G2" s="61"/>
      <c r="H2" s="23"/>
      <c r="I2" s="154">
        <f>SUM(D:D)-SUM(E:E)</f>
        <v>0</v>
      </c>
    </row>
    <row r="3" spans="1:10" s="1" customFormat="1" ht="14">
      <c r="A3" s="62" t="s">
        <v>944</v>
      </c>
      <c r="B3" s="57" t="s">
        <v>832</v>
      </c>
      <c r="C3" s="63" t="s">
        <v>836</v>
      </c>
      <c r="D3" s="62" t="s">
        <v>837</v>
      </c>
      <c r="E3" s="62" t="s">
        <v>838</v>
      </c>
      <c r="F3" s="64" t="s">
        <v>839</v>
      </c>
      <c r="G3" s="65" t="s">
        <v>840</v>
      </c>
      <c r="H3" s="23"/>
    </row>
    <row r="4" spans="1:10" ht="15.75" customHeight="1">
      <c r="A4" s="11">
        <v>1</v>
      </c>
      <c r="B4" s="20">
        <v>5603</v>
      </c>
      <c r="D4" s="426">
        <v>7034</v>
      </c>
      <c r="E4" s="426"/>
      <c r="F4" s="3" t="str">
        <f>IF(B4&gt;0,VLOOKUP(B4,'HARKAVA '!$A$1:$B$115,2,0)," ")</f>
        <v>G&amp;A non budgeted items</v>
      </c>
      <c r="G4" s="133" t="s">
        <v>62</v>
      </c>
      <c r="I4" s="18"/>
      <c r="J4" s="18"/>
    </row>
    <row r="5" spans="1:10" ht="15.75" customHeight="1">
      <c r="A5" s="11">
        <v>1</v>
      </c>
      <c r="B5" s="20">
        <v>5505</v>
      </c>
      <c r="C5" s="25"/>
      <c r="D5" s="426">
        <v>-701.08693776409859</v>
      </c>
      <c r="E5" s="426"/>
      <c r="F5" s="3" t="str">
        <f>IF(B5&gt;0,VLOOKUP(B5,'HARKAVA '!$A$1:$B$115,2,0)," ")</f>
        <v>S&amp;M expenses: non budgeted items (esop, vacation provision)</v>
      </c>
      <c r="G5" s="11"/>
      <c r="I5" s="18"/>
      <c r="J5" s="18"/>
    </row>
    <row r="6" spans="1:10" ht="15.75" customHeight="1">
      <c r="A6" s="11">
        <v>1</v>
      </c>
      <c r="B6" s="20">
        <v>5100</v>
      </c>
      <c r="C6" s="25"/>
      <c r="D6" s="426"/>
      <c r="E6" s="426">
        <f>D4+D5-E7</f>
        <v>6332.9130622359016</v>
      </c>
      <c r="F6" s="3" t="str">
        <f>IF(B6&gt;0,VLOOKUP(B6,'HARKAVA '!$A$1:$B$115,2,0)," ")</f>
        <v>Share based payments</v>
      </c>
      <c r="G6" s="11"/>
      <c r="J6" s="18"/>
    </row>
    <row r="7" spans="1:10" ht="15.75" customHeight="1">
      <c r="A7" s="11">
        <v>1</v>
      </c>
      <c r="B7" s="20">
        <v>5110</v>
      </c>
      <c r="C7" s="25"/>
      <c r="D7" s="18"/>
      <c r="E7" s="18"/>
      <c r="F7" s="3" t="str">
        <f>IF(B7&gt;0,VLOOKUP(B7,'HARKAVA '!$A$1:$B$115,2,0)," ")</f>
        <v>Retained earning prior years</v>
      </c>
      <c r="G7" s="11"/>
      <c r="J7" s="269"/>
    </row>
    <row r="8" spans="1:10" ht="15.75" customHeight="1">
      <c r="C8" s="25"/>
      <c r="D8" s="22"/>
      <c r="E8" s="24"/>
      <c r="F8" s="3" t="str">
        <f>IF(B8&gt;0,VLOOKUP(B8,'HARKAVA '!$A$1:$B$115,2,0)," ")</f>
        <v xml:space="preserve"> </v>
      </c>
    </row>
    <row r="9" spans="1:10" ht="15.75" customHeight="1">
      <c r="A9" s="11">
        <v>2</v>
      </c>
      <c r="B9" s="20">
        <f>VLOOKUP(C9,'codes security'!A:C,3,0)</f>
        <v>3500</v>
      </c>
      <c r="C9" s="20">
        <v>5003</v>
      </c>
      <c r="D9" s="426">
        <v>1877446</v>
      </c>
      <c r="E9" s="426"/>
      <c r="F9" s="21" t="str">
        <f>IF(B9&gt;0,VLOOKUP(B9,'HARKAVA '!$A$1:$B$115,2,0)," ")</f>
        <v>consolidated company</v>
      </c>
      <c r="G9" s="133" t="s">
        <v>128</v>
      </c>
    </row>
    <row r="10" spans="1:10" ht="15.75" customHeight="1">
      <c r="A10" s="11">
        <v>2</v>
      </c>
      <c r="B10" s="20">
        <v>5201</v>
      </c>
      <c r="D10" s="426"/>
      <c r="E10" s="426">
        <f>D9</f>
        <v>1877446</v>
      </c>
      <c r="F10" s="21" t="str">
        <f>IF(B10&gt;0,VLOOKUP(B10,'HARKAVA '!$A$1:$B$115,2,0)," ")</f>
        <v>Intercompany revenues</v>
      </c>
    </row>
    <row r="11" spans="1:10" ht="15.75" customHeight="1">
      <c r="C11" s="105"/>
      <c r="D11" s="385"/>
      <c r="E11" s="387"/>
    </row>
    <row r="12" spans="1:10">
      <c r="A12" s="11">
        <v>3</v>
      </c>
      <c r="B12" s="20">
        <v>5551</v>
      </c>
      <c r="D12" s="385">
        <f>414915</f>
        <v>414915</v>
      </c>
      <c r="E12" s="385"/>
      <c r="F12" s="21" t="str">
        <f>IF(B12&gt;0,VLOOKUP(B12,'HARKAVA '!$A$1:$B$115,2,0)," ")</f>
        <v>Intercompany expenses</v>
      </c>
      <c r="G12" s="133" t="s">
        <v>128</v>
      </c>
    </row>
    <row r="13" spans="1:10">
      <c r="A13" s="11">
        <v>3</v>
      </c>
      <c r="B13" s="20">
        <v>3500</v>
      </c>
      <c r="D13" s="385"/>
      <c r="E13" s="385">
        <f>D12</f>
        <v>414915</v>
      </c>
      <c r="F13" s="21" t="str">
        <f>IF(B13&gt;0,VLOOKUP(B13,'HARKAVA '!$A$1:$B$115,2,0)," ")</f>
        <v>consolidated company</v>
      </c>
      <c r="G13" s="11"/>
    </row>
    <row r="14" spans="1:10" ht="15.75" customHeight="1">
      <c r="D14" s="22"/>
      <c r="E14" s="22"/>
      <c r="G14" s="21"/>
    </row>
    <row r="15" spans="1:10" ht="15.75" customHeight="1">
      <c r="A15" s="11">
        <v>4</v>
      </c>
      <c r="B15" s="20">
        <v>5200</v>
      </c>
      <c r="D15" s="22"/>
      <c r="E15" s="22"/>
      <c r="F15" s="21" t="str">
        <f>IF(B15&gt;0,VLOOKUP(B15,'HARKAVA '!$A$1:$B$115,2,0)," ")</f>
        <v>Sales</v>
      </c>
      <c r="G15" s="21" t="s">
        <v>945</v>
      </c>
    </row>
    <row r="16" spans="1:10" ht="15.75" customHeight="1">
      <c r="A16" s="11">
        <v>4</v>
      </c>
      <c r="B16" s="20">
        <v>1450</v>
      </c>
      <c r="D16" s="22"/>
      <c r="E16" s="22"/>
      <c r="F16" s="21" t="str">
        <f>IF(B16&gt;0,VLOOKUP(B16,'HARKAVA '!$A$1:$B$115,2,0)," ")</f>
        <v>Income receivable</v>
      </c>
      <c r="G16" s="21"/>
    </row>
    <row r="17" spans="1:13" ht="15.75" customHeight="1">
      <c r="A17" s="11">
        <v>4</v>
      </c>
      <c r="B17" s="20">
        <v>3800</v>
      </c>
      <c r="D17" s="24"/>
      <c r="E17" s="24"/>
      <c r="F17" s="21" t="str">
        <f>IF(B17&gt;0,VLOOKUP(B17,'HARKAVA '!$A$1:$B$115,2,0)," ")</f>
        <v>Deferred income</v>
      </c>
      <c r="G17" s="21"/>
    </row>
    <row r="18" spans="1:13" ht="15.75" customHeight="1">
      <c r="D18" s="24"/>
      <c r="E18" s="24"/>
      <c r="F18" s="21" t="str">
        <f>IF(B18&gt;0,VLOOKUP(B18,'HARKAVA '!$A$1:$B$115,2,0)," ")</f>
        <v xml:space="preserve"> </v>
      </c>
      <c r="G18" s="21"/>
    </row>
    <row r="19" spans="1:13" s="22" customFormat="1" ht="15.75" customHeight="1">
      <c r="A19" s="11">
        <v>5</v>
      </c>
      <c r="B19" s="20">
        <v>5600</v>
      </c>
      <c r="C19" s="20"/>
      <c r="D19" s="387">
        <f>337306*0.5</f>
        <v>168653</v>
      </c>
      <c r="E19" s="387"/>
      <c r="F19" s="21" t="str">
        <f>IF(B19&gt;0,VLOOKUP(B19,'HARKAVA '!$A$1:$B$115,2,0)," ")</f>
        <v>G&amp;A Salaries and related expenses</v>
      </c>
      <c r="G19" s="21" t="s">
        <v>1150</v>
      </c>
      <c r="I19" s="11"/>
      <c r="J19" s="11"/>
      <c r="K19" s="11"/>
      <c r="L19" s="11"/>
      <c r="M19" s="11"/>
    </row>
    <row r="20" spans="1:13" s="22" customFormat="1" ht="15.75" customHeight="1">
      <c r="A20" s="11">
        <v>5</v>
      </c>
      <c r="B20" s="20">
        <v>5300</v>
      </c>
      <c r="C20" s="20"/>
      <c r="D20" s="387"/>
      <c r="E20" s="387">
        <f>D19</f>
        <v>168653</v>
      </c>
      <c r="F20" s="21" t="str">
        <f>IF(B20&gt;0,VLOOKUP(B20,'HARKAVA '!$A$1:$B$115,2,0)," ")</f>
        <v>Cost of goods sold:salaries and relatedexpenses</v>
      </c>
      <c r="G20" s="133"/>
      <c r="I20" s="11"/>
      <c r="J20" s="11"/>
      <c r="K20" s="11"/>
      <c r="L20" s="11"/>
      <c r="M20" s="11"/>
    </row>
    <row r="21" spans="1:13" s="22" customFormat="1" ht="15.75" customHeight="1">
      <c r="A21" s="11"/>
      <c r="B21" s="20"/>
      <c r="C21" s="20"/>
      <c r="D21" s="11"/>
      <c r="E21" s="24"/>
      <c r="F21" s="21" t="str">
        <f>IF(B21&gt;0,VLOOKUP(B21,'HARKAVA '!$A$1:$B$115,2,0)," ")</f>
        <v xml:space="preserve"> </v>
      </c>
      <c r="G21" s="21"/>
      <c r="I21" s="11"/>
      <c r="J21" s="11"/>
      <c r="K21" s="11"/>
      <c r="L21" s="11"/>
      <c r="M21" s="11"/>
    </row>
    <row r="22" spans="1:13" s="22" customFormat="1" ht="15.75" customHeight="1">
      <c r="A22" s="11"/>
      <c r="B22" s="20"/>
      <c r="C22" s="20"/>
      <c r="D22" s="11"/>
      <c r="E22" s="24"/>
      <c r="F22" s="21" t="str">
        <f>IF(B22&gt;0,VLOOKUP(B22,'HARKAVA '!$A$1:$B$115,2,0)," ")</f>
        <v xml:space="preserve"> </v>
      </c>
      <c r="G22" s="21"/>
      <c r="I22" s="11"/>
      <c r="J22" s="11"/>
      <c r="K22" s="11"/>
      <c r="L22" s="11"/>
      <c r="M22" s="11"/>
    </row>
    <row r="23" spans="1:13" s="22" customFormat="1" ht="15.75" customHeight="1">
      <c r="A23" s="11"/>
      <c r="B23" s="20"/>
      <c r="C23" s="20"/>
      <c r="D23" s="11"/>
      <c r="E23" s="24"/>
      <c r="F23" s="21" t="str">
        <f>IF(B23&gt;0,VLOOKUP(B23,'HARKAVA '!$A$1:$B$115,2,0)," ")</f>
        <v xml:space="preserve"> </v>
      </c>
      <c r="G23" s="21"/>
      <c r="I23" s="11"/>
      <c r="J23" s="11"/>
      <c r="K23" s="11"/>
      <c r="L23" s="11"/>
      <c r="M23" s="11"/>
    </row>
    <row r="24" spans="1:13" s="22" customFormat="1" ht="15.75" customHeight="1">
      <c r="A24" s="11">
        <v>6</v>
      </c>
      <c r="B24" s="20">
        <v>5330</v>
      </c>
      <c r="C24" s="20"/>
      <c r="D24" s="385">
        <v>35790.54793650793</v>
      </c>
      <c r="E24" s="385"/>
      <c r="F24" s="21" t="str">
        <f>IF(B24&gt;0,VLOOKUP(B24,'HARKAVA '!$A$1:$B$115,2,0)," ")</f>
        <v>Cost of goods sold:Other</v>
      </c>
      <c r="G24" s="21" t="s">
        <v>841</v>
      </c>
      <c r="I24" s="11"/>
      <c r="J24" s="11"/>
      <c r="K24" s="11"/>
      <c r="L24" s="11"/>
      <c r="M24" s="11"/>
    </row>
    <row r="25" spans="1:13" s="22" customFormat="1" ht="15.75" customHeight="1">
      <c r="A25" s="11">
        <v>6</v>
      </c>
      <c r="B25" s="20">
        <v>5550</v>
      </c>
      <c r="C25" s="20"/>
      <c r="D25" s="385">
        <v>20314.079365079364</v>
      </c>
      <c r="E25" s="385"/>
      <c r="F25" s="21" t="str">
        <f>IF(B25&gt;0,VLOOKUP(B25,'HARKAVA '!$A$1:$B$115,2,0)," ")</f>
        <v>S&amp;M Other</v>
      </c>
      <c r="G25" s="21"/>
      <c r="I25" s="11"/>
      <c r="J25" s="11"/>
      <c r="K25" s="11"/>
      <c r="L25" s="11"/>
      <c r="M25" s="11"/>
    </row>
    <row r="26" spans="1:13" s="22" customFormat="1" ht="15.75" customHeight="1">
      <c r="A26" s="11">
        <v>6</v>
      </c>
      <c r="B26" s="20">
        <v>5540</v>
      </c>
      <c r="C26" s="20"/>
      <c r="D26" s="385">
        <v>10539.84126984127</v>
      </c>
      <c r="E26" s="385"/>
      <c r="F26" s="21" t="str">
        <f>IF(B26&gt;0,VLOOKUP(B26,'HARKAVA '!$A$1:$B$115,2,0)," ")</f>
        <v>S&amp;M Travel expenses</v>
      </c>
      <c r="G26" s="21"/>
      <c r="I26" s="11"/>
      <c r="J26" s="11"/>
      <c r="K26" s="11"/>
      <c r="L26" s="11"/>
      <c r="M26" s="11"/>
    </row>
    <row r="27" spans="1:13" s="22" customFormat="1" ht="15.75" customHeight="1">
      <c r="A27" s="11">
        <v>6</v>
      </c>
      <c r="B27" s="20">
        <v>5620</v>
      </c>
      <c r="C27" s="20"/>
      <c r="D27" s="385"/>
      <c r="E27" s="385">
        <v>5957.3142857142848</v>
      </c>
      <c r="F27" s="21" t="str">
        <f>IF(B27&gt;0,VLOOKUP(B27,'HARKAVA '!$A$1:$B$115,2,0)," ")</f>
        <v>G&amp;A Rent, insurance, communication and office maintenance</v>
      </c>
      <c r="G27" s="21"/>
      <c r="I27" s="11"/>
      <c r="J27" s="11"/>
      <c r="K27" s="11"/>
      <c r="L27" s="11"/>
      <c r="M27" s="11"/>
    </row>
    <row r="28" spans="1:13" s="22" customFormat="1" ht="15.75" customHeight="1">
      <c r="A28" s="11">
        <v>6</v>
      </c>
      <c r="B28" s="20">
        <v>5660</v>
      </c>
      <c r="C28" s="20"/>
      <c r="D28" s="385"/>
      <c r="E28" s="385">
        <v>37921.097142857143</v>
      </c>
      <c r="F28" s="21" t="str">
        <f>IF(B28&gt;0,VLOOKUP(B28,'HARKAVA '!$A$1:$B$115,2,0)," ")</f>
        <v>G&amp;A Other</v>
      </c>
      <c r="G28" s="21"/>
      <c r="I28" s="11"/>
      <c r="J28" s="11"/>
      <c r="K28" s="11"/>
      <c r="L28" s="11"/>
      <c r="M28" s="11"/>
    </row>
    <row r="29" spans="1:13" s="22" customFormat="1" ht="15.75" customHeight="1">
      <c r="A29" s="11">
        <v>6</v>
      </c>
      <c r="B29" s="20">
        <v>5680</v>
      </c>
      <c r="C29" s="20"/>
      <c r="D29" s="385"/>
      <c r="E29" s="385">
        <v>22766.057142857142</v>
      </c>
      <c r="F29" s="21" t="str">
        <f>IF(B29&gt;0,VLOOKUP(B29,'HARKAVA '!$A$1:$B$115,2,0)," ")</f>
        <v>G&amp;A travel</v>
      </c>
      <c r="G29" s="133"/>
      <c r="I29" s="11"/>
      <c r="J29" s="11"/>
      <c r="K29" s="11"/>
      <c r="L29" s="11"/>
      <c r="M29" s="11"/>
    </row>
    <row r="30" spans="1:13" s="22" customFormat="1" ht="16.5" customHeight="1">
      <c r="A30" s="11"/>
      <c r="B30" s="20"/>
      <c r="C30" s="20"/>
      <c r="E30" s="11"/>
      <c r="F30" s="21" t="str">
        <f>IF(B30&gt;0,VLOOKUP(B30,'HARKAVA '!$A$1:$B$115,2,0)," ")</f>
        <v xml:space="preserve"> </v>
      </c>
      <c r="G30" s="21"/>
      <c r="I30" s="11"/>
      <c r="J30" s="11"/>
      <c r="K30" s="11"/>
      <c r="L30" s="11"/>
      <c r="M30" s="11"/>
    </row>
    <row r="31" spans="1:13" s="22" customFormat="1" ht="16.5" customHeight="1">
      <c r="A31" s="11"/>
      <c r="B31" s="20"/>
      <c r="C31" s="20"/>
      <c r="E31" s="11"/>
      <c r="F31" s="21" t="str">
        <f>IF(B31&gt;0,VLOOKUP(B31,'HARKAVA '!$A$1:$B$115,2,0)," ")</f>
        <v xml:space="preserve"> </v>
      </c>
      <c r="G31" s="21"/>
      <c r="I31" s="11"/>
      <c r="J31" s="11"/>
      <c r="K31" s="11"/>
      <c r="L31" s="11"/>
      <c r="M31" s="11"/>
    </row>
    <row r="32" spans="1:13" s="22" customFormat="1" ht="16.5" customHeight="1">
      <c r="A32" s="11"/>
      <c r="B32" s="20"/>
      <c r="C32" s="20"/>
      <c r="E32" s="11"/>
      <c r="F32" s="21" t="str">
        <f>IF(B32&gt;0,VLOOKUP(B32,'HARKAVA '!$A$1:$B$115,2,0)," ")</f>
        <v xml:space="preserve"> </v>
      </c>
      <c r="G32" s="21"/>
      <c r="I32" s="11"/>
      <c r="J32" s="11"/>
      <c r="K32" s="11"/>
      <c r="L32" s="11"/>
      <c r="M32" s="11"/>
    </row>
    <row r="33" spans="1:13" s="22" customFormat="1" ht="16.5" customHeight="1">
      <c r="A33" s="11"/>
      <c r="B33" s="20">
        <v>5400</v>
      </c>
      <c r="C33" s="20"/>
      <c r="D33" s="516">
        <v>142244.93</v>
      </c>
      <c r="E33" s="386"/>
      <c r="F33" s="21" t="str">
        <f>IF(B33&gt;0,VLOOKUP(B33,'HARKAVA '!$A$1:$B$115,2,0)," ")</f>
        <v>R&amp;D expenses:  Salaries and related expenses</v>
      </c>
      <c r="G33" s="21"/>
      <c r="I33" s="11"/>
      <c r="J33" s="11"/>
      <c r="K33" s="11"/>
      <c r="L33" s="11"/>
      <c r="M33" s="11"/>
    </row>
    <row r="34" spans="1:13" s="22" customFormat="1" ht="16.5" customHeight="1">
      <c r="A34" s="11"/>
      <c r="B34" s="20">
        <v>5405</v>
      </c>
      <c r="C34" s="20"/>
      <c r="D34" s="516">
        <v>0</v>
      </c>
      <c r="E34" s="386"/>
      <c r="F34" s="21" t="str">
        <f>IF(B34&gt;0,VLOOKUP(B34,'HARKAVA '!$A$1:$B$115,2,0)," ")</f>
        <v>R&amp;D expenses:  management fee</v>
      </c>
      <c r="G34" s="21"/>
      <c r="I34" s="11"/>
      <c r="J34" s="11"/>
      <c r="K34" s="11"/>
      <c r="L34" s="11"/>
      <c r="M34" s="11"/>
    </row>
    <row r="35" spans="1:13" s="22" customFormat="1" ht="16.5" customHeight="1">
      <c r="A35" s="11"/>
      <c r="B35" s="20">
        <v>5411</v>
      </c>
      <c r="C35" s="20"/>
      <c r="D35" s="516">
        <v>-5202</v>
      </c>
      <c r="E35" s="386"/>
      <c r="F35" s="21" t="str">
        <f>IF(B35&gt;0,VLOOKUP(B35,'HARKAVA '!$A$1:$B$115,2,0)," ")</f>
        <v>R&amp;D expenses: non budgeted items (esop, vacation provision)</v>
      </c>
      <c r="G35" s="21"/>
      <c r="I35" s="11"/>
      <c r="J35" s="11"/>
      <c r="K35" s="11"/>
      <c r="L35" s="11"/>
      <c r="M35" s="11"/>
    </row>
    <row r="36" spans="1:13" s="22" customFormat="1" ht="16.5" customHeight="1">
      <c r="A36" s="11"/>
      <c r="B36" s="20">
        <v>5410</v>
      </c>
      <c r="C36" s="20"/>
      <c r="D36" s="516">
        <v>2200</v>
      </c>
      <c r="E36" s="386"/>
      <c r="F36" s="21" t="str">
        <f>IF(B36&gt;0,VLOOKUP(B36,'HARKAVA '!$A$1:$B$115,2,0)," ")</f>
        <v>R&amp;D Expenses: outsource</v>
      </c>
      <c r="G36" s="21"/>
      <c r="I36" s="11"/>
      <c r="J36" s="11"/>
      <c r="K36" s="11"/>
      <c r="L36" s="11"/>
      <c r="M36" s="11"/>
    </row>
    <row r="37" spans="1:13" s="22" customFormat="1" ht="16.5" customHeight="1">
      <c r="A37" s="11"/>
      <c r="B37" s="20">
        <v>5416</v>
      </c>
      <c r="C37" s="20"/>
      <c r="D37" s="516">
        <v>24054.418968253965</v>
      </c>
      <c r="E37" s="386"/>
      <c r="F37" s="21" t="str">
        <f>IF(B37&gt;0,VLOOKUP(B37,'HARKAVA '!$A$1:$B$115,2,0)," ")</f>
        <v>R&amp;D Expenses: Other</v>
      </c>
      <c r="G37" s="21"/>
      <c r="I37" s="11"/>
      <c r="J37" s="11"/>
      <c r="K37" s="11"/>
      <c r="L37" s="11"/>
      <c r="M37" s="11"/>
    </row>
    <row r="38" spans="1:13" s="22" customFormat="1" ht="16.5" customHeight="1">
      <c r="A38" s="11"/>
      <c r="B38" s="48">
        <v>5300</v>
      </c>
      <c r="C38" s="20"/>
      <c r="D38" s="516"/>
      <c r="E38" s="517">
        <f>D33</f>
        <v>142244.93</v>
      </c>
      <c r="F38" s="21" t="str">
        <f>IF(B38&gt;0,VLOOKUP(B38,'HARKAVA '!$A$1:$B$115,2,0)," ")</f>
        <v>Cost of goods sold:salaries and relatedexpenses</v>
      </c>
      <c r="G38" s="21"/>
      <c r="I38" s="11"/>
      <c r="J38" s="11"/>
      <c r="K38" s="11"/>
      <c r="L38" s="11"/>
      <c r="M38" s="11"/>
    </row>
    <row r="39" spans="1:13" s="22" customFormat="1" ht="16.5" customHeight="1">
      <c r="A39" s="11"/>
      <c r="B39" s="48">
        <v>5310</v>
      </c>
      <c r="C39" s="20"/>
      <c r="D39" s="385"/>
      <c r="E39" s="517">
        <f>D34</f>
        <v>0</v>
      </c>
      <c r="F39" s="21" t="str">
        <f>IF(B39&gt;0,VLOOKUP(B39,'HARKAVA '!$A$1:$B$115,2,0)," ")</f>
        <v>Cost of goods sold:management fee</v>
      </c>
      <c r="G39" s="21"/>
      <c r="I39" s="11"/>
      <c r="J39" s="11"/>
      <c r="K39" s="11"/>
      <c r="L39" s="11"/>
      <c r="M39" s="11"/>
    </row>
    <row r="40" spans="1:13" s="22" customFormat="1" ht="16.5" customHeight="1">
      <c r="A40" s="11"/>
      <c r="B40" s="48">
        <v>5311</v>
      </c>
      <c r="C40" s="20"/>
      <c r="D40" s="385"/>
      <c r="E40" s="517">
        <f>D35</f>
        <v>-5202</v>
      </c>
      <c r="F40" s="21" t="str">
        <f>IF(B40&gt;0,VLOOKUP(B40,'HARKAVA '!$A$1:$B$115,2,0)," ")</f>
        <v>Cost of goods sold: non budgeted items (esop, vacation provision)</v>
      </c>
      <c r="G40" s="21"/>
      <c r="I40" s="11"/>
      <c r="J40" s="11"/>
      <c r="K40" s="11"/>
      <c r="L40" s="11"/>
      <c r="M40" s="11"/>
    </row>
    <row r="41" spans="1:13" s="22" customFormat="1" ht="16.5" customHeight="1">
      <c r="A41" s="11"/>
      <c r="B41" s="48">
        <v>5320</v>
      </c>
      <c r="C41" s="20"/>
      <c r="D41" s="385"/>
      <c r="E41" s="517">
        <f>D36</f>
        <v>2200</v>
      </c>
      <c r="F41" s="21" t="str">
        <f>IF(B41&gt;0,VLOOKUP(B41,'HARKAVA '!$A$1:$B$115,2,0)," ")</f>
        <v xml:space="preserve">Cost of goods sold:subcontractors </v>
      </c>
      <c r="G41" s="21"/>
      <c r="I41" s="11"/>
      <c r="J41" s="11"/>
      <c r="K41" s="11"/>
      <c r="L41" s="11"/>
      <c r="M41" s="11"/>
    </row>
    <row r="42" spans="1:13" s="22" customFormat="1" ht="16.5" customHeight="1">
      <c r="A42" s="11"/>
      <c r="B42" s="48">
        <v>5330</v>
      </c>
      <c r="C42" s="20"/>
      <c r="D42" s="385"/>
      <c r="E42" s="517">
        <f>D37</f>
        <v>24054.418968253965</v>
      </c>
      <c r="F42" s="21" t="str">
        <f>IF(B42&gt;0,VLOOKUP(B42,'HARKAVA '!$A$1:$B$115,2,0)," ")</f>
        <v>Cost of goods sold:Other</v>
      </c>
      <c r="G42" s="21"/>
      <c r="I42" s="11"/>
      <c r="J42" s="11"/>
      <c r="K42" s="11"/>
      <c r="L42" s="11"/>
      <c r="M42" s="11"/>
    </row>
    <row r="43" spans="1:13" s="22" customFormat="1" ht="16.5" customHeight="1">
      <c r="A43" s="11"/>
      <c r="B43" s="20"/>
      <c r="C43" s="20"/>
      <c r="E43" s="11"/>
      <c r="F43" s="21"/>
      <c r="G43" s="21"/>
      <c r="I43" s="11"/>
      <c r="J43" s="11"/>
      <c r="K43" s="11"/>
      <c r="L43" s="11"/>
      <c r="M43" s="11"/>
    </row>
    <row r="44" spans="1:13" s="22" customFormat="1" ht="16.5" customHeight="1">
      <c r="A44" s="11"/>
      <c r="B44" s="20"/>
      <c r="C44" s="20"/>
      <c r="E44" s="11"/>
      <c r="F44" s="21"/>
      <c r="G44" s="21"/>
      <c r="I44" s="11"/>
      <c r="J44" s="11"/>
      <c r="K44" s="11"/>
      <c r="L44" s="11"/>
      <c r="M44" s="11"/>
    </row>
    <row r="45" spans="1:13" s="22" customFormat="1" ht="16.5" customHeight="1">
      <c r="A45" s="11"/>
      <c r="B45" s="20"/>
      <c r="C45" s="20"/>
      <c r="E45" s="11"/>
      <c r="F45" s="21"/>
      <c r="G45" s="21"/>
      <c r="I45" s="11"/>
      <c r="J45" s="11"/>
      <c r="K45" s="11"/>
      <c r="L45" s="11"/>
      <c r="M45" s="11"/>
    </row>
    <row r="46" spans="1:13" s="22" customFormat="1" ht="16.5" customHeight="1">
      <c r="A46" s="11"/>
      <c r="B46" s="20" t="e">
        <f>VLOOKUP(C46,'codes UK'!A:C,3,0)</f>
        <v>#N/A</v>
      </c>
      <c r="C46" s="20"/>
      <c r="E46" s="11"/>
      <c r="F46" s="21"/>
      <c r="G46" s="21"/>
      <c r="I46" s="11"/>
      <c r="J46" s="11"/>
      <c r="K46" s="11"/>
      <c r="L46" s="11"/>
      <c r="M46" s="11"/>
    </row>
    <row r="47" spans="1:13" s="22" customFormat="1" ht="16.5" customHeight="1">
      <c r="A47" s="11"/>
      <c r="B47" s="20" t="e">
        <f>VLOOKUP(C47,'codes UK'!A:C,3,0)</f>
        <v>#N/A</v>
      </c>
      <c r="C47" s="20"/>
      <c r="E47" s="11"/>
      <c r="F47" s="21"/>
      <c r="G47" s="21"/>
      <c r="I47" s="11"/>
      <c r="J47" s="11"/>
      <c r="K47" s="11"/>
      <c r="L47" s="11"/>
      <c r="M47" s="11"/>
    </row>
    <row r="48" spans="1:13" s="22" customFormat="1" ht="16.5" customHeight="1">
      <c r="A48" s="11"/>
      <c r="B48" s="20" t="e">
        <f>VLOOKUP(C48,'codes UK'!A:C,3,0)</f>
        <v>#N/A</v>
      </c>
      <c r="C48" s="20"/>
      <c r="E48" s="11"/>
      <c r="F48" s="21"/>
      <c r="G48" s="21"/>
      <c r="I48" s="11"/>
      <c r="J48" s="11"/>
      <c r="K48" s="11"/>
      <c r="L48" s="11"/>
      <c r="M48" s="11"/>
    </row>
    <row r="49" spans="1:13" s="22" customFormat="1" ht="16.5" customHeight="1">
      <c r="A49" s="11"/>
      <c r="B49" s="20" t="e">
        <f>VLOOKUP(C49,'codes UK'!A:C,3,0)</f>
        <v>#N/A</v>
      </c>
      <c r="C49" s="20"/>
      <c r="E49" s="11"/>
      <c r="F49" s="21"/>
      <c r="G49" s="21"/>
      <c r="I49" s="11"/>
      <c r="J49" s="11"/>
      <c r="K49" s="11"/>
      <c r="L49" s="11"/>
      <c r="M49" s="11"/>
    </row>
    <row r="50" spans="1:13" s="22" customFormat="1" ht="16.5" customHeight="1">
      <c r="A50" s="11"/>
      <c r="B50" s="20" t="e">
        <f>VLOOKUP(C50,'codes UK'!A:C,3,0)</f>
        <v>#N/A</v>
      </c>
      <c r="C50" s="20"/>
      <c r="E50" s="11"/>
      <c r="F50" s="21"/>
      <c r="G50" s="21"/>
      <c r="I50" s="11"/>
      <c r="J50" s="11"/>
      <c r="K50" s="11"/>
      <c r="L50" s="11"/>
      <c r="M50" s="11"/>
    </row>
    <row r="51" spans="1:13" s="22" customFormat="1" ht="16.5" customHeight="1">
      <c r="A51" s="11"/>
      <c r="B51" s="20" t="e">
        <f>VLOOKUP(C51,'codes UK'!A:C,3,0)</f>
        <v>#N/A</v>
      </c>
      <c r="C51" s="20"/>
      <c r="E51" s="11"/>
      <c r="F51" s="21"/>
      <c r="G51" s="21"/>
      <c r="I51" s="11"/>
      <c r="J51" s="11"/>
      <c r="K51" s="11"/>
      <c r="L51" s="11"/>
      <c r="M51" s="11"/>
    </row>
    <row r="52" spans="1:13" s="22" customFormat="1" ht="16.5" customHeight="1">
      <c r="A52" s="11"/>
      <c r="B52" s="20" t="e">
        <f>VLOOKUP(C52,'codes UK'!A:C,3,0)</f>
        <v>#N/A</v>
      </c>
      <c r="C52" s="20"/>
      <c r="E52" s="11"/>
      <c r="F52" s="21"/>
      <c r="G52" s="21"/>
      <c r="I52" s="11"/>
      <c r="J52" s="11"/>
      <c r="K52" s="11"/>
      <c r="L52" s="11"/>
      <c r="M52" s="11"/>
    </row>
    <row r="53" spans="1:13" s="22" customFormat="1" ht="16.5" customHeight="1">
      <c r="A53" s="11"/>
      <c r="B53" s="20" t="e">
        <f>VLOOKUP(C53,'codes UK'!A:C,3,0)</f>
        <v>#N/A</v>
      </c>
      <c r="C53" s="20"/>
      <c r="E53" s="27"/>
      <c r="F53" s="21"/>
      <c r="G53" s="21"/>
      <c r="I53" s="11"/>
      <c r="J53" s="11"/>
      <c r="K53" s="11"/>
      <c r="L53" s="11"/>
      <c r="M53" s="11"/>
    </row>
    <row r="54" spans="1:13" s="22" customFormat="1" ht="16.5" customHeight="1">
      <c r="A54" s="11"/>
      <c r="B54" s="20" t="e">
        <f>VLOOKUP(C54,'codes UK'!A:C,3,0)</f>
        <v>#N/A</v>
      </c>
      <c r="C54" s="20"/>
      <c r="E54" s="11"/>
      <c r="F54" s="21"/>
      <c r="G54" s="21"/>
      <c r="I54" s="11"/>
      <c r="J54" s="11"/>
      <c r="K54" s="11"/>
      <c r="L54" s="11"/>
      <c r="M54" s="11"/>
    </row>
    <row r="55" spans="1:13" s="22" customFormat="1" ht="16.5" customHeight="1">
      <c r="A55" s="11"/>
      <c r="B55" s="20" t="e">
        <f>VLOOKUP(C55,'codes UK'!A:C,3,0)</f>
        <v>#N/A</v>
      </c>
      <c r="C55" s="20"/>
      <c r="E55" s="11"/>
      <c r="F55" s="21"/>
      <c r="G55" s="21"/>
      <c r="I55" s="11"/>
      <c r="J55" s="11"/>
      <c r="K55" s="11"/>
      <c r="L55" s="11"/>
      <c r="M55" s="11"/>
    </row>
    <row r="56" spans="1:13" s="22" customFormat="1" ht="16.5" customHeight="1">
      <c r="A56" s="11"/>
      <c r="B56" s="20" t="e">
        <f>VLOOKUP(C56,'codes UK'!A:C,3,0)</f>
        <v>#N/A</v>
      </c>
      <c r="C56" s="20"/>
      <c r="E56" s="11"/>
      <c r="F56" s="21"/>
      <c r="G56" s="21"/>
      <c r="I56" s="11"/>
      <c r="J56" s="11"/>
      <c r="K56" s="11"/>
      <c r="L56" s="11"/>
      <c r="M56" s="11"/>
    </row>
    <row r="57" spans="1:13" s="22" customFormat="1" ht="16.5" customHeight="1">
      <c r="A57" s="11"/>
      <c r="B57" s="20" t="e">
        <f>VLOOKUP(C57,'codes UK'!A:C,3,0)</f>
        <v>#N/A</v>
      </c>
      <c r="C57" s="20"/>
      <c r="E57" s="11"/>
      <c r="F57" s="21"/>
      <c r="G57" s="21"/>
      <c r="I57" s="11"/>
      <c r="J57" s="11"/>
      <c r="K57" s="11"/>
      <c r="L57" s="11"/>
      <c r="M57" s="11"/>
    </row>
    <row r="58" spans="1:13" s="22" customFormat="1" ht="16.5" customHeight="1">
      <c r="A58" s="11"/>
      <c r="B58" s="20" t="e">
        <f>VLOOKUP(C58,'codes UK'!A:C,3,0)</f>
        <v>#N/A</v>
      </c>
      <c r="C58" s="20"/>
      <c r="E58" s="11"/>
      <c r="F58" s="21"/>
      <c r="G58" s="21"/>
      <c r="I58" s="11"/>
      <c r="J58" s="11"/>
      <c r="K58" s="11"/>
      <c r="L58" s="11"/>
      <c r="M58" s="11"/>
    </row>
    <row r="59" spans="1:13" s="22" customFormat="1" ht="16.5" customHeight="1">
      <c r="A59" s="11"/>
      <c r="B59" s="20" t="e">
        <f>VLOOKUP(C59,'codes UK'!A:C,3,0)</f>
        <v>#N/A</v>
      </c>
      <c r="C59" s="20"/>
      <c r="E59" s="11"/>
      <c r="F59" s="21"/>
      <c r="G59" s="21"/>
      <c r="I59" s="11"/>
      <c r="J59" s="11"/>
      <c r="K59" s="11"/>
      <c r="L59" s="11"/>
      <c r="M59" s="11"/>
    </row>
    <row r="60" spans="1:13" s="22" customFormat="1" ht="16.5" customHeight="1">
      <c r="A60" s="11"/>
      <c r="B60" s="20" t="e">
        <f>VLOOKUP(C60,'codes UK'!A:C,3,0)</f>
        <v>#N/A</v>
      </c>
      <c r="C60" s="20"/>
      <c r="E60" s="11"/>
      <c r="F60" s="21"/>
      <c r="G60" s="21"/>
      <c r="I60" s="11"/>
      <c r="J60" s="11"/>
      <c r="K60" s="11"/>
      <c r="L60" s="11"/>
      <c r="M60" s="11"/>
    </row>
    <row r="61" spans="1:13" s="22" customFormat="1" ht="16.5" customHeight="1">
      <c r="A61" s="11"/>
      <c r="B61" s="20" t="e">
        <f>VLOOKUP(C61,'codes UK'!A:C,3,0)</f>
        <v>#N/A</v>
      </c>
      <c r="C61" s="20"/>
      <c r="E61" s="11"/>
      <c r="F61" s="21"/>
      <c r="G61" s="21"/>
      <c r="I61" s="11"/>
      <c r="J61" s="11"/>
      <c r="K61" s="11"/>
      <c r="L61" s="11"/>
      <c r="M61" s="11"/>
    </row>
    <row r="62" spans="1:13" s="22" customFormat="1" ht="16.5" customHeight="1">
      <c r="A62" s="11"/>
      <c r="B62" s="20" t="e">
        <f>VLOOKUP(C62,'codes UK'!A:C,3,0)</f>
        <v>#N/A</v>
      </c>
      <c r="C62" s="20"/>
      <c r="E62" s="11"/>
      <c r="F62" s="21"/>
      <c r="G62" s="21"/>
      <c r="I62" s="11"/>
      <c r="J62" s="11"/>
      <c r="K62" s="11"/>
      <c r="L62" s="11"/>
      <c r="M62" s="11"/>
    </row>
    <row r="63" spans="1:13" s="22" customFormat="1" ht="16.5" customHeight="1">
      <c r="A63" s="11"/>
      <c r="B63" s="20" t="e">
        <f>VLOOKUP(C63,'codes UK'!A:C,3,0)</f>
        <v>#N/A</v>
      </c>
      <c r="C63" s="20"/>
      <c r="E63" s="11"/>
      <c r="F63" s="21"/>
      <c r="G63" s="21"/>
      <c r="I63" s="11"/>
      <c r="J63" s="11"/>
      <c r="K63" s="11"/>
      <c r="L63" s="11"/>
      <c r="M63" s="11"/>
    </row>
    <row r="64" spans="1:13" s="22" customFormat="1" ht="16.5" customHeight="1">
      <c r="A64" s="11"/>
      <c r="B64" s="20" t="e">
        <f>VLOOKUP(C64,'codes UK'!A:C,3,0)</f>
        <v>#N/A</v>
      </c>
      <c r="C64" s="20"/>
      <c r="E64" s="11"/>
      <c r="F64" s="21"/>
      <c r="G64" s="21"/>
      <c r="I64" s="11"/>
      <c r="J64" s="11"/>
      <c r="K64" s="11"/>
      <c r="L64" s="11"/>
      <c r="M64" s="11"/>
    </row>
    <row r="65" spans="1:13" s="22" customFormat="1" ht="16.5" customHeight="1">
      <c r="A65" s="11"/>
      <c r="B65" s="20" t="e">
        <f>VLOOKUP(C65,'codes UK'!A:C,3,0)</f>
        <v>#N/A</v>
      </c>
      <c r="C65" s="20"/>
      <c r="E65" s="11"/>
      <c r="F65" s="21"/>
      <c r="G65" s="21"/>
      <c r="I65" s="11"/>
      <c r="J65" s="11"/>
      <c r="K65" s="11"/>
      <c r="L65" s="11"/>
      <c r="M65" s="11"/>
    </row>
    <row r="66" spans="1:13" s="22" customFormat="1" ht="16.5" customHeight="1">
      <c r="A66" s="11"/>
      <c r="B66" s="20" t="e">
        <f>VLOOKUP(C66,'codes UK'!A:C,3,0)</f>
        <v>#N/A</v>
      </c>
      <c r="C66" s="20"/>
      <c r="E66" s="11"/>
      <c r="F66" s="21"/>
      <c r="G66" s="21"/>
      <c r="I66" s="11"/>
      <c r="J66" s="11"/>
      <c r="K66" s="11"/>
      <c r="L66" s="11"/>
      <c r="M66" s="11"/>
    </row>
    <row r="67" spans="1:13" s="22" customFormat="1" ht="16.5" customHeight="1">
      <c r="A67" s="11"/>
      <c r="B67" s="20" t="e">
        <f>VLOOKUP(C67,'codes UK'!A:C,3,0)</f>
        <v>#N/A</v>
      </c>
      <c r="C67" s="20"/>
      <c r="E67" s="11"/>
      <c r="F67" s="21"/>
      <c r="G67" s="21"/>
      <c r="I67" s="11"/>
      <c r="J67" s="11"/>
      <c r="K67" s="11"/>
      <c r="L67" s="11"/>
      <c r="M67" s="11"/>
    </row>
    <row r="68" spans="1:13" s="22" customFormat="1" ht="16.5" customHeight="1">
      <c r="A68" s="11"/>
      <c r="B68" s="20" t="e">
        <f>VLOOKUP(C68,'codes UK'!A:C,3,0)</f>
        <v>#N/A</v>
      </c>
      <c r="C68" s="20"/>
      <c r="E68" s="11"/>
      <c r="F68" s="21"/>
      <c r="G68" s="21"/>
      <c r="I68" s="11"/>
      <c r="J68" s="11"/>
      <c r="K68" s="11"/>
      <c r="L68" s="11"/>
      <c r="M68" s="11"/>
    </row>
    <row r="69" spans="1:13" s="22" customFormat="1" ht="16.5" customHeight="1">
      <c r="A69" s="11"/>
      <c r="B69" s="20" t="e">
        <f>VLOOKUP(C69,'codes UK'!A:C,3,0)</f>
        <v>#N/A</v>
      </c>
      <c r="C69" s="20"/>
      <c r="E69" s="11"/>
      <c r="F69" s="21"/>
      <c r="G69" s="21"/>
      <c r="I69" s="11"/>
      <c r="J69" s="11"/>
      <c r="K69" s="11"/>
      <c r="L69" s="11"/>
      <c r="M69" s="11"/>
    </row>
    <row r="70" spans="1:13" s="22" customFormat="1" ht="16.5" customHeight="1">
      <c r="A70" s="11"/>
      <c r="B70" s="20" t="e">
        <f>VLOOKUP(C70,'codes UK'!A:C,3,0)</f>
        <v>#N/A</v>
      </c>
      <c r="C70" s="20"/>
      <c r="E70" s="11"/>
      <c r="F70" s="21"/>
      <c r="G70" s="21"/>
      <c r="I70" s="11"/>
      <c r="J70" s="11"/>
      <c r="K70" s="11"/>
      <c r="L70" s="11"/>
      <c r="M70" s="11"/>
    </row>
    <row r="71" spans="1:13" s="22" customFormat="1" ht="16.5" customHeight="1">
      <c r="A71" s="11"/>
      <c r="B71" s="20" t="e">
        <f>VLOOKUP(C71,'codes UK'!A:C,3,0)</f>
        <v>#N/A</v>
      </c>
      <c r="C71" s="20"/>
      <c r="E71" s="11"/>
      <c r="F71" s="21"/>
      <c r="G71" s="21"/>
      <c r="I71" s="11"/>
      <c r="J71" s="11"/>
      <c r="K71" s="11"/>
      <c r="L71" s="11"/>
      <c r="M71" s="11"/>
    </row>
    <row r="72" spans="1:13" s="22" customFormat="1" ht="16.5" customHeight="1">
      <c r="A72" s="11"/>
      <c r="B72" s="20" t="e">
        <f>VLOOKUP(C72,'codes UK'!A:C,3,0)</f>
        <v>#N/A</v>
      </c>
      <c r="C72" s="20"/>
      <c r="E72" s="11"/>
      <c r="F72" s="21"/>
      <c r="G72" s="21"/>
      <c r="I72" s="11"/>
      <c r="J72" s="11"/>
      <c r="K72" s="11"/>
      <c r="L72" s="11"/>
      <c r="M72" s="11"/>
    </row>
    <row r="73" spans="1:13" s="22" customFormat="1" ht="16.5" customHeight="1">
      <c r="A73" s="11"/>
      <c r="B73" s="20" t="e">
        <f>VLOOKUP(C73,'codes UK'!A:C,3,0)</f>
        <v>#N/A</v>
      </c>
      <c r="C73" s="20"/>
      <c r="E73" s="11"/>
      <c r="F73" s="21"/>
      <c r="G73" s="21"/>
      <c r="I73" s="11"/>
      <c r="J73" s="11"/>
      <c r="K73" s="11"/>
      <c r="L73" s="11"/>
      <c r="M73" s="11"/>
    </row>
    <row r="74" spans="1:13" s="22" customFormat="1" ht="16.5" customHeight="1">
      <c r="A74" s="11"/>
      <c r="B74" s="20"/>
      <c r="C74" s="20"/>
      <c r="E74" s="11"/>
      <c r="F74" s="21"/>
      <c r="G74" s="21"/>
      <c r="I74" s="11"/>
      <c r="J74" s="11"/>
      <c r="K74" s="11"/>
      <c r="L74" s="11"/>
      <c r="M74" s="11"/>
    </row>
    <row r="75" spans="1:13" s="22" customFormat="1" ht="16.5" customHeight="1">
      <c r="A75" s="11"/>
      <c r="B75" s="20"/>
      <c r="C75" s="20"/>
      <c r="E75" s="11"/>
      <c r="F75" s="21"/>
      <c r="G75" s="21"/>
      <c r="I75" s="11"/>
      <c r="J75" s="11"/>
      <c r="K75" s="11"/>
      <c r="L75" s="11"/>
      <c r="M75" s="11"/>
    </row>
    <row r="76" spans="1:13" s="22" customFormat="1" ht="16.5" customHeight="1">
      <c r="A76" s="11"/>
      <c r="B76" s="20"/>
      <c r="C76" s="20"/>
      <c r="E76" s="11"/>
      <c r="F76" s="21"/>
      <c r="G76" s="21"/>
      <c r="I76" s="11"/>
      <c r="J76" s="11"/>
      <c r="K76" s="11"/>
      <c r="L76" s="11"/>
      <c r="M76" s="11"/>
    </row>
    <row r="77" spans="1:13" s="22" customFormat="1" ht="16.5" customHeight="1">
      <c r="A77" s="11"/>
      <c r="B77" s="20"/>
      <c r="C77" s="20"/>
      <c r="E77" s="11"/>
      <c r="F77" s="21"/>
      <c r="G77" s="21"/>
      <c r="I77" s="11"/>
      <c r="J77" s="11"/>
      <c r="K77" s="11"/>
      <c r="L77" s="11"/>
      <c r="M77" s="11"/>
    </row>
    <row r="78" spans="1:13" s="22" customFormat="1" ht="16.5" customHeight="1">
      <c r="A78" s="11"/>
      <c r="B78" s="20"/>
      <c r="C78" s="20"/>
      <c r="E78" s="11"/>
      <c r="F78" s="21"/>
      <c r="G78" s="21"/>
      <c r="I78" s="11"/>
      <c r="J78" s="11"/>
      <c r="K78" s="11"/>
      <c r="L78" s="11"/>
      <c r="M78" s="11"/>
    </row>
    <row r="79" spans="1:13" s="22" customFormat="1" ht="16.5" customHeight="1">
      <c r="A79" s="11"/>
      <c r="B79" s="20"/>
      <c r="C79" s="20"/>
      <c r="E79" s="11"/>
      <c r="F79" s="21"/>
      <c r="G79" s="21"/>
      <c r="I79" s="11"/>
      <c r="J79" s="11"/>
      <c r="K79" s="11"/>
      <c r="L79" s="11"/>
      <c r="M79" s="11"/>
    </row>
    <row r="80" spans="1:13" s="22" customFormat="1" ht="16.5" customHeight="1">
      <c r="A80" s="11"/>
      <c r="B80" s="20"/>
      <c r="C80" s="20"/>
      <c r="E80" s="11"/>
      <c r="F80" s="21"/>
      <c r="G80" s="21"/>
      <c r="I80" s="11"/>
      <c r="J80" s="11"/>
      <c r="K80" s="11"/>
      <c r="L80" s="11"/>
      <c r="M80" s="11"/>
    </row>
    <row r="81" spans="1:13" s="22" customFormat="1" ht="16.5" customHeight="1">
      <c r="A81" s="11"/>
      <c r="B81" s="20"/>
      <c r="C81" s="20"/>
      <c r="E81" s="11"/>
      <c r="F81" s="21"/>
      <c r="G81" s="21"/>
      <c r="I81" s="11"/>
      <c r="J81" s="11"/>
      <c r="K81" s="11"/>
      <c r="L81" s="11"/>
      <c r="M81" s="11"/>
    </row>
    <row r="82" spans="1:13" s="22" customFormat="1" ht="16.5" customHeight="1">
      <c r="A82" s="11"/>
      <c r="B82" s="20"/>
      <c r="C82" s="20"/>
      <c r="E82" s="11"/>
      <c r="F82" s="21"/>
      <c r="G82" s="21"/>
      <c r="I82" s="11"/>
      <c r="J82" s="11"/>
      <c r="K82" s="11"/>
      <c r="L82" s="11"/>
      <c r="M82" s="11"/>
    </row>
    <row r="83" spans="1:13" s="22" customFormat="1" ht="16.5" customHeight="1">
      <c r="A83" s="11"/>
      <c r="B83" s="20"/>
      <c r="C83" s="20"/>
      <c r="E83" s="11"/>
      <c r="F83" s="21"/>
      <c r="G83" s="21"/>
      <c r="I83" s="11"/>
      <c r="J83" s="11"/>
      <c r="K83" s="11"/>
      <c r="L83" s="11"/>
      <c r="M83" s="11"/>
    </row>
    <row r="84" spans="1:13" s="22" customFormat="1" ht="16.5" customHeight="1">
      <c r="A84" s="11"/>
      <c r="B84" s="20"/>
      <c r="C84" s="20"/>
      <c r="E84" s="11"/>
      <c r="F84" s="21"/>
      <c r="G84" s="21"/>
      <c r="I84" s="11"/>
      <c r="J84" s="11"/>
      <c r="K84" s="11"/>
      <c r="L84" s="11"/>
      <c r="M84" s="11"/>
    </row>
    <row r="85" spans="1:13" s="22" customFormat="1" ht="16.5" customHeight="1">
      <c r="A85" s="11"/>
      <c r="B85" s="20"/>
      <c r="C85" s="20"/>
      <c r="E85" s="11"/>
      <c r="F85" s="21"/>
      <c r="G85" s="21"/>
      <c r="I85" s="11"/>
      <c r="J85" s="11"/>
      <c r="K85" s="11"/>
      <c r="L85" s="11"/>
      <c r="M85" s="11"/>
    </row>
    <row r="86" spans="1:13" s="22" customFormat="1" ht="16.5" customHeight="1">
      <c r="A86" s="11"/>
      <c r="B86" s="20"/>
      <c r="C86" s="20"/>
      <c r="E86" s="11"/>
      <c r="F86" s="21"/>
      <c r="G86" s="21"/>
      <c r="I86" s="11"/>
      <c r="J86" s="11"/>
      <c r="K86" s="11"/>
      <c r="L86" s="11"/>
      <c r="M86" s="11"/>
    </row>
    <row r="87" spans="1:13" s="22" customFormat="1" ht="16.5" customHeight="1">
      <c r="A87" s="11"/>
      <c r="B87" s="20"/>
      <c r="C87" s="20"/>
      <c r="E87" s="11"/>
      <c r="F87" s="21"/>
      <c r="G87" s="21"/>
      <c r="I87" s="11"/>
      <c r="J87" s="11"/>
      <c r="K87" s="11"/>
      <c r="L87" s="11"/>
      <c r="M87" s="11"/>
    </row>
    <row r="88" spans="1:13" s="22" customFormat="1" ht="16.5" customHeight="1">
      <c r="A88" s="11"/>
      <c r="B88" s="20"/>
      <c r="C88" s="20"/>
      <c r="E88" s="11"/>
      <c r="F88" s="21"/>
      <c r="G88" s="21"/>
      <c r="I88" s="11"/>
      <c r="J88" s="11"/>
      <c r="K88" s="11"/>
      <c r="L88" s="11"/>
      <c r="M88" s="11"/>
    </row>
    <row r="89" spans="1:13" s="22" customFormat="1" ht="16.5" customHeight="1">
      <c r="A89" s="11"/>
      <c r="B89" s="20"/>
      <c r="C89" s="20"/>
      <c r="E89" s="11"/>
      <c r="F89" s="21"/>
      <c r="G89" s="21"/>
      <c r="I89" s="11"/>
      <c r="J89" s="11"/>
      <c r="K89" s="11"/>
      <c r="L89" s="11"/>
      <c r="M89" s="11"/>
    </row>
    <row r="90" spans="1:13" s="22" customFormat="1" ht="16.5" customHeight="1">
      <c r="A90" s="11"/>
      <c r="B90" s="20"/>
      <c r="C90" s="20"/>
      <c r="E90" s="11"/>
      <c r="F90" s="21"/>
      <c r="G90" s="21"/>
      <c r="I90" s="11"/>
      <c r="J90" s="11"/>
      <c r="K90" s="11"/>
      <c r="L90" s="11"/>
      <c r="M90" s="11"/>
    </row>
    <row r="91" spans="1:13" s="22" customFormat="1" ht="16.5" customHeight="1">
      <c r="A91" s="11"/>
      <c r="B91" s="20"/>
      <c r="C91" s="20"/>
      <c r="E91" s="11"/>
      <c r="F91" s="21"/>
      <c r="G91" s="21"/>
      <c r="I91" s="11"/>
      <c r="J91" s="11"/>
      <c r="K91" s="11"/>
      <c r="L91" s="11"/>
      <c r="M91" s="11"/>
    </row>
    <row r="92" spans="1:13" s="22" customFormat="1" ht="16.5" customHeight="1">
      <c r="A92" s="11"/>
      <c r="B92" s="20"/>
      <c r="C92" s="20"/>
      <c r="E92" s="11"/>
      <c r="F92" s="21"/>
      <c r="G92" s="21"/>
      <c r="I92" s="11"/>
      <c r="J92" s="11"/>
      <c r="K92" s="11"/>
      <c r="L92" s="11"/>
      <c r="M92" s="11"/>
    </row>
    <row r="93" spans="1:13" s="22" customFormat="1" ht="16.5" customHeight="1">
      <c r="A93" s="11"/>
      <c r="B93" s="20"/>
      <c r="C93" s="20"/>
      <c r="E93" s="11"/>
      <c r="F93" s="21"/>
      <c r="G93" s="21"/>
      <c r="I93" s="11"/>
      <c r="J93" s="11"/>
      <c r="K93" s="11"/>
      <c r="L93" s="11"/>
      <c r="M93" s="11"/>
    </row>
    <row r="94" spans="1:13" s="22" customFormat="1" ht="16.5" customHeight="1">
      <c r="A94" s="11"/>
      <c r="B94" s="20"/>
      <c r="C94" s="20"/>
      <c r="E94" s="11"/>
      <c r="F94" s="21"/>
      <c r="G94" s="21"/>
      <c r="I94" s="11"/>
      <c r="J94" s="11"/>
      <c r="K94" s="11"/>
      <c r="L94" s="11"/>
      <c r="M94" s="11"/>
    </row>
    <row r="95" spans="1:13" s="22" customFormat="1" ht="16.5" customHeight="1">
      <c r="A95" s="11"/>
      <c r="B95" s="20"/>
      <c r="C95" s="20"/>
      <c r="E95" s="11"/>
      <c r="F95" s="21"/>
      <c r="G95" s="21"/>
      <c r="I95" s="11"/>
      <c r="J95" s="11"/>
      <c r="K95" s="11"/>
      <c r="L95" s="11"/>
      <c r="M95" s="11"/>
    </row>
    <row r="96" spans="1:13" s="22" customFormat="1" ht="16.5" customHeight="1">
      <c r="A96" s="11"/>
      <c r="B96" s="20"/>
      <c r="C96" s="20"/>
      <c r="E96" s="11"/>
      <c r="F96" s="21"/>
      <c r="G96" s="21"/>
      <c r="I96" s="11"/>
      <c r="J96" s="11"/>
      <c r="K96" s="11"/>
      <c r="L96" s="11"/>
      <c r="M96" s="11"/>
    </row>
    <row r="97" spans="1:13" s="22" customFormat="1" ht="16.5" customHeight="1">
      <c r="A97" s="11"/>
      <c r="B97" s="20"/>
      <c r="C97" s="20"/>
      <c r="E97" s="11"/>
      <c r="F97" s="21"/>
      <c r="G97" s="21"/>
      <c r="I97" s="11"/>
      <c r="J97" s="11"/>
      <c r="K97" s="11"/>
      <c r="L97" s="11"/>
      <c r="M97" s="11"/>
    </row>
    <row r="98" spans="1:13" s="22" customFormat="1" ht="16.5" customHeight="1">
      <c r="A98" s="11"/>
      <c r="B98" s="20"/>
      <c r="C98" s="20"/>
      <c r="E98" s="11"/>
      <c r="F98" s="21"/>
      <c r="G98" s="21"/>
      <c r="I98" s="11"/>
      <c r="J98" s="11"/>
      <c r="K98" s="11"/>
      <c r="L98" s="11"/>
      <c r="M98" s="11"/>
    </row>
    <row r="99" spans="1:13" s="22" customFormat="1" ht="16.5" customHeight="1">
      <c r="A99" s="11"/>
      <c r="B99" s="20"/>
      <c r="C99" s="20"/>
      <c r="E99" s="11"/>
      <c r="F99" s="21"/>
      <c r="G99" s="21"/>
      <c r="I99" s="11"/>
      <c r="J99" s="11"/>
      <c r="K99" s="11"/>
      <c r="L99" s="11"/>
      <c r="M99" s="11"/>
    </row>
    <row r="100" spans="1:13" s="22" customFormat="1" ht="16.5" customHeight="1">
      <c r="A100" s="11"/>
      <c r="B100" s="20"/>
      <c r="C100" s="20"/>
      <c r="E100" s="11"/>
      <c r="F100" s="21"/>
      <c r="G100" s="21"/>
      <c r="I100" s="11"/>
      <c r="J100" s="11"/>
      <c r="K100" s="11"/>
      <c r="L100" s="11"/>
      <c r="M100" s="11"/>
    </row>
    <row r="101" spans="1:13" s="22" customFormat="1" ht="16.5" customHeight="1">
      <c r="A101" s="11"/>
      <c r="B101" s="20"/>
      <c r="C101" s="20"/>
      <c r="E101" s="11"/>
      <c r="F101" s="21"/>
      <c r="G101" s="21"/>
      <c r="I101" s="11"/>
      <c r="J101" s="11"/>
      <c r="K101" s="11"/>
      <c r="L101" s="11"/>
      <c r="M101" s="11"/>
    </row>
    <row r="102" spans="1:13" s="22" customFormat="1" ht="16.5" customHeight="1">
      <c r="A102" s="11"/>
      <c r="B102" s="20"/>
      <c r="C102" s="20"/>
      <c r="E102" s="11"/>
      <c r="F102" s="21"/>
      <c r="G102" s="21"/>
      <c r="I102" s="11"/>
      <c r="J102" s="11"/>
      <c r="K102" s="11"/>
      <c r="L102" s="11"/>
      <c r="M102" s="11"/>
    </row>
    <row r="103" spans="1:13" s="22" customFormat="1" ht="16.5" customHeight="1">
      <c r="A103" s="11"/>
      <c r="B103" s="20"/>
      <c r="C103" s="20"/>
      <c r="E103" s="11"/>
      <c r="F103" s="21"/>
      <c r="G103" s="21"/>
      <c r="I103" s="11"/>
      <c r="J103" s="11"/>
      <c r="K103" s="11"/>
      <c r="L103" s="11"/>
      <c r="M103" s="11"/>
    </row>
    <row r="104" spans="1:13" s="22" customFormat="1" ht="16.5" customHeight="1">
      <c r="A104" s="11"/>
      <c r="B104" s="20"/>
      <c r="C104" s="20"/>
      <c r="E104" s="11"/>
      <c r="F104" s="21"/>
      <c r="G104" s="21"/>
      <c r="I104" s="11"/>
      <c r="J104" s="11"/>
      <c r="K104" s="11"/>
      <c r="L104" s="11"/>
      <c r="M104" s="11"/>
    </row>
    <row r="105" spans="1:13" s="22" customFormat="1" ht="16.5" customHeight="1">
      <c r="A105" s="11"/>
      <c r="B105" s="20"/>
      <c r="C105" s="20"/>
      <c r="E105" s="11"/>
      <c r="F105" s="21"/>
      <c r="G105" s="21"/>
      <c r="I105" s="11"/>
      <c r="J105" s="11"/>
      <c r="K105" s="11"/>
      <c r="L105" s="11"/>
      <c r="M105" s="11"/>
    </row>
    <row r="106" spans="1:13" s="22" customFormat="1" ht="16.5" customHeight="1">
      <c r="A106" s="11"/>
      <c r="B106" s="20"/>
      <c r="C106" s="20"/>
      <c r="E106" s="11"/>
      <c r="F106" s="21"/>
      <c r="G106" s="21"/>
      <c r="I106" s="11"/>
      <c r="J106" s="11"/>
      <c r="K106" s="11"/>
      <c r="L106" s="11"/>
      <c r="M106" s="11"/>
    </row>
    <row r="107" spans="1:13" s="22" customFormat="1" ht="16.5" customHeight="1">
      <c r="A107" s="11"/>
      <c r="B107" s="20"/>
      <c r="C107" s="20"/>
      <c r="E107" s="11"/>
      <c r="F107" s="21"/>
      <c r="G107" s="21"/>
      <c r="I107" s="11"/>
      <c r="J107" s="11"/>
      <c r="K107" s="11"/>
      <c r="L107" s="11"/>
      <c r="M107" s="11"/>
    </row>
    <row r="108" spans="1:13" s="22" customFormat="1" ht="16.5" customHeight="1">
      <c r="A108" s="11"/>
      <c r="B108" s="20"/>
      <c r="C108" s="20"/>
      <c r="E108" s="11"/>
      <c r="F108" s="21"/>
      <c r="G108" s="21"/>
      <c r="I108" s="11"/>
      <c r="J108" s="11"/>
      <c r="K108" s="11"/>
      <c r="L108" s="11"/>
      <c r="M108" s="11"/>
    </row>
    <row r="109" spans="1:13" s="22" customFormat="1" ht="16.5" customHeight="1">
      <c r="A109" s="11"/>
      <c r="B109" s="20"/>
      <c r="C109" s="20"/>
      <c r="E109" s="11"/>
      <c r="F109" s="21"/>
      <c r="G109" s="21"/>
      <c r="I109" s="11"/>
      <c r="J109" s="11"/>
      <c r="K109" s="11"/>
      <c r="L109" s="11"/>
      <c r="M109" s="11"/>
    </row>
    <row r="110" spans="1:13" s="22" customFormat="1" ht="16.5" customHeight="1">
      <c r="A110" s="11"/>
      <c r="B110" s="20"/>
      <c r="C110" s="20"/>
      <c r="E110" s="11"/>
      <c r="F110" s="21"/>
      <c r="G110" s="21"/>
      <c r="I110" s="11"/>
      <c r="J110" s="11"/>
      <c r="K110" s="11"/>
      <c r="L110" s="11"/>
      <c r="M110" s="11"/>
    </row>
    <row r="111" spans="1:13" s="22" customFormat="1" ht="16.5" customHeight="1">
      <c r="A111" s="11"/>
      <c r="B111" s="20"/>
      <c r="C111" s="20"/>
      <c r="E111" s="11"/>
      <c r="F111" s="21"/>
      <c r="G111" s="21"/>
      <c r="I111" s="11"/>
      <c r="J111" s="11"/>
      <c r="K111" s="11"/>
      <c r="L111" s="11"/>
      <c r="M111" s="11"/>
    </row>
    <row r="112" spans="1:13" s="22" customFormat="1" ht="16.5" customHeight="1">
      <c r="A112" s="11"/>
      <c r="B112" s="20"/>
      <c r="C112" s="20"/>
      <c r="E112" s="11"/>
      <c r="F112" s="21"/>
      <c r="G112" s="21"/>
      <c r="I112" s="11"/>
      <c r="J112" s="11"/>
      <c r="K112" s="11"/>
      <c r="L112" s="11"/>
      <c r="M112" s="11"/>
    </row>
    <row r="113" spans="1:13" s="22" customFormat="1" ht="16.5" customHeight="1">
      <c r="A113" s="11"/>
      <c r="B113" s="20"/>
      <c r="C113" s="20"/>
      <c r="E113" s="11"/>
      <c r="F113" s="21"/>
      <c r="G113" s="21"/>
      <c r="I113" s="11"/>
      <c r="J113" s="11"/>
      <c r="K113" s="11"/>
      <c r="L113" s="11"/>
      <c r="M113" s="11"/>
    </row>
    <row r="114" spans="1:13" s="22" customFormat="1" ht="16.5" customHeight="1">
      <c r="A114" s="11"/>
      <c r="B114" s="20"/>
      <c r="C114" s="20"/>
      <c r="E114" s="11"/>
      <c r="F114" s="21"/>
      <c r="G114" s="21"/>
      <c r="I114" s="11"/>
      <c r="J114" s="11"/>
      <c r="K114" s="11"/>
      <c r="L114" s="11"/>
      <c r="M114" s="11"/>
    </row>
    <row r="115" spans="1:13" s="22" customFormat="1" ht="16.5" customHeight="1">
      <c r="A115" s="11"/>
      <c r="B115" s="20"/>
      <c r="C115" s="20"/>
      <c r="E115" s="11"/>
      <c r="F115" s="21"/>
      <c r="G115" s="21"/>
      <c r="I115" s="11"/>
      <c r="J115" s="11"/>
      <c r="K115" s="11"/>
      <c r="L115" s="11"/>
      <c r="M115" s="11"/>
    </row>
    <row r="116" spans="1:13" s="22" customFormat="1" ht="16.5" customHeight="1">
      <c r="A116" s="11"/>
      <c r="B116" s="20"/>
      <c r="C116" s="20"/>
      <c r="E116" s="11"/>
      <c r="F116" s="21"/>
      <c r="G116" s="21"/>
      <c r="I116" s="11"/>
      <c r="J116" s="11"/>
      <c r="K116" s="11"/>
      <c r="L116" s="11"/>
      <c r="M116" s="11"/>
    </row>
    <row r="117" spans="1:13" s="22" customFormat="1" ht="16.5" customHeight="1">
      <c r="A117" s="11"/>
      <c r="B117" s="20"/>
      <c r="C117" s="20"/>
      <c r="E117" s="11"/>
      <c r="F117" s="21"/>
      <c r="G117" s="21"/>
      <c r="I117" s="11"/>
      <c r="J117" s="11"/>
      <c r="K117" s="11"/>
      <c r="L117" s="11"/>
      <c r="M117" s="11"/>
    </row>
    <row r="118" spans="1:13" s="22" customFormat="1" ht="16.5" customHeight="1">
      <c r="A118" s="11"/>
      <c r="B118" s="20"/>
      <c r="C118" s="20"/>
      <c r="E118" s="11"/>
      <c r="F118" s="21"/>
      <c r="G118" s="21"/>
      <c r="I118" s="11"/>
      <c r="J118" s="11"/>
      <c r="K118" s="11"/>
      <c r="L118" s="11"/>
      <c r="M118" s="11"/>
    </row>
    <row r="119" spans="1:13" s="22" customFormat="1" ht="16.5" customHeight="1">
      <c r="A119" s="11"/>
      <c r="B119" s="20"/>
      <c r="C119" s="20"/>
      <c r="E119" s="11"/>
      <c r="F119" s="21"/>
      <c r="G119" s="21"/>
      <c r="I119" s="11"/>
      <c r="J119" s="11"/>
      <c r="K119" s="11"/>
      <c r="L119" s="11"/>
      <c r="M119" s="11"/>
    </row>
    <row r="120" spans="1:13" s="22" customFormat="1" ht="16.5" customHeight="1">
      <c r="A120" s="11"/>
      <c r="B120" s="20"/>
      <c r="C120" s="20"/>
      <c r="E120" s="11"/>
      <c r="F120" s="21"/>
      <c r="G120" s="21"/>
      <c r="I120" s="11"/>
      <c r="J120" s="11"/>
      <c r="K120" s="11"/>
      <c r="L120" s="11"/>
      <c r="M120" s="11"/>
    </row>
    <row r="121" spans="1:13" s="22" customFormat="1" ht="16.5" customHeight="1">
      <c r="A121" s="11"/>
      <c r="B121" s="20"/>
      <c r="C121" s="20"/>
      <c r="E121" s="11"/>
      <c r="F121" s="21"/>
      <c r="G121" s="21"/>
      <c r="I121" s="11"/>
      <c r="J121" s="11"/>
      <c r="K121" s="11"/>
      <c r="L121" s="11"/>
      <c r="M121" s="11"/>
    </row>
    <row r="122" spans="1:13" s="22" customFormat="1" ht="16.5" customHeight="1">
      <c r="A122" s="11"/>
      <c r="B122" s="20"/>
      <c r="C122" s="20"/>
      <c r="E122" s="11"/>
      <c r="F122" s="21"/>
      <c r="G122" s="21"/>
      <c r="I122" s="11"/>
      <c r="J122" s="11"/>
      <c r="K122" s="11"/>
      <c r="L122" s="11"/>
      <c r="M122" s="11"/>
    </row>
    <row r="123" spans="1:13" s="22" customFormat="1" ht="16.5" customHeight="1">
      <c r="A123" s="11"/>
      <c r="B123" s="20"/>
      <c r="C123" s="20"/>
      <c r="E123" s="11"/>
      <c r="F123" s="21"/>
      <c r="G123" s="21"/>
      <c r="I123" s="11"/>
      <c r="J123" s="11"/>
      <c r="K123" s="11"/>
      <c r="L123" s="11"/>
      <c r="M123" s="11"/>
    </row>
    <row r="124" spans="1:13" s="22" customFormat="1" ht="16.5" customHeight="1">
      <c r="A124" s="11"/>
      <c r="B124" s="20"/>
      <c r="C124" s="20"/>
      <c r="E124" s="11"/>
      <c r="F124" s="21"/>
      <c r="G124" s="21"/>
      <c r="I124" s="11"/>
      <c r="J124" s="11"/>
      <c r="K124" s="11"/>
      <c r="L124" s="11"/>
      <c r="M124" s="11"/>
    </row>
    <row r="125" spans="1:13" s="22" customFormat="1" ht="16.5" customHeight="1">
      <c r="A125" s="11"/>
      <c r="B125" s="20"/>
      <c r="C125" s="20"/>
      <c r="E125" s="11"/>
      <c r="F125" s="21"/>
      <c r="G125" s="21"/>
      <c r="I125" s="11"/>
      <c r="J125" s="11"/>
      <c r="K125" s="11"/>
      <c r="L125" s="11"/>
      <c r="M125" s="11"/>
    </row>
    <row r="126" spans="1:13" s="22" customFormat="1" ht="16.5" customHeight="1">
      <c r="A126" s="11"/>
      <c r="B126" s="20"/>
      <c r="C126" s="20"/>
      <c r="E126" s="11"/>
      <c r="F126" s="21"/>
      <c r="G126" s="21"/>
      <c r="I126" s="11"/>
      <c r="J126" s="11"/>
      <c r="K126" s="11"/>
      <c r="L126" s="11"/>
      <c r="M126" s="11"/>
    </row>
    <row r="127" spans="1:13" s="22" customFormat="1" ht="16.5" customHeight="1">
      <c r="A127" s="11"/>
      <c r="B127" s="20"/>
      <c r="C127" s="20"/>
      <c r="E127" s="11"/>
      <c r="F127" s="21"/>
      <c r="G127" s="21"/>
      <c r="I127" s="11"/>
      <c r="J127" s="11"/>
      <c r="K127" s="11"/>
      <c r="L127" s="11"/>
      <c r="M127" s="11"/>
    </row>
    <row r="128" spans="1:13" s="22" customFormat="1" ht="16.5" customHeight="1">
      <c r="A128" s="11"/>
      <c r="B128" s="20"/>
      <c r="C128" s="20"/>
      <c r="E128" s="11"/>
      <c r="F128" s="21"/>
      <c r="G128" s="21"/>
      <c r="I128" s="11"/>
      <c r="J128" s="11"/>
      <c r="K128" s="11"/>
      <c r="L128" s="11"/>
      <c r="M128" s="11"/>
    </row>
    <row r="129" spans="1:13" s="22" customFormat="1" ht="16.5" customHeight="1">
      <c r="A129" s="11">
        <v>20</v>
      </c>
      <c r="B129" s="20"/>
      <c r="C129" s="20"/>
      <c r="E129" s="11"/>
      <c r="F129" s="21"/>
      <c r="G129" s="21"/>
      <c r="I129" s="11"/>
      <c r="J129" s="11"/>
      <c r="K129" s="11"/>
      <c r="L129" s="11"/>
      <c r="M129" s="11"/>
    </row>
    <row r="130" spans="1:13" s="22" customFormat="1" ht="16.5" customHeight="1">
      <c r="A130" s="11">
        <v>20</v>
      </c>
      <c r="B130" s="20"/>
      <c r="C130" s="20"/>
      <c r="E130" s="11"/>
      <c r="F130" s="21"/>
      <c r="G130" s="21"/>
      <c r="I130" s="11"/>
      <c r="J130" s="11"/>
      <c r="K130" s="11"/>
      <c r="L130" s="11"/>
      <c r="M130" s="11"/>
    </row>
    <row r="131" spans="1:13" s="22" customFormat="1" ht="16.5" customHeight="1">
      <c r="A131" s="11">
        <v>20</v>
      </c>
      <c r="B131" s="20"/>
      <c r="C131" s="20"/>
      <c r="E131" s="11"/>
      <c r="F131" s="21"/>
      <c r="G131" s="21"/>
      <c r="I131" s="11"/>
      <c r="J131" s="11"/>
      <c r="K131" s="11"/>
      <c r="L131" s="11"/>
      <c r="M131" s="11"/>
    </row>
    <row r="132" spans="1:13" s="22" customFormat="1" ht="16.5" customHeight="1">
      <c r="A132" s="11">
        <v>20</v>
      </c>
      <c r="B132" s="20"/>
      <c r="C132" s="20"/>
      <c r="E132" s="11"/>
      <c r="F132" s="21"/>
      <c r="G132" s="21"/>
      <c r="I132" s="11"/>
      <c r="J132" s="11"/>
      <c r="K132" s="11"/>
      <c r="L132" s="11"/>
      <c r="M132" s="11"/>
    </row>
    <row r="133" spans="1:13" s="22" customFormat="1" ht="16.5" customHeight="1">
      <c r="A133" s="11">
        <v>20</v>
      </c>
      <c r="B133" s="20"/>
      <c r="C133" s="20"/>
      <c r="E133" s="11"/>
      <c r="F133" s="21"/>
      <c r="G133" s="21"/>
      <c r="I133" s="11"/>
      <c r="J133" s="11"/>
      <c r="K133" s="11"/>
      <c r="L133" s="11"/>
      <c r="M133" s="11"/>
    </row>
    <row r="134" spans="1:13" s="22" customFormat="1" ht="16.5" customHeight="1">
      <c r="A134" s="11">
        <v>20</v>
      </c>
      <c r="B134" s="20"/>
      <c r="C134" s="20"/>
      <c r="E134" s="11"/>
      <c r="F134" s="21"/>
      <c r="G134" s="21"/>
      <c r="I134" s="11"/>
      <c r="J134" s="11"/>
      <c r="K134" s="11"/>
      <c r="L134" s="11"/>
      <c r="M134" s="11"/>
    </row>
    <row r="135" spans="1:13" s="22" customFormat="1" ht="16.5" customHeight="1">
      <c r="A135" s="11">
        <v>20</v>
      </c>
      <c r="B135" s="20"/>
      <c r="C135" s="20"/>
      <c r="E135" s="11"/>
      <c r="F135" s="21"/>
      <c r="G135" s="21"/>
      <c r="I135" s="11"/>
      <c r="J135" s="11"/>
      <c r="K135" s="11"/>
      <c r="L135" s="11"/>
      <c r="M135" s="11"/>
    </row>
    <row r="136" spans="1:13" s="22" customFormat="1" ht="16.5" customHeight="1">
      <c r="A136" s="11">
        <v>20</v>
      </c>
      <c r="B136" s="20"/>
      <c r="C136" s="20"/>
      <c r="E136" s="11"/>
      <c r="F136" s="21"/>
      <c r="G136" s="21"/>
      <c r="I136" s="11"/>
      <c r="J136" s="11"/>
      <c r="K136" s="11"/>
      <c r="L136" s="11"/>
      <c r="M136" s="11"/>
    </row>
    <row r="137" spans="1:13" s="22" customFormat="1" ht="16.5" customHeight="1">
      <c r="A137" s="11">
        <v>20</v>
      </c>
      <c r="B137" s="20"/>
      <c r="C137" s="20"/>
      <c r="E137" s="11"/>
      <c r="F137" s="21"/>
      <c r="G137" s="21"/>
      <c r="I137" s="11"/>
      <c r="J137" s="11"/>
      <c r="K137" s="11"/>
      <c r="L137" s="11"/>
      <c r="M137" s="11"/>
    </row>
    <row r="138" spans="1:13" s="22" customFormat="1" ht="16.5" customHeight="1">
      <c r="A138" s="11">
        <v>20</v>
      </c>
      <c r="B138" s="20"/>
      <c r="C138" s="20"/>
      <c r="E138" s="11"/>
      <c r="F138" s="21"/>
      <c r="G138" s="21"/>
      <c r="I138" s="11"/>
      <c r="J138" s="11"/>
      <c r="K138" s="11"/>
      <c r="L138" s="11"/>
      <c r="M138" s="11"/>
    </row>
    <row r="139" spans="1:13" s="22" customFormat="1" ht="16.5" customHeight="1">
      <c r="A139" s="11">
        <v>20</v>
      </c>
      <c r="B139" s="20"/>
      <c r="C139" s="20"/>
      <c r="E139" s="11"/>
      <c r="F139" s="21"/>
      <c r="G139" s="21"/>
      <c r="I139" s="11"/>
      <c r="J139" s="11"/>
      <c r="K139" s="11"/>
      <c r="L139" s="11"/>
      <c r="M139" s="11"/>
    </row>
    <row r="140" spans="1:13" s="22" customFormat="1" ht="16.5" customHeight="1">
      <c r="A140" s="11">
        <v>20</v>
      </c>
      <c r="B140" s="20"/>
      <c r="C140" s="20"/>
      <c r="E140" s="11"/>
      <c r="F140" s="21"/>
      <c r="G140" s="21"/>
      <c r="I140" s="11"/>
      <c r="J140" s="11"/>
      <c r="K140" s="11"/>
      <c r="L140" s="11"/>
      <c r="M140" s="11"/>
    </row>
    <row r="141" spans="1:13" s="22" customFormat="1" ht="16.5" customHeight="1">
      <c r="A141" s="11">
        <v>20</v>
      </c>
      <c r="B141" s="20"/>
      <c r="C141" s="20"/>
      <c r="E141" s="11"/>
      <c r="F141" s="21"/>
      <c r="G141" s="21"/>
      <c r="I141" s="11"/>
      <c r="J141" s="11"/>
      <c r="K141" s="11"/>
      <c r="L141" s="11"/>
      <c r="M141" s="11"/>
    </row>
    <row r="142" spans="1:13" s="22" customFormat="1" ht="16.5" customHeight="1">
      <c r="A142" s="11">
        <v>20</v>
      </c>
      <c r="B142" s="20"/>
      <c r="C142" s="20"/>
      <c r="E142" s="11"/>
      <c r="F142" s="21"/>
      <c r="G142" s="21"/>
      <c r="I142" s="11"/>
      <c r="J142" s="11"/>
      <c r="K142" s="11"/>
      <c r="L142" s="11"/>
      <c r="M142" s="11"/>
    </row>
    <row r="143" spans="1:13" s="22" customFormat="1" ht="16.5" customHeight="1">
      <c r="A143" s="11">
        <v>20</v>
      </c>
      <c r="B143" s="20"/>
      <c r="C143" s="20"/>
      <c r="E143" s="11"/>
      <c r="F143" s="21"/>
      <c r="G143" s="21"/>
      <c r="I143" s="11"/>
      <c r="J143" s="11"/>
      <c r="K143" s="11"/>
      <c r="L143" s="11"/>
      <c r="M143" s="11"/>
    </row>
    <row r="144" spans="1:13" s="22" customFormat="1" ht="16.5" customHeight="1">
      <c r="A144" s="11">
        <v>20</v>
      </c>
      <c r="B144" s="20"/>
      <c r="C144" s="20"/>
      <c r="E144" s="11"/>
      <c r="F144" s="21"/>
      <c r="G144" s="21"/>
      <c r="I144" s="11"/>
      <c r="J144" s="11"/>
      <c r="K144" s="11"/>
      <c r="L144" s="11"/>
      <c r="M144" s="11"/>
    </row>
    <row r="145" spans="1:13" s="22" customFormat="1" ht="16.5" customHeight="1">
      <c r="A145" s="11">
        <v>20</v>
      </c>
      <c r="B145" s="20"/>
      <c r="C145" s="20"/>
      <c r="E145" s="11"/>
      <c r="F145" s="21"/>
      <c r="G145" s="21"/>
      <c r="I145" s="11"/>
      <c r="J145" s="11"/>
      <c r="K145" s="11"/>
      <c r="L145" s="11"/>
      <c r="M145" s="11"/>
    </row>
    <row r="146" spans="1:13" s="22" customFormat="1" ht="16.5" customHeight="1">
      <c r="A146" s="11">
        <v>20</v>
      </c>
      <c r="B146" s="20"/>
      <c r="C146" s="20"/>
      <c r="E146" s="11"/>
      <c r="F146" s="21"/>
      <c r="G146" s="21"/>
      <c r="I146" s="11"/>
      <c r="J146" s="11"/>
      <c r="K146" s="11"/>
      <c r="L146" s="11"/>
      <c r="M146" s="11"/>
    </row>
    <row r="147" spans="1:13" s="22" customFormat="1" ht="16.5" customHeight="1">
      <c r="A147" s="11">
        <v>20</v>
      </c>
      <c r="B147" s="20"/>
      <c r="C147" s="20"/>
      <c r="E147" s="11"/>
      <c r="F147" s="21"/>
      <c r="G147" s="21"/>
      <c r="I147" s="11"/>
      <c r="J147" s="11"/>
      <c r="K147" s="11"/>
      <c r="L147" s="11"/>
      <c r="M147" s="11"/>
    </row>
    <row r="148" spans="1:13" s="22" customFormat="1" ht="16.5" customHeight="1">
      <c r="A148" s="11">
        <v>20</v>
      </c>
      <c r="B148" s="20"/>
      <c r="C148" s="20"/>
      <c r="E148" s="11"/>
      <c r="F148" s="21"/>
      <c r="G148" s="21"/>
      <c r="I148" s="11"/>
      <c r="J148" s="11"/>
      <c r="K148" s="11"/>
      <c r="L148" s="11"/>
      <c r="M148" s="11"/>
    </row>
    <row r="149" spans="1:13" s="22" customFormat="1" ht="16.5" customHeight="1">
      <c r="A149" s="11">
        <v>20</v>
      </c>
      <c r="B149" s="20"/>
      <c r="C149" s="20"/>
      <c r="E149" s="11"/>
      <c r="F149" s="21"/>
      <c r="G149" s="21"/>
      <c r="I149" s="11"/>
      <c r="J149" s="11"/>
      <c r="K149" s="11"/>
      <c r="L149" s="11"/>
      <c r="M149" s="11"/>
    </row>
    <row r="150" spans="1:13" s="22" customFormat="1" ht="16.5" customHeight="1">
      <c r="A150" s="11">
        <v>20</v>
      </c>
      <c r="B150" s="20"/>
      <c r="C150" s="20"/>
      <c r="E150" s="11"/>
      <c r="F150" s="21"/>
      <c r="G150" s="21"/>
      <c r="I150" s="11"/>
      <c r="J150" s="11"/>
      <c r="K150" s="11"/>
      <c r="L150" s="11"/>
      <c r="M150" s="11"/>
    </row>
    <row r="151" spans="1:13" s="22" customFormat="1" ht="16.5" customHeight="1">
      <c r="A151" s="11">
        <v>20</v>
      </c>
      <c r="B151" s="20"/>
      <c r="C151" s="20"/>
      <c r="E151" s="11"/>
      <c r="F151" s="21"/>
      <c r="G151" s="21"/>
      <c r="I151" s="11"/>
      <c r="J151" s="11"/>
      <c r="K151" s="11"/>
      <c r="L151" s="11"/>
      <c r="M151" s="11"/>
    </row>
    <row r="152" spans="1:13" s="22" customFormat="1" ht="16.5" customHeight="1">
      <c r="A152" s="11">
        <v>20</v>
      </c>
      <c r="B152" s="20"/>
      <c r="C152" s="20"/>
      <c r="E152" s="11"/>
      <c r="F152" s="21"/>
      <c r="G152" s="21"/>
      <c r="I152" s="11"/>
      <c r="J152" s="11"/>
      <c r="K152" s="11"/>
      <c r="L152" s="11"/>
      <c r="M152" s="11"/>
    </row>
    <row r="153" spans="1:13" s="22" customFormat="1" ht="16.5" customHeight="1">
      <c r="A153" s="11">
        <v>20</v>
      </c>
      <c r="B153" s="20"/>
      <c r="C153" s="20"/>
      <c r="E153" s="11"/>
      <c r="F153" s="21"/>
      <c r="G153" s="21"/>
      <c r="I153" s="11"/>
      <c r="J153" s="11"/>
      <c r="K153" s="11"/>
      <c r="L153" s="11"/>
      <c r="M153" s="11"/>
    </row>
    <row r="154" spans="1:13" s="22" customFormat="1" ht="16.5" customHeight="1">
      <c r="A154" s="11">
        <v>20</v>
      </c>
      <c r="B154" s="20"/>
      <c r="C154" s="20"/>
      <c r="E154" s="11"/>
      <c r="F154" s="21"/>
      <c r="G154" s="21"/>
      <c r="I154" s="11"/>
      <c r="J154" s="11"/>
      <c r="K154" s="11"/>
      <c r="L154" s="11"/>
      <c r="M154" s="11"/>
    </row>
    <row r="155" spans="1:13" s="22" customFormat="1" ht="16.5" customHeight="1">
      <c r="A155" s="11">
        <v>20</v>
      </c>
      <c r="B155" s="20"/>
      <c r="C155" s="20"/>
      <c r="E155" s="11"/>
      <c r="F155" s="21"/>
      <c r="G155" s="21"/>
      <c r="I155" s="11"/>
      <c r="J155" s="11"/>
      <c r="K155" s="11"/>
      <c r="L155" s="11"/>
      <c r="M155" s="11"/>
    </row>
    <row r="156" spans="1:13" s="22" customFormat="1" ht="16.5" customHeight="1">
      <c r="A156" s="11">
        <v>20</v>
      </c>
      <c r="B156" s="20"/>
      <c r="C156" s="20"/>
      <c r="E156" s="11"/>
      <c r="F156" s="21"/>
      <c r="G156" s="21"/>
      <c r="I156" s="11"/>
      <c r="J156" s="11"/>
      <c r="K156" s="11"/>
      <c r="L156" s="11"/>
      <c r="M156" s="11"/>
    </row>
    <row r="157" spans="1:13" s="22" customFormat="1" ht="16.5" customHeight="1">
      <c r="A157" s="11">
        <v>20</v>
      </c>
      <c r="B157" s="20"/>
      <c r="C157" s="20"/>
      <c r="E157" s="11"/>
      <c r="F157" s="21"/>
      <c r="G157" s="21"/>
      <c r="I157" s="11"/>
      <c r="J157" s="11"/>
      <c r="K157" s="11"/>
      <c r="L157" s="11"/>
      <c r="M157" s="11"/>
    </row>
    <row r="158" spans="1:13" s="22" customFormat="1" ht="16.5" customHeight="1">
      <c r="A158" s="11">
        <v>20</v>
      </c>
      <c r="B158" s="20"/>
      <c r="C158" s="20"/>
      <c r="E158" s="11"/>
      <c r="F158" s="21"/>
      <c r="G158" s="21"/>
      <c r="I158" s="11"/>
      <c r="J158" s="11"/>
      <c r="K158" s="11"/>
      <c r="L158" s="11"/>
      <c r="M158" s="11"/>
    </row>
    <row r="159" spans="1:13" s="22" customFormat="1" ht="16.5" customHeight="1">
      <c r="A159" s="11">
        <v>20</v>
      </c>
      <c r="B159" s="20"/>
      <c r="C159" s="20"/>
      <c r="E159" s="11"/>
      <c r="F159" s="21"/>
      <c r="G159" s="21"/>
      <c r="I159" s="11"/>
      <c r="J159" s="11"/>
      <c r="K159" s="11"/>
      <c r="L159" s="11"/>
      <c r="M159" s="11"/>
    </row>
    <row r="160" spans="1:13" s="22" customFormat="1" ht="16.5" customHeight="1">
      <c r="A160" s="11">
        <v>20</v>
      </c>
      <c r="B160" s="20"/>
      <c r="C160" s="20"/>
      <c r="E160" s="24"/>
      <c r="F160" s="21"/>
      <c r="G160" s="21"/>
      <c r="I160" s="11"/>
      <c r="J160" s="11"/>
      <c r="K160" s="11"/>
      <c r="L160" s="11"/>
      <c r="M160" s="11"/>
    </row>
    <row r="161" spans="1:13" s="22" customFormat="1" ht="16.5" customHeight="1">
      <c r="A161" s="11">
        <v>20</v>
      </c>
      <c r="B161" s="20"/>
      <c r="C161" s="20"/>
      <c r="D161" s="11"/>
      <c r="E161" s="24"/>
      <c r="F161" s="21"/>
      <c r="G161" s="21"/>
      <c r="I161" s="11"/>
      <c r="J161" s="11"/>
      <c r="K161" s="11"/>
      <c r="L161" s="11"/>
      <c r="M161" s="11"/>
    </row>
    <row r="162" spans="1:13" s="22" customFormat="1" ht="16.5" customHeight="1">
      <c r="A162" s="11">
        <v>20</v>
      </c>
      <c r="B162" s="20"/>
      <c r="C162" s="20"/>
      <c r="D162" s="11"/>
      <c r="E162" s="24"/>
      <c r="F162" s="21"/>
      <c r="G162" s="21"/>
      <c r="I162" s="11"/>
      <c r="J162" s="11"/>
      <c r="K162" s="11"/>
      <c r="L162" s="11"/>
      <c r="M162" s="11"/>
    </row>
    <row r="163" spans="1:13" s="22" customFormat="1" ht="16.5" customHeight="1">
      <c r="A163" s="11">
        <v>20</v>
      </c>
      <c r="B163" s="20"/>
      <c r="C163" s="20"/>
      <c r="D163" s="11"/>
      <c r="E163" s="24"/>
      <c r="F163" s="21"/>
      <c r="G163" s="21"/>
      <c r="I163" s="11"/>
      <c r="J163" s="11"/>
      <c r="K163" s="11"/>
      <c r="L163" s="11"/>
      <c r="M163" s="11"/>
    </row>
    <row r="164" spans="1:13" ht="16.5" customHeight="1">
      <c r="A164" s="11">
        <v>20</v>
      </c>
      <c r="E164" s="24"/>
      <c r="G164" s="21"/>
    </row>
    <row r="165" spans="1:13" ht="16.5" customHeight="1">
      <c r="A165" s="11">
        <v>20</v>
      </c>
      <c r="E165" s="24"/>
      <c r="G165" s="21"/>
    </row>
    <row r="166" spans="1:13" ht="16.5" customHeight="1">
      <c r="A166" s="11">
        <v>20</v>
      </c>
      <c r="E166" s="24"/>
      <c r="G166" s="21"/>
    </row>
    <row r="167" spans="1:13" ht="16.5" customHeight="1">
      <c r="A167" s="11">
        <v>20</v>
      </c>
      <c r="E167" s="24"/>
      <c r="G167" s="21"/>
    </row>
    <row r="168" spans="1:13" ht="16.5" customHeight="1" thickBot="1">
      <c r="A168" s="11">
        <v>20</v>
      </c>
      <c r="B168" s="28"/>
      <c r="C168" s="28"/>
      <c r="D168" s="29"/>
      <c r="E168" s="30"/>
      <c r="F168" s="31"/>
      <c r="G168" s="31"/>
    </row>
    <row r="169" spans="1:13" ht="15.75" customHeight="1">
      <c r="A169" s="11">
        <v>21</v>
      </c>
      <c r="D169" s="32"/>
      <c r="E169" s="32"/>
      <c r="G169" s="555"/>
      <c r="H169" s="551"/>
      <c r="I169" s="549"/>
    </row>
    <row r="170" spans="1:13" ht="15.75" customHeight="1">
      <c r="A170" s="11">
        <v>21</v>
      </c>
      <c r="D170" s="32"/>
      <c r="E170" s="32"/>
      <c r="G170" s="556"/>
      <c r="H170" s="551"/>
      <c r="I170" s="549"/>
    </row>
    <row r="171" spans="1:13" ht="15.75" customHeight="1">
      <c r="A171" s="11">
        <v>21</v>
      </c>
      <c r="D171" s="32"/>
      <c r="E171" s="32"/>
      <c r="G171" s="556"/>
      <c r="H171" s="551"/>
      <c r="I171" s="549"/>
    </row>
    <row r="172" spans="1:13" ht="15.75" customHeight="1">
      <c r="A172" s="11">
        <v>21</v>
      </c>
      <c r="D172" s="32"/>
      <c r="E172" s="32"/>
      <c r="G172" s="556"/>
      <c r="H172" s="551"/>
      <c r="I172" s="549"/>
      <c r="J172" s="32"/>
    </row>
    <row r="173" spans="1:13" ht="15.75" customHeight="1">
      <c r="A173" s="11">
        <v>22</v>
      </c>
      <c r="D173" s="32"/>
      <c r="E173" s="32"/>
      <c r="G173" s="549"/>
      <c r="H173" s="551"/>
      <c r="I173" s="549"/>
    </row>
    <row r="174" spans="1:13" ht="15.75" customHeight="1">
      <c r="A174" s="11">
        <v>22</v>
      </c>
      <c r="D174" s="32"/>
      <c r="E174" s="32"/>
      <c r="G174" s="549"/>
      <c r="H174" s="551"/>
      <c r="I174" s="549"/>
    </row>
    <row r="175" spans="1:13" ht="16.5" customHeight="1">
      <c r="A175" s="11">
        <v>23</v>
      </c>
      <c r="D175" s="32"/>
      <c r="E175" s="32"/>
      <c r="G175" s="549"/>
      <c r="H175" s="551"/>
      <c r="I175" s="548"/>
    </row>
    <row r="176" spans="1:13" ht="16.5" customHeight="1">
      <c r="A176" s="11">
        <v>23</v>
      </c>
      <c r="D176" s="32"/>
      <c r="E176" s="32"/>
      <c r="G176" s="549"/>
      <c r="H176" s="551"/>
      <c r="I176" s="548"/>
    </row>
    <row r="177" spans="1:11" ht="15.75" customHeight="1">
      <c r="A177" s="11">
        <v>24</v>
      </c>
      <c r="D177" s="32"/>
      <c r="E177" s="32"/>
      <c r="G177" s="556"/>
      <c r="H177" s="551"/>
      <c r="I177" s="548"/>
    </row>
    <row r="178" spans="1:11" ht="15" customHeight="1">
      <c r="A178" s="11">
        <v>24</v>
      </c>
      <c r="D178" s="32"/>
      <c r="E178" s="32"/>
      <c r="G178" s="556"/>
      <c r="H178" s="551"/>
      <c r="I178" s="548"/>
    </row>
    <row r="179" spans="1:11" ht="15.75" customHeight="1">
      <c r="A179" s="11">
        <v>25</v>
      </c>
      <c r="D179" s="32"/>
      <c r="E179" s="32"/>
      <c r="G179" s="549"/>
      <c r="H179" s="551"/>
    </row>
    <row r="180" spans="1:11" ht="15.75" customHeight="1">
      <c r="A180" s="11">
        <v>25</v>
      </c>
      <c r="D180" s="32"/>
      <c r="E180" s="32"/>
      <c r="G180" s="549"/>
      <c r="H180" s="551"/>
      <c r="J180" s="33"/>
      <c r="K180" s="34"/>
    </row>
    <row r="181" spans="1:11" ht="15.75" customHeight="1">
      <c r="A181" s="11">
        <v>26</v>
      </c>
      <c r="D181" s="32"/>
      <c r="G181" s="550"/>
      <c r="H181" s="551"/>
      <c r="J181" s="33"/>
      <c r="K181" s="35"/>
    </row>
    <row r="182" spans="1:11" ht="15.75" customHeight="1">
      <c r="A182" s="11">
        <v>26</v>
      </c>
      <c r="E182" s="32"/>
      <c r="G182" s="550"/>
      <c r="H182" s="551"/>
      <c r="J182" s="33"/>
      <c r="K182" s="35"/>
    </row>
    <row r="183" spans="1:11" ht="16.5" customHeight="1" thickBot="1">
      <c r="A183" s="11">
        <v>27</v>
      </c>
      <c r="D183" s="32"/>
      <c r="G183" s="549"/>
      <c r="H183" s="551"/>
      <c r="J183" s="36"/>
      <c r="K183" s="37"/>
    </row>
    <row r="184" spans="1:11" ht="16.5" customHeight="1" thickTop="1">
      <c r="A184" s="11">
        <v>27</v>
      </c>
      <c r="E184" s="32"/>
      <c r="G184" s="549"/>
      <c r="H184" s="551"/>
    </row>
    <row r="185" spans="1:11" ht="15.75" customHeight="1">
      <c r="A185" s="11">
        <v>28</v>
      </c>
      <c r="D185" s="32"/>
      <c r="E185" s="32"/>
      <c r="G185" s="556"/>
      <c r="H185" s="551"/>
      <c r="J185" s="32"/>
    </row>
    <row r="186" spans="1:11" ht="15.75" customHeight="1">
      <c r="A186" s="11">
        <v>28</v>
      </c>
      <c r="D186" s="32"/>
      <c r="E186" s="32"/>
      <c r="G186" s="556"/>
      <c r="H186" s="551"/>
    </row>
    <row r="187" spans="1:11" ht="15.75" customHeight="1">
      <c r="A187" s="11">
        <v>28</v>
      </c>
      <c r="D187" s="32"/>
      <c r="E187" s="32"/>
      <c r="G187" s="556"/>
      <c r="H187" s="551"/>
    </row>
    <row r="188" spans="1:11" ht="15.75" customHeight="1">
      <c r="A188" s="11">
        <v>28</v>
      </c>
      <c r="D188" s="32"/>
      <c r="E188" s="32"/>
      <c r="G188" s="556"/>
      <c r="H188" s="551"/>
    </row>
    <row r="189" spans="1:11" ht="32.25" customHeight="1">
      <c r="A189" s="11">
        <v>29</v>
      </c>
      <c r="D189" s="32"/>
      <c r="E189" s="32"/>
      <c r="G189" s="556"/>
      <c r="H189" s="551"/>
      <c r="I189" s="550"/>
    </row>
    <row r="190" spans="1:11" ht="15" customHeight="1">
      <c r="A190" s="11">
        <v>29</v>
      </c>
      <c r="D190" s="32"/>
      <c r="E190" s="32"/>
      <c r="G190" s="556"/>
      <c r="H190" s="551"/>
      <c r="I190" s="550"/>
    </row>
    <row r="191" spans="1:11" ht="15.75" customHeight="1">
      <c r="A191" s="11">
        <v>29</v>
      </c>
      <c r="D191" s="32"/>
      <c r="E191" s="32"/>
      <c r="G191" s="556"/>
      <c r="H191" s="551"/>
      <c r="I191" s="134"/>
    </row>
    <row r="192" spans="1:11" ht="15.75" customHeight="1">
      <c r="A192" s="11">
        <v>29</v>
      </c>
      <c r="D192" s="32"/>
      <c r="E192" s="32"/>
      <c r="G192" s="556"/>
      <c r="H192" s="551"/>
      <c r="I192" s="134"/>
    </row>
    <row r="193" spans="1:8" ht="15.75" customHeight="1">
      <c r="A193" s="11">
        <v>31</v>
      </c>
      <c r="D193" s="32"/>
      <c r="E193" s="32"/>
      <c r="G193" s="549"/>
      <c r="H193" s="551"/>
    </row>
    <row r="194" spans="1:8" ht="15.75" customHeight="1">
      <c r="A194" s="11">
        <v>31</v>
      </c>
      <c r="D194" s="32"/>
      <c r="E194" s="32"/>
      <c r="G194" s="549"/>
      <c r="H194" s="551"/>
    </row>
    <row r="195" spans="1:8" ht="15.75" customHeight="1">
      <c r="A195" s="11">
        <v>235</v>
      </c>
      <c r="D195" s="32"/>
      <c r="E195" s="32"/>
      <c r="G195" s="550"/>
      <c r="H195" s="551"/>
    </row>
    <row r="196" spans="1:8" ht="15.75" customHeight="1">
      <c r="A196" s="11">
        <v>236</v>
      </c>
      <c r="D196" s="32"/>
      <c r="E196" s="32"/>
      <c r="G196" s="550"/>
      <c r="H196" s="551"/>
    </row>
    <row r="197" spans="1:8" ht="15.75" customHeight="1">
      <c r="A197" s="11">
        <v>237</v>
      </c>
      <c r="D197" s="32"/>
      <c r="E197" s="32"/>
      <c r="G197" s="550"/>
    </row>
    <row r="198" spans="1:8" ht="15.75" customHeight="1">
      <c r="A198" s="11">
        <v>238</v>
      </c>
      <c r="D198" s="32"/>
      <c r="E198" s="32"/>
      <c r="G198" s="550"/>
    </row>
    <row r="199" spans="1:8" ht="15.75" customHeight="1">
      <c r="A199" s="11">
        <v>239</v>
      </c>
      <c r="D199" s="32"/>
      <c r="E199" s="32"/>
      <c r="G199" s="549"/>
    </row>
    <row r="200" spans="1:8" ht="15.75" customHeight="1">
      <c r="A200" s="11">
        <v>240</v>
      </c>
      <c r="D200" s="22"/>
      <c r="E200" s="32"/>
      <c r="G200" s="549"/>
    </row>
    <row r="201" spans="1:8" ht="15.75" customHeight="1">
      <c r="A201" s="11">
        <v>243</v>
      </c>
      <c r="D201" s="22"/>
      <c r="G201" s="556"/>
    </row>
    <row r="202" spans="1:8" ht="15.75" customHeight="1">
      <c r="A202" s="11">
        <v>244</v>
      </c>
      <c r="D202" s="22"/>
      <c r="E202" s="22"/>
      <c r="G202" s="556"/>
    </row>
    <row r="203" spans="1:8" ht="15.75" customHeight="1">
      <c r="A203" s="11">
        <v>245</v>
      </c>
      <c r="D203" s="22"/>
      <c r="E203" s="22"/>
      <c r="G203" s="556"/>
    </row>
    <row r="204" spans="1:8" ht="15" customHeight="1">
      <c r="A204" s="11">
        <v>246</v>
      </c>
      <c r="D204" s="22"/>
      <c r="E204" s="22"/>
      <c r="G204" s="556"/>
    </row>
    <row r="205" spans="1:8" ht="15" customHeight="1">
      <c r="A205" s="11">
        <v>247</v>
      </c>
      <c r="D205" s="22"/>
      <c r="E205" s="22"/>
      <c r="G205" s="556"/>
    </row>
    <row r="206" spans="1:8" ht="15" customHeight="1">
      <c r="A206" s="11">
        <v>248</v>
      </c>
      <c r="E206" s="22"/>
      <c r="G206" s="556"/>
    </row>
    <row r="207" spans="1:8" ht="15" customHeight="1">
      <c r="A207" s="11">
        <v>249</v>
      </c>
      <c r="D207" s="38"/>
      <c r="E207" s="22"/>
      <c r="G207" s="556"/>
    </row>
    <row r="208" spans="1:8" ht="15" customHeight="1">
      <c r="A208" s="11">
        <v>250</v>
      </c>
      <c r="E208" s="22"/>
      <c r="G208" s="556"/>
    </row>
    <row r="209" spans="1:13" ht="15" customHeight="1">
      <c r="A209" s="11">
        <v>251</v>
      </c>
      <c r="D209" s="22"/>
      <c r="E209" s="22"/>
      <c r="G209" s="549"/>
    </row>
    <row r="210" spans="1:13" ht="15" customHeight="1">
      <c r="A210" s="11">
        <v>251</v>
      </c>
      <c r="D210" s="22"/>
      <c r="E210" s="22"/>
      <c r="G210" s="549"/>
    </row>
    <row r="211" spans="1:13" ht="15" customHeight="1">
      <c r="A211" s="11">
        <v>252</v>
      </c>
      <c r="D211" s="22"/>
      <c r="E211" s="22"/>
      <c r="G211" s="549"/>
    </row>
    <row r="212" spans="1:13" s="22" customFormat="1" ht="15" customHeight="1">
      <c r="A212" s="11">
        <v>253</v>
      </c>
      <c r="B212" s="20"/>
      <c r="C212" s="20"/>
      <c r="F212" s="21"/>
      <c r="G212" s="549"/>
      <c r="I212" s="11"/>
      <c r="J212" s="11"/>
      <c r="K212" s="11"/>
      <c r="L212" s="11"/>
      <c r="M212" s="11"/>
    </row>
    <row r="213" spans="1:13" s="22" customFormat="1" ht="15" customHeight="1">
      <c r="A213" s="11">
        <v>254</v>
      </c>
      <c r="B213" s="20"/>
      <c r="C213" s="20"/>
      <c r="F213" s="21"/>
      <c r="G213" s="549"/>
      <c r="I213" s="11"/>
      <c r="J213" s="11"/>
      <c r="K213" s="11"/>
      <c r="L213" s="11"/>
      <c r="M213" s="11"/>
    </row>
    <row r="214" spans="1:13" s="22" customFormat="1" ht="15" customHeight="1">
      <c r="A214" s="11">
        <v>255</v>
      </c>
      <c r="B214" s="20"/>
      <c r="C214" s="20"/>
      <c r="F214" s="21"/>
      <c r="G214" s="548"/>
      <c r="I214" s="11"/>
      <c r="J214" s="11"/>
      <c r="K214" s="11"/>
      <c r="L214" s="11"/>
      <c r="M214" s="11"/>
    </row>
    <row r="215" spans="1:13" s="22" customFormat="1" ht="15" customHeight="1">
      <c r="A215" s="11">
        <v>256</v>
      </c>
      <c r="B215" s="20"/>
      <c r="C215" s="20"/>
      <c r="F215" s="21"/>
      <c r="G215" s="548"/>
      <c r="I215" s="11"/>
      <c r="J215" s="11"/>
      <c r="K215" s="11"/>
      <c r="L215" s="11"/>
      <c r="M215" s="11"/>
    </row>
    <row r="216" spans="1:13" s="22" customFormat="1" ht="15" customHeight="1">
      <c r="A216" s="11">
        <v>257</v>
      </c>
      <c r="B216" s="20"/>
      <c r="C216" s="20"/>
      <c r="F216" s="21"/>
      <c r="G216" s="549"/>
      <c r="I216" s="11"/>
      <c r="J216" s="11"/>
      <c r="K216" s="11"/>
      <c r="L216" s="11"/>
      <c r="M216" s="11"/>
    </row>
    <row r="217" spans="1:13" s="22" customFormat="1" ht="15" customHeight="1">
      <c r="A217" s="11">
        <v>258</v>
      </c>
      <c r="B217" s="20"/>
      <c r="C217" s="20"/>
      <c r="F217" s="21"/>
      <c r="G217" s="549"/>
      <c r="I217" s="11"/>
      <c r="J217" s="11"/>
      <c r="K217" s="11"/>
      <c r="L217" s="11"/>
      <c r="M217" s="11"/>
    </row>
    <row r="218" spans="1:13" s="22" customFormat="1" ht="15" customHeight="1">
      <c r="A218" s="11">
        <v>259</v>
      </c>
      <c r="B218" s="20"/>
      <c r="C218" s="20"/>
      <c r="F218" s="21"/>
      <c r="G218" s="550"/>
      <c r="I218" s="11"/>
      <c r="J218" s="11"/>
      <c r="K218" s="11"/>
      <c r="L218" s="11"/>
      <c r="M218" s="11"/>
    </row>
    <row r="219" spans="1:13" s="22" customFormat="1" ht="15" customHeight="1">
      <c r="A219" s="11">
        <v>260</v>
      </c>
      <c r="B219" s="20"/>
      <c r="C219" s="20"/>
      <c r="F219" s="21"/>
      <c r="G219" s="550"/>
      <c r="I219" s="11"/>
      <c r="J219" s="11"/>
      <c r="K219" s="11"/>
      <c r="L219" s="11"/>
      <c r="M219" s="11"/>
    </row>
    <row r="220" spans="1:13" s="22" customFormat="1" ht="15" customHeight="1">
      <c r="A220" s="11">
        <v>261</v>
      </c>
      <c r="B220" s="20"/>
      <c r="C220" s="20"/>
      <c r="F220" s="21"/>
      <c r="G220" s="548"/>
      <c r="I220" s="11"/>
      <c r="J220" s="11"/>
      <c r="K220" s="11"/>
      <c r="L220" s="11"/>
      <c r="M220" s="11"/>
    </row>
    <row r="221" spans="1:13" s="22" customFormat="1" ht="15" customHeight="1">
      <c r="A221" s="11">
        <v>262</v>
      </c>
      <c r="B221" s="20"/>
      <c r="C221" s="20"/>
      <c r="F221" s="21"/>
      <c r="G221" s="548"/>
      <c r="I221" s="11"/>
      <c r="J221" s="11"/>
      <c r="K221" s="11"/>
      <c r="L221" s="11"/>
      <c r="M221" s="11"/>
    </row>
    <row r="222" spans="1:13" s="22" customFormat="1" ht="15" customHeight="1">
      <c r="A222" s="11">
        <v>263</v>
      </c>
      <c r="B222" s="20"/>
      <c r="C222" s="20"/>
      <c r="D222" s="11"/>
      <c r="F222" s="21"/>
      <c r="G222" s="548"/>
      <c r="I222" s="11"/>
      <c r="J222" s="11"/>
      <c r="K222" s="11"/>
      <c r="L222" s="11"/>
      <c r="M222" s="11"/>
    </row>
    <row r="223" spans="1:13" s="22" customFormat="1" ht="15" customHeight="1">
      <c r="A223" s="11">
        <v>264</v>
      </c>
      <c r="B223" s="20"/>
      <c r="C223" s="20"/>
      <c r="F223" s="21"/>
      <c r="G223" s="548"/>
      <c r="I223" s="11"/>
      <c r="J223" s="11"/>
      <c r="K223" s="11"/>
      <c r="L223" s="11"/>
      <c r="M223" s="11"/>
    </row>
    <row r="224" spans="1:13" s="22" customFormat="1" ht="15" customHeight="1">
      <c r="A224" s="11">
        <v>265</v>
      </c>
      <c r="B224" s="20"/>
      <c r="C224" s="20"/>
      <c r="F224" s="21"/>
      <c r="G224" s="548"/>
      <c r="I224" s="11"/>
      <c r="J224" s="11"/>
      <c r="K224" s="11"/>
      <c r="L224" s="11"/>
      <c r="M224" s="11"/>
    </row>
    <row r="225" spans="1:13" s="22" customFormat="1" ht="15" customHeight="1">
      <c r="A225" s="11">
        <v>266</v>
      </c>
      <c r="B225" s="20"/>
      <c r="C225" s="20"/>
      <c r="F225" s="21"/>
      <c r="G225" s="548"/>
      <c r="I225" s="11"/>
      <c r="J225" s="11"/>
      <c r="K225" s="11"/>
      <c r="L225" s="11"/>
      <c r="M225" s="11"/>
    </row>
    <row r="226" spans="1:13" s="22" customFormat="1" ht="15" customHeight="1">
      <c r="A226" s="11">
        <v>267</v>
      </c>
      <c r="B226" s="20"/>
      <c r="C226" s="20"/>
      <c r="F226" s="21"/>
      <c r="G226" s="548"/>
      <c r="I226" s="11"/>
      <c r="J226" s="11"/>
      <c r="K226" s="11"/>
      <c r="L226" s="11"/>
      <c r="M226" s="11"/>
    </row>
    <row r="227" spans="1:13" s="22" customFormat="1" ht="15" customHeight="1">
      <c r="A227" s="11">
        <v>268</v>
      </c>
      <c r="B227" s="20"/>
      <c r="C227" s="20"/>
      <c r="D227" s="11"/>
      <c r="E227" s="38"/>
      <c r="F227" s="21"/>
      <c r="G227" s="548"/>
      <c r="I227" s="11"/>
      <c r="J227" s="11"/>
      <c r="K227" s="11"/>
      <c r="L227" s="11"/>
      <c r="M227" s="11"/>
    </row>
    <row r="228" spans="1:13" s="22" customFormat="1" ht="15" customHeight="1">
      <c r="A228" s="11">
        <v>269</v>
      </c>
      <c r="B228" s="20"/>
      <c r="C228" s="20"/>
      <c r="D228" s="32"/>
      <c r="E228" s="32"/>
      <c r="F228" s="21"/>
      <c r="G228" s="550"/>
      <c r="I228" s="11"/>
      <c r="J228" s="11"/>
      <c r="K228" s="11"/>
      <c r="L228" s="11"/>
      <c r="M228" s="11"/>
    </row>
    <row r="229" spans="1:13" s="22" customFormat="1" ht="15" customHeight="1">
      <c r="A229" s="11">
        <v>270</v>
      </c>
      <c r="B229" s="20"/>
      <c r="C229" s="20"/>
      <c r="D229" s="32"/>
      <c r="E229" s="32"/>
      <c r="F229" s="21"/>
      <c r="G229" s="550"/>
      <c r="I229" s="11"/>
      <c r="J229" s="11"/>
      <c r="K229" s="11"/>
      <c r="L229" s="11"/>
      <c r="M229" s="11"/>
    </row>
    <row r="230" spans="1:13" s="22" customFormat="1" ht="15" customHeight="1">
      <c r="A230" s="11">
        <v>271</v>
      </c>
      <c r="B230" s="20"/>
      <c r="C230" s="20"/>
      <c r="D230" s="32"/>
      <c r="E230" s="32"/>
      <c r="F230" s="21"/>
      <c r="G230" s="550"/>
      <c r="I230" s="11"/>
      <c r="J230" s="11"/>
      <c r="K230" s="11"/>
      <c r="L230" s="11"/>
      <c r="M230" s="11"/>
    </row>
    <row r="231" spans="1:13" s="22" customFormat="1" ht="15" customHeight="1">
      <c r="A231" s="11">
        <v>272</v>
      </c>
      <c r="B231" s="20"/>
      <c r="C231" s="20"/>
      <c r="D231" s="32"/>
      <c r="E231" s="32"/>
      <c r="F231" s="21"/>
      <c r="G231" s="550"/>
      <c r="I231" s="11"/>
      <c r="J231" s="11"/>
      <c r="K231" s="11"/>
      <c r="L231" s="11"/>
      <c r="M231" s="11"/>
    </row>
    <row r="232" spans="1:13" s="22" customFormat="1" ht="15" customHeight="1">
      <c r="A232" s="11">
        <v>273</v>
      </c>
      <c r="B232" s="20"/>
      <c r="C232" s="20"/>
      <c r="D232" s="32"/>
      <c r="E232" s="32"/>
      <c r="F232" s="21"/>
      <c r="G232" s="550"/>
      <c r="I232" s="11"/>
      <c r="J232" s="11"/>
      <c r="K232" s="11"/>
      <c r="L232" s="11"/>
      <c r="M232" s="11"/>
    </row>
    <row r="233" spans="1:13" s="22" customFormat="1" ht="15" customHeight="1">
      <c r="A233" s="11">
        <v>274</v>
      </c>
      <c r="B233" s="20"/>
      <c r="C233" s="20"/>
      <c r="D233" s="32"/>
      <c r="E233" s="32"/>
      <c r="F233" s="21"/>
      <c r="G233" s="550"/>
      <c r="I233" s="11"/>
      <c r="J233" s="11"/>
      <c r="K233" s="11"/>
      <c r="L233" s="11"/>
      <c r="M233" s="11"/>
    </row>
    <row r="234" spans="1:13" s="22" customFormat="1">
      <c r="A234" s="11">
        <v>275</v>
      </c>
      <c r="B234" s="20"/>
      <c r="C234" s="20"/>
      <c r="D234" s="11"/>
      <c r="E234" s="11"/>
      <c r="F234" s="21"/>
      <c r="G234" s="550"/>
      <c r="I234" s="11"/>
      <c r="J234" s="11"/>
      <c r="K234" s="11"/>
      <c r="L234" s="11"/>
      <c r="M234" s="11"/>
    </row>
    <row r="235" spans="1:13" s="22" customFormat="1">
      <c r="A235" s="11">
        <v>276</v>
      </c>
      <c r="B235" s="20"/>
      <c r="C235" s="20"/>
      <c r="D235" s="11"/>
      <c r="E235" s="11"/>
      <c r="F235" s="21"/>
      <c r="G235" s="550"/>
      <c r="I235" s="11"/>
      <c r="J235" s="11"/>
      <c r="K235" s="11"/>
      <c r="L235" s="11"/>
      <c r="M235" s="11"/>
    </row>
    <row r="236" spans="1:13" s="22" customFormat="1">
      <c r="A236" s="11">
        <v>277</v>
      </c>
      <c r="B236" s="20"/>
      <c r="C236" s="20"/>
      <c r="D236" s="32"/>
      <c r="E236" s="32"/>
      <c r="F236" s="21"/>
      <c r="G236" s="550"/>
      <c r="I236" s="11"/>
      <c r="J236" s="11"/>
      <c r="K236" s="11"/>
      <c r="L236" s="11"/>
      <c r="M236" s="11"/>
    </row>
    <row r="237" spans="1:13" s="22" customFormat="1">
      <c r="A237" s="11">
        <v>278</v>
      </c>
      <c r="B237" s="20"/>
      <c r="C237" s="20"/>
      <c r="D237" s="32"/>
      <c r="E237" s="32"/>
      <c r="F237" s="21"/>
      <c r="G237" s="550"/>
      <c r="I237" s="11"/>
      <c r="J237" s="11"/>
      <c r="K237" s="11"/>
      <c r="L237" s="11"/>
      <c r="M237" s="11"/>
    </row>
    <row r="238" spans="1:13" s="22" customFormat="1" ht="48" customHeight="1">
      <c r="A238" s="11">
        <v>279</v>
      </c>
      <c r="B238" s="20"/>
      <c r="C238" s="20"/>
      <c r="D238" s="11"/>
      <c r="E238" s="11"/>
      <c r="F238" s="21"/>
      <c r="G238" s="549"/>
      <c r="I238" s="11"/>
      <c r="J238" s="11"/>
      <c r="K238" s="11"/>
      <c r="L238" s="11"/>
      <c r="M238" s="11"/>
    </row>
    <row r="239" spans="1:13" s="22" customFormat="1" ht="54.75" customHeight="1">
      <c r="A239" s="11">
        <v>280</v>
      </c>
      <c r="B239" s="20"/>
      <c r="C239" s="20"/>
      <c r="D239" s="11"/>
      <c r="E239" s="11"/>
      <c r="F239" s="21"/>
      <c r="G239" s="549"/>
      <c r="I239" s="11"/>
      <c r="J239" s="11"/>
      <c r="K239" s="11"/>
      <c r="L239" s="11"/>
      <c r="M239" s="11"/>
    </row>
    <row r="240" spans="1:13" s="22" customFormat="1">
      <c r="A240" s="11">
        <v>281</v>
      </c>
      <c r="B240" s="20"/>
      <c r="C240" s="20"/>
      <c r="D240" s="11"/>
      <c r="E240" s="11"/>
      <c r="F240" s="21"/>
      <c r="G240" s="549"/>
      <c r="I240" s="11"/>
      <c r="J240" s="11"/>
      <c r="K240" s="11"/>
      <c r="L240" s="11"/>
      <c r="M240" s="11"/>
    </row>
    <row r="241" spans="1:13" s="22" customFormat="1">
      <c r="A241" s="11">
        <v>282</v>
      </c>
      <c r="B241" s="20"/>
      <c r="C241" s="20"/>
      <c r="D241" s="26"/>
      <c r="E241" s="11"/>
      <c r="F241" s="21"/>
      <c r="G241" s="549"/>
      <c r="I241" s="11"/>
      <c r="J241" s="11"/>
      <c r="K241" s="11"/>
      <c r="L241" s="11"/>
      <c r="M241" s="11"/>
    </row>
    <row r="242" spans="1:13" s="22" customFormat="1">
      <c r="A242" s="11">
        <v>283</v>
      </c>
      <c r="B242" s="20"/>
      <c r="C242" s="20"/>
      <c r="E242" s="11"/>
      <c r="F242" s="21"/>
      <c r="G242" s="549"/>
      <c r="I242" s="11"/>
      <c r="J242" s="11"/>
      <c r="K242" s="11"/>
      <c r="L242" s="11"/>
      <c r="M242" s="11"/>
    </row>
    <row r="243" spans="1:13" s="22" customFormat="1">
      <c r="A243" s="11">
        <v>284</v>
      </c>
      <c r="B243" s="20"/>
      <c r="C243" s="20"/>
      <c r="D243" s="11"/>
      <c r="E243" s="38"/>
      <c r="F243" s="21"/>
      <c r="G243" s="549"/>
      <c r="I243" s="11"/>
      <c r="J243" s="11"/>
      <c r="K243" s="11"/>
      <c r="L243" s="11"/>
      <c r="M243" s="11"/>
    </row>
    <row r="244" spans="1:13" s="22" customFormat="1">
      <c r="A244" s="11">
        <v>285</v>
      </c>
      <c r="B244" s="20"/>
      <c r="C244" s="20"/>
      <c r="E244" s="11"/>
      <c r="F244" s="21"/>
      <c r="G244" s="550"/>
      <c r="I244" s="11"/>
      <c r="J244" s="11"/>
      <c r="K244" s="11"/>
      <c r="L244" s="11"/>
      <c r="M244" s="11"/>
    </row>
    <row r="245" spans="1:13" s="22" customFormat="1">
      <c r="A245" s="11">
        <v>286</v>
      </c>
      <c r="B245" s="20"/>
      <c r="C245" s="20"/>
      <c r="D245" s="11"/>
      <c r="E245" s="38"/>
      <c r="F245" s="21"/>
      <c r="G245" s="550"/>
      <c r="I245" s="11"/>
      <c r="J245" s="11"/>
      <c r="K245" s="11"/>
      <c r="L245" s="11"/>
      <c r="M245" s="11"/>
    </row>
    <row r="246" spans="1:13" s="22" customFormat="1">
      <c r="A246" s="11">
        <v>287</v>
      </c>
      <c r="B246" s="20"/>
      <c r="C246" s="20"/>
      <c r="D246" s="11"/>
      <c r="E246" s="11"/>
      <c r="F246" s="21"/>
      <c r="G246" s="550"/>
      <c r="I246" s="11"/>
      <c r="J246" s="11"/>
      <c r="K246" s="11"/>
      <c r="L246" s="11"/>
      <c r="M246" s="11"/>
    </row>
    <row r="247" spans="1:13" s="22" customFormat="1">
      <c r="A247" s="11">
        <v>288</v>
      </c>
      <c r="B247" s="20"/>
      <c r="C247" s="20"/>
      <c r="D247" s="11"/>
      <c r="E247" s="11"/>
      <c r="F247" s="21"/>
      <c r="G247" s="550"/>
      <c r="I247" s="11"/>
      <c r="J247" s="11"/>
      <c r="K247" s="11"/>
      <c r="L247" s="11"/>
      <c r="M247" s="11"/>
    </row>
    <row r="248" spans="1:13" s="22" customFormat="1">
      <c r="A248" s="11">
        <v>289</v>
      </c>
      <c r="B248" s="20"/>
      <c r="C248" s="20"/>
      <c r="D248" s="11"/>
      <c r="E248" s="32"/>
      <c r="F248" s="21"/>
      <c r="G248" s="133"/>
      <c r="I248" s="11"/>
      <c r="J248" s="11"/>
      <c r="K248" s="11"/>
      <c r="L248" s="11"/>
      <c r="M248" s="11"/>
    </row>
    <row r="249" spans="1:13" s="22" customFormat="1">
      <c r="A249" s="11">
        <v>290</v>
      </c>
      <c r="B249" s="20"/>
      <c r="C249" s="20"/>
      <c r="D249" s="32"/>
      <c r="E249" s="11"/>
      <c r="F249" s="21"/>
      <c r="G249" s="133"/>
      <c r="I249" s="11"/>
      <c r="J249" s="11"/>
      <c r="K249" s="11"/>
      <c r="L249" s="11"/>
      <c r="M249" s="11"/>
    </row>
  </sheetData>
  <mergeCells count="38">
    <mergeCell ref="G240:G241"/>
    <mergeCell ref="G242:G243"/>
    <mergeCell ref="G244:G245"/>
    <mergeCell ref="G246:G247"/>
    <mergeCell ref="G223:G227"/>
    <mergeCell ref="G228:G229"/>
    <mergeCell ref="G230:G233"/>
    <mergeCell ref="G234:G235"/>
    <mergeCell ref="G236:G237"/>
    <mergeCell ref="G238:G239"/>
    <mergeCell ref="G220:G222"/>
    <mergeCell ref="G193:G194"/>
    <mergeCell ref="G195:G196"/>
    <mergeCell ref="G197:G198"/>
    <mergeCell ref="G199:G200"/>
    <mergeCell ref="G201:G206"/>
    <mergeCell ref="G207:G208"/>
    <mergeCell ref="G209:G211"/>
    <mergeCell ref="G212:G213"/>
    <mergeCell ref="G214:G215"/>
    <mergeCell ref="G216:G217"/>
    <mergeCell ref="G218:G219"/>
    <mergeCell ref="I189:I190"/>
    <mergeCell ref="D2:E2"/>
    <mergeCell ref="G169:G172"/>
    <mergeCell ref="H169:H196"/>
    <mergeCell ref="I169:I172"/>
    <mergeCell ref="G173:G174"/>
    <mergeCell ref="I173:I174"/>
    <mergeCell ref="G175:G176"/>
    <mergeCell ref="I175:I176"/>
    <mergeCell ref="G177:G178"/>
    <mergeCell ref="I177:I178"/>
    <mergeCell ref="G179:G180"/>
    <mergeCell ref="G181:G182"/>
    <mergeCell ref="G183:G184"/>
    <mergeCell ref="G185:G188"/>
    <mergeCell ref="G189:G192"/>
  </mergeCells>
  <pageMargins left="0.7" right="0.7" top="0.75" bottom="0.75" header="0.3" footer="0.3"/>
  <pageSetup scale="94" fitToHeight="0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C178"/>
  <sheetViews>
    <sheetView topLeftCell="A123" workbookViewId="0">
      <selection activeCell="P183" sqref="P183"/>
    </sheetView>
  </sheetViews>
  <sheetFormatPr baseColWidth="10" defaultColWidth="8.85546875" defaultRowHeight="13"/>
  <cols>
    <col min="1" max="1" width="8.85546875" style="2"/>
    <col min="2" max="2" width="25.85546875" style="3" bestFit="1" customWidth="1"/>
    <col min="3" max="16384" width="8.85546875" style="2"/>
  </cols>
  <sheetData>
    <row r="1" spans="1:3" s="56" customFormat="1">
      <c r="A1" s="56" t="s">
        <v>1151</v>
      </c>
      <c r="B1" s="49" t="s">
        <v>1152</v>
      </c>
      <c r="C1" s="56" t="s">
        <v>4</v>
      </c>
    </row>
    <row r="2" spans="1:3">
      <c r="A2" s="41">
        <v>10500</v>
      </c>
      <c r="B2" s="3" t="str">
        <f>"SVB Bank"</f>
        <v>SVB Bank</v>
      </c>
      <c r="C2" s="2">
        <v>1100</v>
      </c>
    </row>
    <row r="3" spans="1:3">
      <c r="A3" s="41">
        <v>1107</v>
      </c>
      <c r="B3" s="3" t="str">
        <f>"$ Deposit SVB"</f>
        <v>$ Deposit SVB</v>
      </c>
      <c r="C3" s="2">
        <v>1300</v>
      </c>
    </row>
    <row r="4" spans="1:3">
      <c r="A4" s="41">
        <v>10001</v>
      </c>
      <c r="B4" s="3" t="str">
        <f>"JEFFERIES LLC"</f>
        <v>JEFFERIES LLC</v>
      </c>
      <c r="C4" s="2">
        <v>1400</v>
      </c>
    </row>
    <row r="5" spans="1:3">
      <c r="A5" s="41">
        <v>10003</v>
      </c>
      <c r="B5" s="3" t="str">
        <f>"Rubicon Technologies, LLC."</f>
        <v>Rubicon Technologies, LLC.</v>
      </c>
      <c r="C5" s="2">
        <v>1400</v>
      </c>
    </row>
    <row r="6" spans="1:3">
      <c r="A6" s="41">
        <v>3002</v>
      </c>
      <c r="B6" s="3" t="str">
        <f>"Stream Creative"</f>
        <v>Stream Creative</v>
      </c>
      <c r="C6" s="2">
        <v>3400</v>
      </c>
    </row>
    <row r="7" spans="1:3">
      <c r="A7" s="41">
        <v>3004</v>
      </c>
      <c r="B7" s="3" t="str">
        <f>"Micro Office Management LLC"</f>
        <v>Micro Office Management LLC</v>
      </c>
      <c r="C7" s="2">
        <v>1600</v>
      </c>
    </row>
    <row r="8" spans="1:3">
      <c r="A8" s="41">
        <v>5003</v>
      </c>
      <c r="B8" s="3" t="str">
        <f>"Mitiga Ltd"</f>
        <v>Mitiga Ltd</v>
      </c>
      <c r="C8" s="2">
        <v>3500</v>
      </c>
    </row>
    <row r="9" spans="1:3">
      <c r="A9" s="41">
        <v>5004</v>
      </c>
      <c r="B9" s="3" t="str">
        <f>"MITIGA INC"</f>
        <v>MITIGA INC</v>
      </c>
      <c r="C9" s="2">
        <v>3500</v>
      </c>
    </row>
    <row r="10" spans="1:3">
      <c r="A10" s="41">
        <v>40200</v>
      </c>
      <c r="B10" s="3" t="str">
        <f>"Revenue $"</f>
        <v>Revenue $</v>
      </c>
      <c r="C10" s="2">
        <v>5200</v>
      </c>
    </row>
    <row r="11" spans="1:3">
      <c r="A11" s="41">
        <v>7100</v>
      </c>
      <c r="B11" s="3" t="str">
        <f>"Direct project expenses"</f>
        <v>Direct project expenses</v>
      </c>
      <c r="C11" s="2">
        <v>5320</v>
      </c>
    </row>
    <row r="12" spans="1:3">
      <c r="A12" s="41">
        <v>6001</v>
      </c>
      <c r="B12" s="3" t="str">
        <f>"ANNE- Earnings expenses"</f>
        <v>ANNE- Earnings expenses</v>
      </c>
      <c r="C12" s="2">
        <v>5500</v>
      </c>
    </row>
    <row r="13" spans="1:3">
      <c r="A13" s="41">
        <v>6002</v>
      </c>
      <c r="B13" s="3" t="str">
        <f>"ANNE- Employer Taxes/Contributions"</f>
        <v>ANNE- Employer Taxes/Contributions</v>
      </c>
      <c r="C13" s="2">
        <v>5500</v>
      </c>
    </row>
    <row r="14" spans="1:3">
      <c r="A14" s="41">
        <v>6004</v>
      </c>
      <c r="B14" s="3" t="str">
        <f>"ANNE- Service fee Expenses"</f>
        <v>ANNE- Service fee Expenses</v>
      </c>
      <c r="C14" s="2">
        <v>5610</v>
      </c>
    </row>
    <row r="15" spans="1:3">
      <c r="A15" s="41">
        <v>6005</v>
      </c>
      <c r="B15" s="3" t="str">
        <f>"ANNE- Workers' Compensation"</f>
        <v>ANNE- Workers' Compensation</v>
      </c>
      <c r="C15" s="2">
        <v>5500</v>
      </c>
    </row>
    <row r="16" spans="1:3">
      <c r="A16" s="41">
        <v>8029</v>
      </c>
      <c r="B16" s="3" t="str">
        <f>"Fees and taxes"</f>
        <v>Fees and taxes</v>
      </c>
      <c r="C16" s="2">
        <v>5660</v>
      </c>
    </row>
    <row r="17" spans="1:3">
      <c r="A17" s="41">
        <v>8009</v>
      </c>
      <c r="B17" s="3" t="str">
        <f>"Office Rental"</f>
        <v>Office Rental</v>
      </c>
      <c r="C17" s="2">
        <v>5620</v>
      </c>
    </row>
    <row r="18" spans="1:3">
      <c r="A18" s="41">
        <v>8107</v>
      </c>
      <c r="B18" s="3" t="str">
        <f>"Marketing"</f>
        <v>Marketing</v>
      </c>
      <c r="C18" s="2">
        <v>5510</v>
      </c>
    </row>
    <row r="19" spans="1:3">
      <c r="A19" s="41">
        <v>9001</v>
      </c>
      <c r="B19" s="3" t="str">
        <f>"Interest income on deposits"</f>
        <v>Interest income on deposits</v>
      </c>
      <c r="C19" s="2">
        <v>5700</v>
      </c>
    </row>
    <row r="20" spans="1:3">
      <c r="A20" s="41">
        <v>9006</v>
      </c>
      <c r="B20" s="3" t="str">
        <f>"Bank fees"</f>
        <v>Bank fees</v>
      </c>
      <c r="C20" s="2">
        <v>5700</v>
      </c>
    </row>
    <row r="21" spans="1:3">
      <c r="A21" s="41">
        <v>9999</v>
      </c>
      <c r="B21" s="3" t="str">
        <f>"ביטול יתרות"</f>
        <v>ביטול יתרות</v>
      </c>
      <c r="C21" s="2">
        <v>5700</v>
      </c>
    </row>
    <row r="22" spans="1:3">
      <c r="A22" s="2">
        <v>6000</v>
      </c>
      <c r="B22" s="3" t="s">
        <v>641</v>
      </c>
      <c r="C22" s="2">
        <v>1450</v>
      </c>
    </row>
    <row r="23" spans="1:3">
      <c r="A23" s="2">
        <v>5008</v>
      </c>
      <c r="B23" s="3" t="s">
        <v>519</v>
      </c>
      <c r="C23" s="2">
        <v>3910</v>
      </c>
    </row>
    <row r="24" spans="1:3">
      <c r="A24" s="2">
        <v>7003</v>
      </c>
      <c r="B24" s="3" t="s">
        <v>1029</v>
      </c>
      <c r="C24" s="2">
        <v>5200</v>
      </c>
    </row>
    <row r="25" spans="1:3">
      <c r="A25" s="2">
        <v>5100</v>
      </c>
      <c r="B25" s="3" t="s">
        <v>159</v>
      </c>
      <c r="C25" s="2">
        <v>1500</v>
      </c>
    </row>
    <row r="26" spans="1:3">
      <c r="A26" s="2">
        <v>6400</v>
      </c>
      <c r="B26" s="3" t="s">
        <v>643</v>
      </c>
      <c r="C26" s="2">
        <v>1600</v>
      </c>
    </row>
    <row r="27" spans="1:3">
      <c r="A27" s="2">
        <v>6401</v>
      </c>
      <c r="B27" s="3" t="s">
        <v>1053</v>
      </c>
      <c r="C27" s="2">
        <v>1600</v>
      </c>
    </row>
    <row r="28" spans="1:3">
      <c r="A28" s="2">
        <v>6402</v>
      </c>
      <c r="B28" s="3" t="s">
        <v>1054</v>
      </c>
      <c r="C28" s="2">
        <v>1600</v>
      </c>
    </row>
    <row r="29" spans="1:3">
      <c r="A29" s="2">
        <v>6705</v>
      </c>
      <c r="B29" s="3" t="s">
        <v>1056</v>
      </c>
      <c r="C29" s="2">
        <v>3100</v>
      </c>
    </row>
    <row r="30" spans="1:3">
      <c r="A30" s="2">
        <v>6706</v>
      </c>
      <c r="B30" s="3" t="s">
        <v>952</v>
      </c>
      <c r="C30" s="2">
        <v>3110</v>
      </c>
    </row>
    <row r="31" spans="1:3">
      <c r="A31" s="2">
        <v>3008</v>
      </c>
      <c r="B31" s="3" t="s">
        <v>1153</v>
      </c>
      <c r="C31" s="2">
        <v>3400</v>
      </c>
    </row>
    <row r="32" spans="1:3">
      <c r="A32" s="2">
        <v>3010</v>
      </c>
      <c r="B32" s="3" t="s">
        <v>1154</v>
      </c>
      <c r="C32" s="2">
        <v>3400</v>
      </c>
    </row>
    <row r="33" spans="1:3">
      <c r="A33" s="2">
        <v>3012</v>
      </c>
      <c r="B33" s="3" t="s">
        <v>1155</v>
      </c>
      <c r="C33" s="2">
        <v>3400</v>
      </c>
    </row>
    <row r="34" spans="1:3">
      <c r="A34" s="2">
        <v>20300</v>
      </c>
      <c r="B34" s="3" t="s">
        <v>1041</v>
      </c>
      <c r="C34" s="2">
        <v>3400</v>
      </c>
    </row>
    <row r="35" spans="1:3">
      <c r="A35" s="2">
        <v>9991</v>
      </c>
      <c r="B35" s="3" t="s">
        <v>938</v>
      </c>
      <c r="C35" s="2">
        <v>5110</v>
      </c>
    </row>
    <row r="36" spans="1:3">
      <c r="A36" s="2">
        <v>6050</v>
      </c>
      <c r="B36" s="3" t="s">
        <v>783</v>
      </c>
      <c r="C36" s="2">
        <v>5500</v>
      </c>
    </row>
    <row r="37" spans="1:3">
      <c r="A37" s="2">
        <v>8110</v>
      </c>
      <c r="B37" s="3" t="s">
        <v>1096</v>
      </c>
      <c r="C37" s="2">
        <v>5500</v>
      </c>
    </row>
    <row r="38" spans="1:3">
      <c r="A38" s="2">
        <v>8111</v>
      </c>
      <c r="B38" s="3" t="s">
        <v>1097</v>
      </c>
      <c r="C38" s="2">
        <v>5500</v>
      </c>
    </row>
    <row r="39" spans="1:3">
      <c r="A39" s="2">
        <v>8032</v>
      </c>
      <c r="B39" s="3" t="s">
        <v>744</v>
      </c>
      <c r="C39" s="2">
        <v>5410</v>
      </c>
    </row>
    <row r="40" spans="1:3">
      <c r="A40" s="2">
        <v>8043</v>
      </c>
      <c r="B40" s="3" t="s">
        <v>746</v>
      </c>
      <c r="C40" s="2">
        <v>5510</v>
      </c>
    </row>
    <row r="41" spans="1:3">
      <c r="A41" s="2">
        <v>8045</v>
      </c>
      <c r="B41" s="3" t="s">
        <v>1099</v>
      </c>
      <c r="C41" s="2">
        <v>5330</v>
      </c>
    </row>
    <row r="42" spans="1:3">
      <c r="A42" s="2">
        <v>8020</v>
      </c>
      <c r="B42" s="3" t="s">
        <v>761</v>
      </c>
      <c r="C42" s="2">
        <v>5660</v>
      </c>
    </row>
    <row r="43" spans="1:3">
      <c r="A43" s="2">
        <v>6140</v>
      </c>
      <c r="B43" s="3" t="s">
        <v>1156</v>
      </c>
      <c r="C43" s="2">
        <v>5330</v>
      </c>
    </row>
    <row r="44" spans="1:3">
      <c r="A44" s="2">
        <v>6500</v>
      </c>
      <c r="B44" s="3" t="s">
        <v>1121</v>
      </c>
      <c r="C44" s="2">
        <v>5300</v>
      </c>
    </row>
    <row r="45" spans="1:3">
      <c r="A45" s="2">
        <v>6501</v>
      </c>
      <c r="B45" s="3" t="s">
        <v>1126</v>
      </c>
      <c r="C45" s="2">
        <v>5300</v>
      </c>
    </row>
    <row r="46" spans="1:3">
      <c r="A46" s="2">
        <v>6503</v>
      </c>
      <c r="B46" s="3" t="s">
        <v>1157</v>
      </c>
      <c r="C46" s="2">
        <v>5610</v>
      </c>
    </row>
    <row r="47" spans="1:3">
      <c r="A47" s="2">
        <v>6504</v>
      </c>
      <c r="B47" s="3" t="s">
        <v>1127</v>
      </c>
      <c r="C47" s="2">
        <v>5300</v>
      </c>
    </row>
    <row r="48" spans="1:3">
      <c r="A48" s="2">
        <v>8112</v>
      </c>
      <c r="B48" s="3" t="s">
        <v>1133</v>
      </c>
      <c r="C48" s="2">
        <v>5300</v>
      </c>
    </row>
    <row r="49" spans="1:3">
      <c r="A49" s="2">
        <v>8003</v>
      </c>
      <c r="B49" s="3" t="s">
        <v>1144</v>
      </c>
      <c r="C49" s="2">
        <v>5320</v>
      </c>
    </row>
    <row r="50" spans="1:3">
      <c r="A50" s="2">
        <v>8017</v>
      </c>
      <c r="B50" s="3" t="s">
        <v>779</v>
      </c>
      <c r="C50" s="2">
        <v>5610</v>
      </c>
    </row>
    <row r="51" spans="1:3">
      <c r="A51" s="2">
        <v>5005</v>
      </c>
      <c r="B51" s="3" t="s">
        <v>1064</v>
      </c>
      <c r="C51" s="2">
        <v>3500</v>
      </c>
    </row>
    <row r="52" spans="1:3">
      <c r="A52" s="2">
        <v>9992</v>
      </c>
      <c r="B52" s="3" t="s">
        <v>1079</v>
      </c>
      <c r="C52" s="2">
        <v>5100</v>
      </c>
    </row>
    <row r="53" spans="1:3">
      <c r="A53" s="2">
        <v>6013</v>
      </c>
      <c r="B53" s="3" t="s">
        <v>1052</v>
      </c>
      <c r="C53" s="2">
        <v>3800</v>
      </c>
    </row>
    <row r="54" spans="1:3">
      <c r="A54" s="2">
        <v>6403</v>
      </c>
      <c r="B54" s="3" t="s">
        <v>1055</v>
      </c>
      <c r="C54" s="2">
        <v>1600</v>
      </c>
    </row>
    <row r="55" spans="1:3">
      <c r="A55" s="2">
        <v>3003</v>
      </c>
      <c r="B55" s="3" t="s">
        <v>211</v>
      </c>
      <c r="C55" s="2">
        <v>3400</v>
      </c>
    </row>
    <row r="56" spans="1:3">
      <c r="A56" s="2">
        <v>3019</v>
      </c>
      <c r="B56" s="3" t="s">
        <v>1057</v>
      </c>
      <c r="C56" s="2">
        <v>3400</v>
      </c>
    </row>
    <row r="57" spans="1:3">
      <c r="A57" s="2">
        <v>3001</v>
      </c>
      <c r="B57" s="3" t="s">
        <v>1158</v>
      </c>
      <c r="C57" s="2">
        <v>3400</v>
      </c>
    </row>
    <row r="58" spans="1:3">
      <c r="A58" s="2">
        <v>3017</v>
      </c>
      <c r="B58" s="3" t="s">
        <v>1062</v>
      </c>
      <c r="C58" s="2">
        <v>3400</v>
      </c>
    </row>
    <row r="59" spans="1:3">
      <c r="A59" s="2">
        <v>5009</v>
      </c>
      <c r="B59" s="3" t="s">
        <v>1159</v>
      </c>
      <c r="C59" s="2">
        <v>3600</v>
      </c>
    </row>
    <row r="60" spans="1:3">
      <c r="A60" s="2">
        <v>4010</v>
      </c>
      <c r="B60" s="3" t="s">
        <v>123</v>
      </c>
      <c r="C60" s="2">
        <v>6000</v>
      </c>
    </row>
    <row r="61" spans="1:3">
      <c r="A61" s="2">
        <v>9901</v>
      </c>
      <c r="B61" s="3" t="s">
        <v>1068</v>
      </c>
      <c r="C61" s="2">
        <v>4900</v>
      </c>
    </row>
    <row r="62" spans="1:3">
      <c r="A62" s="2">
        <v>9902</v>
      </c>
      <c r="B62" s="3" t="s">
        <v>1069</v>
      </c>
      <c r="C62" s="2">
        <v>4900</v>
      </c>
    </row>
    <row r="63" spans="1:3">
      <c r="A63" s="2">
        <v>9903</v>
      </c>
      <c r="B63" s="3" t="s">
        <v>1070</v>
      </c>
      <c r="C63" s="2">
        <v>4900</v>
      </c>
    </row>
    <row r="64" spans="1:3">
      <c r="A64" s="2">
        <v>9904</v>
      </c>
      <c r="B64" s="3" t="s">
        <v>1071</v>
      </c>
      <c r="C64" s="2">
        <v>4900</v>
      </c>
    </row>
    <row r="65" spans="1:3">
      <c r="A65" s="2">
        <v>9905</v>
      </c>
      <c r="B65" s="3" t="s">
        <v>1072</v>
      </c>
      <c r="C65" s="2">
        <v>4900</v>
      </c>
    </row>
    <row r="66" spans="1:3">
      <c r="A66" s="2">
        <v>9906</v>
      </c>
      <c r="B66" s="3" t="s">
        <v>1073</v>
      </c>
      <c r="C66" s="2">
        <v>4900</v>
      </c>
    </row>
    <row r="67" spans="1:3">
      <c r="A67" s="2">
        <v>9907</v>
      </c>
      <c r="B67" s="3" t="s">
        <v>1074</v>
      </c>
      <c r="C67" s="2">
        <v>4900</v>
      </c>
    </row>
    <row r="68" spans="1:3">
      <c r="A68" s="2">
        <v>6008</v>
      </c>
      <c r="B68" s="3" t="s">
        <v>1084</v>
      </c>
      <c r="C68" s="2">
        <v>5500</v>
      </c>
    </row>
    <row r="69" spans="1:3">
      <c r="A69" s="2">
        <v>6009</v>
      </c>
      <c r="B69" s="3" t="s">
        <v>1085</v>
      </c>
      <c r="C69" s="2">
        <v>5500</v>
      </c>
    </row>
    <row r="70" spans="1:3">
      <c r="A70" s="2">
        <v>6011</v>
      </c>
      <c r="B70" s="3" t="s">
        <v>1160</v>
      </c>
      <c r="C70" s="2">
        <v>5610</v>
      </c>
    </row>
    <row r="71" spans="1:3">
      <c r="A71" s="2">
        <v>6012</v>
      </c>
      <c r="B71" s="3" t="s">
        <v>1086</v>
      </c>
      <c r="C71" s="2">
        <v>5500</v>
      </c>
    </row>
    <row r="72" spans="1:3">
      <c r="A72" s="2">
        <v>6131</v>
      </c>
      <c r="B72" s="3" t="s">
        <v>1087</v>
      </c>
      <c r="C72" s="2">
        <v>5500</v>
      </c>
    </row>
    <row r="73" spans="1:3">
      <c r="A73" s="2">
        <v>6132</v>
      </c>
      <c r="B73" s="3" t="s">
        <v>1088</v>
      </c>
      <c r="C73" s="2">
        <v>5300</v>
      </c>
    </row>
    <row r="74" spans="1:3">
      <c r="A74" s="2">
        <v>8401</v>
      </c>
      <c r="B74" s="3" t="s">
        <v>1161</v>
      </c>
      <c r="C74" s="2">
        <v>5505</v>
      </c>
    </row>
    <row r="75" spans="1:3">
      <c r="A75" s="2">
        <v>8402</v>
      </c>
      <c r="B75" s="3" t="s">
        <v>1162</v>
      </c>
      <c r="C75" s="2">
        <v>5311</v>
      </c>
    </row>
    <row r="76" spans="1:3">
      <c r="A76" s="2">
        <v>8030</v>
      </c>
      <c r="B76" s="3" t="s">
        <v>743</v>
      </c>
      <c r="C76" s="2">
        <v>5660</v>
      </c>
    </row>
    <row r="77" spans="1:3">
      <c r="A77" s="2">
        <v>8007</v>
      </c>
      <c r="B77" s="3" t="s">
        <v>591</v>
      </c>
      <c r="C77" s="2">
        <v>5660</v>
      </c>
    </row>
    <row r="78" spans="1:3">
      <c r="A78" s="2">
        <v>8037</v>
      </c>
      <c r="B78" s="3" t="s">
        <v>590</v>
      </c>
      <c r="C78" s="2">
        <v>5680</v>
      </c>
    </row>
    <row r="79" spans="1:3">
      <c r="A79" s="2">
        <v>8012</v>
      </c>
      <c r="B79" s="3" t="s">
        <v>777</v>
      </c>
      <c r="C79" s="2">
        <v>5610</v>
      </c>
    </row>
    <row r="80" spans="1:3">
      <c r="A80" s="2">
        <v>8014</v>
      </c>
      <c r="B80" s="3" t="s">
        <v>1145</v>
      </c>
      <c r="C80" s="2">
        <v>5610</v>
      </c>
    </row>
    <row r="81" spans="1:3">
      <c r="A81" s="2">
        <v>8018</v>
      </c>
      <c r="B81" s="3" t="s">
        <v>1146</v>
      </c>
      <c r="C81" s="2">
        <v>5600</v>
      </c>
    </row>
    <row r="82" spans="1:3">
      <c r="A82" s="2">
        <v>8082</v>
      </c>
      <c r="B82" s="3" t="s">
        <v>190</v>
      </c>
      <c r="C82" s="2">
        <v>5660</v>
      </c>
    </row>
    <row r="83" spans="1:3" ht="15">
      <c r="A83" s="268">
        <v>10006</v>
      </c>
      <c r="B83" s="268" t="s">
        <v>352</v>
      </c>
      <c r="C83" s="2">
        <v>1400</v>
      </c>
    </row>
    <row r="84" spans="1:3" ht="15">
      <c r="A84" s="268">
        <v>10007</v>
      </c>
      <c r="B84" s="268" t="s">
        <v>1163</v>
      </c>
      <c r="C84" s="2">
        <v>1400</v>
      </c>
    </row>
    <row r="85" spans="1:3" ht="15">
      <c r="A85" s="268">
        <v>10008</v>
      </c>
      <c r="B85" s="268" t="s">
        <v>1049</v>
      </c>
      <c r="C85" s="2">
        <v>1400</v>
      </c>
    </row>
    <row r="86" spans="1:3" ht="15">
      <c r="A86" s="268">
        <v>3016</v>
      </c>
      <c r="B86" s="268" t="s">
        <v>1164</v>
      </c>
      <c r="C86" s="2">
        <v>3400</v>
      </c>
    </row>
    <row r="87" spans="1:3" ht="15">
      <c r="A87" s="268">
        <v>9908</v>
      </c>
      <c r="B87" s="268" t="s">
        <v>1075</v>
      </c>
      <c r="C87" s="2">
        <v>4900</v>
      </c>
    </row>
    <row r="88" spans="1:3" ht="15">
      <c r="A88" s="268" t="s">
        <v>1165</v>
      </c>
      <c r="B88" s="268" t="s">
        <v>71</v>
      </c>
      <c r="C88" s="2">
        <v>5200</v>
      </c>
    </row>
    <row r="89" spans="1:3" ht="15">
      <c r="A89" s="268">
        <v>6134</v>
      </c>
      <c r="B89" s="268" t="s">
        <v>1089</v>
      </c>
      <c r="C89" s="2">
        <v>5500</v>
      </c>
    </row>
    <row r="90" spans="1:3" ht="15">
      <c r="A90" s="268">
        <v>6014</v>
      </c>
      <c r="B90" s="268" t="s">
        <v>1111</v>
      </c>
      <c r="C90" s="2">
        <v>5300</v>
      </c>
    </row>
    <row r="91" spans="1:3" ht="15">
      <c r="A91" s="268">
        <v>6015</v>
      </c>
      <c r="B91" s="268" t="s">
        <v>1112</v>
      </c>
      <c r="C91" s="2">
        <v>5300</v>
      </c>
    </row>
    <row r="92" spans="1:3" ht="15">
      <c r="A92" s="268">
        <v>6136</v>
      </c>
      <c r="B92" s="268" t="s">
        <v>1116</v>
      </c>
      <c r="C92" s="2">
        <v>5300</v>
      </c>
    </row>
    <row r="93" spans="1:3">
      <c r="A93" s="2">
        <v>3021</v>
      </c>
      <c r="B93" s="3" t="s">
        <v>1166</v>
      </c>
      <c r="C93" s="2">
        <v>3400</v>
      </c>
    </row>
    <row r="94" spans="1:3">
      <c r="A94" s="2">
        <v>3026</v>
      </c>
      <c r="B94" s="3" t="s">
        <v>1167</v>
      </c>
      <c r="C94" s="2">
        <v>3400</v>
      </c>
    </row>
    <row r="95" spans="1:3">
      <c r="A95" s="2">
        <v>20301</v>
      </c>
      <c r="B95" s="3" t="s">
        <v>1067</v>
      </c>
      <c r="C95" s="2">
        <v>3400</v>
      </c>
    </row>
    <row r="96" spans="1:3">
      <c r="A96" s="2">
        <v>9993</v>
      </c>
      <c r="B96" s="3" t="s">
        <v>1077</v>
      </c>
      <c r="C96" s="2">
        <v>4900</v>
      </c>
    </row>
    <row r="97" spans="1:3">
      <c r="A97" s="2">
        <v>9994</v>
      </c>
      <c r="B97" s="3" t="s">
        <v>1078</v>
      </c>
      <c r="C97" s="2">
        <v>4900</v>
      </c>
    </row>
    <row r="98" spans="1:3">
      <c r="A98" s="2">
        <v>6138</v>
      </c>
      <c r="B98" s="3" t="s">
        <v>1091</v>
      </c>
      <c r="C98" s="2">
        <v>5500</v>
      </c>
    </row>
    <row r="99" spans="1:3">
      <c r="A99" s="2">
        <v>6139</v>
      </c>
      <c r="B99" s="3" t="s">
        <v>1092</v>
      </c>
      <c r="C99" s="2">
        <v>5500</v>
      </c>
    </row>
    <row r="100" spans="1:3">
      <c r="A100" s="2">
        <v>6141</v>
      </c>
      <c r="B100" s="3" t="s">
        <v>1093</v>
      </c>
      <c r="C100" s="2">
        <v>5500</v>
      </c>
    </row>
    <row r="101" spans="1:3">
      <c r="A101" s="2">
        <v>8101</v>
      </c>
      <c r="B101" s="3" t="s">
        <v>1168</v>
      </c>
      <c r="C101" s="2">
        <v>5550</v>
      </c>
    </row>
    <row r="102" spans="1:3">
      <c r="A102" s="2">
        <v>6016</v>
      </c>
      <c r="B102" s="3" t="s">
        <v>1113</v>
      </c>
      <c r="C102" s="2">
        <v>5300</v>
      </c>
    </row>
    <row r="103" spans="1:3">
      <c r="A103" s="2">
        <v>6017</v>
      </c>
      <c r="B103" s="3" t="s">
        <v>1114</v>
      </c>
      <c r="C103" s="2">
        <v>5300</v>
      </c>
    </row>
    <row r="104" spans="1:3">
      <c r="A104" s="2">
        <v>9008</v>
      </c>
      <c r="B104" s="3" t="s">
        <v>1102</v>
      </c>
      <c r="C104" s="2">
        <v>5610</v>
      </c>
    </row>
    <row r="105" spans="1:3">
      <c r="A105" s="2">
        <v>6137</v>
      </c>
      <c r="B105" s="3" t="s">
        <v>1117</v>
      </c>
      <c r="C105" s="2">
        <v>5300</v>
      </c>
    </row>
    <row r="106" spans="1:3">
      <c r="A106" s="2">
        <v>6505</v>
      </c>
      <c r="B106" s="3" t="s">
        <v>1128</v>
      </c>
      <c r="C106" s="2">
        <v>5300</v>
      </c>
    </row>
    <row r="107" spans="1:3">
      <c r="A107" s="2">
        <v>6506</v>
      </c>
      <c r="B107" s="3" t="s">
        <v>1129</v>
      </c>
      <c r="C107" s="2">
        <v>5300</v>
      </c>
    </row>
    <row r="108" spans="1:3">
      <c r="A108" s="2">
        <v>6507</v>
      </c>
      <c r="B108" s="3" t="s">
        <v>1130</v>
      </c>
      <c r="C108" s="2">
        <v>5300</v>
      </c>
    </row>
    <row r="109" spans="1:3">
      <c r="A109" s="2">
        <v>8019</v>
      </c>
      <c r="B109" s="3" t="s">
        <v>1147</v>
      </c>
      <c r="C109" s="2">
        <v>5610</v>
      </c>
    </row>
    <row r="110" spans="1:3">
      <c r="A110" s="2">
        <v>3020</v>
      </c>
      <c r="B110" s="3" t="s">
        <v>1169</v>
      </c>
      <c r="C110" s="2">
        <v>3400</v>
      </c>
    </row>
    <row r="111" spans="1:3">
      <c r="A111" s="2">
        <v>3022</v>
      </c>
      <c r="B111" s="3" t="s">
        <v>1170</v>
      </c>
      <c r="C111" s="2">
        <v>3400</v>
      </c>
    </row>
    <row r="112" spans="1:3">
      <c r="A112" s="2">
        <v>3029</v>
      </c>
      <c r="B112" s="3" t="s">
        <v>1171</v>
      </c>
      <c r="C112" s="2">
        <v>3400</v>
      </c>
    </row>
    <row r="113" spans="1:3">
      <c r="A113" s="2">
        <v>3030</v>
      </c>
      <c r="B113" s="3" t="s">
        <v>1172</v>
      </c>
      <c r="C113" s="2">
        <v>3400</v>
      </c>
    </row>
    <row r="114" spans="1:3">
      <c r="A114" s="2">
        <v>3031</v>
      </c>
      <c r="B114" s="3" t="s">
        <v>1173</v>
      </c>
      <c r="C114" s="2">
        <v>3400</v>
      </c>
    </row>
    <row r="115" spans="1:3">
      <c r="A115" s="2">
        <v>6135</v>
      </c>
      <c r="B115" s="3" t="s">
        <v>1090</v>
      </c>
      <c r="C115" s="2">
        <v>5500</v>
      </c>
    </row>
    <row r="116" spans="1:3">
      <c r="A116" s="2">
        <v>8400</v>
      </c>
      <c r="B116" s="3" t="s">
        <v>1174</v>
      </c>
      <c r="C116" s="2">
        <v>5603</v>
      </c>
    </row>
    <row r="117" spans="1:3">
      <c r="A117" s="2">
        <v>8403</v>
      </c>
      <c r="B117" s="3" t="s">
        <v>1175</v>
      </c>
      <c r="C117" s="2">
        <v>5505</v>
      </c>
    </row>
    <row r="118" spans="1:3">
      <c r="A118" s="2">
        <v>8042</v>
      </c>
      <c r="B118" s="3" t="s">
        <v>577</v>
      </c>
      <c r="C118" s="2">
        <v>5330</v>
      </c>
    </row>
    <row r="119" spans="1:3">
      <c r="A119" s="2">
        <v>8083</v>
      </c>
      <c r="B119" s="3" t="s">
        <v>1176</v>
      </c>
      <c r="C119" s="2">
        <v>5660</v>
      </c>
    </row>
    <row r="120" spans="1:3">
      <c r="A120" s="2">
        <v>6144</v>
      </c>
      <c r="B120" s="3" t="s">
        <v>1104</v>
      </c>
      <c r="C120" s="2">
        <v>5550</v>
      </c>
    </row>
    <row r="121" spans="1:3">
      <c r="A121" s="2">
        <v>6145</v>
      </c>
      <c r="B121" s="3" t="s">
        <v>1105</v>
      </c>
      <c r="C121" s="2">
        <v>5550</v>
      </c>
    </row>
    <row r="122" spans="1:3">
      <c r="A122" s="2">
        <v>8038</v>
      </c>
      <c r="B122" s="3" t="s">
        <v>1107</v>
      </c>
      <c r="C122" s="2">
        <v>5680</v>
      </c>
    </row>
    <row r="123" spans="1:3">
      <c r="A123" s="2">
        <v>6143</v>
      </c>
      <c r="B123" s="3" t="s">
        <v>1118</v>
      </c>
      <c r="C123" s="2">
        <v>5500</v>
      </c>
    </row>
    <row r="124" spans="1:3">
      <c r="A124" s="2">
        <v>6508</v>
      </c>
      <c r="B124" s="3" t="s">
        <v>1131</v>
      </c>
      <c r="C124" s="2">
        <v>5300</v>
      </c>
    </row>
    <row r="125" spans="1:3">
      <c r="A125" s="2">
        <v>66000</v>
      </c>
      <c r="B125" s="3" t="s">
        <v>1136</v>
      </c>
      <c r="C125" s="2">
        <v>5500</v>
      </c>
    </row>
    <row r="126" spans="1:3">
      <c r="A126" s="2">
        <v>66001</v>
      </c>
      <c r="B126" s="3" t="s">
        <v>1137</v>
      </c>
      <c r="C126" s="2">
        <v>5500</v>
      </c>
    </row>
    <row r="127" spans="1:3">
      <c r="A127" s="2">
        <v>66002</v>
      </c>
      <c r="B127" s="3" t="s">
        <v>1138</v>
      </c>
      <c r="C127" s="2">
        <v>5500</v>
      </c>
    </row>
    <row r="128" spans="1:3">
      <c r="A128" s="2">
        <v>3013</v>
      </c>
      <c r="B128" s="3" t="s">
        <v>1177</v>
      </c>
      <c r="C128" s="2">
        <v>3400</v>
      </c>
    </row>
    <row r="129" spans="1:3">
      <c r="A129" s="2">
        <v>3023</v>
      </c>
      <c r="B129" s="3" t="s">
        <v>1178</v>
      </c>
      <c r="C129" s="2">
        <v>3400</v>
      </c>
    </row>
    <row r="130" spans="1:3">
      <c r="A130" s="2">
        <v>3027</v>
      </c>
      <c r="B130" s="3" t="s">
        <v>1179</v>
      </c>
      <c r="C130" s="2">
        <v>3400</v>
      </c>
    </row>
    <row r="131" spans="1:3">
      <c r="A131" s="2">
        <v>3032</v>
      </c>
      <c r="B131" s="3" t="s">
        <v>1180</v>
      </c>
      <c r="C131" s="2">
        <v>3400</v>
      </c>
    </row>
    <row r="132" spans="1:3">
      <c r="A132" s="2">
        <v>3033</v>
      </c>
      <c r="B132" s="3" t="s">
        <v>679</v>
      </c>
      <c r="C132" s="2">
        <v>3400</v>
      </c>
    </row>
    <row r="133" spans="1:3">
      <c r="A133" s="2">
        <v>5106</v>
      </c>
      <c r="B133" s="3" t="s">
        <v>1181</v>
      </c>
      <c r="C133" s="2">
        <v>3600</v>
      </c>
    </row>
    <row r="134" spans="1:3">
      <c r="A134" s="2">
        <v>6142</v>
      </c>
      <c r="B134" s="3" t="s">
        <v>1094</v>
      </c>
      <c r="C134" s="2">
        <v>5500</v>
      </c>
    </row>
    <row r="135" spans="1:3">
      <c r="A135" s="2">
        <v>8005</v>
      </c>
      <c r="B135" s="3" t="s">
        <v>741</v>
      </c>
      <c r="C135" s="2">
        <v>5660</v>
      </c>
    </row>
    <row r="136" spans="1:3">
      <c r="A136" s="2">
        <v>8039</v>
      </c>
      <c r="B136" s="3" t="s">
        <v>1108</v>
      </c>
      <c r="C136" s="2">
        <v>5330</v>
      </c>
    </row>
    <row r="137" spans="1:3">
      <c r="A137" s="2">
        <v>9004</v>
      </c>
      <c r="B137" s="3" t="s">
        <v>1110</v>
      </c>
      <c r="C137" s="2">
        <v>5700</v>
      </c>
    </row>
    <row r="138" spans="1:3">
      <c r="A138" s="2">
        <v>68000</v>
      </c>
      <c r="B138" s="3" t="s">
        <v>1140</v>
      </c>
      <c r="C138" s="2">
        <v>5600</v>
      </c>
    </row>
    <row r="139" spans="1:3">
      <c r="A139" s="2">
        <v>68001</v>
      </c>
      <c r="B139" s="3" t="s">
        <v>1141</v>
      </c>
      <c r="C139" s="2">
        <v>5600</v>
      </c>
    </row>
    <row r="140" spans="1:3">
      <c r="A140" s="2">
        <v>68002</v>
      </c>
      <c r="B140" s="3" t="s">
        <v>1142</v>
      </c>
      <c r="C140" s="2">
        <v>5600</v>
      </c>
    </row>
    <row r="141" spans="1:3">
      <c r="A141" s="2">
        <v>10009</v>
      </c>
      <c r="B141" s="3" t="s">
        <v>372</v>
      </c>
      <c r="C141" s="2">
        <v>1400</v>
      </c>
    </row>
    <row r="142" spans="1:3">
      <c r="A142" s="2">
        <v>5111</v>
      </c>
      <c r="B142" s="3" t="s">
        <v>1050</v>
      </c>
      <c r="C142" s="2">
        <v>2400</v>
      </c>
    </row>
    <row r="143" spans="1:3">
      <c r="A143" s="2">
        <v>3028</v>
      </c>
      <c r="B143" s="3" t="s">
        <v>1182</v>
      </c>
      <c r="C143" s="2">
        <v>3400</v>
      </c>
    </row>
    <row r="144" spans="1:3">
      <c r="A144" s="2">
        <v>3034</v>
      </c>
      <c r="B144" s="3" t="s">
        <v>1183</v>
      </c>
      <c r="C144" s="2">
        <v>3400</v>
      </c>
    </row>
    <row r="145" spans="1:3">
      <c r="A145" s="2">
        <v>3035</v>
      </c>
      <c r="B145" s="3" t="s">
        <v>1184</v>
      </c>
      <c r="C145" s="2">
        <v>3400</v>
      </c>
    </row>
    <row r="146" spans="1:3">
      <c r="A146" s="2">
        <v>3036</v>
      </c>
      <c r="B146" s="3" t="s">
        <v>1185</v>
      </c>
      <c r="C146" s="2">
        <v>3400</v>
      </c>
    </row>
    <row r="147" spans="1:3">
      <c r="A147" s="2">
        <v>3037</v>
      </c>
      <c r="B147" s="3" t="s">
        <v>1186</v>
      </c>
      <c r="C147" s="2">
        <v>3400</v>
      </c>
    </row>
    <row r="148" spans="1:3">
      <c r="A148" s="2">
        <v>3038</v>
      </c>
      <c r="B148" s="3" t="s">
        <v>1187</v>
      </c>
      <c r="C148" s="2">
        <v>3400</v>
      </c>
    </row>
    <row r="149" spans="1:3">
      <c r="A149" s="2">
        <v>3039</v>
      </c>
      <c r="B149" s="3" t="s">
        <v>1188</v>
      </c>
      <c r="C149" s="2">
        <v>3400</v>
      </c>
    </row>
    <row r="150" spans="1:3">
      <c r="A150" s="2">
        <v>9909</v>
      </c>
      <c r="B150" s="3" t="s">
        <v>1076</v>
      </c>
      <c r="C150" s="2">
        <v>4900</v>
      </c>
    </row>
    <row r="151" spans="1:3">
      <c r="A151" s="2">
        <v>8108</v>
      </c>
      <c r="B151" s="3" t="s">
        <v>1100</v>
      </c>
      <c r="C151" s="2">
        <v>5540</v>
      </c>
    </row>
    <row r="152" spans="1:3">
      <c r="A152" s="2">
        <v>8046</v>
      </c>
      <c r="B152" s="3" t="s">
        <v>1101</v>
      </c>
      <c r="C152" s="2">
        <v>5680</v>
      </c>
    </row>
    <row r="153" spans="1:3">
      <c r="A153" s="2">
        <v>8040</v>
      </c>
      <c r="B153" s="3" t="s">
        <v>1109</v>
      </c>
      <c r="C153" s="2">
        <v>5330</v>
      </c>
    </row>
    <row r="154" spans="1:3">
      <c r="A154" s="2">
        <v>65001</v>
      </c>
      <c r="B154" s="3" t="s">
        <v>1122</v>
      </c>
      <c r="C154" s="2">
        <v>5300</v>
      </c>
    </row>
    <row r="155" spans="1:3">
      <c r="A155" s="2">
        <v>65002</v>
      </c>
      <c r="B155" s="3" t="s">
        <v>1123</v>
      </c>
      <c r="C155" s="2">
        <v>5300</v>
      </c>
    </row>
    <row r="156" spans="1:3">
      <c r="A156" s="2">
        <v>65003</v>
      </c>
      <c r="B156" s="3" t="s">
        <v>1124</v>
      </c>
      <c r="C156" s="2">
        <v>5300</v>
      </c>
    </row>
    <row r="157" spans="1:3">
      <c r="A157" s="2">
        <v>65004</v>
      </c>
      <c r="B157" s="3" t="s">
        <v>1125</v>
      </c>
      <c r="C157" s="2">
        <v>5300</v>
      </c>
    </row>
    <row r="158" spans="1:3">
      <c r="A158" s="2">
        <v>68003</v>
      </c>
      <c r="B158" s="3" t="s">
        <v>1143</v>
      </c>
      <c r="C158" s="2">
        <v>5600</v>
      </c>
    </row>
    <row r="159" spans="1:3">
      <c r="A159" s="2">
        <v>10010</v>
      </c>
      <c r="B159" s="3" t="s">
        <v>352</v>
      </c>
      <c r="C159" s="2">
        <v>1400</v>
      </c>
    </row>
    <row r="160" spans="1:3">
      <c r="A160" s="2">
        <v>10014</v>
      </c>
      <c r="B160" s="3" t="s">
        <v>369</v>
      </c>
      <c r="C160" s="2">
        <v>1400</v>
      </c>
    </row>
    <row r="161" spans="1:3">
      <c r="A161" s="2">
        <v>3040</v>
      </c>
      <c r="B161" s="3" t="s">
        <v>1189</v>
      </c>
      <c r="C161" s="2">
        <v>3400</v>
      </c>
    </row>
    <row r="162" spans="1:3">
      <c r="A162" s="2">
        <v>3041</v>
      </c>
      <c r="B162" s="3" t="s">
        <v>1058</v>
      </c>
      <c r="C162" s="2">
        <v>3400</v>
      </c>
    </row>
    <row r="163" spans="1:3">
      <c r="A163" s="2">
        <v>3042</v>
      </c>
      <c r="B163" s="3" t="s">
        <v>1059</v>
      </c>
      <c r="C163" s="2">
        <v>3400</v>
      </c>
    </row>
    <row r="164" spans="1:3">
      <c r="A164" s="2">
        <v>3043</v>
      </c>
      <c r="B164" s="3" t="s">
        <v>1060</v>
      </c>
      <c r="C164" s="2">
        <v>3400</v>
      </c>
    </row>
    <row r="165" spans="1:3">
      <c r="A165" s="2">
        <v>3044</v>
      </c>
      <c r="B165" s="3" t="s">
        <v>267</v>
      </c>
      <c r="C165" s="2">
        <v>3400</v>
      </c>
    </row>
    <row r="166" spans="1:3">
      <c r="A166" s="2">
        <v>3045</v>
      </c>
      <c r="B166" s="3" t="s">
        <v>1061</v>
      </c>
      <c r="C166" s="2">
        <v>3400</v>
      </c>
    </row>
    <row r="167" spans="1:3">
      <c r="A167" s="2">
        <v>5010</v>
      </c>
      <c r="B167" s="3" t="s">
        <v>959</v>
      </c>
      <c r="C167" s="2">
        <v>3600</v>
      </c>
    </row>
    <row r="168" spans="1:3">
      <c r="A168" s="2">
        <v>5011</v>
      </c>
      <c r="B168" s="3" t="s">
        <v>1066</v>
      </c>
      <c r="C168" s="2">
        <v>3600</v>
      </c>
    </row>
    <row r="169" spans="1:3">
      <c r="A169" s="2">
        <v>6146</v>
      </c>
      <c r="B169" s="3" t="s">
        <v>1095</v>
      </c>
      <c r="C169" s="2">
        <v>5500</v>
      </c>
    </row>
    <row r="170" spans="1:3">
      <c r="A170" s="2">
        <v>8028</v>
      </c>
      <c r="B170" s="3" t="s">
        <v>587</v>
      </c>
      <c r="C170" s="2">
        <v>5660</v>
      </c>
    </row>
    <row r="171" spans="1:3">
      <c r="A171" s="2">
        <v>6149</v>
      </c>
      <c r="B171" s="3" t="s">
        <v>1106</v>
      </c>
      <c r="C171" s="2">
        <v>5670</v>
      </c>
    </row>
    <row r="172" spans="1:3">
      <c r="A172" s="2">
        <v>6018</v>
      </c>
      <c r="B172" s="3" t="s">
        <v>1115</v>
      </c>
      <c r="C172" s="2">
        <v>5300</v>
      </c>
    </row>
    <row r="173" spans="1:3">
      <c r="A173" s="2">
        <v>6147</v>
      </c>
      <c r="B173" s="3" t="s">
        <v>1119</v>
      </c>
      <c r="C173" s="2">
        <v>5500</v>
      </c>
    </row>
    <row r="174" spans="1:3">
      <c r="A174" s="2">
        <v>6148</v>
      </c>
      <c r="B174" s="3" t="s">
        <v>1120</v>
      </c>
      <c r="C174" s="2">
        <v>5500</v>
      </c>
    </row>
    <row r="175" spans="1:3">
      <c r="A175" s="2">
        <v>6509</v>
      </c>
      <c r="B175" s="3" t="s">
        <v>1132</v>
      </c>
      <c r="C175" s="2">
        <v>5300</v>
      </c>
    </row>
    <row r="176" spans="1:3">
      <c r="A176" s="2">
        <v>6510</v>
      </c>
      <c r="B176" s="3" t="s">
        <v>816</v>
      </c>
      <c r="C176" s="2">
        <v>5300</v>
      </c>
    </row>
    <row r="177" spans="1:3">
      <c r="A177" s="2">
        <v>67100</v>
      </c>
      <c r="B177" s="3" t="s">
        <v>1139</v>
      </c>
      <c r="C177" s="2">
        <v>5510</v>
      </c>
    </row>
    <row r="178" spans="1:3">
      <c r="A178" s="2" t="s">
        <v>1148</v>
      </c>
      <c r="B178" s="3" t="s">
        <v>1149</v>
      </c>
      <c r="C178" s="2">
        <v>5660</v>
      </c>
    </row>
  </sheetData>
  <autoFilter ref="A1:C140" xr:uid="{00000000-0009-0000-0000-000012000000}">
    <sortState xmlns:xlrd2="http://schemas.microsoft.com/office/spreadsheetml/2017/richdata2" ref="A2:C24">
      <sortCondition ref="C1"/>
    </sortState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3D3EEFC98176C439B4D93FB31067809" ma:contentTypeVersion="3" ma:contentTypeDescription="Create a new document." ma:contentTypeScope="" ma:versionID="1084860908a45f18d3ed6c268ce6a0d6">
  <xsd:schema xmlns:xsd="http://www.w3.org/2001/XMLSchema" xmlns:xs="http://www.w3.org/2001/XMLSchema" xmlns:p="http://schemas.microsoft.com/office/2006/metadata/properties" xmlns:ns2="09a4bfd6-2025-4f7f-bea2-a66d41067acd" targetNamespace="http://schemas.microsoft.com/office/2006/metadata/properties" ma:root="true" ma:fieldsID="1fe35c189aee800ec467756dc6ff1974" ns2:_="">
    <xsd:import namespace="09a4bfd6-2025-4f7f-bea2-a66d41067ac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a4bfd6-2025-4f7f-bea2-a66d41067ac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C40BA6A-A63F-4CDE-88F2-335D197303DE}"/>
</file>

<file path=customXml/itemProps2.xml><?xml version="1.0" encoding="utf-8"?>
<ds:datastoreItem xmlns:ds="http://schemas.openxmlformats.org/officeDocument/2006/customXml" ds:itemID="{E2868AA8-020F-4071-B3C8-6D66D826A50C}">
  <ds:schemaRefs>
    <ds:schemaRef ds:uri="http://schemas.microsoft.com/office/2006/documentManagement/types"/>
    <ds:schemaRef ds:uri="http://purl.org/dc/elements/1.1/"/>
    <ds:schemaRef ds:uri="9effbb38-489e-4b9c-9f15-591531209280"/>
    <ds:schemaRef ds:uri="http://schemas.microsoft.com/office/infopath/2007/PartnerControls"/>
    <ds:schemaRef ds:uri="http://purl.org/dc/terms/"/>
    <ds:schemaRef ds:uri="http://schemas.openxmlformats.org/package/2006/metadata/core-properties"/>
    <ds:schemaRef ds:uri="e15af370-9154-486a-ad98-bf82afe66932"/>
    <ds:schemaRef ds:uri="http://schemas.microsoft.com/office/2006/metadata/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E897262E-17CB-458B-A056-A14607C79205}">
  <ds:schemaRefs>
    <ds:schemaRef ds:uri="http://schemas.microsoft.com/sharepoint/v3/contenttype/forms"/>
  </ds:schemaRefs>
</ds:datastoreItem>
</file>

<file path=docProps/CustomMKOP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KProdID">
    <vt:lpwstr>ZMOutlook</vt:lpwstr>
  </property>
  <property fmtid="{D5CDD505-2E9C-101B-9397-08002B2CF9AE}" pid="3" name="SizeBefore">
    <vt:lpwstr>405533</vt:lpwstr>
  </property>
  <property fmtid="{D5CDD505-2E9C-101B-9397-08002B2CF9AE}" pid="4" name="OptimizationTime">
    <vt:lpwstr>20240520_1509</vt:lpwstr>
  </property>
</Properties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20</vt:i4>
      </vt:variant>
      <vt:variant>
        <vt:lpstr>Named Ranges</vt:lpstr>
      </vt:variant>
      <vt:variant>
        <vt:i4>13</vt:i4>
      </vt:variant>
    </vt:vector>
  </HeadingPairs>
  <TitlesOfParts>
    <vt:vector size="33" baseType="lpstr">
      <vt:lpstr>HARKAVA </vt:lpstr>
      <vt:lpstr>intercompany</vt:lpstr>
      <vt:lpstr>budget</vt:lpstr>
      <vt:lpstr>BS</vt:lpstr>
      <vt:lpstr>PL</vt:lpstr>
      <vt:lpstr>CF</vt:lpstr>
      <vt:lpstr>details</vt:lpstr>
      <vt:lpstr>cash flows</vt:lpstr>
      <vt:lpstr>TB Mitiga LTD</vt:lpstr>
      <vt:lpstr>Adj Entries Ltd</vt:lpstr>
      <vt:lpstr>codes Ltd</vt:lpstr>
      <vt:lpstr>TB US</vt:lpstr>
      <vt:lpstr>Adj. entries US</vt:lpstr>
      <vt:lpstr>codes US</vt:lpstr>
      <vt:lpstr>TB UK</vt:lpstr>
      <vt:lpstr>codes UK</vt:lpstr>
      <vt:lpstr>Adj. Entries UK</vt:lpstr>
      <vt:lpstr>TB security</vt:lpstr>
      <vt:lpstr>Adj. Entries security</vt:lpstr>
      <vt:lpstr>codes security</vt:lpstr>
      <vt:lpstr>'Adj Entries Ltd'!Print_Area</vt:lpstr>
      <vt:lpstr>'Adj. Entries security'!Print_Area</vt:lpstr>
      <vt:lpstr>'Adj. Entries UK'!Print_Area</vt:lpstr>
      <vt:lpstr>BS!Print_Area</vt:lpstr>
      <vt:lpstr>budget!Print_Area</vt:lpstr>
      <vt:lpstr>'cash flows'!Print_Area</vt:lpstr>
      <vt:lpstr>CF!Print_Area</vt:lpstr>
      <vt:lpstr>'HARKAVA '!Print_Area</vt:lpstr>
      <vt:lpstr>PL!Print_Area</vt:lpstr>
      <vt:lpstr>'TB Mitiga LTD'!Print_Area</vt:lpstr>
      <vt:lpstr>'TB US'!Print_Area</vt:lpstr>
      <vt:lpstr>'Adj Entries Ltd'!Print_Titles</vt:lpstr>
      <vt:lpstr>'HARKAVA 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עופר סלע</dc:creator>
  <cp:keywords/>
  <dc:description/>
  <cp:lastModifiedBy>Nimrod Cohen</cp:lastModifiedBy>
  <cp:revision/>
  <dcterms:created xsi:type="dcterms:W3CDTF">1998-10-06T16:15:32Z</dcterms:created>
  <dcterms:modified xsi:type="dcterms:W3CDTF">2023-04-18T03:41:49Z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0x01010073D3EEFC98176C439B4D93FB31067809</vt:lpwstr>
  </property>
  <property fmtid="{D5CDD505-2E9C-101B-9397-08002B2CF9AE}" pid="3" name="MediaServiceImageTags">
    <vt:lpwstr/>
  </property>
  <property fmtid="{D5CDD505-2E9C-101B-9397-08002B2CF9AE}" pid="4" name="Order">
    <vt:r8>52000</vt:r8>
  </property>
</Properties>
</file>